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10455"/>
  </bookViews>
  <sheets>
    <sheet name="店铺数据每日登记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<sst xmlns="http://schemas.openxmlformats.org/spreadsheetml/2006/main" count="444" uniqueCount="340">
  <si>
    <t>日期</t>
  </si>
  <si>
    <t>PV</t>
  </si>
  <si>
    <t>UV</t>
  </si>
  <si>
    <t>PaidUV</t>
  </si>
  <si>
    <t>关注店铺人数</t>
  </si>
  <si>
    <t>GMV</t>
  </si>
  <si>
    <t>咨询人数</t>
  </si>
  <si>
    <t>咨询转化率</t>
  </si>
  <si>
    <t>下单买家数</t>
  </si>
  <si>
    <t>下单转化率</t>
  </si>
  <si>
    <t>0.00%</t>
  </si>
  <si>
    <t>0.36%</t>
  </si>
  <si>
    <t>0.01%</t>
  </si>
  <si>
    <t>8,468</t>
  </si>
  <si>
    <t>5,409</t>
  </si>
  <si>
    <t>57</t>
  </si>
  <si>
    <t>5,489.10</t>
  </si>
  <si>
    <t>13</t>
  </si>
  <si>
    <t>24,675</t>
  </si>
  <si>
    <t>17,624</t>
  </si>
  <si>
    <t>101</t>
  </si>
  <si>
    <t>96,207.90</t>
  </si>
  <si>
    <t>17</t>
  </si>
  <si>
    <t>18,618</t>
  </si>
  <si>
    <t>13,973</t>
  </si>
  <si>
    <t>75</t>
  </si>
  <si>
    <t>12,947.50</t>
  </si>
  <si>
    <t>8</t>
  </si>
  <si>
    <t>19,096</t>
  </si>
  <si>
    <t>14,594</t>
  </si>
  <si>
    <t>92</t>
  </si>
  <si>
    <t>19,194.60</t>
  </si>
  <si>
    <t>10,686</t>
  </si>
  <si>
    <t>8,881</t>
  </si>
  <si>
    <t>19</t>
  </si>
  <si>
    <t>2,809.90</t>
  </si>
  <si>
    <t>3</t>
  </si>
  <si>
    <t>10,666</t>
  </si>
  <si>
    <t>8,956</t>
  </si>
  <si>
    <t>29</t>
  </si>
  <si>
    <t>35,151.90</t>
  </si>
  <si>
    <t>10,932</t>
  </si>
  <si>
    <t>8,996</t>
  </si>
  <si>
    <t>33,260.70</t>
  </si>
  <si>
    <t>5</t>
  </si>
  <si>
    <t>11,156</t>
  </si>
  <si>
    <t>9,123</t>
  </si>
  <si>
    <t>25</t>
  </si>
  <si>
    <t>2,989.60</t>
  </si>
  <si>
    <t>11,092</t>
  </si>
  <si>
    <t>9,252</t>
  </si>
  <si>
    <t>21</t>
  </si>
  <si>
    <t>39.60</t>
  </si>
  <si>
    <t>11,608</t>
  </si>
  <si>
    <t>9,354</t>
  </si>
  <si>
    <t>139</t>
  </si>
  <si>
    <t>34,695.50</t>
  </si>
  <si>
    <t>7,529</t>
  </si>
  <si>
    <t>5,679</t>
  </si>
  <si>
    <t>127</t>
  </si>
  <si>
    <t>59,231.60</t>
  </si>
  <si>
    <t>10</t>
  </si>
  <si>
    <t>2,176</t>
  </si>
  <si>
    <t>1,011</t>
  </si>
  <si>
    <t>18</t>
  </si>
  <si>
    <t>17,029.70</t>
  </si>
  <si>
    <t>7</t>
  </si>
  <si>
    <t>2,569</t>
  </si>
  <si>
    <t>1,259</t>
  </si>
  <si>
    <t>20</t>
  </si>
  <si>
    <t>4,659.60</t>
  </si>
  <si>
    <t>9,016</t>
  </si>
  <si>
    <t>6,687</t>
  </si>
  <si>
    <t>26</t>
  </si>
  <si>
    <t>3,623</t>
  </si>
  <si>
    <t>1,673</t>
  </si>
  <si>
    <t>36,007.00</t>
  </si>
  <si>
    <t>2,478</t>
  </si>
  <si>
    <t>1,159</t>
  </si>
  <si>
    <t>32</t>
  </si>
  <si>
    <t>2,800.00</t>
  </si>
  <si>
    <t>2,467</t>
  </si>
  <si>
    <t>1,298</t>
  </si>
  <si>
    <t>0.00</t>
  </si>
  <si>
    <t>2,143</t>
  </si>
  <si>
    <t>1,148</t>
  </si>
  <si>
    <t>28</t>
  </si>
  <si>
    <t>25,739.00</t>
  </si>
  <si>
    <t>3,300</t>
  </si>
  <si>
    <t>1,680</t>
  </si>
  <si>
    <t>1</t>
  </si>
  <si>
    <t>4,169</t>
  </si>
  <si>
    <t>1,997</t>
  </si>
  <si>
    <t>6,670</t>
  </si>
  <si>
    <t>2,672</t>
  </si>
  <si>
    <t>5,839</t>
  </si>
  <si>
    <t>2,412</t>
  </si>
  <si>
    <t>62</t>
  </si>
  <si>
    <t>12,274.00</t>
  </si>
  <si>
    <t>124</t>
  </si>
  <si>
    <t>5,322</t>
  </si>
  <si>
    <t>2,281</t>
  </si>
  <si>
    <t>19,997</t>
  </si>
  <si>
    <t>10,528</t>
  </si>
  <si>
    <t>274</t>
  </si>
  <si>
    <t>48,007</t>
  </si>
  <si>
    <t>34,608</t>
  </si>
  <si>
    <t>102</t>
  </si>
  <si>
    <t>6,490</t>
  </si>
  <si>
    <t>2,542</t>
  </si>
  <si>
    <t>83</t>
  </si>
  <si>
    <t>11,762</t>
  </si>
  <si>
    <t>5,833</t>
  </si>
  <si>
    <t>41</t>
  </si>
  <si>
    <t>7,301</t>
  </si>
  <si>
    <t>2,861</t>
  </si>
  <si>
    <t>76</t>
  </si>
  <si>
    <t>6,317</t>
  </si>
  <si>
    <t>2,544</t>
  </si>
  <si>
    <t>17,570</t>
  </si>
  <si>
    <t>11,443</t>
  </si>
  <si>
    <t>68</t>
  </si>
  <si>
    <t>22,859</t>
  </si>
  <si>
    <t>12,889</t>
  </si>
  <si>
    <t>100</t>
  </si>
  <si>
    <t>25,376</t>
  </si>
  <si>
    <t>16,573</t>
  </si>
  <si>
    <t>61</t>
  </si>
  <si>
    <t>10,563</t>
  </si>
  <si>
    <t>4,835</t>
  </si>
  <si>
    <t>84</t>
  </si>
  <si>
    <t>9,063</t>
  </si>
  <si>
    <t>4,675</t>
  </si>
  <si>
    <t>9,387</t>
  </si>
  <si>
    <t>3,923</t>
  </si>
  <si>
    <t>39</t>
  </si>
  <si>
    <t>17,081</t>
  </si>
  <si>
    <t>6,289</t>
  </si>
  <si>
    <t>112</t>
  </si>
  <si>
    <t>8,830</t>
  </si>
  <si>
    <t>3,874</t>
  </si>
  <si>
    <t>10,532</t>
  </si>
  <si>
    <t>5,080</t>
  </si>
  <si>
    <t>35</t>
  </si>
  <si>
    <t>10,599</t>
  </si>
  <si>
    <t>5,430</t>
  </si>
  <si>
    <t>70</t>
  </si>
  <si>
    <t>29,492</t>
  </si>
  <si>
    <t>20,633</t>
  </si>
  <si>
    <t>11,395</t>
  </si>
  <si>
    <t>5,919</t>
  </si>
  <si>
    <t>164</t>
  </si>
  <si>
    <t>43,138</t>
  </si>
  <si>
    <t>28,694</t>
  </si>
  <si>
    <t>267</t>
  </si>
  <si>
    <t>11,311</t>
  </si>
  <si>
    <t>6,759</t>
  </si>
  <si>
    <t>37</t>
  </si>
  <si>
    <t>11,168</t>
  </si>
  <si>
    <t>6,628</t>
  </si>
  <si>
    <t>9,851</t>
  </si>
  <si>
    <t>5,630</t>
  </si>
  <si>
    <t>16,106</t>
  </si>
  <si>
    <t>10,088</t>
  </si>
  <si>
    <t>19,142</t>
  </si>
  <si>
    <t>14,270</t>
  </si>
  <si>
    <t>56</t>
  </si>
  <si>
    <t>13,368</t>
  </si>
  <si>
    <t>9,102</t>
  </si>
  <si>
    <t>51</t>
  </si>
  <si>
    <t>18,772</t>
  </si>
  <si>
    <t>13,067</t>
  </si>
  <si>
    <t>8,699</t>
  </si>
  <si>
    <t>5,143</t>
  </si>
  <si>
    <t>31</t>
  </si>
  <si>
    <t>12,435</t>
  </si>
  <si>
    <t>8,071</t>
  </si>
  <si>
    <t>8,952</t>
  </si>
  <si>
    <t>6,151</t>
  </si>
  <si>
    <t>7,956</t>
  </si>
  <si>
    <t>5,511</t>
  </si>
  <si>
    <t>33</t>
  </si>
  <si>
    <t>7,715</t>
  </si>
  <si>
    <t>5,591</t>
  </si>
  <si>
    <t>6,750</t>
  </si>
  <si>
    <t>4,870</t>
  </si>
  <si>
    <t>7,161</t>
  </si>
  <si>
    <t>4,809</t>
  </si>
  <si>
    <t>5,085</t>
  </si>
  <si>
    <t>3,293</t>
  </si>
  <si>
    <t>2,904</t>
  </si>
  <si>
    <t>1,731</t>
  </si>
  <si>
    <t>2,765</t>
  </si>
  <si>
    <t>1,476</t>
  </si>
  <si>
    <t>3,273</t>
  </si>
  <si>
    <t>1,721</t>
  </si>
  <si>
    <t>67</t>
  </si>
  <si>
    <t>11805</t>
  </si>
  <si>
    <t>4,301</t>
  </si>
  <si>
    <t>2,312</t>
  </si>
  <si>
    <t>43</t>
  </si>
  <si>
    <t>4,045</t>
  </si>
  <si>
    <t>2,315</t>
  </si>
  <si>
    <t>40</t>
  </si>
  <si>
    <t>5,548</t>
  </si>
  <si>
    <t>2,629</t>
  </si>
  <si>
    <t>253</t>
  </si>
  <si>
    <t>4,858</t>
  </si>
  <si>
    <t>2,487</t>
  </si>
  <si>
    <t>93</t>
  </si>
  <si>
    <t>5,283</t>
  </si>
  <si>
    <t>2,575</t>
  </si>
  <si>
    <t>63</t>
  </si>
  <si>
    <t>4,912</t>
  </si>
  <si>
    <t>2,363</t>
  </si>
  <si>
    <t>86</t>
  </si>
  <si>
    <t>7,409</t>
  </si>
  <si>
    <t>3,727</t>
  </si>
  <si>
    <t>52</t>
  </si>
  <si>
    <t>7,019</t>
  </si>
  <si>
    <t>3,419</t>
  </si>
  <si>
    <t>64</t>
  </si>
  <si>
    <t>12,213</t>
  </si>
  <si>
    <t>6,007</t>
  </si>
  <si>
    <t>9,138</t>
  </si>
  <si>
    <t>5,371</t>
  </si>
  <si>
    <t>58</t>
  </si>
  <si>
    <t>34,313</t>
  </si>
  <si>
    <t>25,639</t>
  </si>
  <si>
    <t>118</t>
  </si>
  <si>
    <t>17,042</t>
  </si>
  <si>
    <t>12,735</t>
  </si>
  <si>
    <t>13,873</t>
  </si>
  <si>
    <t>10,913</t>
  </si>
  <si>
    <t>10,567</t>
  </si>
  <si>
    <t>8,128</t>
  </si>
  <si>
    <t>15</t>
  </si>
  <si>
    <t>44</t>
  </si>
  <si>
    <t>3,691</t>
  </si>
  <si>
    <t>2,490</t>
  </si>
  <si>
    <t>47</t>
  </si>
  <si>
    <t>4,308</t>
  </si>
  <si>
    <t>2,914</t>
  </si>
  <si>
    <t>54</t>
  </si>
  <si>
    <t>3,610</t>
  </si>
  <si>
    <t>2,407</t>
  </si>
  <si>
    <t>22</t>
  </si>
  <si>
    <t>0</t>
  </si>
  <si>
    <t>4,871</t>
  </si>
  <si>
    <t>3,410</t>
  </si>
  <si>
    <t>16</t>
  </si>
  <si>
    <t>48</t>
  </si>
  <si>
    <t>6,747</t>
  </si>
  <si>
    <t>4,465</t>
  </si>
  <si>
    <t>5,945</t>
  </si>
  <si>
    <t>2,838</t>
  </si>
  <si>
    <t>7,554</t>
  </si>
  <si>
    <t>2,754</t>
  </si>
  <si>
    <t>7,890</t>
  </si>
  <si>
    <t>4,721</t>
  </si>
  <si>
    <t>71</t>
  </si>
  <si>
    <t>4</t>
  </si>
  <si>
    <t>8,848</t>
  </si>
  <si>
    <t>5,072</t>
  </si>
  <si>
    <t>2566</t>
  </si>
  <si>
    <t>60</t>
  </si>
  <si>
    <t>5,694</t>
  </si>
  <si>
    <t>3,311</t>
  </si>
  <si>
    <t>23</t>
  </si>
  <si>
    <t>50</t>
  </si>
  <si>
    <t>2</t>
  </si>
  <si>
    <t>6,026</t>
  </si>
  <si>
    <t>3,388</t>
  </si>
  <si>
    <t>79</t>
  </si>
  <si>
    <t>4,519</t>
  </si>
  <si>
    <t>2,783</t>
  </si>
  <si>
    <t>4,703</t>
  </si>
  <si>
    <t>2,856</t>
  </si>
  <si>
    <t>12,511</t>
  </si>
  <si>
    <t>6,304</t>
  </si>
  <si>
    <t>9,524</t>
  </si>
  <si>
    <t>5,360</t>
  </si>
  <si>
    <t>74</t>
  </si>
  <si>
    <t>6,937</t>
  </si>
  <si>
    <t>4,068</t>
  </si>
  <si>
    <t>21238</t>
  </si>
  <si>
    <t>8,623</t>
  </si>
  <si>
    <t>4,913</t>
  </si>
  <si>
    <t>9,572</t>
  </si>
  <si>
    <t>5,558</t>
  </si>
  <si>
    <t>59</t>
  </si>
  <si>
    <t>9,084</t>
  </si>
  <si>
    <t>5,637</t>
  </si>
  <si>
    <t>55</t>
  </si>
  <si>
    <t>9,243</t>
  </si>
  <si>
    <t>5,781</t>
  </si>
  <si>
    <t>12</t>
  </si>
  <si>
    <t>12,768</t>
  </si>
  <si>
    <t>8,337</t>
  </si>
  <si>
    <t>10,343</t>
  </si>
  <si>
    <t>6,547</t>
  </si>
  <si>
    <t>13,089</t>
  </si>
  <si>
    <t>8,587</t>
  </si>
  <si>
    <t>12,093</t>
  </si>
  <si>
    <t>8,028</t>
  </si>
  <si>
    <t>10,499</t>
  </si>
  <si>
    <t>7,063</t>
  </si>
  <si>
    <t>10,669</t>
  </si>
  <si>
    <t>6,572</t>
  </si>
  <si>
    <t>10,439</t>
  </si>
  <si>
    <t>16,147</t>
  </si>
  <si>
    <t>9,693</t>
  </si>
  <si>
    <t>20,866</t>
  </si>
  <si>
    <t>12,577</t>
  </si>
  <si>
    <t>20,917</t>
  </si>
  <si>
    <t>12,458</t>
  </si>
  <si>
    <t>36</t>
  </si>
  <si>
    <t>22,875</t>
  </si>
  <si>
    <t>14,060</t>
  </si>
  <si>
    <t>38</t>
  </si>
  <si>
    <t>20,586</t>
  </si>
  <si>
    <t>12,198</t>
  </si>
  <si>
    <t>20,818</t>
  </si>
  <si>
    <t>12,431</t>
  </si>
  <si>
    <t>20,985</t>
  </si>
  <si>
    <t>12,095</t>
  </si>
  <si>
    <t>17,874</t>
  </si>
  <si>
    <t>20,028</t>
  </si>
  <si>
    <t>11,897</t>
  </si>
  <si>
    <t>98</t>
  </si>
  <si>
    <t>18,675</t>
  </si>
  <si>
    <t>11,138</t>
  </si>
  <si>
    <t>8,458</t>
  </si>
  <si>
    <t>5,459</t>
  </si>
  <si>
    <t>14,380</t>
  </si>
  <si>
    <t>8,607</t>
  </si>
  <si>
    <t>16,318</t>
  </si>
  <si>
    <t>10,364</t>
  </si>
  <si>
    <t>16,751</t>
  </si>
  <si>
    <t>10,512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</si>
</sst>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\-mmm;@"/>
    <numFmt numFmtId="177" formatCode="m/d;@"/>
    <numFmt numFmtId="178" formatCode="0_ "/>
    <numFmt numFmtId="179" formatCode="[$-409]yyyy\-mm\-dd;@"/>
    <numFmt numFmtId="180" formatCode="0.00_ "/>
    <numFmt numFmtId="181" formatCode="#,##0_ "/>
    <numFmt numFmtId="182" formatCode="yyyy/m/d;@"/>
  </numFmts>
  <fonts count="29">
    <font>
      <sz val="11"/>
      <color theme="1"/>
      <name val="宋体"/>
      <charset val="134"/>
      <scheme val="minor"/>
    </font>
    <font>
      <b/>
      <sz val="11"/>
      <color rgb="FF000000"/>
      <name val="等线"/>
      <charset val="134"/>
    </font>
    <font>
      <sz val="11"/>
      <name val="等线"/>
      <charset val="134"/>
    </font>
    <font>
      <sz val="11"/>
      <color theme="1"/>
      <name val="等线"/>
      <charset val="134"/>
    </font>
    <font>
      <sz val="11"/>
      <color theme="1"/>
      <name val="微软雅黑"/>
      <charset val="134"/>
    </font>
    <font>
      <sz val="11"/>
      <color rgb="FF333333"/>
      <name val="等线"/>
      <charset val="134"/>
    </font>
    <font>
      <sz val="11"/>
      <name val="宋体"/>
      <charset val="134"/>
    </font>
    <font>
      <sz val="11"/>
      <color indexed="8"/>
      <name val="等线"/>
      <charset val="134"/>
    </font>
    <font>
      <sz val="11"/>
      <name val="等线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FFFFF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9" applyNumberFormat="0" applyFill="0" applyAlignment="0" applyProtection="0">
      <alignment vertical="center"/>
    </xf>
    <xf numFmtId="0" fontId="15" fillId="0" borderId="29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31" applyNumberFormat="0" applyAlignment="0" applyProtection="0">
      <alignment vertical="center"/>
    </xf>
    <xf numFmtId="0" fontId="18" fillId="7" borderId="32" applyNumberFormat="0" applyAlignment="0" applyProtection="0">
      <alignment vertical="center"/>
    </xf>
    <xf numFmtId="0" fontId="19" fillId="7" borderId="31" applyNumberFormat="0" applyAlignment="0" applyProtection="0">
      <alignment vertical="center"/>
    </xf>
    <xf numFmtId="0" fontId="20" fillId="8" borderId="33" applyNumberFormat="0" applyAlignment="0" applyProtection="0">
      <alignment vertical="center"/>
    </xf>
    <xf numFmtId="0" fontId="21" fillId="0" borderId="34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176" fontId="28" fillId="0" borderId="0">
      <alignment vertical="center"/>
    </xf>
  </cellStyleXfs>
  <cellXfs count="157">
    <xf numFmtId="0" fontId="0" fillId="0" borderId="0" xfId="0">
      <alignment vertical="center"/>
    </xf>
    <xf numFmtId="177" fontId="1" fillId="2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76" fontId="0" fillId="3" borderId="0" xfId="0" applyNumberFormat="1" applyFill="1" applyAlignment="1">
      <alignment vertical="center"/>
    </xf>
    <xf numFmtId="14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10" fontId="3" fillId="3" borderId="2" xfId="0" applyNumberFormat="1" applyFont="1" applyFill="1" applyBorder="1" applyAlignment="1">
      <alignment horizontal="center" vertical="center" wrapText="1"/>
    </xf>
    <xf numFmtId="10" fontId="2" fillId="3" borderId="2" xfId="0" applyNumberFormat="1" applyFont="1" applyFill="1" applyBorder="1" applyAlignment="1">
      <alignment horizontal="center" vertical="center" wrapText="1"/>
    </xf>
    <xf numFmtId="0" fontId="2" fillId="0" borderId="2" xfId="49" applyNumberFormat="1" applyFont="1" applyBorder="1" applyAlignment="1">
      <alignment horizontal="center" vertical="center" wrapText="1"/>
    </xf>
    <xf numFmtId="4" fontId="2" fillId="3" borderId="2" xfId="0" applyNumberFormat="1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178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3" fontId="2" fillId="0" borderId="2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10" fontId="2" fillId="0" borderId="2" xfId="0" applyNumberFormat="1" applyFont="1" applyFill="1" applyBorder="1" applyAlignment="1">
      <alignment horizontal="center" vertical="center" wrapText="1"/>
    </xf>
    <xf numFmtId="176" fontId="4" fillId="3" borderId="0" xfId="0" applyNumberFormat="1" applyFont="1" applyFill="1" applyAlignment="1">
      <alignment vertical="center"/>
    </xf>
    <xf numFmtId="14" fontId="2" fillId="3" borderId="3" xfId="0" applyNumberFormat="1" applyFont="1" applyFill="1" applyBorder="1" applyAlignment="1">
      <alignment horizontal="center" vertical="center" wrapText="1"/>
    </xf>
    <xf numFmtId="3" fontId="2" fillId="0" borderId="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178" fontId="3" fillId="3" borderId="4" xfId="0" applyNumberFormat="1" applyFont="1" applyFill="1" applyBorder="1" applyAlignment="1">
      <alignment horizontal="center" vertical="center" wrapText="1"/>
    </xf>
    <xf numFmtId="10" fontId="2" fillId="0" borderId="3" xfId="0" applyNumberFormat="1" applyFont="1" applyFill="1" applyBorder="1" applyAlignment="1">
      <alignment horizontal="center" vertical="center" wrapText="1"/>
    </xf>
    <xf numFmtId="14" fontId="2" fillId="0" borderId="5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3" fontId="2" fillId="0" borderId="5" xfId="0" applyNumberFormat="1" applyFont="1" applyFill="1" applyBorder="1" applyAlignment="1">
      <alignment horizontal="center" vertical="center" wrapText="1"/>
    </xf>
    <xf numFmtId="178" fontId="3" fillId="3" borderId="6" xfId="0" applyNumberFormat="1" applyFont="1" applyFill="1" applyBorder="1" applyAlignment="1">
      <alignment horizontal="center" vertical="center" wrapText="1"/>
    </xf>
    <xf numFmtId="10" fontId="2" fillId="0" borderId="5" xfId="0" applyNumberFormat="1" applyFont="1" applyFill="1" applyBorder="1" applyAlignment="1">
      <alignment horizontal="center" vertical="center" wrapText="1"/>
    </xf>
    <xf numFmtId="178" fontId="3" fillId="3" borderId="5" xfId="0" applyNumberFormat="1" applyFont="1" applyFill="1" applyBorder="1" applyAlignment="1">
      <alignment horizontal="center" vertical="center" wrapText="1"/>
    </xf>
    <xf numFmtId="4" fontId="2" fillId="0" borderId="7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horizontal="center" vertical="center" wrapText="1"/>
    </xf>
    <xf numFmtId="14" fontId="2" fillId="0" borderId="9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11" xfId="0" applyNumberFormat="1" applyFont="1" applyFill="1" applyBorder="1" applyAlignment="1">
      <alignment horizontal="center" vertical="center" wrapText="1"/>
    </xf>
    <xf numFmtId="10" fontId="2" fillId="0" borderId="9" xfId="0" applyNumberFormat="1" applyFont="1" applyFill="1" applyBorder="1" applyAlignment="1">
      <alignment horizontal="center" vertical="center" wrapText="1"/>
    </xf>
    <xf numFmtId="14" fontId="2" fillId="0" borderId="3" xfId="0" applyNumberFormat="1" applyFont="1" applyFill="1" applyBorder="1" applyAlignment="1">
      <alignment horizontal="center" vertical="center" wrapText="1"/>
    </xf>
    <xf numFmtId="3" fontId="5" fillId="4" borderId="3" xfId="0" applyNumberFormat="1" applyFont="1" applyFill="1" applyBorder="1" applyAlignment="1">
      <alignment horizontal="center" vertical="center" wrapText="1"/>
    </xf>
    <xf numFmtId="178" fontId="5" fillId="0" borderId="3" xfId="0" applyNumberFormat="1" applyFont="1" applyFill="1" applyBorder="1" applyAlignment="1">
      <alignment horizontal="center" vertical="center" wrapText="1"/>
    </xf>
    <xf numFmtId="178" fontId="3" fillId="3" borderId="3" xfId="0" applyNumberFormat="1" applyFont="1" applyFill="1" applyBorder="1" applyAlignment="1">
      <alignment horizontal="center" vertical="center" wrapText="1"/>
    </xf>
    <xf numFmtId="178" fontId="3" fillId="3" borderId="12" xfId="0" applyNumberFormat="1" applyFont="1" applyFill="1" applyBorder="1" applyAlignment="1">
      <alignment horizontal="center" vertical="center" wrapText="1"/>
    </xf>
    <xf numFmtId="0" fontId="3" fillId="3" borderId="13" xfId="0" applyNumberFormat="1" applyFont="1" applyFill="1" applyBorder="1" applyAlignment="1">
      <alignment horizontal="center" vertical="center" wrapText="1"/>
    </xf>
    <xf numFmtId="10" fontId="3" fillId="3" borderId="3" xfId="0" applyNumberFormat="1" applyFont="1" applyFill="1" applyBorder="1" applyAlignment="1">
      <alignment horizontal="center" vertical="center" wrapText="1"/>
    </xf>
    <xf numFmtId="14" fontId="2" fillId="0" borderId="2" xfId="0" applyNumberFormat="1" applyFont="1" applyFill="1" applyBorder="1" applyAlignment="1">
      <alignment horizontal="center" vertical="center" wrapText="1"/>
    </xf>
    <xf numFmtId="0" fontId="2" fillId="0" borderId="14" xfId="0" applyNumberFormat="1" applyFont="1" applyFill="1" applyBorder="1" applyAlignment="1">
      <alignment horizontal="center" vertical="center" wrapText="1"/>
    </xf>
    <xf numFmtId="0" fontId="2" fillId="0" borderId="15" xfId="0" applyNumberFormat="1" applyFont="1" applyFill="1" applyBorder="1" applyAlignment="1">
      <alignment horizontal="center" vertical="center" wrapText="1"/>
    </xf>
    <xf numFmtId="4" fontId="2" fillId="0" borderId="14" xfId="0" applyNumberFormat="1" applyFont="1" applyFill="1" applyBorder="1" applyAlignment="1">
      <alignment horizontal="center" vertical="center" wrapText="1"/>
    </xf>
    <xf numFmtId="3" fontId="2" fillId="0" borderId="16" xfId="0" applyNumberFormat="1" applyFont="1" applyFill="1" applyBorder="1" applyAlignment="1">
      <alignment horizontal="center" vertical="center" wrapText="1"/>
    </xf>
    <xf numFmtId="0" fontId="2" fillId="0" borderId="16" xfId="0" applyNumberFormat="1" applyFont="1" applyFill="1" applyBorder="1" applyAlignment="1">
      <alignment horizontal="center" vertical="center" wrapText="1"/>
    </xf>
    <xf numFmtId="0" fontId="2" fillId="0" borderId="17" xfId="0" applyNumberFormat="1" applyFont="1" applyFill="1" applyBorder="1" applyAlignment="1">
      <alignment horizontal="center" vertical="center" wrapText="1"/>
    </xf>
    <xf numFmtId="178" fontId="3" fillId="3" borderId="9" xfId="0" applyNumberFormat="1" applyFont="1" applyFill="1" applyBorder="1" applyAlignment="1">
      <alignment horizontal="center" vertical="center" wrapText="1"/>
    </xf>
    <xf numFmtId="0" fontId="2" fillId="0" borderId="18" xfId="0" applyNumberFormat="1" applyFont="1" applyFill="1" applyBorder="1" applyAlignment="1">
      <alignment horizontal="center" vertical="center" wrapText="1"/>
    </xf>
    <xf numFmtId="10" fontId="2" fillId="0" borderId="16" xfId="0" applyNumberFormat="1" applyFont="1" applyFill="1" applyBorder="1" applyAlignment="1">
      <alignment horizontal="center" vertical="center" wrapText="1"/>
    </xf>
    <xf numFmtId="14" fontId="2" fillId="0" borderId="19" xfId="0" applyNumberFormat="1" applyFont="1" applyFill="1" applyBorder="1" applyAlignment="1">
      <alignment horizontal="center" vertical="center" wrapText="1"/>
    </xf>
    <xf numFmtId="0" fontId="2" fillId="0" borderId="19" xfId="0" applyNumberFormat="1" applyFont="1" applyFill="1" applyBorder="1" applyAlignment="1">
      <alignment horizontal="center" vertical="center" wrapText="1"/>
    </xf>
    <xf numFmtId="178" fontId="3" fillId="3" borderId="19" xfId="0" applyNumberFormat="1" applyFont="1" applyFill="1" applyBorder="1" applyAlignment="1">
      <alignment horizontal="center" vertical="center" wrapText="1"/>
    </xf>
    <xf numFmtId="10" fontId="2" fillId="0" borderId="19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14" fontId="2" fillId="0" borderId="20" xfId="0" applyNumberFormat="1" applyFont="1" applyFill="1" applyBorder="1" applyAlignment="1">
      <alignment horizontal="center" vertical="center" wrapText="1"/>
    </xf>
    <xf numFmtId="0" fontId="2" fillId="0" borderId="20" xfId="0" applyNumberFormat="1" applyFont="1" applyFill="1" applyBorder="1" applyAlignment="1">
      <alignment horizontal="center" vertical="center" wrapText="1"/>
    </xf>
    <xf numFmtId="178" fontId="3" fillId="3" borderId="20" xfId="0" applyNumberFormat="1" applyFont="1" applyFill="1" applyBorder="1" applyAlignment="1">
      <alignment horizontal="center" vertical="center" wrapText="1"/>
    </xf>
    <xf numFmtId="10" fontId="2" fillId="0" borderId="20" xfId="0" applyNumberFormat="1" applyFont="1" applyFill="1" applyBorder="1" applyAlignment="1">
      <alignment horizontal="center" vertical="center" wrapText="1"/>
    </xf>
    <xf numFmtId="4" fontId="2" fillId="0" borderId="20" xfId="0" applyNumberFormat="1" applyFont="1" applyFill="1" applyBorder="1" applyAlignment="1">
      <alignment horizontal="center" vertical="center" wrapText="1"/>
    </xf>
    <xf numFmtId="14" fontId="2" fillId="0" borderId="21" xfId="0" applyNumberFormat="1" applyFont="1" applyFill="1" applyBorder="1" applyAlignment="1">
      <alignment horizontal="center" vertical="center" wrapText="1"/>
    </xf>
    <xf numFmtId="3" fontId="2" fillId="0" borderId="21" xfId="0" applyNumberFormat="1" applyFont="1" applyFill="1" applyBorder="1" applyAlignment="1">
      <alignment horizontal="center" vertical="center" wrapText="1"/>
    </xf>
    <xf numFmtId="0" fontId="2" fillId="0" borderId="21" xfId="0" applyNumberFormat="1" applyFont="1" applyFill="1" applyBorder="1" applyAlignment="1">
      <alignment horizontal="center" vertical="center" wrapText="1"/>
    </xf>
    <xf numFmtId="4" fontId="2" fillId="0" borderId="21" xfId="0" applyNumberFormat="1" applyFont="1" applyFill="1" applyBorder="1" applyAlignment="1">
      <alignment horizontal="center" vertical="center" wrapText="1"/>
    </xf>
    <xf numFmtId="178" fontId="3" fillId="3" borderId="21" xfId="0" applyNumberFormat="1" applyFont="1" applyFill="1" applyBorder="1" applyAlignment="1">
      <alignment horizontal="center" vertical="center" wrapText="1"/>
    </xf>
    <xf numFmtId="10" fontId="2" fillId="0" borderId="21" xfId="0" applyNumberFormat="1" applyFont="1" applyFill="1" applyBorder="1" applyAlignment="1">
      <alignment horizontal="center" vertical="center" wrapText="1"/>
    </xf>
    <xf numFmtId="3" fontId="2" fillId="0" borderId="20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78" fontId="2" fillId="0" borderId="2" xfId="0" applyNumberFormat="1" applyFont="1" applyFill="1" applyBorder="1" applyAlignment="1">
      <alignment horizontal="center" vertical="center" wrapText="1"/>
    </xf>
    <xf numFmtId="3" fontId="2" fillId="0" borderId="9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3" fontId="2" fillId="0" borderId="22" xfId="0" applyNumberFormat="1" applyFont="1" applyFill="1" applyBorder="1" applyAlignment="1">
      <alignment horizontal="center" vertical="center" wrapText="1"/>
    </xf>
    <xf numFmtId="3" fontId="3" fillId="0" borderId="21" xfId="0" applyNumberFormat="1" applyFont="1" applyFill="1" applyBorder="1" applyAlignment="1">
      <alignment horizontal="center" vertical="center" wrapText="1"/>
    </xf>
    <xf numFmtId="4" fontId="2" fillId="0" borderId="5" xfId="0" applyNumberFormat="1" applyFont="1" applyFill="1" applyBorder="1" applyAlignment="1">
      <alignment horizontal="center" vertical="center" wrapText="1"/>
    </xf>
    <xf numFmtId="0" fontId="3" fillId="3" borderId="5" xfId="0" applyNumberFormat="1" applyFont="1" applyFill="1" applyBorder="1" applyAlignment="1">
      <alignment horizontal="center" vertical="center" wrapText="1"/>
    </xf>
    <xf numFmtId="10" fontId="2" fillId="0" borderId="23" xfId="0" applyNumberFormat="1" applyFont="1" applyFill="1" applyBorder="1" applyAlignment="1">
      <alignment horizontal="center" vertical="center" wrapText="1"/>
    </xf>
    <xf numFmtId="0" fontId="2" fillId="0" borderId="24" xfId="0" applyNumberFormat="1" applyFont="1" applyFill="1" applyBorder="1" applyAlignment="1">
      <alignment horizontal="center" vertical="center" wrapText="1"/>
    </xf>
    <xf numFmtId="179" fontId="2" fillId="0" borderId="5" xfId="0" applyNumberFormat="1" applyFont="1" applyFill="1" applyBorder="1" applyAlignment="1">
      <alignment horizontal="center" vertical="center" wrapText="1"/>
    </xf>
    <xf numFmtId="3" fontId="2" fillId="0" borderId="6" xfId="0" applyNumberFormat="1" applyFont="1" applyFill="1" applyBorder="1" applyAlignment="1">
      <alignment horizontal="center" vertical="center" wrapText="1"/>
    </xf>
    <xf numFmtId="3" fontId="3" fillId="3" borderId="6" xfId="0" applyNumberFormat="1" applyFont="1" applyFill="1" applyBorder="1" applyAlignment="1">
      <alignment horizontal="center" vertical="center" wrapText="1"/>
    </xf>
    <xf numFmtId="4" fontId="3" fillId="3" borderId="6" xfId="0" applyNumberFormat="1" applyFont="1" applyFill="1" applyBorder="1" applyAlignment="1">
      <alignment horizontal="center" vertical="center" wrapText="1"/>
    </xf>
    <xf numFmtId="0" fontId="3" fillId="3" borderId="6" xfId="0" applyNumberFormat="1" applyFont="1" applyFill="1" applyBorder="1" applyAlignment="1">
      <alignment horizontal="center" vertical="center" wrapText="1"/>
    </xf>
    <xf numFmtId="10" fontId="2" fillId="0" borderId="6" xfId="0" applyNumberFormat="1" applyFont="1" applyFill="1" applyBorder="1" applyAlignment="1">
      <alignment horizontal="center" vertical="center" wrapText="1"/>
    </xf>
    <xf numFmtId="3" fontId="3" fillId="3" borderId="5" xfId="0" applyNumberFormat="1" applyFont="1" applyFill="1" applyBorder="1" applyAlignment="1">
      <alignment horizontal="center" vertical="center" wrapText="1"/>
    </xf>
    <xf numFmtId="4" fontId="3" fillId="3" borderId="5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179" fontId="2" fillId="0" borderId="9" xfId="0" applyNumberFormat="1" applyFont="1" applyFill="1" applyBorder="1" applyAlignment="1">
      <alignment horizontal="center" vertical="center" wrapText="1"/>
    </xf>
    <xf numFmtId="3" fontId="3" fillId="3" borderId="9" xfId="0" applyNumberFormat="1" applyFont="1" applyFill="1" applyBorder="1" applyAlignment="1">
      <alignment horizontal="center" vertical="center" wrapText="1"/>
    </xf>
    <xf numFmtId="4" fontId="3" fillId="3" borderId="9" xfId="0" applyNumberFormat="1" applyFont="1" applyFill="1" applyBorder="1" applyAlignment="1">
      <alignment horizontal="center" vertical="center" wrapText="1"/>
    </xf>
    <xf numFmtId="0" fontId="3" fillId="3" borderId="9" xfId="0" applyNumberFormat="1" applyFont="1" applyFill="1" applyBorder="1" applyAlignment="1">
      <alignment horizontal="center" vertical="center" wrapText="1"/>
    </xf>
    <xf numFmtId="180" fontId="3" fillId="3" borderId="5" xfId="0" applyNumberFormat="1" applyFont="1" applyFill="1" applyBorder="1" applyAlignment="1">
      <alignment horizontal="center" vertical="center" wrapText="1"/>
    </xf>
    <xf numFmtId="10" fontId="3" fillId="3" borderId="5" xfId="0" applyNumberFormat="1" applyFont="1" applyFill="1" applyBorder="1" applyAlignment="1">
      <alignment horizontal="center" vertical="center" wrapText="1"/>
    </xf>
    <xf numFmtId="3" fontId="3" fillId="0" borderId="5" xfId="0" applyNumberFormat="1" applyFont="1" applyFill="1" applyBorder="1" applyAlignment="1">
      <alignment horizontal="center" vertical="center" wrapText="1"/>
    </xf>
    <xf numFmtId="4" fontId="3" fillId="0" borderId="5" xfId="0" applyNumberFormat="1" applyFont="1" applyFill="1" applyBorder="1" applyAlignment="1">
      <alignment horizontal="center" vertical="center" wrapText="1"/>
    </xf>
    <xf numFmtId="3" fontId="5" fillId="0" borderId="5" xfId="0" applyNumberFormat="1" applyFont="1" applyFill="1" applyBorder="1" applyAlignment="1">
      <alignment horizontal="center" vertical="center" wrapText="1"/>
    </xf>
    <xf numFmtId="3" fontId="5" fillId="4" borderId="5" xfId="0" applyNumberFormat="1" applyFont="1" applyFill="1" applyBorder="1" applyAlignment="1">
      <alignment horizontal="center" vertical="center" wrapText="1"/>
    </xf>
    <xf numFmtId="181" fontId="5" fillId="0" borderId="5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/>
    </xf>
    <xf numFmtId="3" fontId="3" fillId="3" borderId="5" xfId="0" applyNumberFormat="1" applyFont="1" applyFill="1" applyBorder="1" applyAlignment="1">
      <alignment horizontal="center" vertical="center"/>
    </xf>
    <xf numFmtId="4" fontId="3" fillId="3" borderId="5" xfId="0" applyNumberFormat="1" applyFont="1" applyFill="1" applyBorder="1" applyAlignment="1">
      <alignment horizontal="center" vertical="center"/>
    </xf>
    <xf numFmtId="178" fontId="3" fillId="3" borderId="5" xfId="0" applyNumberFormat="1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178" fontId="6" fillId="0" borderId="5" xfId="0" applyNumberFormat="1" applyFont="1" applyFill="1" applyBorder="1" applyAlignment="1">
      <alignment horizontal="center" vertical="center"/>
    </xf>
    <xf numFmtId="0" fontId="6" fillId="0" borderId="9" xfId="0" applyNumberFormat="1" applyFont="1" applyFill="1" applyBorder="1" applyAlignment="1">
      <alignment horizontal="center" vertical="center"/>
    </xf>
    <xf numFmtId="3" fontId="3" fillId="3" borderId="9" xfId="0" applyNumberFormat="1" applyFont="1" applyFill="1" applyBorder="1" applyAlignment="1">
      <alignment horizontal="center" vertical="center"/>
    </xf>
    <xf numFmtId="4" fontId="3" fillId="3" borderId="9" xfId="0" applyNumberFormat="1" applyFont="1" applyFill="1" applyBorder="1" applyAlignment="1">
      <alignment horizontal="center" vertical="center"/>
    </xf>
    <xf numFmtId="178" fontId="3" fillId="3" borderId="9" xfId="0" applyNumberFormat="1" applyFont="1" applyFill="1" applyBorder="1" applyAlignment="1">
      <alignment horizontal="center" vertical="center"/>
    </xf>
    <xf numFmtId="10" fontId="3" fillId="3" borderId="9" xfId="0" applyNumberFormat="1" applyFont="1" applyFill="1" applyBorder="1" applyAlignment="1">
      <alignment horizontal="center" vertical="center" wrapText="1"/>
    </xf>
    <xf numFmtId="0" fontId="3" fillId="3" borderId="9" xfId="0" applyNumberFormat="1" applyFont="1" applyFill="1" applyBorder="1" applyAlignment="1">
      <alignment horizontal="center" vertical="center"/>
    </xf>
    <xf numFmtId="0" fontId="6" fillId="0" borderId="22" xfId="0" applyNumberFormat="1" applyFont="1" applyFill="1" applyBorder="1" applyAlignment="1">
      <alignment horizontal="center" vertical="center"/>
    </xf>
    <xf numFmtId="0" fontId="6" fillId="0" borderId="21" xfId="0" applyNumberFormat="1" applyFont="1" applyFill="1" applyBorder="1" applyAlignment="1">
      <alignment horizontal="center" vertical="center"/>
    </xf>
    <xf numFmtId="3" fontId="3" fillId="3" borderId="21" xfId="0" applyNumberFormat="1" applyFont="1" applyFill="1" applyBorder="1" applyAlignment="1">
      <alignment horizontal="center" vertical="center"/>
    </xf>
    <xf numFmtId="178" fontId="3" fillId="3" borderId="21" xfId="0" applyNumberFormat="1" applyFont="1" applyFill="1" applyBorder="1" applyAlignment="1">
      <alignment horizontal="center" vertical="center"/>
    </xf>
    <xf numFmtId="4" fontId="3" fillId="3" borderId="21" xfId="0" applyNumberFormat="1" applyFont="1" applyFill="1" applyBorder="1" applyAlignment="1">
      <alignment horizontal="center" vertical="center"/>
    </xf>
    <xf numFmtId="10" fontId="3" fillId="3" borderId="21" xfId="0" applyNumberFormat="1" applyFont="1" applyFill="1" applyBorder="1" applyAlignment="1">
      <alignment horizontal="center" vertical="center" wrapText="1"/>
    </xf>
    <xf numFmtId="0" fontId="3" fillId="3" borderId="21" xfId="0" applyNumberFormat="1" applyFont="1" applyFill="1" applyBorder="1" applyAlignment="1">
      <alignment horizontal="center" vertical="center"/>
    </xf>
    <xf numFmtId="49" fontId="3" fillId="3" borderId="25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3" fontId="3" fillId="3" borderId="6" xfId="0" applyNumberFormat="1" applyFont="1" applyFill="1" applyBorder="1" applyAlignment="1">
      <alignment horizontal="center" vertical="center"/>
    </xf>
    <xf numFmtId="0" fontId="3" fillId="3" borderId="6" xfId="0" applyNumberFormat="1" applyFont="1" applyFill="1" applyBorder="1" applyAlignment="1">
      <alignment horizontal="center" vertical="center"/>
    </xf>
    <xf numFmtId="49" fontId="3" fillId="3" borderId="8" xfId="0" applyNumberFormat="1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4" fontId="3" fillId="3" borderId="6" xfId="0" applyNumberFormat="1" applyFont="1" applyFill="1" applyBorder="1" applyAlignment="1">
      <alignment horizontal="center" vertical="center"/>
    </xf>
    <xf numFmtId="3" fontId="3" fillId="3" borderId="8" xfId="0" applyNumberFormat="1" applyFont="1" applyFill="1" applyBorder="1" applyAlignment="1">
      <alignment horizontal="center" vertical="center" wrapText="1"/>
    </xf>
    <xf numFmtId="49" fontId="3" fillId="3" borderId="26" xfId="0" applyNumberFormat="1" applyFont="1" applyFill="1" applyBorder="1" applyAlignment="1">
      <alignment horizontal="center" vertical="center"/>
    </xf>
    <xf numFmtId="49" fontId="3" fillId="3" borderId="27" xfId="0" applyNumberFormat="1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 wrapText="1"/>
    </xf>
    <xf numFmtId="3" fontId="3" fillId="3" borderId="27" xfId="0" applyNumberFormat="1" applyFont="1" applyFill="1" applyBorder="1" applyAlignment="1">
      <alignment horizontal="center" vertical="center"/>
    </xf>
    <xf numFmtId="0" fontId="3" fillId="3" borderId="27" xfId="0" applyNumberFormat="1" applyFont="1" applyFill="1" applyBorder="1" applyAlignment="1">
      <alignment horizontal="center" vertical="center"/>
    </xf>
    <xf numFmtId="3" fontId="3" fillId="3" borderId="8" xfId="0" applyNumberFormat="1" applyFont="1" applyFill="1" applyBorder="1" applyAlignment="1">
      <alignment horizontal="center" vertical="center"/>
    </xf>
    <xf numFmtId="3" fontId="3" fillId="3" borderId="25" xfId="0" applyNumberFormat="1" applyFont="1" applyFill="1" applyBorder="1" applyAlignment="1">
      <alignment horizontal="center" vertical="center"/>
    </xf>
    <xf numFmtId="176" fontId="3" fillId="3" borderId="8" xfId="0" applyNumberFormat="1" applyFont="1" applyFill="1" applyBorder="1" applyAlignment="1">
      <alignment horizontal="center" vertical="center"/>
    </xf>
    <xf numFmtId="176" fontId="3" fillId="3" borderId="5" xfId="0" applyNumberFormat="1" applyFont="1" applyFill="1" applyBorder="1" applyAlignment="1">
      <alignment horizontal="center" vertical="center"/>
    </xf>
    <xf numFmtId="178" fontId="3" fillId="3" borderId="6" xfId="0" applyNumberFormat="1" applyFont="1" applyFill="1" applyBorder="1" applyAlignment="1">
      <alignment horizontal="center" vertical="center"/>
    </xf>
    <xf numFmtId="1" fontId="3" fillId="3" borderId="6" xfId="0" applyNumberFormat="1" applyFont="1" applyFill="1" applyBorder="1" applyAlignment="1">
      <alignment horizontal="center" vertical="center"/>
    </xf>
    <xf numFmtId="1" fontId="3" fillId="3" borderId="5" xfId="0" applyNumberFormat="1" applyFont="1" applyFill="1" applyBorder="1" applyAlignment="1">
      <alignment horizontal="center" vertical="center"/>
    </xf>
    <xf numFmtId="176" fontId="3" fillId="3" borderId="5" xfId="0" applyNumberFormat="1" applyFont="1" applyFill="1" applyBorder="1" applyAlignment="1">
      <alignment horizontal="center" vertical="center" wrapText="1"/>
    </xf>
    <xf numFmtId="3" fontId="0" fillId="0" borderId="5" xfId="0" applyNumberFormat="1" applyFill="1" applyBorder="1" applyAlignment="1">
      <alignment horizontal="center" vertical="center"/>
    </xf>
    <xf numFmtId="182" fontId="2" fillId="0" borderId="5" xfId="0" applyNumberFormat="1" applyFont="1" applyFill="1" applyBorder="1" applyAlignment="1">
      <alignment horizontal="center" vertical="center" wrapText="1"/>
    </xf>
    <xf numFmtId="182" fontId="2" fillId="0" borderId="9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 wrapText="1"/>
    </xf>
    <xf numFmtId="0" fontId="3" fillId="3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/>
    </xf>
    <xf numFmtId="10" fontId="3" fillId="3" borderId="2" xfId="0" applyNumberFormat="1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center" vertical="center"/>
    </xf>
    <xf numFmtId="182" fontId="2" fillId="0" borderId="2" xfId="0" applyNumberFormat="1" applyFont="1" applyFill="1" applyBorder="1" applyAlignment="1" applyProtection="1">
      <alignment horizontal="center" vertical="center" wrapText="1"/>
    </xf>
    <xf numFmtId="3" fontId="7" fillId="4" borderId="2" xfId="0" applyNumberFormat="1" applyFont="1" applyFill="1" applyBorder="1" applyAlignment="1" applyProtection="1">
      <alignment horizontal="center" vertical="center"/>
    </xf>
    <xf numFmtId="10" fontId="7" fillId="4" borderId="2" xfId="0" applyNumberFormat="1" applyFont="1" applyFill="1" applyBorder="1" applyAlignment="1" applyProtection="1">
      <alignment horizontal="center" vertical="center"/>
    </xf>
    <xf numFmtId="182" fontId="8" fillId="0" borderId="2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ZouYuchang\xwechat_files\wxid_fou7hqmvlyt721_1f8e\msg\file\2026-04\Fliggy%20Raw%20Data4.14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liggy Store Daily Key Data"/>
      <sheetName val="店铺数据每日登记"/>
      <sheetName val="RC Brand Search Index"/>
      <sheetName val="数据银行"/>
      <sheetName val="流量转化"/>
      <sheetName val="Summary"/>
      <sheetName val="Sailings"/>
      <sheetName val="Action Plan"/>
      <sheetName val="Average by pc mobile"/>
    </sheetNames>
    <sheetDataSet>
      <sheetData sheetId="0">
        <row r="1916">
          <cell r="K1916">
            <v>192490</v>
          </cell>
        </row>
        <row r="1917">
          <cell r="K1917">
            <v>521213</v>
          </cell>
        </row>
        <row r="1918">
          <cell r="G1918">
            <v>8564</v>
          </cell>
        </row>
        <row r="1918">
          <cell r="K1918">
            <v>402158</v>
          </cell>
        </row>
        <row r="1919">
          <cell r="G1919">
            <v>9399</v>
          </cell>
        </row>
        <row r="1919">
          <cell r="K1919">
            <v>220641</v>
          </cell>
        </row>
        <row r="1920">
          <cell r="G1920">
            <v>11998</v>
          </cell>
        </row>
        <row r="1920">
          <cell r="K1920">
            <v>181339.6</v>
          </cell>
        </row>
        <row r="1921">
          <cell r="B1921">
            <v>52560</v>
          </cell>
          <cell r="C1921">
            <v>31255</v>
          </cell>
        </row>
        <row r="1921">
          <cell r="G1921">
            <v>11361</v>
          </cell>
        </row>
        <row r="1921">
          <cell r="K1921">
            <v>375387</v>
          </cell>
        </row>
        <row r="1922">
          <cell r="B1922">
            <v>39263</v>
          </cell>
          <cell r="C1922">
            <v>21920</v>
          </cell>
        </row>
        <row r="1922">
          <cell r="G1922">
            <v>11819</v>
          </cell>
        </row>
        <row r="1922">
          <cell r="K1922">
            <v>226576</v>
          </cell>
        </row>
        <row r="1923">
          <cell r="B1923">
            <v>53016</v>
          </cell>
          <cell r="C1923">
            <v>30458</v>
          </cell>
        </row>
        <row r="1923">
          <cell r="G1923">
            <v>10973</v>
          </cell>
        </row>
        <row r="1923">
          <cell r="K1923">
            <v>280917</v>
          </cell>
        </row>
        <row r="1924">
          <cell r="B1924">
            <v>31061</v>
          </cell>
          <cell r="C1924">
            <v>17830</v>
          </cell>
        </row>
        <row r="1924">
          <cell r="G1924">
            <v>12520</v>
          </cell>
        </row>
        <row r="1924">
          <cell r="K1924">
            <v>130594</v>
          </cell>
        </row>
        <row r="1925">
          <cell r="B1925">
            <v>27399</v>
          </cell>
          <cell r="C1925">
            <v>16560</v>
          </cell>
        </row>
        <row r="1925">
          <cell r="G1925">
            <v>10566</v>
          </cell>
        </row>
        <row r="1925">
          <cell r="K1925">
            <v>476346</v>
          </cell>
        </row>
        <row r="1926">
          <cell r="B1926">
            <v>41266</v>
          </cell>
          <cell r="C1926">
            <v>25975</v>
          </cell>
        </row>
        <row r="1926">
          <cell r="G1926">
            <v>21727</v>
          </cell>
        </row>
        <row r="1926">
          <cell r="K1926">
            <v>222863</v>
          </cell>
        </row>
        <row r="1927">
          <cell r="B1927">
            <v>53063</v>
          </cell>
          <cell r="C1927">
            <v>31083</v>
          </cell>
        </row>
        <row r="1927">
          <cell r="G1927">
            <v>21126</v>
          </cell>
        </row>
        <row r="1927">
          <cell r="K1927">
            <v>106732</v>
          </cell>
        </row>
        <row r="1928">
          <cell r="B1928">
            <v>74383</v>
          </cell>
          <cell r="C1928">
            <v>47343</v>
          </cell>
        </row>
        <row r="1928">
          <cell r="G1928">
            <v>22051</v>
          </cell>
        </row>
        <row r="1928">
          <cell r="K1928">
            <v>192336</v>
          </cell>
        </row>
        <row r="1929">
          <cell r="B1929">
            <v>50286</v>
          </cell>
          <cell r="C1929">
            <v>31478</v>
          </cell>
        </row>
        <row r="1929">
          <cell r="G1929">
            <v>22636</v>
          </cell>
        </row>
        <row r="1929">
          <cell r="K1929">
            <v>207503.84</v>
          </cell>
        </row>
        <row r="1930">
          <cell r="B1930">
            <v>110408</v>
          </cell>
          <cell r="C1930">
            <v>85901</v>
          </cell>
        </row>
        <row r="1930">
          <cell r="G1930">
            <v>24175</v>
          </cell>
        </row>
        <row r="1930">
          <cell r="K1930">
            <v>521473</v>
          </cell>
        </row>
        <row r="1931">
          <cell r="B1931">
            <v>40892</v>
          </cell>
          <cell r="C1931">
            <v>26293</v>
          </cell>
        </row>
        <row r="1931">
          <cell r="G1931">
            <v>23584</v>
          </cell>
        </row>
        <row r="1931">
          <cell r="K1931">
            <v>208874</v>
          </cell>
        </row>
        <row r="1932">
          <cell r="B1932">
            <v>39801</v>
          </cell>
          <cell r="C1932">
            <v>24490</v>
          </cell>
        </row>
        <row r="1932">
          <cell r="G1932">
            <v>21925</v>
          </cell>
        </row>
        <row r="1932">
          <cell r="K1932">
            <v>459620</v>
          </cell>
        </row>
        <row r="1933">
          <cell r="B1933">
            <v>41391</v>
          </cell>
          <cell r="C1933">
            <v>25467</v>
          </cell>
        </row>
        <row r="1933">
          <cell r="G1933">
            <v>23568</v>
          </cell>
        </row>
        <row r="1933">
          <cell r="K1933">
            <v>307368</v>
          </cell>
        </row>
        <row r="1934">
          <cell r="B1934">
            <v>45403</v>
          </cell>
          <cell r="C1934">
            <v>26177</v>
          </cell>
        </row>
        <row r="1934">
          <cell r="G1934">
            <v>23427</v>
          </cell>
        </row>
        <row r="1934">
          <cell r="K1934">
            <v>187237</v>
          </cell>
        </row>
        <row r="1935">
          <cell r="B1935">
            <v>45047</v>
          </cell>
          <cell r="C1935">
            <v>25887</v>
          </cell>
        </row>
        <row r="1935">
          <cell r="G1935">
            <v>23630</v>
          </cell>
        </row>
        <row r="1935">
          <cell r="K1935">
            <v>125823</v>
          </cell>
        </row>
        <row r="1936">
          <cell r="B1936">
            <v>58360</v>
          </cell>
          <cell r="C1936">
            <v>37051</v>
          </cell>
        </row>
        <row r="1936">
          <cell r="G1936">
            <v>22465</v>
          </cell>
        </row>
        <row r="1936">
          <cell r="K1936">
            <v>111429.76</v>
          </cell>
        </row>
        <row r="1937">
          <cell r="B1937">
            <v>46901</v>
          </cell>
          <cell r="C1937">
            <v>28897</v>
          </cell>
        </row>
        <row r="1937">
          <cell r="G1937">
            <v>19173</v>
          </cell>
        </row>
        <row r="1937">
          <cell r="K1937">
            <v>76527</v>
          </cell>
        </row>
        <row r="1938">
          <cell r="B1938">
            <v>41576</v>
          </cell>
          <cell r="C1938">
            <v>23642</v>
          </cell>
        </row>
        <row r="1938">
          <cell r="G1938">
            <v>18089</v>
          </cell>
        </row>
        <row r="1938">
          <cell r="K1938">
            <v>184493</v>
          </cell>
        </row>
        <row r="1939">
          <cell r="B1939">
            <v>42778</v>
          </cell>
          <cell r="C1939">
            <v>24459</v>
          </cell>
        </row>
        <row r="1939">
          <cell r="G1939">
            <v>21189</v>
          </cell>
        </row>
        <row r="1939">
          <cell r="K1939">
            <v>152883</v>
          </cell>
        </row>
        <row r="1940">
          <cell r="B1940">
            <v>25977</v>
          </cell>
          <cell r="C1940">
            <v>15576</v>
          </cell>
        </row>
        <row r="1940">
          <cell r="G1940">
            <v>10882</v>
          </cell>
        </row>
        <row r="1940">
          <cell r="K1940">
            <v>154709</v>
          </cell>
        </row>
        <row r="1941">
          <cell r="B1941">
            <v>32661</v>
          </cell>
          <cell r="C1941">
            <v>18811</v>
          </cell>
        </row>
        <row r="1941">
          <cell r="G1941">
            <v>11146</v>
          </cell>
        </row>
        <row r="1941">
          <cell r="K1941">
            <v>825992</v>
          </cell>
        </row>
        <row r="1942">
          <cell r="B1942">
            <v>28172</v>
          </cell>
          <cell r="C1942">
            <v>14042</v>
          </cell>
        </row>
        <row r="1942">
          <cell r="G1942">
            <v>6909</v>
          </cell>
        </row>
        <row r="1942">
          <cell r="K1942">
            <v>25186</v>
          </cell>
        </row>
        <row r="1943">
          <cell r="B1943">
            <v>54090</v>
          </cell>
          <cell r="C1943">
            <v>36927</v>
          </cell>
        </row>
        <row r="1943">
          <cell r="G1943">
            <v>6334</v>
          </cell>
        </row>
        <row r="1943">
          <cell r="K1943">
            <v>35511</v>
          </cell>
        </row>
        <row r="1944">
          <cell r="B1944">
            <v>29952</v>
          </cell>
          <cell r="C1944">
            <v>20785</v>
          </cell>
        </row>
        <row r="1944">
          <cell r="G1944">
            <v>6696</v>
          </cell>
        </row>
        <row r="1944">
          <cell r="K1944">
            <v>107598</v>
          </cell>
        </row>
        <row r="1945">
          <cell r="B1945">
            <v>26287</v>
          </cell>
          <cell r="C1945">
            <v>15401</v>
          </cell>
        </row>
        <row r="1945">
          <cell r="G1945">
            <v>7124</v>
          </cell>
        </row>
        <row r="1945">
          <cell r="K1945">
            <v>8974</v>
          </cell>
        </row>
        <row r="1946">
          <cell r="B1946">
            <v>23945</v>
          </cell>
          <cell r="C1946">
            <v>13105</v>
          </cell>
        </row>
        <row r="1946">
          <cell r="G1946">
            <v>7289</v>
          </cell>
        </row>
        <row r="1946">
          <cell r="K1946">
            <v>70070</v>
          </cell>
        </row>
        <row r="1947">
          <cell r="B1947">
            <v>22354</v>
          </cell>
          <cell r="C1947">
            <v>12047</v>
          </cell>
        </row>
        <row r="1947">
          <cell r="G1947">
            <v>7158</v>
          </cell>
        </row>
        <row r="1947">
          <cell r="K1947">
            <v>30090</v>
          </cell>
        </row>
        <row r="1948">
          <cell r="B1948">
            <v>18682</v>
          </cell>
          <cell r="C1948">
            <v>11527</v>
          </cell>
        </row>
        <row r="1948">
          <cell r="G1948">
            <v>7759</v>
          </cell>
        </row>
        <row r="1948">
          <cell r="K1948">
            <v>24859</v>
          </cell>
        </row>
        <row r="1949">
          <cell r="B1949">
            <v>19692</v>
          </cell>
          <cell r="C1949">
            <v>13054</v>
          </cell>
        </row>
        <row r="1949">
          <cell r="G1949">
            <v>8097</v>
          </cell>
        </row>
        <row r="1949">
          <cell r="K1949">
            <v>13446</v>
          </cell>
        </row>
        <row r="1950">
          <cell r="B1950">
            <v>17865</v>
          </cell>
          <cell r="C1950">
            <v>11856</v>
          </cell>
        </row>
        <row r="1950">
          <cell r="G1950">
            <v>7704</v>
          </cell>
        </row>
        <row r="1950">
          <cell r="K1950">
            <v>18594</v>
          </cell>
        </row>
        <row r="1951">
          <cell r="B1951">
            <v>39790</v>
          </cell>
          <cell r="C1951">
            <v>27603</v>
          </cell>
        </row>
        <row r="1951">
          <cell r="G1951">
            <v>8913</v>
          </cell>
        </row>
        <row r="1951">
          <cell r="K1951">
            <v>114846.6</v>
          </cell>
        </row>
        <row r="1952">
          <cell r="B1952">
            <v>27350</v>
          </cell>
          <cell r="C1952">
            <v>20470</v>
          </cell>
        </row>
        <row r="1952">
          <cell r="G1952">
            <v>9512</v>
          </cell>
        </row>
        <row r="1952">
          <cell r="K1952">
            <v>1040.48</v>
          </cell>
        </row>
        <row r="1953">
          <cell r="B1953">
            <v>31705</v>
          </cell>
          <cell r="C1953">
            <v>21048</v>
          </cell>
        </row>
        <row r="1953">
          <cell r="G1953">
            <v>10215</v>
          </cell>
        </row>
        <row r="1953">
          <cell r="K1953">
            <v>36395</v>
          </cell>
        </row>
        <row r="1954">
          <cell r="B1954">
            <v>33748</v>
          </cell>
          <cell r="C1954">
            <v>23439</v>
          </cell>
        </row>
        <row r="1954">
          <cell r="G1954">
            <v>10641</v>
          </cell>
        </row>
        <row r="1954">
          <cell r="K1954">
            <v>2249.6</v>
          </cell>
        </row>
        <row r="1955">
          <cell r="B1955">
            <v>39485</v>
          </cell>
          <cell r="C1955">
            <v>27031</v>
          </cell>
        </row>
        <row r="1955">
          <cell r="G1955">
            <v>11222</v>
          </cell>
        </row>
        <row r="1955">
          <cell r="K1955">
            <v>101186</v>
          </cell>
        </row>
        <row r="1956">
          <cell r="B1956">
            <v>53676</v>
          </cell>
          <cell r="C1956">
            <v>34073</v>
          </cell>
        </row>
        <row r="1956">
          <cell r="G1956">
            <v>8451</v>
          </cell>
        </row>
        <row r="1956">
          <cell r="K1956">
            <v>36657.68</v>
          </cell>
        </row>
        <row r="1957">
          <cell r="B1957">
            <v>37964</v>
          </cell>
          <cell r="C1957">
            <v>23479</v>
          </cell>
        </row>
        <row r="1957">
          <cell r="G1957">
            <v>10379</v>
          </cell>
        </row>
        <row r="1957">
          <cell r="K1957">
            <v>145208</v>
          </cell>
        </row>
        <row r="1958">
          <cell r="B1958">
            <v>67377</v>
          </cell>
          <cell r="C1958">
            <v>49373</v>
          </cell>
        </row>
        <row r="1958">
          <cell r="G1958">
            <v>10532</v>
          </cell>
        </row>
        <row r="1958">
          <cell r="K1958">
            <v>80931</v>
          </cell>
        </row>
        <row r="1959">
          <cell r="B1959">
            <v>27984</v>
          </cell>
          <cell r="C1959">
            <v>18174</v>
          </cell>
        </row>
        <row r="1959">
          <cell r="G1959">
            <v>10277</v>
          </cell>
        </row>
        <row r="1959">
          <cell r="K1959">
            <v>48336</v>
          </cell>
        </row>
        <row r="1960">
          <cell r="B1960">
            <v>38777</v>
          </cell>
          <cell r="C1960">
            <v>24639</v>
          </cell>
        </row>
        <row r="1960">
          <cell r="G1960">
            <v>11388</v>
          </cell>
        </row>
        <row r="1960">
          <cell r="K1960">
            <v>67053.6</v>
          </cell>
        </row>
        <row r="1961">
          <cell r="B1961">
            <v>39987</v>
          </cell>
          <cell r="C1961">
            <v>24738</v>
          </cell>
        </row>
        <row r="1961">
          <cell r="G1961">
            <v>10828</v>
          </cell>
        </row>
        <row r="1961">
          <cell r="K1961">
            <v>61148.4</v>
          </cell>
        </row>
        <row r="1962">
          <cell r="B1962">
            <v>32299</v>
          </cell>
          <cell r="C1962">
            <v>19674</v>
          </cell>
        </row>
        <row r="1962">
          <cell r="G1962">
            <v>10236</v>
          </cell>
        </row>
        <row r="1962">
          <cell r="K1962">
            <v>63058</v>
          </cell>
        </row>
        <row r="1963">
          <cell r="B1963">
            <v>81161</v>
          </cell>
          <cell r="C1963">
            <v>62374</v>
          </cell>
        </row>
        <row r="1963">
          <cell r="G1963">
            <v>10402</v>
          </cell>
        </row>
        <row r="1963">
          <cell r="K1963">
            <v>109487</v>
          </cell>
        </row>
        <row r="1964">
          <cell r="B1964">
            <v>53420</v>
          </cell>
          <cell r="C1964">
            <v>38361</v>
          </cell>
        </row>
        <row r="1964">
          <cell r="G1964">
            <v>10465</v>
          </cell>
        </row>
        <row r="1964">
          <cell r="K1964">
            <v>64158.85</v>
          </cell>
        </row>
        <row r="1965">
          <cell r="B1965">
            <v>95424</v>
          </cell>
          <cell r="C1965">
            <v>61907</v>
          </cell>
        </row>
        <row r="1965">
          <cell r="G1965">
            <v>10724</v>
          </cell>
        </row>
        <row r="1965">
          <cell r="K1965">
            <v>53333</v>
          </cell>
        </row>
        <row r="1966">
          <cell r="B1966">
            <v>54514</v>
          </cell>
          <cell r="C1966">
            <v>35218</v>
          </cell>
        </row>
        <row r="1966">
          <cell r="G1966">
            <v>9020</v>
          </cell>
        </row>
        <row r="1966">
          <cell r="K1966">
            <v>67557.84</v>
          </cell>
        </row>
        <row r="1967">
          <cell r="B1967">
            <v>166424</v>
          </cell>
          <cell r="C1967">
            <v>104762</v>
          </cell>
        </row>
        <row r="1967">
          <cell r="G1967">
            <v>9299</v>
          </cell>
        </row>
        <row r="1967">
          <cell r="K1967">
            <v>147505</v>
          </cell>
        </row>
        <row r="1968">
          <cell r="B1968">
            <v>31042</v>
          </cell>
          <cell r="C1968">
            <v>20898</v>
          </cell>
        </row>
        <row r="1968">
          <cell r="G1968">
            <v>9408</v>
          </cell>
        </row>
        <row r="1968">
          <cell r="K1968">
            <v>33203</v>
          </cell>
        </row>
        <row r="1969">
          <cell r="G1969">
            <v>10413</v>
          </cell>
        </row>
        <row r="1969">
          <cell r="K1969">
            <v>64196.8</v>
          </cell>
        </row>
        <row r="1970">
          <cell r="B1970">
            <v>32857</v>
          </cell>
          <cell r="C1970">
            <v>21868</v>
          </cell>
        </row>
        <row r="1970">
          <cell r="G1970">
            <v>10116</v>
          </cell>
        </row>
        <row r="1970">
          <cell r="K1970">
            <v>41762</v>
          </cell>
        </row>
        <row r="1971">
          <cell r="B1971">
            <v>42623</v>
          </cell>
          <cell r="C1971">
            <v>26844</v>
          </cell>
        </row>
        <row r="1971">
          <cell r="G1971">
            <v>10940</v>
          </cell>
        </row>
        <row r="1971">
          <cell r="K1971">
            <v>72676</v>
          </cell>
        </row>
        <row r="1972">
          <cell r="B1972">
            <v>35587</v>
          </cell>
          <cell r="C1972">
            <v>21499</v>
          </cell>
        </row>
        <row r="1972">
          <cell r="G1972">
            <v>11075</v>
          </cell>
        </row>
        <row r="1972">
          <cell r="K1972">
            <v>27292</v>
          </cell>
        </row>
        <row r="1973">
          <cell r="B1973">
            <v>47466</v>
          </cell>
          <cell r="C1973">
            <v>28967</v>
          </cell>
        </row>
        <row r="1973">
          <cell r="G1973">
            <v>11709</v>
          </cell>
        </row>
        <row r="1973">
          <cell r="K1973">
            <v>129622</v>
          </cell>
        </row>
        <row r="1974">
          <cell r="B1974">
            <v>38704</v>
          </cell>
          <cell r="C1974">
            <v>23784</v>
          </cell>
        </row>
        <row r="1974">
          <cell r="G1974">
            <v>12057</v>
          </cell>
        </row>
        <row r="1974">
          <cell r="K1974">
            <v>14354</v>
          </cell>
        </row>
        <row r="1975">
          <cell r="B1975">
            <v>61581</v>
          </cell>
          <cell r="C1975">
            <v>33195</v>
          </cell>
        </row>
        <row r="1975">
          <cell r="G1975">
            <v>12448</v>
          </cell>
        </row>
        <row r="1975">
          <cell r="K1975">
            <v>95580</v>
          </cell>
        </row>
        <row r="1976">
          <cell r="B1976">
            <v>43677</v>
          </cell>
          <cell r="C1976">
            <v>26350</v>
          </cell>
        </row>
        <row r="1976">
          <cell r="G1976">
            <v>12010</v>
          </cell>
        </row>
        <row r="1976">
          <cell r="K1976">
            <v>20972</v>
          </cell>
        </row>
        <row r="1977">
          <cell r="B1977">
            <v>79061</v>
          </cell>
          <cell r="C1977">
            <v>41121</v>
          </cell>
        </row>
        <row r="1977">
          <cell r="G1977">
            <v>12345</v>
          </cell>
        </row>
        <row r="1977">
          <cell r="K1977">
            <v>186371.6</v>
          </cell>
        </row>
        <row r="1978">
          <cell r="B1978">
            <v>34693</v>
          </cell>
          <cell r="C1978">
            <v>18823</v>
          </cell>
        </row>
        <row r="1978">
          <cell r="G1978">
            <v>9363</v>
          </cell>
        </row>
        <row r="1978">
          <cell r="K1978">
            <v>287939.01</v>
          </cell>
        </row>
        <row r="1979">
          <cell r="B1979">
            <v>41693</v>
          </cell>
          <cell r="C1979">
            <v>30031</v>
          </cell>
        </row>
        <row r="1979">
          <cell r="G1979">
            <v>8733</v>
          </cell>
        </row>
        <row r="1979">
          <cell r="K1979">
            <v>193536</v>
          </cell>
        </row>
        <row r="1980">
          <cell r="B1980">
            <v>71724</v>
          </cell>
          <cell r="C1980">
            <v>53416</v>
          </cell>
        </row>
        <row r="1980">
          <cell r="G1980">
            <v>29008</v>
          </cell>
        </row>
        <row r="1980">
          <cell r="K1980">
            <v>37721.2</v>
          </cell>
        </row>
        <row r="1981">
          <cell r="B1981">
            <v>64313</v>
          </cell>
          <cell r="C1981">
            <v>46211</v>
          </cell>
        </row>
        <row r="1981">
          <cell r="G1981">
            <v>20944</v>
          </cell>
        </row>
        <row r="1981">
          <cell r="K1981">
            <v>17058</v>
          </cell>
        </row>
        <row r="1982">
          <cell r="B1982">
            <v>29260</v>
          </cell>
          <cell r="C1982">
            <v>16788</v>
          </cell>
        </row>
        <row r="1982">
          <cell r="G1982">
            <v>8360</v>
          </cell>
        </row>
        <row r="1982">
          <cell r="K1982">
            <v>14490</v>
          </cell>
        </row>
        <row r="1983">
          <cell r="B1983">
            <v>29926</v>
          </cell>
          <cell r="C1983">
            <v>17668</v>
          </cell>
        </row>
        <row r="1983">
          <cell r="G1983">
            <v>8924</v>
          </cell>
        </row>
        <row r="1983">
          <cell r="K1983">
            <v>44840.6</v>
          </cell>
        </row>
        <row r="1984">
          <cell r="B1984">
            <v>55756</v>
          </cell>
          <cell r="C1984">
            <v>41751</v>
          </cell>
        </row>
        <row r="1984">
          <cell r="G1984">
            <v>22722</v>
          </cell>
        </row>
        <row r="1984">
          <cell r="K1984">
            <v>80767</v>
          </cell>
        </row>
        <row r="1985">
          <cell r="B1985">
            <v>95972</v>
          </cell>
          <cell r="C1985">
            <v>72133</v>
          </cell>
        </row>
        <row r="1985">
          <cell r="G1985">
            <v>17717</v>
          </cell>
        </row>
        <row r="1985">
          <cell r="K1985">
            <v>1898.1</v>
          </cell>
        </row>
        <row r="1986">
          <cell r="B1986">
            <v>32807</v>
          </cell>
          <cell r="C1986">
            <v>23492</v>
          </cell>
        </row>
        <row r="1986">
          <cell r="G1986">
            <v>8311</v>
          </cell>
        </row>
        <row r="1986">
          <cell r="K1986">
            <v>23994</v>
          </cell>
        </row>
        <row r="1987">
          <cell r="B1987">
            <v>45447</v>
          </cell>
          <cell r="C1987">
            <v>30238</v>
          </cell>
        </row>
        <row r="1987">
          <cell r="G1987">
            <v>7681</v>
          </cell>
        </row>
        <row r="1987">
          <cell r="K1987">
            <v>636963</v>
          </cell>
        </row>
        <row r="1988">
          <cell r="B1988">
            <v>30591</v>
          </cell>
          <cell r="C1988">
            <v>16954</v>
          </cell>
        </row>
        <row r="1988">
          <cell r="G1988">
            <v>6762</v>
          </cell>
        </row>
        <row r="1988">
          <cell r="K1988">
            <v>111848</v>
          </cell>
        </row>
        <row r="1989">
          <cell r="B1989">
            <v>27508</v>
          </cell>
          <cell r="C1989">
            <v>15247</v>
          </cell>
        </row>
        <row r="1989">
          <cell r="G1989">
            <v>6543</v>
          </cell>
        </row>
        <row r="1989">
          <cell r="K1989">
            <v>101372</v>
          </cell>
        </row>
        <row r="1990">
          <cell r="B1990">
            <v>32179</v>
          </cell>
          <cell r="C1990">
            <v>17187</v>
          </cell>
        </row>
        <row r="1990">
          <cell r="G1990">
            <v>6231</v>
          </cell>
        </row>
        <row r="1990">
          <cell r="K1990">
            <v>126989</v>
          </cell>
        </row>
        <row r="1991">
          <cell r="B1991">
            <v>30876</v>
          </cell>
          <cell r="C1991">
            <v>16392</v>
          </cell>
        </row>
        <row r="1991">
          <cell r="G1991">
            <v>5548</v>
          </cell>
        </row>
        <row r="1991">
          <cell r="K1991">
            <v>238918.6</v>
          </cell>
        </row>
        <row r="1992">
          <cell r="B1992">
            <v>543746</v>
          </cell>
          <cell r="C1992">
            <v>267165</v>
          </cell>
        </row>
        <row r="1992">
          <cell r="G1992">
            <v>6792</v>
          </cell>
        </row>
        <row r="1992">
          <cell r="K1992">
            <v>11639063</v>
          </cell>
        </row>
        <row r="1993">
          <cell r="B1993">
            <v>63549</v>
          </cell>
          <cell r="C1993">
            <v>29347</v>
          </cell>
        </row>
        <row r="1993">
          <cell r="G1993">
            <v>6941</v>
          </cell>
        </row>
        <row r="1993">
          <cell r="K1993">
            <v>1782498</v>
          </cell>
        </row>
        <row r="1994">
          <cell r="B1994">
            <v>28731</v>
          </cell>
          <cell r="C1994">
            <v>13201</v>
          </cell>
        </row>
        <row r="1994">
          <cell r="G1994">
            <v>6739</v>
          </cell>
        </row>
        <row r="1994">
          <cell r="K1994">
            <v>264925</v>
          </cell>
        </row>
        <row r="1995">
          <cell r="B1995">
            <v>24316</v>
          </cell>
          <cell r="C1995">
            <v>10770</v>
          </cell>
        </row>
        <row r="1995">
          <cell r="G1995">
            <v>4600</v>
          </cell>
        </row>
        <row r="1995">
          <cell r="K1995">
            <v>167146</v>
          </cell>
        </row>
        <row r="1996">
          <cell r="B1996">
            <v>24882</v>
          </cell>
          <cell r="C1996">
            <v>12157</v>
          </cell>
        </row>
        <row r="1996">
          <cell r="G1996">
            <v>6529</v>
          </cell>
        </row>
        <row r="1996">
          <cell r="K1996">
            <v>136499</v>
          </cell>
        </row>
        <row r="1997">
          <cell r="B1997">
            <v>21770</v>
          </cell>
          <cell r="C1997">
            <v>9981</v>
          </cell>
        </row>
        <row r="1997">
          <cell r="G1997">
            <v>5221</v>
          </cell>
        </row>
        <row r="1997">
          <cell r="K1997">
            <v>110996</v>
          </cell>
        </row>
        <row r="1998">
          <cell r="B1998">
            <v>25900</v>
          </cell>
          <cell r="C1998">
            <v>11036</v>
          </cell>
        </row>
        <row r="1998">
          <cell r="G1998">
            <v>4352</v>
          </cell>
        </row>
        <row r="1998">
          <cell r="K1998">
            <v>115585</v>
          </cell>
        </row>
        <row r="1999">
          <cell r="B1999">
            <v>29274</v>
          </cell>
          <cell r="C1999">
            <v>14414</v>
          </cell>
        </row>
        <row r="1999">
          <cell r="G1999">
            <v>6255</v>
          </cell>
        </row>
        <row r="1999">
          <cell r="K1999">
            <v>90929.12</v>
          </cell>
        </row>
        <row r="2000">
          <cell r="B2000">
            <v>43120</v>
          </cell>
          <cell r="C2000">
            <v>19956</v>
          </cell>
        </row>
        <row r="2000">
          <cell r="G2000">
            <v>8549</v>
          </cell>
        </row>
        <row r="2000">
          <cell r="K2000">
            <v>122345</v>
          </cell>
        </row>
        <row r="2001">
          <cell r="B2001">
            <v>65729</v>
          </cell>
          <cell r="C2001">
            <v>31463</v>
          </cell>
        </row>
        <row r="2001">
          <cell r="G2001">
            <v>6152</v>
          </cell>
        </row>
        <row r="2001">
          <cell r="K2001">
            <v>559854</v>
          </cell>
        </row>
        <row r="2002">
          <cell r="B2002">
            <v>37518</v>
          </cell>
          <cell r="C2002">
            <v>20573</v>
          </cell>
        </row>
        <row r="2002">
          <cell r="G2002">
            <v>9933</v>
          </cell>
        </row>
        <row r="2002">
          <cell r="K2002">
            <v>261456</v>
          </cell>
        </row>
        <row r="2003">
          <cell r="B2003">
            <v>33824</v>
          </cell>
          <cell r="C2003">
            <v>16051</v>
          </cell>
        </row>
        <row r="2003">
          <cell r="G2003">
            <v>7600</v>
          </cell>
        </row>
        <row r="2003">
          <cell r="K2003">
            <v>374451.68</v>
          </cell>
        </row>
        <row r="2004">
          <cell r="B2004">
            <v>29038</v>
          </cell>
          <cell r="C2004">
            <v>12684</v>
          </cell>
        </row>
        <row r="2004">
          <cell r="G2004">
            <v>7625</v>
          </cell>
        </row>
        <row r="2004">
          <cell r="K2004">
            <v>361142</v>
          </cell>
        </row>
        <row r="2005">
          <cell r="B2005">
            <v>40992</v>
          </cell>
          <cell r="C2005">
            <v>18403</v>
          </cell>
        </row>
        <row r="2005">
          <cell r="G2005">
            <v>9831</v>
          </cell>
        </row>
        <row r="2005">
          <cell r="K2005">
            <v>359892</v>
          </cell>
        </row>
        <row r="2006">
          <cell r="B2006">
            <v>41164</v>
          </cell>
          <cell r="C2006">
            <v>19926</v>
          </cell>
        </row>
        <row r="2006">
          <cell r="G2006">
            <v>15955</v>
          </cell>
        </row>
        <row r="2006">
          <cell r="K2006">
            <v>455009.84</v>
          </cell>
        </row>
        <row r="2007">
          <cell r="B2007">
            <v>68818</v>
          </cell>
          <cell r="C2007">
            <v>36475</v>
          </cell>
        </row>
        <row r="2007">
          <cell r="G2007">
            <v>9188</v>
          </cell>
        </row>
        <row r="2007">
          <cell r="K2007">
            <v>396816</v>
          </cell>
        </row>
        <row r="2008">
          <cell r="B2008">
            <v>53645</v>
          </cell>
          <cell r="C2008">
            <v>30182</v>
          </cell>
        </row>
        <row r="2008">
          <cell r="G2008">
            <v>7103</v>
          </cell>
        </row>
        <row r="2008">
          <cell r="K2008">
            <v>418362</v>
          </cell>
        </row>
        <row r="2009">
          <cell r="B2009">
            <v>41170</v>
          </cell>
          <cell r="C2009">
            <v>24949</v>
          </cell>
        </row>
        <row r="2009">
          <cell r="G2009">
            <v>5061</v>
          </cell>
        </row>
        <row r="2009">
          <cell r="K2009">
            <v>133227</v>
          </cell>
        </row>
        <row r="2010">
          <cell r="B2010">
            <v>52074</v>
          </cell>
          <cell r="C2010">
            <v>30256</v>
          </cell>
        </row>
        <row r="2010">
          <cell r="G2010">
            <v>6020</v>
          </cell>
        </row>
        <row r="2010">
          <cell r="K2010">
            <v>227284</v>
          </cell>
        </row>
        <row r="2011">
          <cell r="B2011">
            <v>54677</v>
          </cell>
          <cell r="C2011">
            <v>31760</v>
          </cell>
        </row>
        <row r="2011">
          <cell r="G2011">
            <v>6191</v>
          </cell>
        </row>
        <row r="2011">
          <cell r="K2011">
            <v>234617</v>
          </cell>
        </row>
        <row r="2012">
          <cell r="B2012">
            <v>55013</v>
          </cell>
          <cell r="C2012">
            <v>31188</v>
          </cell>
        </row>
        <row r="2012">
          <cell r="G2012">
            <v>6626</v>
          </cell>
        </row>
        <row r="2012">
          <cell r="K2012">
            <v>201719</v>
          </cell>
        </row>
        <row r="2013">
          <cell r="B2013">
            <v>61329</v>
          </cell>
          <cell r="C2013">
            <v>38226</v>
          </cell>
        </row>
        <row r="2013">
          <cell r="G2013">
            <v>6054</v>
          </cell>
        </row>
        <row r="2013">
          <cell r="K2013">
            <v>321631</v>
          </cell>
        </row>
        <row r="2014">
          <cell r="B2014">
            <v>64224</v>
          </cell>
          <cell r="C2014">
            <v>38404</v>
          </cell>
        </row>
        <row r="2014">
          <cell r="G2014">
            <v>8296</v>
          </cell>
        </row>
        <row r="2014">
          <cell r="K2014">
            <v>258902</v>
          </cell>
        </row>
        <row r="2015">
          <cell r="B2015">
            <v>53449</v>
          </cell>
          <cell r="C2015">
            <v>29742</v>
          </cell>
        </row>
        <row r="2015">
          <cell r="G2015">
            <v>6485</v>
          </cell>
        </row>
        <row r="2015">
          <cell r="K2015">
            <v>232843</v>
          </cell>
        </row>
        <row r="2016">
          <cell r="B2016">
            <v>35487</v>
          </cell>
          <cell r="C2016">
            <v>18871</v>
          </cell>
        </row>
        <row r="2016">
          <cell r="G2016">
            <v>5787</v>
          </cell>
        </row>
        <row r="2016">
          <cell r="K2016">
            <v>129842.8</v>
          </cell>
        </row>
        <row r="2017">
          <cell r="B2017">
            <v>32646</v>
          </cell>
          <cell r="C2017">
            <v>14940</v>
          </cell>
        </row>
        <row r="2017">
          <cell r="G2017">
            <v>6315</v>
          </cell>
        </row>
        <row r="2017">
          <cell r="K2017">
            <v>271582</v>
          </cell>
        </row>
        <row r="2018">
          <cell r="B2018">
            <v>30074</v>
          </cell>
          <cell r="C2018">
            <v>13951</v>
          </cell>
        </row>
        <row r="2018">
          <cell r="G2018">
            <v>6686</v>
          </cell>
        </row>
        <row r="2018">
          <cell r="K2018">
            <v>339684.8</v>
          </cell>
        </row>
        <row r="2019">
          <cell r="B2019">
            <v>42345</v>
          </cell>
          <cell r="C2019">
            <v>21907</v>
          </cell>
        </row>
        <row r="2019">
          <cell r="G2019">
            <v>7618</v>
          </cell>
        </row>
        <row r="2019">
          <cell r="K2019">
            <v>150766.76</v>
          </cell>
        </row>
        <row r="2020">
          <cell r="B2020">
            <v>46717</v>
          </cell>
          <cell r="C2020">
            <v>23640</v>
          </cell>
        </row>
        <row r="2020">
          <cell r="G2020">
            <v>11288</v>
          </cell>
        </row>
        <row r="2020">
          <cell r="K2020">
            <v>418272.01</v>
          </cell>
        </row>
        <row r="2021">
          <cell r="B2021">
            <v>22645</v>
          </cell>
          <cell r="C2021">
            <v>9352</v>
          </cell>
        </row>
        <row r="2021">
          <cell r="G2021">
            <v>5565</v>
          </cell>
        </row>
        <row r="2021">
          <cell r="K2021">
            <v>225666</v>
          </cell>
        </row>
        <row r="2022">
          <cell r="B2022">
            <v>20142</v>
          </cell>
          <cell r="C2022">
            <v>7378</v>
          </cell>
        </row>
        <row r="2022">
          <cell r="G2022">
            <v>6596</v>
          </cell>
        </row>
        <row r="2022">
          <cell r="K2022">
            <v>308984.8</v>
          </cell>
        </row>
        <row r="2023">
          <cell r="B2023">
            <v>17379</v>
          </cell>
          <cell r="C2023">
            <v>7559</v>
          </cell>
        </row>
        <row r="2023">
          <cell r="G2023">
            <v>7659</v>
          </cell>
        </row>
        <row r="2023">
          <cell r="K2023">
            <v>31008</v>
          </cell>
        </row>
        <row r="2024">
          <cell r="B2024">
            <v>15962</v>
          </cell>
          <cell r="C2024">
            <v>7029</v>
          </cell>
        </row>
        <row r="2024">
          <cell r="G2024">
            <v>6550</v>
          </cell>
        </row>
        <row r="2024">
          <cell r="K2024">
            <v>77373</v>
          </cell>
        </row>
        <row r="2025">
          <cell r="B2025">
            <v>17669</v>
          </cell>
          <cell r="C2025">
            <v>7858</v>
          </cell>
        </row>
        <row r="2025">
          <cell r="G2025">
            <v>6634</v>
          </cell>
        </row>
        <row r="2025">
          <cell r="K2025">
            <v>220661</v>
          </cell>
        </row>
        <row r="2026">
          <cell r="B2026">
            <v>23041</v>
          </cell>
          <cell r="C2026">
            <v>10339</v>
          </cell>
        </row>
        <row r="2026">
          <cell r="G2026">
            <v>8887</v>
          </cell>
        </row>
        <row r="2026">
          <cell r="K2026">
            <v>7434</v>
          </cell>
        </row>
        <row r="2027">
          <cell r="B2027">
            <v>37342</v>
          </cell>
          <cell r="C2027">
            <v>20888</v>
          </cell>
        </row>
        <row r="2027">
          <cell r="G2027">
            <v>10436</v>
          </cell>
        </row>
        <row r="2027">
          <cell r="K2027">
            <v>78703</v>
          </cell>
        </row>
        <row r="2028">
          <cell r="B2028">
            <v>40759</v>
          </cell>
          <cell r="C2028">
            <v>20677</v>
          </cell>
        </row>
        <row r="2028">
          <cell r="G2028">
            <v>12247</v>
          </cell>
        </row>
        <row r="2028">
          <cell r="K2028">
            <v>25048</v>
          </cell>
        </row>
        <row r="2029">
          <cell r="B2029">
            <v>40333</v>
          </cell>
          <cell r="C2029">
            <v>21028</v>
          </cell>
        </row>
        <row r="2029">
          <cell r="G2029">
            <v>10508</v>
          </cell>
        </row>
        <row r="2029">
          <cell r="K2029">
            <v>30016</v>
          </cell>
        </row>
        <row r="2030">
          <cell r="B2030">
            <v>42478</v>
          </cell>
          <cell r="C2030">
            <v>24275</v>
          </cell>
        </row>
        <row r="2030">
          <cell r="G2030">
            <v>12293</v>
          </cell>
        </row>
        <row r="2030">
          <cell r="K2030">
            <v>0</v>
          </cell>
        </row>
        <row r="2031">
          <cell r="B2031">
            <v>44691</v>
          </cell>
          <cell r="C2031">
            <v>25042</v>
          </cell>
        </row>
        <row r="2031">
          <cell r="G2031">
            <v>12715</v>
          </cell>
        </row>
        <row r="2031">
          <cell r="K2031">
            <v>112335.68</v>
          </cell>
        </row>
        <row r="2032">
          <cell r="B2032">
            <v>44063</v>
          </cell>
          <cell r="C2032">
            <v>23871</v>
          </cell>
        </row>
        <row r="2032">
          <cell r="G2032">
            <v>13179</v>
          </cell>
        </row>
        <row r="2032">
          <cell r="K2032">
            <v>25651.84</v>
          </cell>
        </row>
        <row r="2033">
          <cell r="B2033">
            <v>40674</v>
          </cell>
          <cell r="C2033">
            <v>21795</v>
          </cell>
        </row>
        <row r="2033">
          <cell r="G2033">
            <v>11006</v>
          </cell>
        </row>
        <row r="2033">
          <cell r="K2033">
            <v>45628</v>
          </cell>
        </row>
        <row r="2034">
          <cell r="B2034">
            <v>33449</v>
          </cell>
          <cell r="C2034">
            <v>17658</v>
          </cell>
        </row>
        <row r="2034">
          <cell r="G2034">
            <v>10533</v>
          </cell>
        </row>
        <row r="2034">
          <cell r="K2034">
            <v>45145</v>
          </cell>
        </row>
        <row r="2035">
          <cell r="B2035">
            <v>40775</v>
          </cell>
          <cell r="C2035">
            <v>23148</v>
          </cell>
        </row>
        <row r="2035">
          <cell r="G2035">
            <v>11144</v>
          </cell>
        </row>
        <row r="2035">
          <cell r="K2035">
            <v>71033</v>
          </cell>
        </row>
        <row r="2036">
          <cell r="B2036">
            <v>27863</v>
          </cell>
          <cell r="C2036">
            <v>15015</v>
          </cell>
        </row>
        <row r="2036">
          <cell r="G2036">
            <v>7771</v>
          </cell>
        </row>
        <row r="2036">
          <cell r="K2036">
            <v>26320</v>
          </cell>
        </row>
        <row r="2037">
          <cell r="B2037">
            <v>29232</v>
          </cell>
          <cell r="C2037">
            <v>16085</v>
          </cell>
        </row>
        <row r="2037">
          <cell r="G2037">
            <v>7857</v>
          </cell>
        </row>
        <row r="2037">
          <cell r="K2037">
            <v>12388</v>
          </cell>
        </row>
        <row r="2038">
          <cell r="B2038">
            <v>36325</v>
          </cell>
          <cell r="C2038">
            <v>19892</v>
          </cell>
        </row>
        <row r="2038">
          <cell r="G2038">
            <v>8316</v>
          </cell>
        </row>
        <row r="2038">
          <cell r="K2038">
            <v>38968</v>
          </cell>
        </row>
        <row r="2039">
          <cell r="B2039">
            <v>41038</v>
          </cell>
          <cell r="C2039">
            <v>22516</v>
          </cell>
        </row>
        <row r="2039">
          <cell r="G2039">
            <v>8130</v>
          </cell>
        </row>
        <row r="2039">
          <cell r="K2039">
            <v>142148</v>
          </cell>
        </row>
        <row r="2040">
          <cell r="B2040">
            <v>28299</v>
          </cell>
          <cell r="C2040">
            <v>15756</v>
          </cell>
        </row>
        <row r="2040">
          <cell r="G2040">
            <v>7487</v>
          </cell>
        </row>
        <row r="2040">
          <cell r="K2040">
            <v>130567.6</v>
          </cell>
        </row>
        <row r="2041">
          <cell r="B2041">
            <v>30149</v>
          </cell>
          <cell r="C2041">
            <v>15762</v>
          </cell>
        </row>
        <row r="2041">
          <cell r="G2041">
            <v>7296</v>
          </cell>
        </row>
        <row r="2041">
          <cell r="K2041">
            <v>47058</v>
          </cell>
        </row>
        <row r="2042">
          <cell r="B2042">
            <v>27334</v>
          </cell>
          <cell r="C2042">
            <v>14887</v>
          </cell>
        </row>
        <row r="2042">
          <cell r="G2042">
            <v>7198</v>
          </cell>
        </row>
        <row r="2042">
          <cell r="K2042">
            <v>16838</v>
          </cell>
        </row>
        <row r="2043">
          <cell r="B2043">
            <v>20907</v>
          </cell>
          <cell r="C2043">
            <v>10351</v>
          </cell>
        </row>
        <row r="2043">
          <cell r="G2043">
            <v>6852</v>
          </cell>
        </row>
        <row r="2043">
          <cell r="K2043">
            <v>21324</v>
          </cell>
        </row>
        <row r="2044">
          <cell r="B2044">
            <v>25305</v>
          </cell>
          <cell r="C2044">
            <v>13334</v>
          </cell>
        </row>
        <row r="2044">
          <cell r="G2044">
            <v>7409</v>
          </cell>
        </row>
        <row r="2044">
          <cell r="K2044">
            <v>52778</v>
          </cell>
        </row>
        <row r="2045">
          <cell r="B2045">
            <v>26714</v>
          </cell>
          <cell r="C2045">
            <v>14008</v>
          </cell>
        </row>
        <row r="2045">
          <cell r="G2045">
            <v>8812</v>
          </cell>
        </row>
        <row r="2045">
          <cell r="K2045">
            <v>30708</v>
          </cell>
        </row>
        <row r="2046">
          <cell r="B2046">
            <v>25148</v>
          </cell>
          <cell r="C2046">
            <v>13009</v>
          </cell>
        </row>
        <row r="2046">
          <cell r="G2046">
            <v>8714</v>
          </cell>
        </row>
        <row r="2046">
          <cell r="K2046">
            <v>54379.2</v>
          </cell>
        </row>
        <row r="2047">
          <cell r="B2047">
            <v>26659</v>
          </cell>
          <cell r="C2047">
            <v>14022</v>
          </cell>
        </row>
        <row r="2047">
          <cell r="G2047">
            <v>7646</v>
          </cell>
        </row>
        <row r="2047">
          <cell r="K2047">
            <v>44010.2</v>
          </cell>
        </row>
        <row r="2048">
          <cell r="B2048">
            <v>29009</v>
          </cell>
          <cell r="C2048">
            <v>15401</v>
          </cell>
        </row>
        <row r="2048">
          <cell r="G2048">
            <v>5490</v>
          </cell>
        </row>
        <row r="2048">
          <cell r="K2048">
            <v>16212</v>
          </cell>
        </row>
        <row r="2049">
          <cell r="B2049">
            <v>22028</v>
          </cell>
          <cell r="C2049">
            <v>10442</v>
          </cell>
        </row>
        <row r="2049">
          <cell r="G2049">
            <v>5145</v>
          </cell>
        </row>
        <row r="2049">
          <cell r="K2049">
            <v>0</v>
          </cell>
        </row>
        <row r="2050">
          <cell r="B2050">
            <v>23608</v>
          </cell>
          <cell r="C2050">
            <v>12272</v>
          </cell>
        </row>
        <row r="2050">
          <cell r="G2050">
            <v>4174</v>
          </cell>
        </row>
        <row r="2050">
          <cell r="K2050">
            <v>31319</v>
          </cell>
        </row>
        <row r="2051">
          <cell r="B2051">
            <v>29967</v>
          </cell>
          <cell r="C2051">
            <v>15648</v>
          </cell>
        </row>
        <row r="2051">
          <cell r="G2051">
            <v>4581</v>
          </cell>
        </row>
        <row r="2051">
          <cell r="K2051">
            <v>62235</v>
          </cell>
        </row>
        <row r="2052">
          <cell r="B2052">
            <v>34134</v>
          </cell>
          <cell r="C2052">
            <v>18450</v>
          </cell>
        </row>
        <row r="2052">
          <cell r="G2052">
            <v>4667</v>
          </cell>
        </row>
        <row r="2052">
          <cell r="K2052">
            <v>92949.56</v>
          </cell>
        </row>
        <row r="2053">
          <cell r="B2053">
            <v>300805</v>
          </cell>
          <cell r="C2053">
            <v>137772</v>
          </cell>
        </row>
        <row r="2053">
          <cell r="G2053">
            <v>6682</v>
          </cell>
        </row>
        <row r="2053">
          <cell r="K2053">
            <v>7437004.5</v>
          </cell>
        </row>
        <row r="2054">
          <cell r="B2054">
            <v>78255</v>
          </cell>
          <cell r="C2054">
            <v>38087</v>
          </cell>
        </row>
        <row r="2054">
          <cell r="G2054">
            <v>5923</v>
          </cell>
        </row>
        <row r="2054">
          <cell r="K2054">
            <v>1392136.76</v>
          </cell>
        </row>
        <row r="2055">
          <cell r="B2055">
            <v>48499</v>
          </cell>
          <cell r="C2055">
            <v>25628</v>
          </cell>
        </row>
        <row r="2055">
          <cell r="G2055">
            <v>4773</v>
          </cell>
        </row>
        <row r="2055">
          <cell r="K2055">
            <v>69890</v>
          </cell>
        </row>
        <row r="2056">
          <cell r="B2056">
            <v>34989</v>
          </cell>
          <cell r="C2056">
            <v>18344</v>
          </cell>
        </row>
        <row r="2056">
          <cell r="G2056">
            <v>4538</v>
          </cell>
        </row>
        <row r="2056">
          <cell r="K2056">
            <v>43248</v>
          </cell>
        </row>
        <row r="2057">
          <cell r="B2057">
            <v>34926</v>
          </cell>
          <cell r="C2057">
            <v>17686</v>
          </cell>
        </row>
        <row r="2057">
          <cell r="G2057">
            <v>4798</v>
          </cell>
        </row>
        <row r="2057">
          <cell r="K2057">
            <v>1999.68</v>
          </cell>
        </row>
        <row r="2058">
          <cell r="B2058">
            <v>28329</v>
          </cell>
          <cell r="C2058">
            <v>14225</v>
          </cell>
        </row>
        <row r="2058">
          <cell r="G2058">
            <v>4476</v>
          </cell>
        </row>
        <row r="2058">
          <cell r="K2058">
            <v>21513</v>
          </cell>
        </row>
        <row r="2059">
          <cell r="B2059">
            <v>22492</v>
          </cell>
          <cell r="C2059">
            <v>10327</v>
          </cell>
        </row>
        <row r="2059">
          <cell r="G2059">
            <v>4257</v>
          </cell>
        </row>
        <row r="2059">
          <cell r="K2059">
            <v>20421</v>
          </cell>
        </row>
        <row r="2060">
          <cell r="B2060">
            <v>22727</v>
          </cell>
          <cell r="C2060">
            <v>11288</v>
          </cell>
        </row>
        <row r="2060">
          <cell r="G2060">
            <v>4386</v>
          </cell>
        </row>
        <row r="2060">
          <cell r="K2060">
            <v>8334</v>
          </cell>
        </row>
        <row r="2061">
          <cell r="B2061">
            <v>29857</v>
          </cell>
          <cell r="C2061">
            <v>15598</v>
          </cell>
        </row>
        <row r="2061">
          <cell r="G2061">
            <v>4580</v>
          </cell>
        </row>
        <row r="2061">
          <cell r="K2061">
            <v>105722.08</v>
          </cell>
        </row>
        <row r="2062">
          <cell r="B2062">
            <v>23598</v>
          </cell>
          <cell r="C2062">
            <v>11408</v>
          </cell>
        </row>
        <row r="2062">
          <cell r="G2062">
            <v>3231</v>
          </cell>
        </row>
        <row r="2062">
          <cell r="K2062">
            <v>103576</v>
          </cell>
        </row>
        <row r="2063">
          <cell r="B2063">
            <v>29453</v>
          </cell>
          <cell r="C2063">
            <v>16611</v>
          </cell>
        </row>
        <row r="2063">
          <cell r="G2063">
            <v>3055</v>
          </cell>
        </row>
        <row r="2063">
          <cell r="K2063">
            <v>59235</v>
          </cell>
        </row>
        <row r="2064">
          <cell r="B2064">
            <v>20781</v>
          </cell>
          <cell r="C2064">
            <v>9636</v>
          </cell>
        </row>
        <row r="2064">
          <cell r="G2064">
            <v>3803</v>
          </cell>
        </row>
        <row r="2064">
          <cell r="K2064">
            <v>86355.2</v>
          </cell>
        </row>
        <row r="2065">
          <cell r="B2065">
            <v>24207</v>
          </cell>
          <cell r="C2065">
            <v>10562</v>
          </cell>
        </row>
        <row r="2065">
          <cell r="G2065">
            <v>3768</v>
          </cell>
        </row>
        <row r="2065">
          <cell r="K2065">
            <v>82102</v>
          </cell>
        </row>
        <row r="2066">
          <cell r="B2066">
            <v>28522</v>
          </cell>
          <cell r="C2066">
            <v>12697</v>
          </cell>
        </row>
        <row r="2066">
          <cell r="G2066">
            <v>4423</v>
          </cell>
        </row>
        <row r="2066">
          <cell r="K2066">
            <v>132065.6</v>
          </cell>
        </row>
        <row r="2067">
          <cell r="B2067">
            <v>33108</v>
          </cell>
          <cell r="C2067">
            <v>15133</v>
          </cell>
        </row>
        <row r="2067">
          <cell r="G2067">
            <v>4638</v>
          </cell>
        </row>
        <row r="2067">
          <cell r="K2067">
            <v>24920</v>
          </cell>
        </row>
        <row r="2068">
          <cell r="B2068">
            <v>31432</v>
          </cell>
          <cell r="C2068">
            <v>15189</v>
          </cell>
        </row>
        <row r="2068">
          <cell r="G2068">
            <v>4970</v>
          </cell>
        </row>
        <row r="2068">
          <cell r="K2068">
            <v>48755</v>
          </cell>
        </row>
        <row r="2069">
          <cell r="B2069">
            <v>26917</v>
          </cell>
          <cell r="C2069">
            <v>12334</v>
          </cell>
        </row>
        <row r="2069">
          <cell r="G2069">
            <v>3849</v>
          </cell>
        </row>
        <row r="2069">
          <cell r="K2069">
            <v>44390.72</v>
          </cell>
        </row>
        <row r="2070">
          <cell r="B2070">
            <v>22359</v>
          </cell>
          <cell r="C2070">
            <v>10118</v>
          </cell>
        </row>
        <row r="2070">
          <cell r="G2070">
            <v>3439</v>
          </cell>
        </row>
        <row r="2070">
          <cell r="K2070">
            <v>43367</v>
          </cell>
        </row>
        <row r="2071">
          <cell r="B2071">
            <v>20046</v>
          </cell>
          <cell r="C2071">
            <v>9102</v>
          </cell>
        </row>
        <row r="2071">
          <cell r="G2071">
            <v>3361</v>
          </cell>
        </row>
        <row r="2071">
          <cell r="K2071">
            <v>22128</v>
          </cell>
        </row>
        <row r="2072">
          <cell r="B2072">
            <v>22544</v>
          </cell>
          <cell r="C2072">
            <v>11147</v>
          </cell>
        </row>
        <row r="2072">
          <cell r="G2072">
            <v>3232</v>
          </cell>
        </row>
        <row r="2072">
          <cell r="K2072">
            <v>50827.74</v>
          </cell>
        </row>
        <row r="2073">
          <cell r="B2073">
            <v>23182</v>
          </cell>
          <cell r="C2073">
            <v>12203</v>
          </cell>
        </row>
        <row r="2073">
          <cell r="G2073">
            <v>3845</v>
          </cell>
        </row>
        <row r="2073">
          <cell r="K2073">
            <v>37782</v>
          </cell>
        </row>
        <row r="2074">
          <cell r="B2074">
            <v>31385</v>
          </cell>
          <cell r="C2074">
            <v>15120</v>
          </cell>
        </row>
        <row r="2074">
          <cell r="G2074">
            <v>4461</v>
          </cell>
        </row>
        <row r="2074">
          <cell r="K2074">
            <v>44127.2</v>
          </cell>
        </row>
        <row r="2075">
          <cell r="B2075">
            <v>27244</v>
          </cell>
          <cell r="C2075">
            <v>13059</v>
          </cell>
        </row>
        <row r="2075">
          <cell r="G2075">
            <v>4348</v>
          </cell>
        </row>
        <row r="2075">
          <cell r="K2075">
            <v>144533</v>
          </cell>
        </row>
        <row r="2076">
          <cell r="B2076">
            <v>34837</v>
          </cell>
          <cell r="C2076">
            <v>15941</v>
          </cell>
        </row>
        <row r="2076">
          <cell r="G2076">
            <v>5280</v>
          </cell>
        </row>
        <row r="2076">
          <cell r="K2076">
            <v>71815</v>
          </cell>
        </row>
        <row r="2077">
          <cell r="B2077">
            <v>40238</v>
          </cell>
          <cell r="C2077">
            <v>21394</v>
          </cell>
        </row>
        <row r="2077">
          <cell r="G2077">
            <v>6242</v>
          </cell>
        </row>
        <row r="2077">
          <cell r="K2077">
            <v>15610.84</v>
          </cell>
        </row>
        <row r="2078">
          <cell r="B2078">
            <v>33874</v>
          </cell>
          <cell r="C2078">
            <v>16602</v>
          </cell>
        </row>
        <row r="2078">
          <cell r="G2078">
            <v>5224</v>
          </cell>
        </row>
        <row r="2078">
          <cell r="K2078">
            <v>34761</v>
          </cell>
        </row>
        <row r="2079">
          <cell r="B2079">
            <v>38335</v>
          </cell>
          <cell r="C2079">
            <v>19328</v>
          </cell>
        </row>
        <row r="2079">
          <cell r="G2079">
            <v>5490</v>
          </cell>
        </row>
        <row r="2079">
          <cell r="K2079">
            <v>8100</v>
          </cell>
        </row>
        <row r="2080">
          <cell r="B2080">
            <v>29072</v>
          </cell>
          <cell r="C2080">
            <v>14215</v>
          </cell>
        </row>
        <row r="2080">
          <cell r="G2080">
            <v>5740</v>
          </cell>
        </row>
        <row r="2080">
          <cell r="K2080">
            <v>12010</v>
          </cell>
        </row>
        <row r="2081">
          <cell r="B2081">
            <v>31153</v>
          </cell>
          <cell r="C2081">
            <v>16035</v>
          </cell>
        </row>
        <row r="2081">
          <cell r="G2081">
            <v>5744</v>
          </cell>
        </row>
        <row r="2081">
          <cell r="K2081">
            <v>81087</v>
          </cell>
        </row>
        <row r="2082">
          <cell r="B2082">
            <v>33050</v>
          </cell>
          <cell r="C2082">
            <v>17241</v>
          </cell>
        </row>
        <row r="2082">
          <cell r="G2082">
            <v>5396</v>
          </cell>
        </row>
        <row r="2082">
          <cell r="K2082">
            <v>43616</v>
          </cell>
        </row>
        <row r="2083">
          <cell r="B2083">
            <v>32129</v>
          </cell>
          <cell r="C2083">
            <v>16415</v>
          </cell>
        </row>
        <row r="2083">
          <cell r="G2083">
            <v>5074</v>
          </cell>
        </row>
        <row r="2083">
          <cell r="K2083">
            <v>27860.76</v>
          </cell>
        </row>
        <row r="2084">
          <cell r="B2084">
            <v>30796</v>
          </cell>
          <cell r="C2084">
            <v>16201</v>
          </cell>
        </row>
        <row r="2084">
          <cell r="G2084">
            <v>5354</v>
          </cell>
        </row>
        <row r="2084">
          <cell r="K2084">
            <v>124100</v>
          </cell>
        </row>
        <row r="2085">
          <cell r="B2085">
            <v>29924</v>
          </cell>
          <cell r="C2085">
            <v>15266</v>
          </cell>
        </row>
        <row r="2085">
          <cell r="G2085">
            <v>5479</v>
          </cell>
        </row>
        <row r="2085">
          <cell r="K2085">
            <v>11954</v>
          </cell>
        </row>
        <row r="2086">
          <cell r="B2086">
            <v>28844</v>
          </cell>
          <cell r="C2086">
            <v>14597</v>
          </cell>
        </row>
        <row r="2086">
          <cell r="G2086">
            <v>5256</v>
          </cell>
        </row>
        <row r="2086">
          <cell r="K2086">
            <v>19496.32</v>
          </cell>
        </row>
        <row r="2087">
          <cell r="B2087">
            <v>142933</v>
          </cell>
          <cell r="C2087">
            <v>76577</v>
          </cell>
        </row>
        <row r="2087">
          <cell r="G2087">
            <v>6255</v>
          </cell>
        </row>
        <row r="2087">
          <cell r="K2087">
            <v>1109269</v>
          </cell>
        </row>
        <row r="2088">
          <cell r="B2088">
            <v>44975</v>
          </cell>
          <cell r="C2088">
            <v>20962</v>
          </cell>
        </row>
        <row r="2088">
          <cell r="G2088">
            <v>5854</v>
          </cell>
        </row>
        <row r="2088">
          <cell r="K2088">
            <v>257819.98</v>
          </cell>
        </row>
        <row r="2089">
          <cell r="B2089">
            <v>57624</v>
          </cell>
          <cell r="C2089">
            <v>31464</v>
          </cell>
        </row>
        <row r="2089">
          <cell r="G2089">
            <v>9382</v>
          </cell>
        </row>
        <row r="2089">
          <cell r="K2089">
            <v>148425.18</v>
          </cell>
        </row>
        <row r="2090">
          <cell r="B2090">
            <v>41605</v>
          </cell>
          <cell r="C2090">
            <v>21240</v>
          </cell>
        </row>
        <row r="2090">
          <cell r="G2090">
            <v>9733</v>
          </cell>
        </row>
        <row r="2090">
          <cell r="K2090">
            <v>22950.8</v>
          </cell>
        </row>
        <row r="2091">
          <cell r="B2091">
            <v>40805</v>
          </cell>
          <cell r="C2091">
            <v>20881</v>
          </cell>
        </row>
        <row r="2091">
          <cell r="G2091">
            <v>9659</v>
          </cell>
        </row>
        <row r="2091">
          <cell r="K2091">
            <v>137700.3</v>
          </cell>
        </row>
        <row r="2092">
          <cell r="B2092">
            <v>36284</v>
          </cell>
          <cell r="C2092">
            <v>16881</v>
          </cell>
        </row>
        <row r="2092">
          <cell r="G2092">
            <v>8148</v>
          </cell>
        </row>
        <row r="2092">
          <cell r="K2092">
            <v>25274.2</v>
          </cell>
        </row>
        <row r="2093">
          <cell r="B2093">
            <v>31828</v>
          </cell>
          <cell r="C2093">
            <v>14976</v>
          </cell>
        </row>
        <row r="2093">
          <cell r="G2093">
            <v>6869</v>
          </cell>
        </row>
        <row r="2093">
          <cell r="K2093">
            <v>37355.6</v>
          </cell>
        </row>
        <row r="2094">
          <cell r="B2094">
            <v>46200</v>
          </cell>
          <cell r="C2094">
            <v>22483</v>
          </cell>
        </row>
        <row r="2094">
          <cell r="G2094">
            <v>9205</v>
          </cell>
        </row>
        <row r="2094">
          <cell r="K2094">
            <v>30217.3</v>
          </cell>
        </row>
        <row r="2095">
          <cell r="B2095">
            <v>41353</v>
          </cell>
          <cell r="C2095">
            <v>19548</v>
          </cell>
        </row>
        <row r="2095">
          <cell r="G2095">
            <v>9708</v>
          </cell>
        </row>
        <row r="2095">
          <cell r="K2095">
            <v>31762.1</v>
          </cell>
        </row>
        <row r="2096">
          <cell r="B2096">
            <v>39130</v>
          </cell>
          <cell r="C2096">
            <v>18820</v>
          </cell>
        </row>
        <row r="2096">
          <cell r="G2096">
            <v>9771</v>
          </cell>
        </row>
        <row r="2096">
          <cell r="K2096">
            <v>159061.6</v>
          </cell>
        </row>
        <row r="2097">
          <cell r="B2097">
            <v>43621</v>
          </cell>
          <cell r="C2097">
            <v>21403</v>
          </cell>
        </row>
        <row r="2097">
          <cell r="G2097">
            <v>11204</v>
          </cell>
        </row>
        <row r="2097">
          <cell r="K2097">
            <v>77945.1</v>
          </cell>
        </row>
        <row r="2098">
          <cell r="B2098">
            <v>35383</v>
          </cell>
          <cell r="C2098">
            <v>16097</v>
          </cell>
        </row>
        <row r="2098">
          <cell r="G2098">
            <v>10725</v>
          </cell>
        </row>
        <row r="2098">
          <cell r="K2098">
            <v>60347.36</v>
          </cell>
        </row>
        <row r="2099">
          <cell r="B2099">
            <v>32519</v>
          </cell>
          <cell r="C2099">
            <v>14117</v>
          </cell>
        </row>
        <row r="2099">
          <cell r="G2099">
            <v>8224</v>
          </cell>
        </row>
        <row r="2099">
          <cell r="K2099">
            <v>33079.1</v>
          </cell>
        </row>
        <row r="2100">
          <cell r="B2100">
            <v>32885</v>
          </cell>
          <cell r="C2100">
            <v>14994</v>
          </cell>
        </row>
        <row r="2100">
          <cell r="G2100">
            <v>8626</v>
          </cell>
        </row>
        <row r="2100">
          <cell r="K2100">
            <v>48071.7</v>
          </cell>
        </row>
        <row r="2101">
          <cell r="B2101">
            <v>44699</v>
          </cell>
          <cell r="C2101">
            <v>19919</v>
          </cell>
        </row>
        <row r="2101">
          <cell r="G2101">
            <v>8859</v>
          </cell>
        </row>
        <row r="2101">
          <cell r="K2101">
            <v>10373.4</v>
          </cell>
        </row>
        <row r="2102">
          <cell r="B2102">
            <v>31426</v>
          </cell>
          <cell r="C2102">
            <v>14672</v>
          </cell>
        </row>
        <row r="2102">
          <cell r="G2102">
            <v>5147</v>
          </cell>
        </row>
        <row r="2102">
          <cell r="K2102">
            <v>95699.94</v>
          </cell>
        </row>
        <row r="2103">
          <cell r="B2103">
            <v>28586</v>
          </cell>
          <cell r="C2103">
            <v>13194</v>
          </cell>
        </row>
        <row r="2103">
          <cell r="G2103">
            <v>6572</v>
          </cell>
        </row>
        <row r="2103">
          <cell r="K2103">
            <v>34569.6</v>
          </cell>
        </row>
        <row r="2104">
          <cell r="B2104">
            <v>34012</v>
          </cell>
          <cell r="C2104">
            <v>14058</v>
          </cell>
        </row>
        <row r="2104">
          <cell r="G2104">
            <v>6824</v>
          </cell>
        </row>
        <row r="2104">
          <cell r="K2104">
            <v>34673.9</v>
          </cell>
        </row>
        <row r="2105">
          <cell r="B2105">
            <v>35252</v>
          </cell>
          <cell r="C2105">
            <v>15685</v>
          </cell>
        </row>
        <row r="2105">
          <cell r="G2105">
            <v>7361</v>
          </cell>
        </row>
        <row r="2105">
          <cell r="K2105">
            <v>170899.7</v>
          </cell>
        </row>
        <row r="2106">
          <cell r="B2106">
            <v>39191</v>
          </cell>
          <cell r="C2106">
            <v>17571</v>
          </cell>
        </row>
        <row r="2106">
          <cell r="G2106">
            <v>9552</v>
          </cell>
        </row>
        <row r="2106">
          <cell r="K2106">
            <v>49212.4</v>
          </cell>
        </row>
        <row r="2107">
          <cell r="B2107">
            <v>43104</v>
          </cell>
          <cell r="C2107">
            <v>20245</v>
          </cell>
        </row>
        <row r="2107">
          <cell r="G2107">
            <v>7884</v>
          </cell>
        </row>
        <row r="2107">
          <cell r="K2107">
            <v>25307</v>
          </cell>
        </row>
        <row r="2108">
          <cell r="B2108">
            <v>46463</v>
          </cell>
          <cell r="C2108">
            <v>21842</v>
          </cell>
        </row>
        <row r="2108">
          <cell r="G2108">
            <v>7322</v>
          </cell>
        </row>
        <row r="2108">
          <cell r="K2108">
            <v>71344</v>
          </cell>
        </row>
        <row r="2109">
          <cell r="B2109">
            <v>60370</v>
          </cell>
          <cell r="C2109">
            <v>29471</v>
          </cell>
        </row>
        <row r="2109">
          <cell r="G2109">
            <v>7846</v>
          </cell>
        </row>
        <row r="2109">
          <cell r="K2109">
            <v>10734</v>
          </cell>
        </row>
        <row r="2110">
          <cell r="B2110">
            <v>43867</v>
          </cell>
          <cell r="C2110">
            <v>21890</v>
          </cell>
        </row>
        <row r="2110">
          <cell r="G2110">
            <v>8077</v>
          </cell>
        </row>
        <row r="2110">
          <cell r="K2110">
            <v>9867</v>
          </cell>
        </row>
        <row r="2111">
          <cell r="B2111">
            <v>39581</v>
          </cell>
          <cell r="C2111">
            <v>19666</v>
          </cell>
        </row>
        <row r="2111">
          <cell r="G2111">
            <v>7650</v>
          </cell>
        </row>
        <row r="2111">
          <cell r="K2111">
            <v>36269</v>
          </cell>
        </row>
        <row r="2112">
          <cell r="B2112">
            <v>45026</v>
          </cell>
          <cell r="C2112">
            <v>20900</v>
          </cell>
        </row>
        <row r="2112">
          <cell r="G2112">
            <v>7947</v>
          </cell>
        </row>
        <row r="2112">
          <cell r="K2112">
            <v>17517.76</v>
          </cell>
        </row>
        <row r="2113">
          <cell r="B2113">
            <v>41747</v>
          </cell>
          <cell r="C2113">
            <v>17001</v>
          </cell>
        </row>
        <row r="2113">
          <cell r="G2113">
            <v>7252</v>
          </cell>
        </row>
        <row r="2113">
          <cell r="K2113">
            <v>47851</v>
          </cell>
        </row>
        <row r="2114">
          <cell r="B2114">
            <v>37589</v>
          </cell>
          <cell r="C2114">
            <v>14187</v>
          </cell>
        </row>
        <row r="2114">
          <cell r="G2114">
            <v>6997</v>
          </cell>
        </row>
        <row r="2114">
          <cell r="K2114">
            <v>14256</v>
          </cell>
        </row>
        <row r="2115">
          <cell r="B2115">
            <v>35237</v>
          </cell>
          <cell r="C2115">
            <v>14113</v>
          </cell>
        </row>
        <row r="2115">
          <cell r="G2115">
            <v>6850</v>
          </cell>
        </row>
        <row r="2115">
          <cell r="K2115">
            <v>52390.6</v>
          </cell>
        </row>
        <row r="2116">
          <cell r="B2116">
            <v>22937</v>
          </cell>
          <cell r="C2116">
            <v>9341</v>
          </cell>
        </row>
        <row r="2116">
          <cell r="G2116">
            <v>4177</v>
          </cell>
        </row>
        <row r="2116">
          <cell r="K2116">
            <v>48454</v>
          </cell>
        </row>
        <row r="2117">
          <cell r="B2117">
            <v>22674</v>
          </cell>
          <cell r="C2117">
            <v>9302</v>
          </cell>
        </row>
        <row r="2117">
          <cell r="G2117">
            <v>3849</v>
          </cell>
        </row>
        <row r="2117">
          <cell r="K2117">
            <v>21803</v>
          </cell>
        </row>
        <row r="2118">
          <cell r="B2118">
            <v>22453</v>
          </cell>
          <cell r="C2118">
            <v>8971</v>
          </cell>
        </row>
        <row r="2118">
          <cell r="G2118">
            <v>3606</v>
          </cell>
        </row>
        <row r="2118">
          <cell r="K2118">
            <v>25068</v>
          </cell>
        </row>
        <row r="2119">
          <cell r="B2119">
            <v>19336</v>
          </cell>
          <cell r="C2119">
            <v>7082</v>
          </cell>
        </row>
        <row r="2119">
          <cell r="G2119">
            <v>3258</v>
          </cell>
        </row>
        <row r="2119">
          <cell r="K2119">
            <v>46013</v>
          </cell>
        </row>
        <row r="2120">
          <cell r="B2120">
            <v>32024</v>
          </cell>
          <cell r="C2120">
            <v>15619</v>
          </cell>
        </row>
        <row r="2120">
          <cell r="G2120">
            <v>3078</v>
          </cell>
        </row>
        <row r="2120">
          <cell r="K2120">
            <v>33469</v>
          </cell>
        </row>
        <row r="2121">
          <cell r="B2121">
            <v>19689</v>
          </cell>
          <cell r="C2121">
            <v>6644</v>
          </cell>
        </row>
        <row r="2121">
          <cell r="G2121">
            <v>3098</v>
          </cell>
        </row>
        <row r="2121">
          <cell r="K2121">
            <v>52421</v>
          </cell>
        </row>
        <row r="2122">
          <cell r="B2122">
            <v>21438</v>
          </cell>
          <cell r="C2122">
            <v>8571</v>
          </cell>
        </row>
        <row r="2122">
          <cell r="G2122">
            <v>3114</v>
          </cell>
        </row>
        <row r="2122">
          <cell r="K2122">
            <v>53829.76</v>
          </cell>
        </row>
        <row r="2123">
          <cell r="B2123">
            <v>22828</v>
          </cell>
          <cell r="C2123">
            <v>8469</v>
          </cell>
        </row>
        <row r="2123">
          <cell r="G2123">
            <v>3372</v>
          </cell>
        </row>
        <row r="2123">
          <cell r="K2123">
            <v>123083</v>
          </cell>
        </row>
        <row r="2124">
          <cell r="B2124">
            <v>17287</v>
          </cell>
          <cell r="C2124">
            <v>6325</v>
          </cell>
        </row>
        <row r="2124">
          <cell r="G2124">
            <v>2900</v>
          </cell>
        </row>
        <row r="2124">
          <cell r="K2124">
            <v>65768</v>
          </cell>
        </row>
        <row r="2125">
          <cell r="B2125">
            <v>22845</v>
          </cell>
          <cell r="C2125">
            <v>9413</v>
          </cell>
        </row>
        <row r="2125">
          <cell r="G2125">
            <v>3244</v>
          </cell>
        </row>
        <row r="2125">
          <cell r="K2125">
            <v>15562</v>
          </cell>
        </row>
        <row r="2126">
          <cell r="B2126">
            <v>20043</v>
          </cell>
          <cell r="C2126">
            <v>7291</v>
          </cell>
        </row>
        <row r="2126">
          <cell r="G2126">
            <v>3150</v>
          </cell>
        </row>
        <row r="2126">
          <cell r="K2126">
            <v>11069</v>
          </cell>
        </row>
        <row r="2127">
          <cell r="B2127">
            <v>23312</v>
          </cell>
          <cell r="C2127">
            <v>8417</v>
          </cell>
        </row>
        <row r="2127">
          <cell r="G2127">
            <v>3227</v>
          </cell>
        </row>
        <row r="2127">
          <cell r="K2127">
            <v>65605</v>
          </cell>
        </row>
        <row r="2128">
          <cell r="B2128">
            <v>92003</v>
          </cell>
          <cell r="C2128">
            <v>41548</v>
          </cell>
        </row>
        <row r="2128">
          <cell r="G2128">
            <v>3698</v>
          </cell>
        </row>
        <row r="2128">
          <cell r="K2128">
            <v>14012</v>
          </cell>
        </row>
        <row r="2129">
          <cell r="B2129">
            <v>170074</v>
          </cell>
          <cell r="C2129">
            <v>74829</v>
          </cell>
        </row>
        <row r="2129">
          <cell r="G2129">
            <v>3363</v>
          </cell>
        </row>
        <row r="2129">
          <cell r="K2129">
            <v>6352</v>
          </cell>
        </row>
        <row r="2130">
          <cell r="B2130">
            <v>61915</v>
          </cell>
          <cell r="C2130">
            <v>23290</v>
          </cell>
        </row>
        <row r="2130">
          <cell r="G2130">
            <v>3201</v>
          </cell>
        </row>
        <row r="2130">
          <cell r="K2130">
            <v>21590</v>
          </cell>
        </row>
        <row r="2131">
          <cell r="B2131">
            <v>37261</v>
          </cell>
          <cell r="C2131">
            <v>12531</v>
          </cell>
        </row>
        <row r="2131">
          <cell r="G2131">
            <v>3530</v>
          </cell>
        </row>
        <row r="2131">
          <cell r="K2131">
            <v>65718</v>
          </cell>
        </row>
        <row r="2132">
          <cell r="B2132">
            <v>49953</v>
          </cell>
          <cell r="C2132">
            <v>18990</v>
          </cell>
        </row>
        <row r="2132">
          <cell r="G2132">
            <v>3079</v>
          </cell>
        </row>
        <row r="2132">
          <cell r="K2132">
            <v>34549</v>
          </cell>
        </row>
        <row r="2133">
          <cell r="B2133">
            <v>30122</v>
          </cell>
          <cell r="C2133">
            <v>9557</v>
          </cell>
        </row>
        <row r="2133">
          <cell r="G2133">
            <v>2906</v>
          </cell>
        </row>
        <row r="2133">
          <cell r="K2133">
            <v>65011.96</v>
          </cell>
        </row>
        <row r="2134">
          <cell r="B2134">
            <v>25904</v>
          </cell>
          <cell r="C2134">
            <v>8027</v>
          </cell>
        </row>
        <row r="2134">
          <cell r="G2134">
            <v>3424</v>
          </cell>
        </row>
        <row r="2134">
          <cell r="K2134">
            <v>66700</v>
          </cell>
        </row>
        <row r="2135">
          <cell r="B2135">
            <v>28483</v>
          </cell>
          <cell r="C2135">
            <v>8688</v>
          </cell>
        </row>
        <row r="2135">
          <cell r="G2135">
            <v>3313</v>
          </cell>
        </row>
        <row r="2135">
          <cell r="K2135">
            <v>34611.52</v>
          </cell>
        </row>
        <row r="2136">
          <cell r="B2136">
            <v>89553</v>
          </cell>
          <cell r="C2136">
            <v>22371</v>
          </cell>
        </row>
        <row r="2136">
          <cell r="G2136">
            <v>3251</v>
          </cell>
        </row>
        <row r="2136">
          <cell r="K2136">
            <v>24485</v>
          </cell>
        </row>
        <row r="2137">
          <cell r="B2137">
            <v>52320</v>
          </cell>
          <cell r="C2137">
            <v>14528</v>
          </cell>
        </row>
        <row r="2137">
          <cell r="G2137">
            <v>3796</v>
          </cell>
        </row>
        <row r="2137">
          <cell r="K2137">
            <v>75707.68</v>
          </cell>
        </row>
        <row r="2138">
          <cell r="B2138">
            <v>87838</v>
          </cell>
          <cell r="C2138">
            <v>15088</v>
          </cell>
        </row>
        <row r="2138">
          <cell r="G2138">
            <v>6302</v>
          </cell>
        </row>
        <row r="2138">
          <cell r="K2138">
            <v>32147.76</v>
          </cell>
        </row>
        <row r="2139">
          <cell r="B2139">
            <v>2975287</v>
          </cell>
          <cell r="C2139">
            <v>370431</v>
          </cell>
        </row>
        <row r="2139">
          <cell r="G2139">
            <v>12582</v>
          </cell>
        </row>
        <row r="2139">
          <cell r="K2139">
            <v>18183273</v>
          </cell>
        </row>
        <row r="2140">
          <cell r="B2140">
            <v>280098</v>
          </cell>
          <cell r="C2140">
            <v>61321</v>
          </cell>
        </row>
        <row r="2140">
          <cell r="G2140">
            <v>8031</v>
          </cell>
        </row>
        <row r="2140">
          <cell r="K2140">
            <v>1166375.7</v>
          </cell>
        </row>
        <row r="2141">
          <cell r="B2141">
            <v>51349</v>
          </cell>
          <cell r="C2141">
            <v>15224</v>
          </cell>
        </row>
        <row r="2141">
          <cell r="G2141">
            <v>4327</v>
          </cell>
        </row>
        <row r="2141">
          <cell r="K2141">
            <v>26691.9</v>
          </cell>
        </row>
        <row r="2142">
          <cell r="B2142">
            <v>49945</v>
          </cell>
          <cell r="C2142">
            <v>17697</v>
          </cell>
        </row>
        <row r="2142">
          <cell r="G2142">
            <v>4894</v>
          </cell>
        </row>
        <row r="2142">
          <cell r="K2142">
            <v>18460</v>
          </cell>
        </row>
        <row r="2143">
          <cell r="B2143">
            <v>54407</v>
          </cell>
          <cell r="C2143">
            <v>20667</v>
          </cell>
        </row>
        <row r="2143">
          <cell r="G2143">
            <v>4805</v>
          </cell>
        </row>
        <row r="2143">
          <cell r="K2143">
            <v>99297</v>
          </cell>
        </row>
        <row r="2144">
          <cell r="B2144">
            <v>94162</v>
          </cell>
          <cell r="C2144">
            <v>28370</v>
          </cell>
        </row>
        <row r="2144">
          <cell r="G2144">
            <v>4631</v>
          </cell>
        </row>
        <row r="2144">
          <cell r="K2144">
            <v>442917</v>
          </cell>
        </row>
        <row r="2145">
          <cell r="B2145">
            <v>127317</v>
          </cell>
          <cell r="C2145">
            <v>30009</v>
          </cell>
        </row>
        <row r="2145">
          <cell r="G2145">
            <v>7341</v>
          </cell>
        </row>
        <row r="2145">
          <cell r="K2145">
            <v>5133538.6</v>
          </cell>
        </row>
        <row r="2146">
          <cell r="B2146">
            <v>94218</v>
          </cell>
          <cell r="C2146">
            <v>26914</v>
          </cell>
        </row>
        <row r="2146">
          <cell r="G2146">
            <v>10505</v>
          </cell>
        </row>
        <row r="2146">
          <cell r="K2146">
            <v>1780081.68</v>
          </cell>
        </row>
        <row r="2147">
          <cell r="B2147">
            <v>105893</v>
          </cell>
          <cell r="C2147">
            <v>29467</v>
          </cell>
        </row>
        <row r="2147">
          <cell r="G2147">
            <v>11883</v>
          </cell>
        </row>
        <row r="2147">
          <cell r="K2147">
            <v>1671037.56</v>
          </cell>
        </row>
        <row r="2148">
          <cell r="B2148">
            <v>68073</v>
          </cell>
          <cell r="C2148">
            <v>23620</v>
          </cell>
        </row>
        <row r="2148">
          <cell r="G2148">
            <v>13609</v>
          </cell>
        </row>
        <row r="2148">
          <cell r="K2148">
            <v>537593.72</v>
          </cell>
        </row>
        <row r="2149">
          <cell r="B2149">
            <v>79344</v>
          </cell>
          <cell r="C2149">
            <v>29141</v>
          </cell>
        </row>
        <row r="2149">
          <cell r="G2149">
            <v>13315</v>
          </cell>
        </row>
        <row r="2149">
          <cell r="K2149">
            <v>484986.62</v>
          </cell>
        </row>
        <row r="2150">
          <cell r="B2150">
            <v>67813</v>
          </cell>
          <cell r="C2150">
            <v>28166</v>
          </cell>
        </row>
        <row r="2150">
          <cell r="G2150">
            <v>12563</v>
          </cell>
        </row>
        <row r="2150">
          <cell r="K2150">
            <v>362347</v>
          </cell>
        </row>
        <row r="2151">
          <cell r="B2151">
            <v>64750</v>
          </cell>
          <cell r="C2151">
            <v>26643</v>
          </cell>
        </row>
        <row r="2151">
          <cell r="G2151">
            <v>12824</v>
          </cell>
        </row>
        <row r="2151">
          <cell r="K2151">
            <v>365166.04</v>
          </cell>
        </row>
        <row r="2152">
          <cell r="B2152">
            <v>65348</v>
          </cell>
          <cell r="C2152">
            <v>25408</v>
          </cell>
        </row>
        <row r="2152">
          <cell r="G2152">
            <v>13343</v>
          </cell>
        </row>
        <row r="2152">
          <cell r="K2152">
            <v>317071.44</v>
          </cell>
        </row>
        <row r="2153">
          <cell r="B2153">
            <v>58289</v>
          </cell>
          <cell r="C2153">
            <v>18583</v>
          </cell>
        </row>
        <row r="2153">
          <cell r="G2153">
            <v>7295</v>
          </cell>
        </row>
        <row r="2153">
          <cell r="K2153">
            <v>662847.8</v>
          </cell>
        </row>
        <row r="2154">
          <cell r="B2154">
            <v>66134</v>
          </cell>
          <cell r="C2154">
            <v>19989</v>
          </cell>
        </row>
        <row r="2154">
          <cell r="G2154">
            <v>7360</v>
          </cell>
        </row>
        <row r="2154">
          <cell r="K2154">
            <v>435604.6</v>
          </cell>
        </row>
        <row r="2155">
          <cell r="B2155">
            <v>59216</v>
          </cell>
          <cell r="C2155">
            <v>17073</v>
          </cell>
        </row>
        <row r="2155">
          <cell r="G2155">
            <v>6851</v>
          </cell>
        </row>
        <row r="2155">
          <cell r="K2155">
            <v>736645.44</v>
          </cell>
        </row>
        <row r="2156">
          <cell r="B2156">
            <v>959643</v>
          </cell>
          <cell r="C2156">
            <v>160127</v>
          </cell>
        </row>
        <row r="2156">
          <cell r="G2156">
            <v>12109</v>
          </cell>
        </row>
        <row r="2156">
          <cell r="K2156">
            <v>4553384.08</v>
          </cell>
        </row>
        <row r="2157">
          <cell r="B2157">
            <v>165820</v>
          </cell>
          <cell r="C2157">
            <v>43110</v>
          </cell>
        </row>
        <row r="2157">
          <cell r="G2157">
            <v>10079</v>
          </cell>
        </row>
        <row r="2157">
          <cell r="K2157">
            <v>1102245</v>
          </cell>
        </row>
        <row r="2158">
          <cell r="B2158">
            <v>77523</v>
          </cell>
          <cell r="C2158">
            <v>30796</v>
          </cell>
        </row>
        <row r="2158">
          <cell r="G2158">
            <v>12235</v>
          </cell>
        </row>
        <row r="2158">
          <cell r="K2158">
            <v>437773</v>
          </cell>
        </row>
        <row r="2159">
          <cell r="B2159">
            <v>84022</v>
          </cell>
          <cell r="C2159">
            <v>35057</v>
          </cell>
        </row>
        <row r="2159">
          <cell r="G2159">
            <v>13944</v>
          </cell>
        </row>
        <row r="2159">
          <cell r="K2159">
            <v>440515.52</v>
          </cell>
        </row>
        <row r="2160">
          <cell r="B2160">
            <v>88507</v>
          </cell>
          <cell r="C2160">
            <v>41334</v>
          </cell>
        </row>
        <row r="2160">
          <cell r="G2160">
            <v>11495</v>
          </cell>
        </row>
        <row r="2160">
          <cell r="I2160">
            <v>26</v>
          </cell>
        </row>
        <row r="2160">
          <cell r="K2160">
            <v>273239.12</v>
          </cell>
        </row>
        <row r="2161">
          <cell r="B2161">
            <v>91235</v>
          </cell>
          <cell r="C2161">
            <v>40105</v>
          </cell>
        </row>
        <row r="2161">
          <cell r="G2161">
            <v>13717</v>
          </cell>
        </row>
        <row r="2161">
          <cell r="I2161">
            <v>30</v>
          </cell>
        </row>
        <row r="2161">
          <cell r="K2161">
            <v>307198.44</v>
          </cell>
        </row>
        <row r="2162">
          <cell r="B2162">
            <v>122772</v>
          </cell>
          <cell r="C2162">
            <v>45042</v>
          </cell>
        </row>
        <row r="2162">
          <cell r="G2162">
            <v>16846</v>
          </cell>
        </row>
        <row r="2162">
          <cell r="I2162">
            <v>68</v>
          </cell>
        </row>
        <row r="2162">
          <cell r="K2162">
            <v>725027.5</v>
          </cell>
        </row>
        <row r="2163">
          <cell r="B2163">
            <v>97800</v>
          </cell>
          <cell r="C2163">
            <v>43841</v>
          </cell>
        </row>
        <row r="2163">
          <cell r="G2163">
            <v>17037</v>
          </cell>
        </row>
        <row r="2163">
          <cell r="I2163">
            <v>44</v>
          </cell>
        </row>
        <row r="2163">
          <cell r="K2163">
            <v>470779.1</v>
          </cell>
        </row>
        <row r="2164">
          <cell r="B2164">
            <v>90949</v>
          </cell>
          <cell r="C2164">
            <v>40160</v>
          </cell>
        </row>
        <row r="2164">
          <cell r="G2164">
            <v>16176</v>
          </cell>
        </row>
        <row r="2164">
          <cell r="I2164">
            <v>37</v>
          </cell>
        </row>
        <row r="2164">
          <cell r="K2164">
            <v>395817</v>
          </cell>
        </row>
        <row r="2165">
          <cell r="B2165">
            <v>242926</v>
          </cell>
          <cell r="C2165">
            <v>65487</v>
          </cell>
        </row>
        <row r="2165">
          <cell r="G2165">
            <v>15632</v>
          </cell>
        </row>
        <row r="2165">
          <cell r="I2165">
            <v>195</v>
          </cell>
        </row>
        <row r="2165">
          <cell r="K2165">
            <v>1889656</v>
          </cell>
        </row>
        <row r="2166">
          <cell r="B2166">
            <v>140414</v>
          </cell>
          <cell r="C2166">
            <v>48494</v>
          </cell>
        </row>
        <row r="2166">
          <cell r="G2166">
            <v>16511</v>
          </cell>
        </row>
        <row r="2166">
          <cell r="I2166">
            <v>309</v>
          </cell>
        </row>
        <row r="2166">
          <cell r="K2166">
            <v>3084480</v>
          </cell>
        </row>
        <row r="2167">
          <cell r="B2167">
            <v>46183</v>
          </cell>
          <cell r="C2167">
            <v>19772</v>
          </cell>
        </row>
        <row r="2167">
          <cell r="G2167">
            <v>6025</v>
          </cell>
        </row>
        <row r="2167">
          <cell r="I2167">
            <v>22</v>
          </cell>
        </row>
        <row r="2167">
          <cell r="K2167">
            <v>222695</v>
          </cell>
        </row>
        <row r="2168">
          <cell r="B2168">
            <v>33840</v>
          </cell>
          <cell r="C2168">
            <v>14353</v>
          </cell>
        </row>
        <row r="2168">
          <cell r="G2168">
            <v>6101</v>
          </cell>
        </row>
        <row r="2168">
          <cell r="I2168">
            <v>16</v>
          </cell>
        </row>
        <row r="2168">
          <cell r="K2168">
            <v>206947.2</v>
          </cell>
        </row>
        <row r="2169">
          <cell r="B2169">
            <v>23586</v>
          </cell>
          <cell r="C2169">
            <v>10738</v>
          </cell>
        </row>
        <row r="2169">
          <cell r="G2169">
            <v>3601</v>
          </cell>
        </row>
        <row r="2169">
          <cell r="I2169">
            <v>6</v>
          </cell>
        </row>
        <row r="2169">
          <cell r="K2169">
            <v>75977.1</v>
          </cell>
        </row>
        <row r="2170">
          <cell r="B2170">
            <v>25376</v>
          </cell>
          <cell r="C2170">
            <v>11227</v>
          </cell>
        </row>
        <row r="2170">
          <cell r="G2170">
            <v>4579</v>
          </cell>
        </row>
        <row r="2170">
          <cell r="I2170">
            <v>11</v>
          </cell>
        </row>
        <row r="2170">
          <cell r="K2170">
            <v>120981.82</v>
          </cell>
        </row>
        <row r="2171">
          <cell r="B2171">
            <v>30432</v>
          </cell>
          <cell r="C2171">
            <v>14002</v>
          </cell>
        </row>
        <row r="2171">
          <cell r="G2171">
            <v>4609</v>
          </cell>
        </row>
        <row r="2171">
          <cell r="I2171">
            <v>1</v>
          </cell>
        </row>
        <row r="2171">
          <cell r="K2171">
            <v>15535</v>
          </cell>
        </row>
        <row r="2172">
          <cell r="B2172">
            <v>29888</v>
          </cell>
          <cell r="C2172">
            <v>13163</v>
          </cell>
        </row>
        <row r="2172">
          <cell r="G2172">
            <v>4746</v>
          </cell>
        </row>
        <row r="2172">
          <cell r="I2172">
            <v>3</v>
          </cell>
        </row>
        <row r="2172">
          <cell r="K2172">
            <v>28366</v>
          </cell>
        </row>
        <row r="2173">
          <cell r="B2173">
            <v>24024</v>
          </cell>
          <cell r="C2173">
            <v>10436</v>
          </cell>
        </row>
        <row r="2173">
          <cell r="G2173">
            <v>5031</v>
          </cell>
        </row>
        <row r="2173">
          <cell r="I2173">
            <v>17</v>
          </cell>
        </row>
        <row r="2173">
          <cell r="K2173">
            <v>248159.4</v>
          </cell>
        </row>
        <row r="2174">
          <cell r="B2174">
            <v>23216</v>
          </cell>
          <cell r="C2174">
            <v>9971</v>
          </cell>
        </row>
        <row r="2174">
          <cell r="G2174">
            <v>4585</v>
          </cell>
        </row>
        <row r="2174">
          <cell r="I2174">
            <v>1</v>
          </cell>
        </row>
        <row r="2174">
          <cell r="K2174">
            <v>27772</v>
          </cell>
        </row>
        <row r="2175">
          <cell r="B2175">
            <v>25531</v>
          </cell>
          <cell r="C2175">
            <v>11457</v>
          </cell>
        </row>
        <row r="2175">
          <cell r="G2175">
            <v>6494</v>
          </cell>
        </row>
        <row r="2175">
          <cell r="I2175">
            <v>3</v>
          </cell>
        </row>
        <row r="2175">
          <cell r="K2175">
            <v>106893.48</v>
          </cell>
        </row>
        <row r="2176">
          <cell r="B2176">
            <v>21705</v>
          </cell>
          <cell r="C2176">
            <v>9665</v>
          </cell>
        </row>
        <row r="2176">
          <cell r="G2176">
            <v>5434</v>
          </cell>
        </row>
        <row r="2176">
          <cell r="I2176">
            <v>2</v>
          </cell>
        </row>
        <row r="2176">
          <cell r="K2176">
            <v>35492.64</v>
          </cell>
        </row>
        <row r="2177">
          <cell r="B2177">
            <v>23062</v>
          </cell>
          <cell r="C2177">
            <v>10182</v>
          </cell>
        </row>
        <row r="2177">
          <cell r="G2177">
            <v>5979</v>
          </cell>
        </row>
        <row r="2177">
          <cell r="I2177">
            <v>1</v>
          </cell>
        </row>
        <row r="2177">
          <cell r="K2177">
            <v>7883</v>
          </cell>
        </row>
        <row r="2178">
          <cell r="B2178">
            <v>25319</v>
          </cell>
          <cell r="C2178">
            <v>11493</v>
          </cell>
        </row>
        <row r="2178">
          <cell r="G2178">
            <v>6238</v>
          </cell>
        </row>
        <row r="2178">
          <cell r="I2178">
            <v>6</v>
          </cell>
        </row>
        <row r="2178">
          <cell r="K2178">
            <v>90837</v>
          </cell>
        </row>
        <row r="2179">
          <cell r="B2179">
            <v>26900</v>
          </cell>
          <cell r="C2179">
            <v>12680</v>
          </cell>
        </row>
        <row r="2179">
          <cell r="G2179">
            <v>6138</v>
          </cell>
        </row>
        <row r="2179">
          <cell r="I2179">
            <v>4</v>
          </cell>
        </row>
        <row r="2179">
          <cell r="K2179">
            <v>123898</v>
          </cell>
        </row>
        <row r="2180">
          <cell r="B2180">
            <v>22898</v>
          </cell>
          <cell r="C2180">
            <v>9569</v>
          </cell>
        </row>
        <row r="2180">
          <cell r="G2180">
            <v>5379</v>
          </cell>
        </row>
        <row r="2180">
          <cell r="I2180">
            <v>5</v>
          </cell>
        </row>
        <row r="2180">
          <cell r="K2180">
            <v>72186.92</v>
          </cell>
        </row>
        <row r="2181">
          <cell r="B2181">
            <v>21673</v>
          </cell>
          <cell r="C2181">
            <v>9603</v>
          </cell>
        </row>
        <row r="2181">
          <cell r="G2181">
            <v>6922</v>
          </cell>
        </row>
        <row r="2181">
          <cell r="I2181">
            <v>1</v>
          </cell>
        </row>
        <row r="2181">
          <cell r="K2181">
            <v>8888</v>
          </cell>
        </row>
        <row r="2182">
          <cell r="B2182">
            <v>27054</v>
          </cell>
          <cell r="C2182">
            <v>12493</v>
          </cell>
        </row>
        <row r="2182">
          <cell r="G2182">
            <v>6344</v>
          </cell>
        </row>
        <row r="2182">
          <cell r="I2182">
            <v>3</v>
          </cell>
        </row>
        <row r="2182">
          <cell r="K2182">
            <v>51879.8</v>
          </cell>
        </row>
        <row r="2183">
          <cell r="B2183">
            <v>23988</v>
          </cell>
          <cell r="C2183">
            <v>10693</v>
          </cell>
        </row>
        <row r="2183">
          <cell r="G2183">
            <v>4958</v>
          </cell>
        </row>
        <row r="2183">
          <cell r="I2183">
            <v>0</v>
          </cell>
        </row>
        <row r="2183">
          <cell r="K2183">
            <v>3348</v>
          </cell>
        </row>
        <row r="2184">
          <cell r="B2184">
            <v>25733</v>
          </cell>
          <cell r="C2184">
            <v>11861</v>
          </cell>
        </row>
        <row r="2184">
          <cell r="G2184">
            <v>5464</v>
          </cell>
        </row>
        <row r="2184">
          <cell r="I2184">
            <v>3</v>
          </cell>
        </row>
        <row r="2184">
          <cell r="K2184">
            <v>30214</v>
          </cell>
        </row>
        <row r="2185">
          <cell r="B2185">
            <v>29605</v>
          </cell>
          <cell r="C2185">
            <v>15162</v>
          </cell>
        </row>
        <row r="2185">
          <cell r="G2185">
            <v>4808</v>
          </cell>
        </row>
        <row r="2185">
          <cell r="I2185">
            <v>3</v>
          </cell>
        </row>
        <row r="2185">
          <cell r="K2185">
            <v>33210</v>
          </cell>
        </row>
        <row r="2186">
          <cell r="B2186">
            <v>33549</v>
          </cell>
          <cell r="C2186">
            <v>16516</v>
          </cell>
        </row>
        <row r="2186">
          <cell r="G2186">
            <v>5300</v>
          </cell>
        </row>
        <row r="2186">
          <cell r="I2186">
            <v>1</v>
          </cell>
        </row>
        <row r="2186">
          <cell r="K2186">
            <v>10124</v>
          </cell>
        </row>
        <row r="2187">
          <cell r="B2187">
            <v>30456</v>
          </cell>
          <cell r="C2187">
            <v>15719</v>
          </cell>
        </row>
        <row r="2187">
          <cell r="G2187">
            <v>4416</v>
          </cell>
        </row>
        <row r="2187">
          <cell r="I2187">
            <v>5</v>
          </cell>
        </row>
        <row r="2187">
          <cell r="K2187">
            <v>53713</v>
          </cell>
        </row>
        <row r="2188">
          <cell r="B2188">
            <v>29931</v>
          </cell>
          <cell r="C2188">
            <v>15452</v>
          </cell>
        </row>
        <row r="2188">
          <cell r="G2188">
            <v>4750</v>
          </cell>
        </row>
        <row r="2188">
          <cell r="I2188">
            <v>0</v>
          </cell>
        </row>
        <row r="2188">
          <cell r="K2188">
            <v>0</v>
          </cell>
        </row>
        <row r="2189">
          <cell r="B2189">
            <v>54984</v>
          </cell>
          <cell r="C2189">
            <v>29592</v>
          </cell>
        </row>
        <row r="2189">
          <cell r="G2189">
            <v>5588</v>
          </cell>
        </row>
        <row r="2189">
          <cell r="I2189">
            <v>3</v>
          </cell>
        </row>
        <row r="2189">
          <cell r="K2189">
            <v>38535</v>
          </cell>
        </row>
        <row r="2190">
          <cell r="B2190">
            <v>28880</v>
          </cell>
          <cell r="C2190">
            <v>9611</v>
          </cell>
        </row>
        <row r="2190">
          <cell r="G2190">
            <v>4857</v>
          </cell>
        </row>
        <row r="2190">
          <cell r="I2190">
            <v>5</v>
          </cell>
        </row>
        <row r="2190">
          <cell r="K2190">
            <v>54254</v>
          </cell>
        </row>
        <row r="2191">
          <cell r="B2191">
            <v>25560</v>
          </cell>
          <cell r="C2191">
            <v>8243</v>
          </cell>
        </row>
        <row r="2191">
          <cell r="G2191">
            <v>4845</v>
          </cell>
        </row>
        <row r="2191">
          <cell r="I2191">
            <v>6</v>
          </cell>
        </row>
        <row r="2191">
          <cell r="K2191">
            <v>59268</v>
          </cell>
        </row>
        <row r="2192">
          <cell r="B2192">
            <v>48870</v>
          </cell>
          <cell r="C2192">
            <v>15461</v>
          </cell>
        </row>
        <row r="2192">
          <cell r="G2192">
            <v>4174</v>
          </cell>
        </row>
        <row r="2192">
          <cell r="I2192">
            <v>1</v>
          </cell>
        </row>
        <row r="2192">
          <cell r="K2192">
            <v>5998</v>
          </cell>
        </row>
        <row r="2193">
          <cell r="B2193">
            <v>26099</v>
          </cell>
          <cell r="C2193">
            <v>8231</v>
          </cell>
        </row>
        <row r="2193">
          <cell r="G2193">
            <v>4302</v>
          </cell>
        </row>
        <row r="2193">
          <cell r="I2193">
            <v>4</v>
          </cell>
        </row>
        <row r="2193">
          <cell r="K2193">
            <v>53658</v>
          </cell>
        </row>
        <row r="2194">
          <cell r="B2194">
            <v>101012</v>
          </cell>
          <cell r="C2194">
            <v>20274</v>
          </cell>
        </row>
        <row r="2194">
          <cell r="G2194">
            <v>3535</v>
          </cell>
        </row>
        <row r="2194">
          <cell r="I2194">
            <v>39</v>
          </cell>
        </row>
        <row r="2194">
          <cell r="K2194">
            <v>348201</v>
          </cell>
        </row>
        <row r="2195">
          <cell r="B2195">
            <v>49712</v>
          </cell>
          <cell r="C2195">
            <v>13987</v>
          </cell>
        </row>
        <row r="2195">
          <cell r="G2195">
            <v>5220</v>
          </cell>
        </row>
        <row r="2195">
          <cell r="I2195">
            <v>23</v>
          </cell>
        </row>
        <row r="2195">
          <cell r="K2195">
            <v>281147.66</v>
          </cell>
        </row>
        <row r="2196">
          <cell r="B2196">
            <v>269984</v>
          </cell>
          <cell r="C2196">
            <v>57184</v>
          </cell>
        </row>
        <row r="2196">
          <cell r="G2196">
            <v>3743</v>
          </cell>
        </row>
        <row r="2196">
          <cell r="I2196">
            <v>154</v>
          </cell>
        </row>
        <row r="2196">
          <cell r="K2196">
            <v>1399254</v>
          </cell>
        </row>
        <row r="2197">
          <cell r="B2197">
            <v>123012</v>
          </cell>
          <cell r="C2197">
            <v>35206</v>
          </cell>
        </row>
        <row r="2197">
          <cell r="G2197">
            <v>5338</v>
          </cell>
        </row>
        <row r="2197">
          <cell r="I2197">
            <v>114</v>
          </cell>
        </row>
        <row r="2197">
          <cell r="K2197">
            <v>1007082</v>
          </cell>
        </row>
        <row r="2198">
          <cell r="B2198">
            <v>30216</v>
          </cell>
          <cell r="C2198">
            <v>8595</v>
          </cell>
        </row>
        <row r="2198">
          <cell r="G2198">
            <v>2415</v>
          </cell>
        </row>
        <row r="2198">
          <cell r="I2198">
            <v>10</v>
          </cell>
        </row>
        <row r="2198">
          <cell r="K2198">
            <v>99541</v>
          </cell>
        </row>
        <row r="2199">
          <cell r="B2199">
            <v>22184</v>
          </cell>
          <cell r="C2199">
            <v>6854</v>
          </cell>
        </row>
        <row r="2199">
          <cell r="G2199">
            <v>2875</v>
          </cell>
        </row>
        <row r="2199">
          <cell r="I2199">
            <v>9</v>
          </cell>
        </row>
        <row r="2199">
          <cell r="K2199">
            <v>126389</v>
          </cell>
        </row>
        <row r="2200">
          <cell r="B2200">
            <v>33547</v>
          </cell>
          <cell r="C2200">
            <v>16545</v>
          </cell>
        </row>
        <row r="2200">
          <cell r="G2200">
            <v>2840</v>
          </cell>
        </row>
        <row r="2200">
          <cell r="I2200">
            <v>9</v>
          </cell>
        </row>
        <row r="2200">
          <cell r="K2200">
            <v>96016</v>
          </cell>
        </row>
        <row r="2201">
          <cell r="B2201">
            <v>25904</v>
          </cell>
          <cell r="C2201">
            <v>8139</v>
          </cell>
        </row>
        <row r="2201">
          <cell r="G2201">
            <v>2798</v>
          </cell>
        </row>
        <row r="2201">
          <cell r="I2201">
            <v>12</v>
          </cell>
        </row>
        <row r="2201">
          <cell r="K2201">
            <v>152424</v>
          </cell>
        </row>
        <row r="2202">
          <cell r="B2202">
            <v>16409</v>
          </cell>
          <cell r="C2202">
            <v>4643</v>
          </cell>
        </row>
        <row r="2202">
          <cell r="G2202">
            <v>2654</v>
          </cell>
        </row>
        <row r="2202">
          <cell r="I2202">
            <v>5</v>
          </cell>
        </row>
        <row r="2202">
          <cell r="K2202">
            <v>44235</v>
          </cell>
        </row>
        <row r="2203">
          <cell r="B2203">
            <v>18008</v>
          </cell>
          <cell r="C2203">
            <v>5681</v>
          </cell>
        </row>
        <row r="2203">
          <cell r="G2203">
            <v>2450</v>
          </cell>
        </row>
        <row r="2203">
          <cell r="I2203">
            <v>23</v>
          </cell>
        </row>
        <row r="2203">
          <cell r="K2203">
            <v>267216</v>
          </cell>
        </row>
        <row r="2204">
          <cell r="B2204">
            <v>17069</v>
          </cell>
          <cell r="C2204">
            <v>5139</v>
          </cell>
        </row>
        <row r="2204">
          <cell r="G2204">
            <v>1560</v>
          </cell>
        </row>
        <row r="2204">
          <cell r="I2204">
            <v>3</v>
          </cell>
        </row>
        <row r="2204">
          <cell r="K2204">
            <v>35772</v>
          </cell>
        </row>
        <row r="2205">
          <cell r="B2205">
            <v>11837</v>
          </cell>
          <cell r="C2205">
            <v>3178</v>
          </cell>
        </row>
        <row r="2205">
          <cell r="G2205">
            <v>1538</v>
          </cell>
        </row>
        <row r="2205">
          <cell r="I2205">
            <v>6</v>
          </cell>
        </row>
        <row r="2205">
          <cell r="K2205">
            <v>70322</v>
          </cell>
        </row>
        <row r="2206">
          <cell r="B2206">
            <v>16347</v>
          </cell>
          <cell r="C2206">
            <v>5739</v>
          </cell>
        </row>
        <row r="2206">
          <cell r="G2206">
            <v>1834</v>
          </cell>
        </row>
        <row r="2206">
          <cell r="I2206">
            <v>3</v>
          </cell>
        </row>
        <row r="2206">
          <cell r="K2206">
            <v>28815</v>
          </cell>
        </row>
        <row r="2207">
          <cell r="B2207">
            <v>22952</v>
          </cell>
          <cell r="C2207">
            <v>10294</v>
          </cell>
        </row>
        <row r="2207">
          <cell r="G2207">
            <v>4055</v>
          </cell>
        </row>
        <row r="2207">
          <cell r="I2207">
            <v>7</v>
          </cell>
        </row>
        <row r="2207">
          <cell r="K2207">
            <v>105038.98</v>
          </cell>
        </row>
        <row r="2208">
          <cell r="B2208">
            <v>20470</v>
          </cell>
          <cell r="C2208">
            <v>8095</v>
          </cell>
        </row>
        <row r="2208">
          <cell r="G2208">
            <v>3741</v>
          </cell>
        </row>
        <row r="2208">
          <cell r="I2208">
            <v>9</v>
          </cell>
        </row>
        <row r="2208">
          <cell r="K2208">
            <v>113608.98</v>
          </cell>
        </row>
        <row r="2209">
          <cell r="B2209">
            <v>17999</v>
          </cell>
          <cell r="C2209">
            <v>6980</v>
          </cell>
        </row>
        <row r="2209">
          <cell r="G2209">
            <v>2642</v>
          </cell>
        </row>
        <row r="2209">
          <cell r="I2209">
            <v>3</v>
          </cell>
        </row>
        <row r="2209">
          <cell r="K2209">
            <v>39836.4</v>
          </cell>
        </row>
        <row r="2210">
          <cell r="B2210">
            <v>21154</v>
          </cell>
          <cell r="C2210">
            <v>7604</v>
          </cell>
        </row>
        <row r="2210">
          <cell r="G2210">
            <v>4436</v>
          </cell>
        </row>
        <row r="2210">
          <cell r="I2210">
            <v>7</v>
          </cell>
        </row>
        <row r="2210">
          <cell r="K2210">
            <v>85624</v>
          </cell>
        </row>
        <row r="2211">
          <cell r="B2211">
            <v>20098</v>
          </cell>
          <cell r="C2211">
            <v>7491</v>
          </cell>
        </row>
        <row r="2211">
          <cell r="G2211">
            <v>4596</v>
          </cell>
        </row>
        <row r="2211">
          <cell r="I2211">
            <v>4</v>
          </cell>
        </row>
        <row r="2211">
          <cell r="K2211">
            <v>55600</v>
          </cell>
        </row>
        <row r="2212">
          <cell r="B2212">
            <v>18490</v>
          </cell>
          <cell r="C2212">
            <v>7087</v>
          </cell>
        </row>
        <row r="2212">
          <cell r="G2212">
            <v>5042</v>
          </cell>
        </row>
        <row r="2212">
          <cell r="I2212">
            <v>2</v>
          </cell>
        </row>
        <row r="2212">
          <cell r="K2212">
            <v>6000</v>
          </cell>
        </row>
        <row r="2213">
          <cell r="B2213">
            <v>21083</v>
          </cell>
          <cell r="C2213">
            <v>8013</v>
          </cell>
        </row>
        <row r="2213">
          <cell r="G2213">
            <v>5068</v>
          </cell>
        </row>
        <row r="2213">
          <cell r="I2213">
            <v>9</v>
          </cell>
        </row>
        <row r="2213">
          <cell r="K2213">
            <v>98187.08</v>
          </cell>
        </row>
        <row r="2214">
          <cell r="B2214">
            <v>20308</v>
          </cell>
          <cell r="C2214">
            <v>7890</v>
          </cell>
        </row>
        <row r="2214">
          <cell r="G2214">
            <v>5415</v>
          </cell>
        </row>
        <row r="2214">
          <cell r="I2214">
            <v>7</v>
          </cell>
        </row>
        <row r="2214">
          <cell r="K2214">
            <v>73066</v>
          </cell>
        </row>
        <row r="2215">
          <cell r="B2215">
            <v>17903</v>
          </cell>
          <cell r="C2215">
            <v>5870</v>
          </cell>
        </row>
        <row r="2215">
          <cell r="G2215">
            <v>4635</v>
          </cell>
        </row>
        <row r="2215">
          <cell r="I2215">
            <v>13</v>
          </cell>
        </row>
        <row r="2215">
          <cell r="K2215">
            <v>149147</v>
          </cell>
        </row>
        <row r="2216">
          <cell r="B2216">
            <v>19539</v>
          </cell>
          <cell r="C2216">
            <v>7810</v>
          </cell>
        </row>
        <row r="2216">
          <cell r="G2216">
            <v>5732</v>
          </cell>
        </row>
        <row r="2216">
          <cell r="I2216">
            <v>6</v>
          </cell>
        </row>
        <row r="2216">
          <cell r="K2216">
            <v>68236.98</v>
          </cell>
        </row>
        <row r="2217">
          <cell r="B2217">
            <v>19896</v>
          </cell>
          <cell r="C2217">
            <v>8661</v>
          </cell>
        </row>
        <row r="2217">
          <cell r="G2217">
            <v>2620</v>
          </cell>
        </row>
        <row r="2217">
          <cell r="I2217">
            <v>10</v>
          </cell>
        </row>
        <row r="2217">
          <cell r="K2217">
            <v>114504.04</v>
          </cell>
        </row>
        <row r="2218">
          <cell r="B2218">
            <v>24534</v>
          </cell>
          <cell r="C2218">
            <v>8962</v>
          </cell>
        </row>
        <row r="2218">
          <cell r="G2218">
            <v>2957</v>
          </cell>
        </row>
        <row r="2218">
          <cell r="I2218">
            <v>3</v>
          </cell>
        </row>
        <row r="2218">
          <cell r="K2218">
            <v>28541.64</v>
          </cell>
        </row>
        <row r="2219">
          <cell r="B2219">
            <v>21936</v>
          </cell>
          <cell r="C2219">
            <v>9087</v>
          </cell>
        </row>
        <row r="2219">
          <cell r="G2219">
            <v>2594</v>
          </cell>
        </row>
        <row r="2219">
          <cell r="I2219">
            <v>5</v>
          </cell>
        </row>
        <row r="2219">
          <cell r="K2219">
            <v>46364</v>
          </cell>
        </row>
        <row r="2220">
          <cell r="B2220">
            <v>18464</v>
          </cell>
          <cell r="C2220">
            <v>7009</v>
          </cell>
        </row>
        <row r="2220">
          <cell r="G2220">
            <v>2332</v>
          </cell>
        </row>
        <row r="2220">
          <cell r="I2220">
            <v>0</v>
          </cell>
        </row>
        <row r="2220">
          <cell r="K2220">
            <v>0</v>
          </cell>
        </row>
        <row r="2221">
          <cell r="B2221">
            <v>18399</v>
          </cell>
          <cell r="C2221">
            <v>6006</v>
          </cell>
        </row>
        <row r="2221">
          <cell r="G2221">
            <v>2051</v>
          </cell>
        </row>
        <row r="2221">
          <cell r="I2221">
            <v>9</v>
          </cell>
        </row>
        <row r="2221">
          <cell r="K2221">
            <v>97135.6</v>
          </cell>
        </row>
        <row r="2222">
          <cell r="B2222">
            <v>15240</v>
          </cell>
          <cell r="C2222">
            <v>5409</v>
          </cell>
        </row>
        <row r="2222">
          <cell r="G2222">
            <v>2058</v>
          </cell>
        </row>
        <row r="2222">
          <cell r="I2222">
            <v>2</v>
          </cell>
        </row>
        <row r="2222">
          <cell r="K2222">
            <v>26266</v>
          </cell>
        </row>
        <row r="2223">
          <cell r="B2223">
            <v>17879</v>
          </cell>
          <cell r="C2223">
            <v>6258</v>
          </cell>
        </row>
        <row r="2223">
          <cell r="G2223">
            <v>2200</v>
          </cell>
        </row>
        <row r="2223">
          <cell r="I2223">
            <v>6</v>
          </cell>
        </row>
        <row r="2223">
          <cell r="K2223">
            <v>42801.08</v>
          </cell>
        </row>
        <row r="2224">
          <cell r="B2224">
            <v>16679</v>
          </cell>
          <cell r="C2224">
            <v>5791</v>
          </cell>
        </row>
        <row r="2224">
          <cell r="G2224">
            <v>2324</v>
          </cell>
        </row>
        <row r="2224">
          <cell r="I2224">
            <v>6</v>
          </cell>
        </row>
        <row r="2224">
          <cell r="K2224">
            <v>42801.08</v>
          </cell>
        </row>
        <row r="2225">
          <cell r="B2225">
            <v>15388</v>
          </cell>
          <cell r="C2225">
            <v>5105</v>
          </cell>
        </row>
        <row r="2225">
          <cell r="G2225">
            <v>1914</v>
          </cell>
        </row>
        <row r="2225">
          <cell r="I2225">
            <v>5</v>
          </cell>
        </row>
        <row r="2225">
          <cell r="K2225">
            <v>60915</v>
          </cell>
        </row>
        <row r="2226">
          <cell r="B2226">
            <v>16405</v>
          </cell>
          <cell r="C2226">
            <v>6490</v>
          </cell>
        </row>
        <row r="2226">
          <cell r="G2226">
            <v>2194</v>
          </cell>
        </row>
        <row r="2226">
          <cell r="I2226">
            <v>7</v>
          </cell>
        </row>
        <row r="2226">
          <cell r="K2226">
            <v>57549</v>
          </cell>
        </row>
        <row r="2227">
          <cell r="B2227">
            <v>24332</v>
          </cell>
          <cell r="C2227">
            <v>10132</v>
          </cell>
        </row>
        <row r="2227">
          <cell r="G2227">
            <v>3912</v>
          </cell>
        </row>
        <row r="2227">
          <cell r="I2227">
            <v>8</v>
          </cell>
        </row>
        <row r="2227">
          <cell r="K2227">
            <v>93323.72</v>
          </cell>
        </row>
        <row r="2228">
          <cell r="B2228">
            <v>21764</v>
          </cell>
          <cell r="C2228">
            <v>8455</v>
          </cell>
        </row>
        <row r="2228">
          <cell r="G2228">
            <v>3369</v>
          </cell>
        </row>
        <row r="2228">
          <cell r="I2228">
            <v>5</v>
          </cell>
        </row>
        <row r="2228">
          <cell r="K2228">
            <v>39897.8</v>
          </cell>
        </row>
        <row r="2229">
          <cell r="B2229">
            <v>42025</v>
          </cell>
          <cell r="C2229">
            <v>13694</v>
          </cell>
        </row>
        <row r="2229">
          <cell r="G2229">
            <v>4056</v>
          </cell>
        </row>
        <row r="2229">
          <cell r="I2229">
            <v>27</v>
          </cell>
        </row>
        <row r="2229">
          <cell r="K2229">
            <v>291329</v>
          </cell>
        </row>
        <row r="2230">
          <cell r="B2230">
            <v>31595</v>
          </cell>
          <cell r="C2230">
            <v>11279</v>
          </cell>
        </row>
        <row r="2230">
          <cell r="G2230">
            <v>4141</v>
          </cell>
        </row>
        <row r="2230">
          <cell r="I2230">
            <v>17</v>
          </cell>
        </row>
        <row r="2230">
          <cell r="K2230">
            <v>170949.32</v>
          </cell>
        </row>
        <row r="2231">
          <cell r="B2231">
            <v>26598</v>
          </cell>
          <cell r="C2231">
            <v>9667</v>
          </cell>
        </row>
        <row r="2231">
          <cell r="G2231">
            <v>4112</v>
          </cell>
        </row>
        <row r="2231">
          <cell r="I2231">
            <v>18</v>
          </cell>
        </row>
        <row r="2231">
          <cell r="K2231">
            <v>208923</v>
          </cell>
        </row>
        <row r="2232">
          <cell r="B2232">
            <v>20425</v>
          </cell>
          <cell r="C2232">
            <v>6264</v>
          </cell>
        </row>
        <row r="2232">
          <cell r="G2232">
            <v>4939</v>
          </cell>
        </row>
        <row r="2232">
          <cell r="I2232">
            <v>10</v>
          </cell>
        </row>
        <row r="2232">
          <cell r="K2232">
            <v>87419.32</v>
          </cell>
        </row>
        <row r="2233">
          <cell r="B2233">
            <v>24714</v>
          </cell>
          <cell r="C2233">
            <v>7324</v>
          </cell>
        </row>
        <row r="2233">
          <cell r="G2233">
            <v>5265</v>
          </cell>
        </row>
        <row r="2233">
          <cell r="I2233">
            <v>11</v>
          </cell>
        </row>
        <row r="2233">
          <cell r="K2233">
            <v>109814</v>
          </cell>
        </row>
        <row r="2234">
          <cell r="B2234">
            <v>22663</v>
          </cell>
          <cell r="C2234">
            <v>8186</v>
          </cell>
        </row>
        <row r="2234">
          <cell r="G2234">
            <v>5210</v>
          </cell>
        </row>
        <row r="2234">
          <cell r="I2234">
            <v>6</v>
          </cell>
        </row>
        <row r="2234">
          <cell r="K2234">
            <v>52948.22</v>
          </cell>
        </row>
        <row r="2235">
          <cell r="B2235">
            <v>30872</v>
          </cell>
          <cell r="C2235">
            <v>11695</v>
          </cell>
        </row>
        <row r="2235">
          <cell r="G2235">
            <v>5088</v>
          </cell>
        </row>
        <row r="2235">
          <cell r="I2235">
            <v>7</v>
          </cell>
        </row>
        <row r="2235">
          <cell r="K2235">
            <v>50893.6</v>
          </cell>
        </row>
        <row r="2236">
          <cell r="B2236">
            <v>25994</v>
          </cell>
          <cell r="C2236">
            <v>8220</v>
          </cell>
        </row>
        <row r="2236">
          <cell r="G2236">
            <v>7002</v>
          </cell>
        </row>
        <row r="2236">
          <cell r="I2236">
            <v>10</v>
          </cell>
        </row>
        <row r="2236">
          <cell r="K2236">
            <v>87635</v>
          </cell>
        </row>
        <row r="2237">
          <cell r="B2237">
            <v>26222</v>
          </cell>
          <cell r="C2237">
            <v>7311</v>
          </cell>
        </row>
        <row r="2237">
          <cell r="G2237">
            <v>6923</v>
          </cell>
        </row>
        <row r="2237">
          <cell r="I2237">
            <v>9</v>
          </cell>
        </row>
        <row r="2237">
          <cell r="K2237">
            <v>78328</v>
          </cell>
        </row>
        <row r="2238">
          <cell r="B2238">
            <v>25659</v>
          </cell>
          <cell r="C2238">
            <v>6951</v>
          </cell>
        </row>
        <row r="2238">
          <cell r="G2238">
            <v>7137</v>
          </cell>
        </row>
        <row r="2238">
          <cell r="I2238">
            <v>7</v>
          </cell>
        </row>
        <row r="2238">
          <cell r="K2238">
            <v>66442</v>
          </cell>
        </row>
        <row r="2239">
          <cell r="B2239">
            <v>21304</v>
          </cell>
          <cell r="C2239">
            <v>6192</v>
          </cell>
        </row>
        <row r="2239">
          <cell r="G2239">
            <v>6693</v>
          </cell>
        </row>
        <row r="2239">
          <cell r="I2239">
            <v>5</v>
          </cell>
        </row>
        <row r="2239">
          <cell r="K2239">
            <v>49464</v>
          </cell>
        </row>
        <row r="2240">
          <cell r="B2240">
            <v>24660</v>
          </cell>
          <cell r="C2240">
            <v>7278</v>
          </cell>
        </row>
        <row r="2240">
          <cell r="G2240">
            <v>5704</v>
          </cell>
        </row>
        <row r="2240">
          <cell r="I2240">
            <v>5</v>
          </cell>
        </row>
        <row r="2240">
          <cell r="K2240">
            <v>45724.64</v>
          </cell>
        </row>
        <row r="2241">
          <cell r="B2241">
            <v>29842</v>
          </cell>
          <cell r="C2241">
            <v>8723</v>
          </cell>
        </row>
        <row r="2241">
          <cell r="G2241">
            <v>5464</v>
          </cell>
        </row>
        <row r="2241">
          <cell r="I2241">
            <v>6</v>
          </cell>
        </row>
        <row r="2241">
          <cell r="K2241">
            <v>54456</v>
          </cell>
        </row>
        <row r="2242">
          <cell r="B2242">
            <v>26844</v>
          </cell>
          <cell r="C2242">
            <v>8612</v>
          </cell>
        </row>
        <row r="2242">
          <cell r="G2242">
            <v>5806</v>
          </cell>
        </row>
        <row r="2242">
          <cell r="I2242">
            <v>11</v>
          </cell>
        </row>
        <row r="2242">
          <cell r="K2242">
            <v>127743.04</v>
          </cell>
        </row>
        <row r="2243">
          <cell r="B2243">
            <v>28494</v>
          </cell>
          <cell r="C2243">
            <v>11431</v>
          </cell>
        </row>
        <row r="2243">
          <cell r="G2243">
            <v>5896</v>
          </cell>
        </row>
        <row r="2243">
          <cell r="I2243">
            <v>9</v>
          </cell>
        </row>
        <row r="2243">
          <cell r="K2243">
            <v>78056.8</v>
          </cell>
        </row>
        <row r="2244">
          <cell r="B2244">
            <v>22086</v>
          </cell>
          <cell r="C2244">
            <v>7656</v>
          </cell>
        </row>
        <row r="2244">
          <cell r="G2244">
            <v>6565</v>
          </cell>
        </row>
        <row r="2244">
          <cell r="I2244">
            <v>2</v>
          </cell>
        </row>
        <row r="2244">
          <cell r="K2244">
            <v>22251</v>
          </cell>
        </row>
        <row r="2245">
          <cell r="B2245">
            <v>26356</v>
          </cell>
          <cell r="C2245">
            <v>9457</v>
          </cell>
        </row>
        <row r="2245">
          <cell r="G2245">
            <v>8659</v>
          </cell>
        </row>
        <row r="2245">
          <cell r="I2245">
            <v>3</v>
          </cell>
        </row>
        <row r="2245">
          <cell r="K2245">
            <v>27997</v>
          </cell>
        </row>
        <row r="2246">
          <cell r="B2246">
            <v>26836</v>
          </cell>
          <cell r="C2246">
            <v>9417</v>
          </cell>
        </row>
        <row r="2246">
          <cell r="G2246">
            <v>8063</v>
          </cell>
        </row>
        <row r="2246">
          <cell r="I2246">
            <v>4</v>
          </cell>
        </row>
        <row r="2246">
          <cell r="K2246">
            <v>86645.1</v>
          </cell>
        </row>
        <row r="2247">
          <cell r="B2247">
            <v>26446</v>
          </cell>
          <cell r="C2247">
            <v>8300</v>
          </cell>
        </row>
        <row r="2247">
          <cell r="G2247">
            <v>6795</v>
          </cell>
        </row>
        <row r="2247">
          <cell r="I2247">
            <v>2</v>
          </cell>
        </row>
        <row r="2247">
          <cell r="K2247">
            <v>13700.4</v>
          </cell>
        </row>
        <row r="2248">
          <cell r="B2248">
            <v>28112</v>
          </cell>
          <cell r="C2248">
            <v>8963</v>
          </cell>
        </row>
        <row r="2248">
          <cell r="G2248">
            <v>6244</v>
          </cell>
        </row>
        <row r="2248">
          <cell r="I2248">
            <v>5</v>
          </cell>
        </row>
        <row r="2248">
          <cell r="K2248">
            <v>80843</v>
          </cell>
        </row>
        <row r="2249">
          <cell r="B2249">
            <v>30342</v>
          </cell>
          <cell r="C2249">
            <v>9309</v>
          </cell>
        </row>
        <row r="2249">
          <cell r="G2249">
            <v>7519</v>
          </cell>
        </row>
        <row r="2249">
          <cell r="I2249">
            <v>6</v>
          </cell>
        </row>
        <row r="2249">
          <cell r="K2249">
            <v>78305</v>
          </cell>
        </row>
        <row r="2250">
          <cell r="B2250">
            <v>45192</v>
          </cell>
          <cell r="C2250">
            <v>14311</v>
          </cell>
        </row>
        <row r="2250">
          <cell r="G2250">
            <v>6134</v>
          </cell>
        </row>
        <row r="2250">
          <cell r="I2250">
            <v>2</v>
          </cell>
        </row>
        <row r="2250">
          <cell r="K2250">
            <v>11294</v>
          </cell>
        </row>
        <row r="2251">
          <cell r="B2251">
            <v>28331</v>
          </cell>
          <cell r="C2251">
            <v>7930</v>
          </cell>
        </row>
        <row r="2251">
          <cell r="G2251">
            <v>5885</v>
          </cell>
        </row>
        <row r="2251">
          <cell r="I2251">
            <v>8</v>
          </cell>
        </row>
        <row r="2251">
          <cell r="K2251">
            <v>138202</v>
          </cell>
        </row>
        <row r="2252">
          <cell r="B2252">
            <v>23617</v>
          </cell>
          <cell r="C2252">
            <v>6318</v>
          </cell>
        </row>
        <row r="2252">
          <cell r="G2252">
            <v>3697</v>
          </cell>
        </row>
        <row r="2252">
          <cell r="I2252">
            <v>4</v>
          </cell>
        </row>
        <row r="2252">
          <cell r="K2252">
            <v>39463.6</v>
          </cell>
        </row>
        <row r="2253">
          <cell r="B2253">
            <v>22852</v>
          </cell>
          <cell r="C2253">
            <v>6494</v>
          </cell>
        </row>
        <row r="2253">
          <cell r="G2253">
            <v>3079</v>
          </cell>
        </row>
        <row r="2253">
          <cell r="I2253">
            <v>4</v>
          </cell>
        </row>
        <row r="2253">
          <cell r="K2253">
            <v>45889</v>
          </cell>
        </row>
        <row r="2254">
          <cell r="B2254">
            <v>21852</v>
          </cell>
          <cell r="C2254">
            <v>5729</v>
          </cell>
        </row>
        <row r="2254">
          <cell r="G2254">
            <v>3470</v>
          </cell>
        </row>
        <row r="2254">
          <cell r="I2254">
            <v>6</v>
          </cell>
        </row>
        <row r="2254">
          <cell r="K2254">
            <v>77828.03</v>
          </cell>
        </row>
        <row r="2255">
          <cell r="B2255">
            <v>23010</v>
          </cell>
          <cell r="C2255">
            <v>6211</v>
          </cell>
        </row>
        <row r="2255">
          <cell r="G2255">
            <v>2764</v>
          </cell>
        </row>
        <row r="2255">
          <cell r="I2255">
            <v>14</v>
          </cell>
        </row>
        <row r="2255">
          <cell r="K2255">
            <v>168146.44</v>
          </cell>
        </row>
        <row r="2256">
          <cell r="B2256">
            <v>21321</v>
          </cell>
          <cell r="C2256">
            <v>5833</v>
          </cell>
        </row>
        <row r="2256">
          <cell r="G2256">
            <v>2861</v>
          </cell>
        </row>
        <row r="2256">
          <cell r="I2256">
            <v>10</v>
          </cell>
        </row>
        <row r="2256">
          <cell r="K2256">
            <v>148083.02</v>
          </cell>
        </row>
        <row r="2257">
          <cell r="B2257">
            <v>22496</v>
          </cell>
          <cell r="C2257">
            <v>4774</v>
          </cell>
        </row>
        <row r="2257">
          <cell r="G2257">
            <v>2927</v>
          </cell>
        </row>
        <row r="2257">
          <cell r="I2257">
            <v>12</v>
          </cell>
        </row>
        <row r="2257">
          <cell r="K2257">
            <v>122389.15</v>
          </cell>
        </row>
        <row r="2258">
          <cell r="B2258">
            <v>23407</v>
          </cell>
          <cell r="C2258">
            <v>7977</v>
          </cell>
        </row>
        <row r="2258">
          <cell r="G2258">
            <v>2885</v>
          </cell>
        </row>
        <row r="2258">
          <cell r="I2258">
            <v>6</v>
          </cell>
        </row>
        <row r="2258">
          <cell r="K2258">
            <v>69297.83</v>
          </cell>
        </row>
        <row r="2259">
          <cell r="B2259">
            <v>22899</v>
          </cell>
          <cell r="C2259">
            <v>8928</v>
          </cell>
        </row>
        <row r="2259">
          <cell r="G2259">
            <v>2581</v>
          </cell>
        </row>
        <row r="2259">
          <cell r="I2259">
            <v>8</v>
          </cell>
        </row>
        <row r="2259">
          <cell r="K2259">
            <v>95136.88</v>
          </cell>
        </row>
        <row r="2260">
          <cell r="B2260">
            <v>25365</v>
          </cell>
          <cell r="C2260">
            <v>9746</v>
          </cell>
        </row>
        <row r="2260">
          <cell r="G2260">
            <v>3149</v>
          </cell>
        </row>
        <row r="2260">
          <cell r="I2260">
            <v>0</v>
          </cell>
        </row>
        <row r="2260">
          <cell r="K2260">
            <v>15123</v>
          </cell>
        </row>
        <row r="2261">
          <cell r="B2261">
            <v>24797</v>
          </cell>
          <cell r="C2261">
            <v>10065</v>
          </cell>
        </row>
        <row r="2261">
          <cell r="G2261">
            <v>3166</v>
          </cell>
        </row>
        <row r="2261">
          <cell r="I2261">
            <v>3</v>
          </cell>
        </row>
        <row r="2261">
          <cell r="K2261">
            <v>49444.58</v>
          </cell>
        </row>
        <row r="2262">
          <cell r="B2262">
            <v>25608</v>
          </cell>
          <cell r="C2262">
            <v>10215</v>
          </cell>
        </row>
        <row r="2262">
          <cell r="G2262">
            <v>3227</v>
          </cell>
        </row>
        <row r="2262">
          <cell r="I2262">
            <v>6</v>
          </cell>
        </row>
        <row r="2262">
          <cell r="K2262">
            <v>71096</v>
          </cell>
        </row>
        <row r="2263">
          <cell r="B2263">
            <v>28909</v>
          </cell>
          <cell r="C2263">
            <v>11896</v>
          </cell>
        </row>
        <row r="2263">
          <cell r="G2263">
            <v>4158</v>
          </cell>
        </row>
        <row r="2263">
          <cell r="I2263">
            <v>5</v>
          </cell>
        </row>
        <row r="2263">
          <cell r="K2263">
            <v>51251.36</v>
          </cell>
        </row>
        <row r="2264">
          <cell r="B2264">
            <v>31001</v>
          </cell>
          <cell r="C2264">
            <v>12360</v>
          </cell>
        </row>
        <row r="2264">
          <cell r="G2264">
            <v>3777</v>
          </cell>
        </row>
        <row r="2264">
          <cell r="I2264">
            <v>12</v>
          </cell>
        </row>
        <row r="2264">
          <cell r="K2264">
            <v>174460.76</v>
          </cell>
        </row>
        <row r="2265">
          <cell r="B2265">
            <v>30029</v>
          </cell>
          <cell r="C2265">
            <v>13039</v>
          </cell>
        </row>
        <row r="2265">
          <cell r="G2265">
            <v>2994</v>
          </cell>
        </row>
        <row r="2265">
          <cell r="I2265">
            <v>7</v>
          </cell>
        </row>
        <row r="2265">
          <cell r="K2265">
            <v>98675.72</v>
          </cell>
        </row>
        <row r="2266">
          <cell r="B2266">
            <v>26338</v>
          </cell>
          <cell r="C2266">
            <v>11801</v>
          </cell>
        </row>
        <row r="2266">
          <cell r="G2266">
            <v>2354</v>
          </cell>
        </row>
        <row r="2266">
          <cell r="I2266">
            <v>7</v>
          </cell>
        </row>
        <row r="2266">
          <cell r="K2266">
            <v>61846.05</v>
          </cell>
        </row>
        <row r="2267">
          <cell r="B2267">
            <v>22104</v>
          </cell>
          <cell r="C2267">
            <v>7367</v>
          </cell>
        </row>
        <row r="2267">
          <cell r="G2267">
            <v>2687</v>
          </cell>
        </row>
        <row r="2267">
          <cell r="I2267">
            <v>9</v>
          </cell>
        </row>
        <row r="2267">
          <cell r="K2267">
            <v>146205.26</v>
          </cell>
        </row>
        <row r="2268">
          <cell r="B2268">
            <v>26914</v>
          </cell>
          <cell r="C2268">
            <v>8205</v>
          </cell>
        </row>
        <row r="2268">
          <cell r="G2268">
            <v>3745</v>
          </cell>
        </row>
        <row r="2268">
          <cell r="I2268">
            <v>11</v>
          </cell>
        </row>
        <row r="2268">
          <cell r="K2268">
            <v>137321.04</v>
          </cell>
        </row>
        <row r="2269">
          <cell r="B2269">
            <v>126912</v>
          </cell>
          <cell r="C2269">
            <v>30031</v>
          </cell>
        </row>
        <row r="2269">
          <cell r="G2269">
            <v>2430</v>
          </cell>
        </row>
        <row r="2269">
          <cell r="I2269">
            <v>6</v>
          </cell>
        </row>
        <row r="2269">
          <cell r="K2269">
            <v>80095.48</v>
          </cell>
        </row>
        <row r="2270">
          <cell r="B2270">
            <v>40075</v>
          </cell>
          <cell r="C2270">
            <v>10402</v>
          </cell>
        </row>
        <row r="2270">
          <cell r="G2270">
            <v>2595</v>
          </cell>
        </row>
        <row r="2270">
          <cell r="I2270">
            <v>5</v>
          </cell>
        </row>
        <row r="2270">
          <cell r="K2270">
            <v>71933.72</v>
          </cell>
        </row>
        <row r="2271">
          <cell r="B2271">
            <v>62184</v>
          </cell>
          <cell r="C2271">
            <v>15277</v>
          </cell>
        </row>
        <row r="2271">
          <cell r="G2271">
            <v>2936</v>
          </cell>
        </row>
        <row r="2271">
          <cell r="I2271">
            <v>66</v>
          </cell>
        </row>
        <row r="2271">
          <cell r="K2271">
            <v>594424.74</v>
          </cell>
        </row>
        <row r="2272">
          <cell r="B2272">
            <v>60022</v>
          </cell>
          <cell r="C2272">
            <v>15261</v>
          </cell>
        </row>
        <row r="2272">
          <cell r="G2272">
            <v>2756</v>
          </cell>
        </row>
        <row r="2272">
          <cell r="I2272">
            <v>29</v>
          </cell>
        </row>
        <row r="2272">
          <cell r="K2272">
            <v>280815.08</v>
          </cell>
        </row>
        <row r="2273">
          <cell r="B2273">
            <v>39534</v>
          </cell>
          <cell r="C2273">
            <v>11140</v>
          </cell>
        </row>
        <row r="2273">
          <cell r="G2273">
            <v>2954</v>
          </cell>
        </row>
        <row r="2273">
          <cell r="I2273">
            <v>10</v>
          </cell>
        </row>
        <row r="2273">
          <cell r="K2273">
            <v>103385.92</v>
          </cell>
        </row>
        <row r="2274">
          <cell r="B2274">
            <v>41476</v>
          </cell>
          <cell r="C2274">
            <v>8815</v>
          </cell>
        </row>
        <row r="2274">
          <cell r="G2274">
            <v>2903</v>
          </cell>
        </row>
        <row r="2274">
          <cell r="I2274">
            <v>28</v>
          </cell>
        </row>
        <row r="2274">
          <cell r="K2274">
            <v>290066.04</v>
          </cell>
        </row>
        <row r="2275">
          <cell r="B2275">
            <v>290927</v>
          </cell>
          <cell r="C2275">
            <v>56789</v>
          </cell>
        </row>
        <row r="2275">
          <cell r="G2275">
            <v>2849</v>
          </cell>
        </row>
        <row r="2275">
          <cell r="I2275">
            <v>232</v>
          </cell>
        </row>
        <row r="2275">
          <cell r="K2275">
            <v>1852892</v>
          </cell>
        </row>
        <row r="2276">
          <cell r="B2276">
            <v>45526</v>
          </cell>
          <cell r="C2276">
            <v>10362</v>
          </cell>
        </row>
        <row r="2276">
          <cell r="G2276">
            <v>2616</v>
          </cell>
        </row>
        <row r="2276">
          <cell r="I2276">
            <v>45</v>
          </cell>
        </row>
        <row r="2276">
          <cell r="K2276">
            <v>355814</v>
          </cell>
        </row>
        <row r="2277">
          <cell r="B2277">
            <v>27261</v>
          </cell>
          <cell r="C2277">
            <v>6594</v>
          </cell>
        </row>
        <row r="2277">
          <cell r="G2277">
            <v>2826</v>
          </cell>
        </row>
        <row r="2277">
          <cell r="I2277">
            <v>20</v>
          </cell>
        </row>
        <row r="2277">
          <cell r="K2277">
            <v>183203</v>
          </cell>
        </row>
        <row r="2278">
          <cell r="B2278">
            <v>46865</v>
          </cell>
          <cell r="C2278">
            <v>10950</v>
          </cell>
        </row>
        <row r="2278">
          <cell r="G2278">
            <v>2761</v>
          </cell>
        </row>
        <row r="2278">
          <cell r="I2278">
            <v>7</v>
          </cell>
        </row>
        <row r="2278">
          <cell r="K2278">
            <v>271371</v>
          </cell>
        </row>
        <row r="2279">
          <cell r="B2279">
            <v>35209</v>
          </cell>
          <cell r="C2279">
            <v>9458</v>
          </cell>
        </row>
        <row r="2279">
          <cell r="G2279">
            <v>3525</v>
          </cell>
        </row>
        <row r="2279">
          <cell r="I2279">
            <v>24</v>
          </cell>
        </row>
        <row r="2279">
          <cell r="K2279">
            <v>212419</v>
          </cell>
        </row>
        <row r="2280">
          <cell r="B2280">
            <v>41530</v>
          </cell>
          <cell r="C2280">
            <v>11189</v>
          </cell>
        </row>
        <row r="2280">
          <cell r="G2280">
            <v>3084</v>
          </cell>
        </row>
        <row r="2280">
          <cell r="I2280">
            <v>42</v>
          </cell>
        </row>
        <row r="2280">
          <cell r="K2280">
            <v>399780.02</v>
          </cell>
        </row>
        <row r="2281">
          <cell r="B2281">
            <v>26629</v>
          </cell>
          <cell r="C2281">
            <v>6791</v>
          </cell>
        </row>
        <row r="2281">
          <cell r="G2281">
            <v>3061</v>
          </cell>
        </row>
        <row r="2281">
          <cell r="I2281">
            <v>22</v>
          </cell>
        </row>
        <row r="2281">
          <cell r="K2281">
            <v>176627</v>
          </cell>
        </row>
        <row r="2282">
          <cell r="B2282">
            <v>107010</v>
          </cell>
          <cell r="C2282">
            <v>25135</v>
          </cell>
        </row>
        <row r="2282">
          <cell r="G2282">
            <v>3387</v>
          </cell>
        </row>
        <row r="2282">
          <cell r="I2282">
            <v>74</v>
          </cell>
        </row>
        <row r="2282">
          <cell r="K2282">
            <v>679435</v>
          </cell>
        </row>
        <row r="2283">
          <cell r="B2283">
            <v>36006</v>
          </cell>
          <cell r="C2283">
            <v>8314</v>
          </cell>
        </row>
        <row r="2283">
          <cell r="G2283">
            <v>2917</v>
          </cell>
        </row>
        <row r="2283">
          <cell r="I2283">
            <v>28</v>
          </cell>
        </row>
        <row r="2283">
          <cell r="K2283">
            <v>288210</v>
          </cell>
        </row>
        <row r="2284">
          <cell r="B2284">
            <v>34288</v>
          </cell>
          <cell r="C2284">
            <v>7747</v>
          </cell>
        </row>
        <row r="2284">
          <cell r="G2284">
            <v>3672</v>
          </cell>
        </row>
        <row r="2284">
          <cell r="I2284">
            <v>19</v>
          </cell>
        </row>
        <row r="2284">
          <cell r="K2284">
            <v>169516.1</v>
          </cell>
        </row>
        <row r="2285">
          <cell r="B2285">
            <v>31662</v>
          </cell>
          <cell r="C2285">
            <v>7411</v>
          </cell>
        </row>
        <row r="2285">
          <cell r="G2285">
            <v>3595</v>
          </cell>
        </row>
        <row r="2285">
          <cell r="I2285">
            <v>19</v>
          </cell>
        </row>
        <row r="2285">
          <cell r="K2285">
            <v>248878.5</v>
          </cell>
        </row>
        <row r="2286">
          <cell r="B2286">
            <v>32218</v>
          </cell>
          <cell r="C2286">
            <v>7321</v>
          </cell>
        </row>
        <row r="2286">
          <cell r="G2286">
            <v>3506</v>
          </cell>
        </row>
        <row r="2286">
          <cell r="I2286">
            <v>13</v>
          </cell>
        </row>
        <row r="2286">
          <cell r="K2286">
            <v>156421.94</v>
          </cell>
        </row>
        <row r="2287">
          <cell r="B2287">
            <v>32645</v>
          </cell>
          <cell r="C2287">
            <v>8688</v>
          </cell>
        </row>
        <row r="2287">
          <cell r="G2287">
            <v>3825</v>
          </cell>
        </row>
        <row r="2287">
          <cell r="I2287">
            <v>13</v>
          </cell>
        </row>
        <row r="2287">
          <cell r="K2287">
            <v>143949.01</v>
          </cell>
        </row>
        <row r="2288">
          <cell r="B2288">
            <v>35970</v>
          </cell>
          <cell r="C2288">
            <v>9846</v>
          </cell>
        </row>
        <row r="2288">
          <cell r="G2288">
            <v>4101</v>
          </cell>
        </row>
        <row r="2288">
          <cell r="I2288">
            <v>13</v>
          </cell>
        </row>
        <row r="2288">
          <cell r="K2288">
            <v>119323.02</v>
          </cell>
        </row>
        <row r="2289">
          <cell r="B2289">
            <v>36065</v>
          </cell>
          <cell r="C2289">
            <v>10477</v>
          </cell>
        </row>
        <row r="2289">
          <cell r="G2289">
            <v>4444</v>
          </cell>
        </row>
        <row r="2289">
          <cell r="I2289">
            <v>21</v>
          </cell>
        </row>
        <row r="2289">
          <cell r="K2289">
            <v>255763.68</v>
          </cell>
        </row>
        <row r="2290">
          <cell r="B2290">
            <v>32715</v>
          </cell>
          <cell r="C2290">
            <v>8473</v>
          </cell>
        </row>
        <row r="2290">
          <cell r="G2290">
            <v>4121</v>
          </cell>
        </row>
        <row r="2290">
          <cell r="I2290">
            <v>15</v>
          </cell>
        </row>
        <row r="2290">
          <cell r="K2290">
            <v>163558</v>
          </cell>
        </row>
        <row r="2291">
          <cell r="B2291">
            <v>34118</v>
          </cell>
          <cell r="C2291">
            <v>8651</v>
          </cell>
        </row>
        <row r="2291">
          <cell r="G2291">
            <v>4464</v>
          </cell>
        </row>
        <row r="2291">
          <cell r="I2291">
            <v>14</v>
          </cell>
        </row>
        <row r="2291">
          <cell r="K2291">
            <v>143296</v>
          </cell>
        </row>
        <row r="2292">
          <cell r="B2292">
            <v>35251</v>
          </cell>
          <cell r="C2292">
            <v>8774</v>
          </cell>
        </row>
        <row r="2292">
          <cell r="G2292">
            <v>4304</v>
          </cell>
        </row>
        <row r="2292">
          <cell r="I2292">
            <v>11</v>
          </cell>
        </row>
        <row r="2292">
          <cell r="K2292">
            <v>147689</v>
          </cell>
        </row>
        <row r="2293">
          <cell r="B2293">
            <v>42997</v>
          </cell>
          <cell r="C2293">
            <v>12001</v>
          </cell>
        </row>
        <row r="2293">
          <cell r="G2293">
            <v>5963</v>
          </cell>
        </row>
        <row r="2293">
          <cell r="I2293">
            <v>17</v>
          </cell>
        </row>
        <row r="2293">
          <cell r="K2293">
            <v>182059.49</v>
          </cell>
        </row>
        <row r="2294">
          <cell r="B2294">
            <v>35853</v>
          </cell>
          <cell r="C2294">
            <v>10431</v>
          </cell>
        </row>
        <row r="2294">
          <cell r="G2294">
            <v>4860</v>
          </cell>
        </row>
        <row r="2294">
          <cell r="I2294">
            <v>21</v>
          </cell>
        </row>
        <row r="2294">
          <cell r="K2294">
            <v>189259.02</v>
          </cell>
        </row>
        <row r="2295">
          <cell r="B2295">
            <v>31750</v>
          </cell>
          <cell r="C2295">
            <v>9278</v>
          </cell>
        </row>
        <row r="2295">
          <cell r="G2295">
            <v>4075</v>
          </cell>
        </row>
        <row r="2295">
          <cell r="I2295">
            <v>11</v>
          </cell>
        </row>
        <row r="2295">
          <cell r="K2295">
            <v>144509.32</v>
          </cell>
        </row>
        <row r="2296">
          <cell r="B2296">
            <v>33582</v>
          </cell>
          <cell r="C2296">
            <v>8831</v>
          </cell>
        </row>
        <row r="2296">
          <cell r="G2296">
            <v>3970</v>
          </cell>
        </row>
        <row r="2296">
          <cell r="I2296">
            <v>26</v>
          </cell>
        </row>
        <row r="2296">
          <cell r="K2296">
            <v>279007</v>
          </cell>
        </row>
        <row r="2297">
          <cell r="B2297">
            <v>32840</v>
          </cell>
          <cell r="C2297">
            <v>8788</v>
          </cell>
        </row>
        <row r="2297">
          <cell r="G2297">
            <v>3476</v>
          </cell>
        </row>
        <row r="2297">
          <cell r="I2297">
            <v>16</v>
          </cell>
        </row>
        <row r="2297">
          <cell r="K2297">
            <v>146217</v>
          </cell>
        </row>
        <row r="2298">
          <cell r="B2298">
            <v>28233</v>
          </cell>
          <cell r="C2298">
            <v>7212</v>
          </cell>
        </row>
        <row r="2298">
          <cell r="G2298">
            <v>3476</v>
          </cell>
        </row>
        <row r="2298">
          <cell r="I2298">
            <v>21</v>
          </cell>
        </row>
        <row r="2298">
          <cell r="K2298">
            <v>232647</v>
          </cell>
        </row>
        <row r="2299">
          <cell r="B2299">
            <v>27129</v>
          </cell>
          <cell r="C2299">
            <v>7539</v>
          </cell>
        </row>
        <row r="2299">
          <cell r="G2299">
            <v>3465</v>
          </cell>
        </row>
        <row r="2299">
          <cell r="I2299">
            <v>10</v>
          </cell>
        </row>
        <row r="2299">
          <cell r="K2299">
            <v>93809.56</v>
          </cell>
        </row>
        <row r="2300">
          <cell r="B2300">
            <v>33209</v>
          </cell>
          <cell r="C2300">
            <v>9519</v>
          </cell>
        </row>
        <row r="2300">
          <cell r="G2300">
            <v>4843</v>
          </cell>
        </row>
        <row r="2300">
          <cell r="I2300">
            <v>20</v>
          </cell>
        </row>
        <row r="2300">
          <cell r="K2300">
            <v>208150</v>
          </cell>
        </row>
        <row r="2301">
          <cell r="B2301">
            <v>35837</v>
          </cell>
          <cell r="C2301">
            <v>9497</v>
          </cell>
        </row>
        <row r="2301">
          <cell r="G2301">
            <v>5735</v>
          </cell>
        </row>
        <row r="2301">
          <cell r="I2301">
            <v>21</v>
          </cell>
        </row>
        <row r="2301">
          <cell r="K2301">
            <v>205650</v>
          </cell>
        </row>
        <row r="2302">
          <cell r="B2302">
            <v>32108</v>
          </cell>
          <cell r="C2302">
            <v>9248</v>
          </cell>
        </row>
        <row r="2302">
          <cell r="G2302">
            <v>4851</v>
          </cell>
        </row>
        <row r="2302">
          <cell r="I2302">
            <v>19</v>
          </cell>
        </row>
        <row r="2302">
          <cell r="K2302">
            <v>201911</v>
          </cell>
        </row>
        <row r="2303">
          <cell r="B2303">
            <v>31743</v>
          </cell>
          <cell r="C2303">
            <v>9710</v>
          </cell>
        </row>
        <row r="2303">
          <cell r="G2303">
            <v>4501</v>
          </cell>
        </row>
        <row r="2303">
          <cell r="I2303">
            <v>24</v>
          </cell>
        </row>
        <row r="2303">
          <cell r="K2303">
            <v>259711.02</v>
          </cell>
        </row>
        <row r="2304">
          <cell r="B2304">
            <v>50415</v>
          </cell>
          <cell r="C2304">
            <v>25106</v>
          </cell>
        </row>
        <row r="2304">
          <cell r="G2304">
            <v>5330</v>
          </cell>
        </row>
        <row r="2304">
          <cell r="I2304">
            <v>27</v>
          </cell>
        </row>
        <row r="2304">
          <cell r="K2304">
            <v>275020.02</v>
          </cell>
        </row>
        <row r="2305">
          <cell r="B2305">
            <v>52839</v>
          </cell>
          <cell r="C2305">
            <v>26144</v>
          </cell>
        </row>
        <row r="2305">
          <cell r="G2305">
            <v>5434</v>
          </cell>
        </row>
        <row r="2305">
          <cell r="I2305">
            <v>37</v>
          </cell>
        </row>
        <row r="2305">
          <cell r="K2305">
            <v>420792</v>
          </cell>
        </row>
        <row r="2306">
          <cell r="B2306">
            <v>55189</v>
          </cell>
          <cell r="C2306">
            <v>26858</v>
          </cell>
        </row>
        <row r="2306">
          <cell r="G2306">
            <v>7760</v>
          </cell>
        </row>
        <row r="2306">
          <cell r="I2306">
            <v>42</v>
          </cell>
        </row>
        <row r="2306">
          <cell r="K2306">
            <v>414016.32</v>
          </cell>
        </row>
        <row r="2307">
          <cell r="B2307">
            <v>24353</v>
          </cell>
          <cell r="C2307">
            <v>6969</v>
          </cell>
        </row>
        <row r="2307">
          <cell r="G2307">
            <v>3095</v>
          </cell>
        </row>
        <row r="2307">
          <cell r="I2307">
            <v>13</v>
          </cell>
        </row>
        <row r="2307">
          <cell r="K2307">
            <v>143826</v>
          </cell>
        </row>
        <row r="2308">
          <cell r="B2308">
            <v>22043</v>
          </cell>
          <cell r="C2308">
            <v>6423</v>
          </cell>
        </row>
        <row r="2308">
          <cell r="G2308">
            <v>3084</v>
          </cell>
        </row>
        <row r="2308">
          <cell r="I2308">
            <v>11</v>
          </cell>
        </row>
        <row r="2308">
          <cell r="K2308">
            <v>156911.01</v>
          </cell>
        </row>
        <row r="2309">
          <cell r="B2309">
            <v>18308</v>
          </cell>
          <cell r="C2309">
            <v>5707</v>
          </cell>
        </row>
        <row r="2309">
          <cell r="G2309">
            <v>2491</v>
          </cell>
        </row>
        <row r="2309">
          <cell r="I2309">
            <v>5</v>
          </cell>
        </row>
        <row r="2309">
          <cell r="K2309">
            <v>45868</v>
          </cell>
        </row>
        <row r="2310">
          <cell r="B2310">
            <v>20519</v>
          </cell>
          <cell r="C2310">
            <v>6025</v>
          </cell>
        </row>
        <row r="2310">
          <cell r="G2310">
            <v>2646</v>
          </cell>
        </row>
        <row r="2310">
          <cell r="I2310">
            <v>12</v>
          </cell>
        </row>
        <row r="2310">
          <cell r="K2310">
            <v>118144.32</v>
          </cell>
        </row>
        <row r="2311">
          <cell r="B2311">
            <v>18596</v>
          </cell>
          <cell r="C2311">
            <v>5643</v>
          </cell>
        </row>
        <row r="2311">
          <cell r="G2311">
            <v>2436</v>
          </cell>
        </row>
        <row r="2311">
          <cell r="I2311">
            <v>9</v>
          </cell>
        </row>
        <row r="2311">
          <cell r="K2311">
            <v>89740</v>
          </cell>
        </row>
        <row r="2312">
          <cell r="B2312">
            <v>20799</v>
          </cell>
          <cell r="C2312">
            <v>6503</v>
          </cell>
        </row>
        <row r="2312">
          <cell r="G2312">
            <v>2504</v>
          </cell>
        </row>
        <row r="2312">
          <cell r="I2312">
            <v>14</v>
          </cell>
        </row>
        <row r="2312">
          <cell r="K2312">
            <v>292048</v>
          </cell>
        </row>
        <row r="2313">
          <cell r="B2313">
            <v>24811</v>
          </cell>
          <cell r="C2313">
            <v>7077</v>
          </cell>
        </row>
        <row r="2313">
          <cell r="G2313">
            <v>3212</v>
          </cell>
        </row>
        <row r="2313">
          <cell r="I2313">
            <v>23</v>
          </cell>
        </row>
        <row r="2313">
          <cell r="K2313">
            <v>201151</v>
          </cell>
        </row>
        <row r="2314">
          <cell r="B2314">
            <v>22301</v>
          </cell>
          <cell r="C2314">
            <v>6951</v>
          </cell>
        </row>
        <row r="2314">
          <cell r="G2314">
            <v>2677</v>
          </cell>
        </row>
        <row r="2314">
          <cell r="I2314">
            <v>10</v>
          </cell>
        </row>
        <row r="2314">
          <cell r="K2314">
            <v>117416.7</v>
          </cell>
        </row>
        <row r="2315">
          <cell r="B2315">
            <v>24587</v>
          </cell>
          <cell r="C2315">
            <v>7369</v>
          </cell>
        </row>
        <row r="2315">
          <cell r="G2315">
            <v>2888</v>
          </cell>
        </row>
        <row r="2315">
          <cell r="I2315">
            <v>11</v>
          </cell>
        </row>
        <row r="2315">
          <cell r="K2315">
            <v>128929.01</v>
          </cell>
        </row>
        <row r="2316">
          <cell r="B2316">
            <v>23669</v>
          </cell>
          <cell r="C2316">
            <v>7093</v>
          </cell>
        </row>
        <row r="2316">
          <cell r="G2316">
            <v>2916</v>
          </cell>
        </row>
        <row r="2316">
          <cell r="I2316">
            <v>12</v>
          </cell>
        </row>
        <row r="2316">
          <cell r="K2316">
            <v>121692.01</v>
          </cell>
        </row>
        <row r="2317">
          <cell r="B2317">
            <v>22688</v>
          </cell>
          <cell r="C2317">
            <v>6577</v>
          </cell>
        </row>
        <row r="2317">
          <cell r="G2317">
            <v>3425</v>
          </cell>
        </row>
        <row r="2317">
          <cell r="I2317">
            <v>13</v>
          </cell>
        </row>
        <row r="2317">
          <cell r="K2317">
            <v>151664</v>
          </cell>
        </row>
        <row r="2318">
          <cell r="B2318">
            <v>46966</v>
          </cell>
          <cell r="C2318">
            <v>24953</v>
          </cell>
        </row>
        <row r="2318">
          <cell r="G2318">
            <v>3844</v>
          </cell>
        </row>
        <row r="2318">
          <cell r="I2318">
            <v>6</v>
          </cell>
        </row>
        <row r="2318">
          <cell r="K2318">
            <v>87644</v>
          </cell>
        </row>
        <row r="2319">
          <cell r="B2319">
            <v>45730</v>
          </cell>
          <cell r="C2319">
            <v>19885</v>
          </cell>
        </row>
        <row r="2319">
          <cell r="G2319">
            <v>3630</v>
          </cell>
        </row>
        <row r="2319">
          <cell r="I2319">
            <v>9</v>
          </cell>
        </row>
        <row r="2319">
          <cell r="K2319">
            <v>126471.68</v>
          </cell>
        </row>
        <row r="2320">
          <cell r="B2320">
            <v>30655</v>
          </cell>
          <cell r="C2320">
            <v>12192</v>
          </cell>
        </row>
        <row r="2320">
          <cell r="G2320">
            <v>3447</v>
          </cell>
        </row>
        <row r="2320">
          <cell r="I2320">
            <v>12</v>
          </cell>
        </row>
        <row r="2320">
          <cell r="K2320">
            <v>159413.76</v>
          </cell>
        </row>
        <row r="2321">
          <cell r="B2321">
            <v>32799</v>
          </cell>
          <cell r="C2321">
            <v>13485</v>
          </cell>
        </row>
        <row r="2321">
          <cell r="G2321">
            <v>3209</v>
          </cell>
        </row>
        <row r="2321">
          <cell r="I2321">
            <v>14</v>
          </cell>
        </row>
        <row r="2321">
          <cell r="K2321">
            <v>150179</v>
          </cell>
        </row>
        <row r="2322">
          <cell r="B2322">
            <v>32054</v>
          </cell>
          <cell r="C2322">
            <v>11739</v>
          </cell>
        </row>
        <row r="2322">
          <cell r="G2322">
            <v>3973</v>
          </cell>
        </row>
        <row r="2322">
          <cell r="I2322">
            <v>15</v>
          </cell>
        </row>
        <row r="2322">
          <cell r="K2322">
            <v>154356.44</v>
          </cell>
        </row>
        <row r="2323">
          <cell r="B2323">
            <v>37141</v>
          </cell>
          <cell r="C2323">
            <v>13126</v>
          </cell>
        </row>
        <row r="2323">
          <cell r="G2323">
            <v>4486</v>
          </cell>
        </row>
        <row r="2323">
          <cell r="I2323">
            <v>5</v>
          </cell>
        </row>
        <row r="2323">
          <cell r="K2323">
            <v>57028</v>
          </cell>
        </row>
        <row r="2324">
          <cell r="B2324">
            <v>35266</v>
          </cell>
          <cell r="C2324">
            <v>12988</v>
          </cell>
        </row>
        <row r="2324">
          <cell r="G2324">
            <v>3643</v>
          </cell>
        </row>
        <row r="2324">
          <cell r="I2324">
            <v>23</v>
          </cell>
        </row>
        <row r="2324">
          <cell r="K2324">
            <v>353408</v>
          </cell>
        </row>
        <row r="2325">
          <cell r="B2325">
            <v>32030</v>
          </cell>
          <cell r="C2325">
            <v>12299</v>
          </cell>
        </row>
        <row r="2325">
          <cell r="G2325">
            <v>3592</v>
          </cell>
        </row>
        <row r="2325">
          <cell r="I2325">
            <v>9</v>
          </cell>
        </row>
        <row r="2325">
          <cell r="K2325">
            <v>112127</v>
          </cell>
        </row>
        <row r="2326">
          <cell r="B2326">
            <v>28718</v>
          </cell>
          <cell r="C2326">
            <v>10595</v>
          </cell>
        </row>
        <row r="2326">
          <cell r="G2326">
            <v>3004</v>
          </cell>
        </row>
        <row r="2326">
          <cell r="I2326">
            <v>17</v>
          </cell>
        </row>
        <row r="2326">
          <cell r="K2326">
            <v>232652.82</v>
          </cell>
        </row>
        <row r="2327">
          <cell r="B2327">
            <v>29761</v>
          </cell>
          <cell r="C2327">
            <v>9965</v>
          </cell>
        </row>
        <row r="2327">
          <cell r="G2327">
            <v>3283</v>
          </cell>
        </row>
        <row r="2327">
          <cell r="I2327">
            <v>14</v>
          </cell>
        </row>
        <row r="2327">
          <cell r="K2327">
            <v>147291.96</v>
          </cell>
        </row>
        <row r="2328">
          <cell r="B2328">
            <v>28880</v>
          </cell>
          <cell r="C2328">
            <v>8762</v>
          </cell>
        </row>
        <row r="2328">
          <cell r="G2328">
            <v>2913</v>
          </cell>
        </row>
        <row r="2328">
          <cell r="I2328">
            <v>11</v>
          </cell>
        </row>
        <row r="2328">
          <cell r="K2328">
            <v>126997.3</v>
          </cell>
        </row>
        <row r="2329">
          <cell r="B2329">
            <v>23026</v>
          </cell>
          <cell r="C2329">
            <v>7571</v>
          </cell>
        </row>
        <row r="2329">
          <cell r="G2329">
            <v>2399</v>
          </cell>
        </row>
        <row r="2329">
          <cell r="I2329">
            <v>5</v>
          </cell>
        </row>
        <row r="2329">
          <cell r="K2329">
            <v>62850</v>
          </cell>
        </row>
        <row r="2330">
          <cell r="B2330">
            <v>20847</v>
          </cell>
          <cell r="C2330">
            <v>7268</v>
          </cell>
        </row>
        <row r="2330">
          <cell r="G2330">
            <v>1706</v>
          </cell>
        </row>
        <row r="2330">
          <cell r="I2330">
            <v>9</v>
          </cell>
        </row>
        <row r="2330">
          <cell r="K2330">
            <v>100193</v>
          </cell>
        </row>
        <row r="2331">
          <cell r="B2331">
            <v>20573</v>
          </cell>
          <cell r="C2331">
            <v>8627</v>
          </cell>
        </row>
        <row r="2331">
          <cell r="G2331">
            <v>2217</v>
          </cell>
        </row>
        <row r="2331">
          <cell r="I2331">
            <v>14</v>
          </cell>
        </row>
        <row r="2331">
          <cell r="K2331">
            <v>172478</v>
          </cell>
        </row>
        <row r="2332">
          <cell r="B2332">
            <v>26504</v>
          </cell>
          <cell r="C2332">
            <v>10627</v>
          </cell>
        </row>
        <row r="2332">
          <cell r="G2332">
            <v>2269</v>
          </cell>
        </row>
        <row r="2332">
          <cell r="I2332">
            <v>12</v>
          </cell>
        </row>
        <row r="2332">
          <cell r="K2332">
            <v>179013.48</v>
          </cell>
        </row>
        <row r="2333">
          <cell r="B2333">
            <v>20358</v>
          </cell>
          <cell r="C2333">
            <v>7358</v>
          </cell>
        </row>
        <row r="2333">
          <cell r="G2333">
            <v>2482</v>
          </cell>
        </row>
        <row r="2333">
          <cell r="I2333">
            <v>5</v>
          </cell>
        </row>
        <row r="2333">
          <cell r="K2333">
            <v>77642</v>
          </cell>
        </row>
        <row r="2334">
          <cell r="B2334">
            <v>22466</v>
          </cell>
          <cell r="C2334">
            <v>8671</v>
          </cell>
        </row>
        <row r="2334">
          <cell r="G2334">
            <v>2180</v>
          </cell>
        </row>
        <row r="2334">
          <cell r="I2334">
            <v>5</v>
          </cell>
        </row>
        <row r="2334">
          <cell r="K2334">
            <v>52370</v>
          </cell>
        </row>
        <row r="2335">
          <cell r="B2335">
            <v>16763</v>
          </cell>
          <cell r="C2335">
            <v>5960</v>
          </cell>
        </row>
        <row r="2335">
          <cell r="G2335">
            <v>1723</v>
          </cell>
        </row>
        <row r="2335">
          <cell r="I2335">
            <v>8</v>
          </cell>
        </row>
        <row r="2335">
          <cell r="K2335">
            <v>78471</v>
          </cell>
        </row>
        <row r="2336">
          <cell r="B2336">
            <v>19588</v>
          </cell>
          <cell r="C2336">
            <v>8926</v>
          </cell>
        </row>
        <row r="2336">
          <cell r="G2336">
            <v>1759</v>
          </cell>
        </row>
        <row r="2336">
          <cell r="I2336">
            <v>4</v>
          </cell>
        </row>
        <row r="2336">
          <cell r="K2336">
            <v>66646</v>
          </cell>
        </row>
        <row r="2337">
          <cell r="B2337">
            <v>17280</v>
          </cell>
          <cell r="C2337">
            <v>7194</v>
          </cell>
        </row>
        <row r="2337">
          <cell r="G2337">
            <v>1905</v>
          </cell>
        </row>
        <row r="2337">
          <cell r="I2337">
            <v>2</v>
          </cell>
        </row>
        <row r="2337">
          <cell r="K2337">
            <v>32598</v>
          </cell>
        </row>
        <row r="2338">
          <cell r="B2338">
            <v>19743</v>
          </cell>
          <cell r="C2338">
            <v>7856</v>
          </cell>
        </row>
        <row r="2338">
          <cell r="G2338">
            <v>1983</v>
          </cell>
        </row>
        <row r="2338">
          <cell r="I2338">
            <v>4</v>
          </cell>
        </row>
        <row r="2338">
          <cell r="K2338">
            <v>57062</v>
          </cell>
        </row>
        <row r="2339">
          <cell r="B2339">
            <v>31738</v>
          </cell>
          <cell r="C2339">
            <v>10254</v>
          </cell>
        </row>
        <row r="2339">
          <cell r="G2339">
            <v>2058</v>
          </cell>
        </row>
        <row r="2339">
          <cell r="I2339">
            <v>11</v>
          </cell>
        </row>
        <row r="2339">
          <cell r="K2339">
            <v>179134</v>
          </cell>
        </row>
        <row r="2340">
          <cell r="B2340">
            <v>25723</v>
          </cell>
          <cell r="C2340">
            <v>8834</v>
          </cell>
        </row>
        <row r="2340">
          <cell r="G2340">
            <v>1822</v>
          </cell>
        </row>
        <row r="2340">
          <cell r="I2340">
            <v>10</v>
          </cell>
        </row>
        <row r="2340">
          <cell r="K2340">
            <v>112362</v>
          </cell>
        </row>
        <row r="2341">
          <cell r="B2341">
            <v>28512</v>
          </cell>
          <cell r="C2341">
            <v>10733</v>
          </cell>
        </row>
        <row r="2341">
          <cell r="G2341">
            <v>2160</v>
          </cell>
        </row>
        <row r="2341">
          <cell r="I2341">
            <v>10</v>
          </cell>
        </row>
        <row r="2341">
          <cell r="K2341">
            <v>185477</v>
          </cell>
        </row>
        <row r="2342">
          <cell r="B2342">
            <v>55999</v>
          </cell>
          <cell r="C2342">
            <v>17432</v>
          </cell>
        </row>
        <row r="2342">
          <cell r="G2342">
            <v>3204</v>
          </cell>
        </row>
        <row r="2342">
          <cell r="I2342">
            <v>12</v>
          </cell>
        </row>
        <row r="2342">
          <cell r="K2342">
            <v>145050</v>
          </cell>
        </row>
        <row r="2343">
          <cell r="B2343">
            <v>41856</v>
          </cell>
          <cell r="C2343">
            <v>16196</v>
          </cell>
        </row>
        <row r="2343">
          <cell r="G2343">
            <v>3350</v>
          </cell>
        </row>
        <row r="2343">
          <cell r="I2343">
            <v>7</v>
          </cell>
        </row>
        <row r="2343">
          <cell r="K2343">
            <v>66222.76</v>
          </cell>
        </row>
        <row r="2344">
          <cell r="B2344">
            <v>62781</v>
          </cell>
          <cell r="C2344">
            <v>25848</v>
          </cell>
        </row>
        <row r="2344">
          <cell r="G2344">
            <v>3363</v>
          </cell>
        </row>
        <row r="2344">
          <cell r="I2344">
            <v>12</v>
          </cell>
        </row>
        <row r="2344">
          <cell r="K2344">
            <v>138713.64</v>
          </cell>
        </row>
        <row r="2345">
          <cell r="B2345">
            <v>55032</v>
          </cell>
          <cell r="C2345">
            <v>23094</v>
          </cell>
        </row>
        <row r="2345">
          <cell r="G2345">
            <v>3761</v>
          </cell>
        </row>
        <row r="2345">
          <cell r="I2345">
            <v>11</v>
          </cell>
        </row>
        <row r="2345">
          <cell r="K2345">
            <v>119492.1</v>
          </cell>
        </row>
        <row r="2346">
          <cell r="B2346">
            <v>25309</v>
          </cell>
          <cell r="C2346">
            <v>8416</v>
          </cell>
        </row>
        <row r="2346">
          <cell r="G2346">
            <v>2873</v>
          </cell>
        </row>
        <row r="2346">
          <cell r="I2346">
            <v>12</v>
          </cell>
        </row>
        <row r="2346">
          <cell r="K2346">
            <v>128700</v>
          </cell>
        </row>
        <row r="2347">
          <cell r="B2347">
            <v>49167</v>
          </cell>
          <cell r="C2347">
            <v>19803</v>
          </cell>
        </row>
        <row r="2347">
          <cell r="G2347">
            <v>3168</v>
          </cell>
        </row>
        <row r="2347">
          <cell r="I2347">
            <v>2</v>
          </cell>
        </row>
        <row r="2347">
          <cell r="K2347">
            <v>21315</v>
          </cell>
        </row>
        <row r="2348">
          <cell r="B2348">
            <v>33438</v>
          </cell>
          <cell r="C2348">
            <v>10990</v>
          </cell>
        </row>
        <row r="2348">
          <cell r="G2348">
            <v>2781</v>
          </cell>
        </row>
        <row r="2348">
          <cell r="I2348">
            <v>8</v>
          </cell>
        </row>
        <row r="2348">
          <cell r="K2348">
            <v>73919.99</v>
          </cell>
        </row>
        <row r="2349">
          <cell r="B2349">
            <v>55266</v>
          </cell>
          <cell r="C2349">
            <v>13166</v>
          </cell>
        </row>
        <row r="2349">
          <cell r="G2349">
            <v>2452</v>
          </cell>
        </row>
        <row r="2349">
          <cell r="I2349">
            <v>167</v>
          </cell>
        </row>
        <row r="2349">
          <cell r="K2349">
            <v>1719433</v>
          </cell>
        </row>
        <row r="2350">
          <cell r="B2350">
            <v>48445</v>
          </cell>
          <cell r="C2350">
            <v>15333</v>
          </cell>
        </row>
        <row r="2350">
          <cell r="G2350">
            <v>3724</v>
          </cell>
        </row>
        <row r="2350">
          <cell r="I2350">
            <v>56</v>
          </cell>
        </row>
        <row r="2350">
          <cell r="K2350">
            <v>572798.1</v>
          </cell>
        </row>
        <row r="2351">
          <cell r="B2351">
            <v>741954</v>
          </cell>
          <cell r="C2351">
            <v>143771</v>
          </cell>
        </row>
        <row r="2351">
          <cell r="G2351">
            <v>4719</v>
          </cell>
        </row>
        <row r="2351">
          <cell r="I2351">
            <v>501</v>
          </cell>
        </row>
        <row r="2351">
          <cell r="K2351">
            <v>5502138.04</v>
          </cell>
        </row>
        <row r="2352">
          <cell r="B2352">
            <v>109330</v>
          </cell>
          <cell r="C2352">
            <v>21213</v>
          </cell>
        </row>
        <row r="2352">
          <cell r="G2352">
            <v>4551</v>
          </cell>
        </row>
        <row r="2352">
          <cell r="I2352">
            <v>151</v>
          </cell>
        </row>
        <row r="2352">
          <cell r="K2352">
            <v>1573357.44</v>
          </cell>
        </row>
        <row r="2353">
          <cell r="B2353">
            <v>53185</v>
          </cell>
          <cell r="C2353">
            <v>15022</v>
          </cell>
        </row>
        <row r="2353">
          <cell r="G2353">
            <v>3858</v>
          </cell>
        </row>
        <row r="2353">
          <cell r="I2353">
            <v>57</v>
          </cell>
        </row>
        <row r="2353">
          <cell r="K2353">
            <v>637062.99</v>
          </cell>
        </row>
        <row r="2354">
          <cell r="B2354">
            <v>54014</v>
          </cell>
          <cell r="C2354">
            <v>13319</v>
          </cell>
        </row>
        <row r="2354">
          <cell r="G2354">
            <v>4260</v>
          </cell>
        </row>
        <row r="2354">
          <cell r="I2354">
            <v>56</v>
          </cell>
        </row>
        <row r="2354">
          <cell r="K2354">
            <v>592632</v>
          </cell>
        </row>
        <row r="2355">
          <cell r="B2355">
            <v>50076</v>
          </cell>
          <cell r="C2355">
            <v>11609</v>
          </cell>
        </row>
        <row r="2355">
          <cell r="G2355">
            <v>5295</v>
          </cell>
        </row>
        <row r="2355">
          <cell r="I2355">
            <v>54</v>
          </cell>
        </row>
        <row r="2355">
          <cell r="K2355">
            <v>520751</v>
          </cell>
        </row>
        <row r="2356">
          <cell r="B2356">
            <v>82455</v>
          </cell>
          <cell r="C2356">
            <v>19973</v>
          </cell>
        </row>
        <row r="2356">
          <cell r="G2356">
            <v>4456</v>
          </cell>
        </row>
        <row r="2356">
          <cell r="I2356">
            <v>74</v>
          </cell>
        </row>
        <row r="2356">
          <cell r="K2356">
            <v>826286</v>
          </cell>
        </row>
        <row r="2357">
          <cell r="B2357">
            <v>60669</v>
          </cell>
          <cell r="C2357">
            <v>15093</v>
          </cell>
        </row>
        <row r="2357">
          <cell r="G2357">
            <v>4509</v>
          </cell>
        </row>
        <row r="2357">
          <cell r="I2357">
            <v>48</v>
          </cell>
        </row>
        <row r="2357">
          <cell r="K2357">
            <v>539517</v>
          </cell>
        </row>
        <row r="2358">
          <cell r="B2358">
            <v>44855</v>
          </cell>
          <cell r="C2358">
            <v>12839</v>
          </cell>
        </row>
        <row r="2358">
          <cell r="G2358">
            <v>3949</v>
          </cell>
        </row>
        <row r="2358">
          <cell r="I2358">
            <v>29</v>
          </cell>
        </row>
        <row r="2358">
          <cell r="K2358">
            <v>312280.02</v>
          </cell>
        </row>
        <row r="2359">
          <cell r="B2359">
            <v>39243</v>
          </cell>
          <cell r="C2359">
            <v>11735</v>
          </cell>
        </row>
        <row r="2359">
          <cell r="G2359">
            <v>3388</v>
          </cell>
        </row>
        <row r="2359">
          <cell r="I2359">
            <v>16</v>
          </cell>
        </row>
        <row r="2359">
          <cell r="K2359">
            <v>222690</v>
          </cell>
        </row>
        <row r="2360">
          <cell r="B2360">
            <v>38964</v>
          </cell>
          <cell r="C2360">
            <v>11531</v>
          </cell>
        </row>
        <row r="2360">
          <cell r="G2360">
            <v>2645</v>
          </cell>
        </row>
        <row r="2360">
          <cell r="I2360">
            <v>14</v>
          </cell>
        </row>
        <row r="2360">
          <cell r="K2360">
            <v>299941</v>
          </cell>
        </row>
        <row r="2361">
          <cell r="B2361">
            <v>218799</v>
          </cell>
          <cell r="C2361">
            <v>50776</v>
          </cell>
        </row>
        <row r="2361">
          <cell r="G2361">
            <v>2798</v>
          </cell>
        </row>
        <row r="2361">
          <cell r="I2361">
            <v>128</v>
          </cell>
        </row>
        <row r="2361">
          <cell r="K2361">
            <v>1378705</v>
          </cell>
        </row>
        <row r="2362">
          <cell r="B2362">
            <v>79460</v>
          </cell>
          <cell r="C2362">
            <v>20051</v>
          </cell>
        </row>
        <row r="2362">
          <cell r="G2362">
            <v>4270</v>
          </cell>
        </row>
        <row r="2362">
          <cell r="I2362">
            <v>73</v>
          </cell>
        </row>
        <row r="2362">
          <cell r="K2362">
            <v>882646.64</v>
          </cell>
        </row>
        <row r="2363">
          <cell r="B2363">
            <v>44569</v>
          </cell>
          <cell r="C2363">
            <v>13385</v>
          </cell>
        </row>
        <row r="2363">
          <cell r="G2363">
            <v>3518</v>
          </cell>
        </row>
        <row r="2363">
          <cell r="I2363">
            <v>28</v>
          </cell>
        </row>
        <row r="2363">
          <cell r="K2363">
            <v>362352</v>
          </cell>
        </row>
        <row r="2364">
          <cell r="B2364">
            <v>55495</v>
          </cell>
          <cell r="C2364">
            <v>15848</v>
          </cell>
        </row>
        <row r="2364">
          <cell r="G2364">
            <v>3102</v>
          </cell>
        </row>
        <row r="2364">
          <cell r="I2364">
            <v>44</v>
          </cell>
        </row>
        <row r="2364">
          <cell r="K2364">
            <v>524957.02</v>
          </cell>
        </row>
        <row r="2365">
          <cell r="B2365">
            <v>40789</v>
          </cell>
          <cell r="C2365">
            <v>13176</v>
          </cell>
        </row>
        <row r="2365">
          <cell r="G2365">
            <v>2921</v>
          </cell>
        </row>
        <row r="2365">
          <cell r="I2365">
            <v>44</v>
          </cell>
        </row>
        <row r="2365">
          <cell r="K2365">
            <v>489004</v>
          </cell>
        </row>
        <row r="2366">
          <cell r="B2366">
            <v>44585</v>
          </cell>
          <cell r="C2366">
            <v>15468</v>
          </cell>
        </row>
        <row r="2366">
          <cell r="G2366">
            <v>2968</v>
          </cell>
        </row>
        <row r="2366">
          <cell r="I2366">
            <v>25</v>
          </cell>
        </row>
        <row r="2366">
          <cell r="K2366">
            <v>284777</v>
          </cell>
        </row>
        <row r="2367">
          <cell r="B2367">
            <v>41734</v>
          </cell>
          <cell r="C2367">
            <v>14277</v>
          </cell>
        </row>
        <row r="2367">
          <cell r="G2367">
            <v>2499</v>
          </cell>
        </row>
        <row r="2367">
          <cell r="I2367">
            <v>30</v>
          </cell>
        </row>
        <row r="2367">
          <cell r="K2367">
            <v>477064</v>
          </cell>
        </row>
        <row r="2368">
          <cell r="B2368">
            <v>56998</v>
          </cell>
          <cell r="C2368">
            <v>19697</v>
          </cell>
        </row>
        <row r="2368">
          <cell r="G2368">
            <v>2678</v>
          </cell>
        </row>
        <row r="2368">
          <cell r="I2368">
            <v>18</v>
          </cell>
        </row>
        <row r="2368">
          <cell r="K2368">
            <v>210329</v>
          </cell>
        </row>
        <row r="2369">
          <cell r="B2369">
            <v>35848</v>
          </cell>
          <cell r="C2369">
            <v>13527</v>
          </cell>
        </row>
        <row r="2369">
          <cell r="G2369">
            <v>1568</v>
          </cell>
        </row>
        <row r="2369">
          <cell r="I2369">
            <v>29</v>
          </cell>
        </row>
        <row r="2369">
          <cell r="K2369">
            <v>307621.02</v>
          </cell>
        </row>
        <row r="2370">
          <cell r="B2370">
            <v>49608</v>
          </cell>
          <cell r="C2370">
            <v>18526</v>
          </cell>
        </row>
        <row r="2370">
          <cell r="G2370">
            <v>4482</v>
          </cell>
        </row>
        <row r="2370">
          <cell r="I2370">
            <v>21</v>
          </cell>
        </row>
        <row r="2370">
          <cell r="K2370">
            <v>252602.99</v>
          </cell>
        </row>
        <row r="2371">
          <cell r="B2371">
            <v>52211</v>
          </cell>
          <cell r="C2371">
            <v>17301</v>
          </cell>
        </row>
        <row r="2371">
          <cell r="G2371">
            <v>4874</v>
          </cell>
        </row>
        <row r="2371">
          <cell r="I2371">
            <v>9</v>
          </cell>
        </row>
        <row r="2371">
          <cell r="K2371">
            <v>121373</v>
          </cell>
        </row>
        <row r="2372">
          <cell r="B2372">
            <v>47090</v>
          </cell>
          <cell r="C2372">
            <v>17030</v>
          </cell>
        </row>
        <row r="2372">
          <cell r="G2372">
            <v>3724</v>
          </cell>
        </row>
        <row r="2372">
          <cell r="I2372">
            <v>13</v>
          </cell>
        </row>
        <row r="2372">
          <cell r="K2372">
            <v>156907</v>
          </cell>
        </row>
        <row r="2373">
          <cell r="B2373">
            <v>157108</v>
          </cell>
          <cell r="C2373">
            <v>39492</v>
          </cell>
        </row>
        <row r="2373">
          <cell r="G2373">
            <v>3606</v>
          </cell>
        </row>
        <row r="2373">
          <cell r="I2373">
            <v>115</v>
          </cell>
        </row>
        <row r="2373">
          <cell r="K2373">
            <v>1207580</v>
          </cell>
        </row>
        <row r="2374">
          <cell r="B2374">
            <v>60710</v>
          </cell>
          <cell r="C2374">
            <v>16988</v>
          </cell>
        </row>
        <row r="2374">
          <cell r="G2374">
            <v>3747</v>
          </cell>
        </row>
        <row r="2374">
          <cell r="I2374">
            <v>41</v>
          </cell>
        </row>
        <row r="2374">
          <cell r="K2374">
            <v>531751.97</v>
          </cell>
        </row>
        <row r="2375">
          <cell r="B2375">
            <v>52057</v>
          </cell>
          <cell r="C2375">
            <v>15615</v>
          </cell>
        </row>
        <row r="2375">
          <cell r="G2375">
            <v>4123</v>
          </cell>
        </row>
        <row r="2375">
          <cell r="I2375">
            <v>38</v>
          </cell>
        </row>
        <row r="2375">
          <cell r="K2375">
            <v>496308</v>
          </cell>
        </row>
        <row r="2376">
          <cell r="B2376">
            <v>52112</v>
          </cell>
          <cell r="C2376">
            <v>15007</v>
          </cell>
        </row>
        <row r="2376">
          <cell r="G2376">
            <v>4229</v>
          </cell>
        </row>
        <row r="2376">
          <cell r="I2376">
            <v>31</v>
          </cell>
        </row>
        <row r="2376">
          <cell r="K2376">
            <v>354311</v>
          </cell>
        </row>
        <row r="2377">
          <cell r="B2377">
            <v>44066</v>
          </cell>
          <cell r="C2377">
            <v>12328</v>
          </cell>
        </row>
        <row r="2377">
          <cell r="G2377">
            <v>3645</v>
          </cell>
        </row>
        <row r="2377">
          <cell r="I2377">
            <v>22</v>
          </cell>
        </row>
        <row r="2377">
          <cell r="K2377">
            <v>251702</v>
          </cell>
        </row>
        <row r="2378">
          <cell r="B2378">
            <v>44100</v>
          </cell>
          <cell r="C2378">
            <v>13869</v>
          </cell>
        </row>
        <row r="2378">
          <cell r="G2378">
            <v>4973</v>
          </cell>
        </row>
        <row r="2378">
          <cell r="I2378">
            <v>29</v>
          </cell>
        </row>
        <row r="2378">
          <cell r="K2378">
            <v>371266</v>
          </cell>
        </row>
        <row r="2379">
          <cell r="B2379">
            <v>46235</v>
          </cell>
          <cell r="C2379">
            <v>14693</v>
          </cell>
        </row>
        <row r="2379">
          <cell r="G2379">
            <v>4209</v>
          </cell>
        </row>
        <row r="2379">
          <cell r="I2379">
            <v>15</v>
          </cell>
        </row>
        <row r="2379">
          <cell r="K2379">
            <v>172796</v>
          </cell>
        </row>
        <row r="2380">
          <cell r="B2380">
            <v>38206</v>
          </cell>
          <cell r="C2380">
            <v>12537</v>
          </cell>
        </row>
        <row r="2380">
          <cell r="G2380">
            <v>3061</v>
          </cell>
        </row>
        <row r="2380">
          <cell r="I2380">
            <v>22</v>
          </cell>
        </row>
        <row r="2380">
          <cell r="K2380">
            <v>324572</v>
          </cell>
        </row>
        <row r="2381">
          <cell r="B2381">
            <v>38361</v>
          </cell>
          <cell r="C2381">
            <v>12019</v>
          </cell>
        </row>
        <row r="2381">
          <cell r="G2381">
            <v>2534</v>
          </cell>
        </row>
        <row r="2381">
          <cell r="I2381">
            <v>26</v>
          </cell>
        </row>
        <row r="2381">
          <cell r="K2381">
            <v>345933</v>
          </cell>
        </row>
        <row r="2382">
          <cell r="B2382">
            <v>45826</v>
          </cell>
          <cell r="C2382">
            <v>16357</v>
          </cell>
        </row>
        <row r="2382">
          <cell r="G2382">
            <v>2559</v>
          </cell>
        </row>
        <row r="2382">
          <cell r="I2382">
            <v>20</v>
          </cell>
        </row>
        <row r="2382">
          <cell r="K2382">
            <v>300974</v>
          </cell>
        </row>
        <row r="2383">
          <cell r="B2383">
            <v>44793</v>
          </cell>
          <cell r="C2383">
            <v>13579</v>
          </cell>
        </row>
        <row r="2383">
          <cell r="G2383">
            <v>3356</v>
          </cell>
        </row>
        <row r="2383">
          <cell r="I2383">
            <v>31</v>
          </cell>
        </row>
        <row r="2383">
          <cell r="K2383">
            <v>386149</v>
          </cell>
        </row>
        <row r="2384">
          <cell r="B2384">
            <v>43099</v>
          </cell>
          <cell r="C2384">
            <v>12897</v>
          </cell>
        </row>
        <row r="2384">
          <cell r="G2384">
            <v>3443</v>
          </cell>
        </row>
        <row r="2384">
          <cell r="I2384">
            <v>28</v>
          </cell>
        </row>
        <row r="2384">
          <cell r="K2384">
            <v>347314</v>
          </cell>
        </row>
        <row r="2385">
          <cell r="B2385">
            <v>452099</v>
          </cell>
          <cell r="C2385">
            <v>81265</v>
          </cell>
        </row>
        <row r="2385">
          <cell r="G2385">
            <v>3568</v>
          </cell>
        </row>
        <row r="2385">
          <cell r="I2385">
            <v>384</v>
          </cell>
        </row>
        <row r="2385">
          <cell r="K2385">
            <v>3904087</v>
          </cell>
        </row>
        <row r="2386">
          <cell r="B2386">
            <v>86769</v>
          </cell>
          <cell r="C2386">
            <v>21102</v>
          </cell>
        </row>
        <row r="2386">
          <cell r="G2386">
            <v>4165</v>
          </cell>
        </row>
        <row r="2386">
          <cell r="I2386">
            <v>106</v>
          </cell>
        </row>
        <row r="2386">
          <cell r="K2386">
            <v>1122006</v>
          </cell>
        </row>
        <row r="2387">
          <cell r="B2387">
            <v>49227</v>
          </cell>
          <cell r="C2387">
            <v>17700</v>
          </cell>
        </row>
        <row r="2387">
          <cell r="G2387">
            <v>4255</v>
          </cell>
        </row>
        <row r="2387">
          <cell r="I2387">
            <v>76</v>
          </cell>
        </row>
        <row r="2387">
          <cell r="K2387">
            <v>769589</v>
          </cell>
        </row>
        <row r="2388">
          <cell r="B2388">
            <v>34980</v>
          </cell>
          <cell r="C2388">
            <v>15166</v>
          </cell>
        </row>
        <row r="2388">
          <cell r="G2388">
            <v>1951</v>
          </cell>
        </row>
        <row r="2388">
          <cell r="I2388">
            <v>13</v>
          </cell>
        </row>
        <row r="2388">
          <cell r="K2388">
            <v>167853</v>
          </cell>
        </row>
        <row r="2389">
          <cell r="B2389">
            <v>39139</v>
          </cell>
          <cell r="C2389">
            <v>16289</v>
          </cell>
        </row>
        <row r="2389">
          <cell r="G2389">
            <v>2195</v>
          </cell>
        </row>
        <row r="2389">
          <cell r="I2389">
            <v>16</v>
          </cell>
        </row>
        <row r="2389">
          <cell r="K2389">
            <v>243628</v>
          </cell>
        </row>
        <row r="2390">
          <cell r="B2390">
            <v>36581</v>
          </cell>
          <cell r="C2390">
            <v>13903</v>
          </cell>
        </row>
        <row r="2390">
          <cell r="G2390">
            <v>2663</v>
          </cell>
        </row>
        <row r="2390">
          <cell r="I2390">
            <v>13</v>
          </cell>
        </row>
        <row r="2390">
          <cell r="K2390">
            <v>168497</v>
          </cell>
        </row>
        <row r="2391">
          <cell r="B2391">
            <v>39108</v>
          </cell>
          <cell r="C2391">
            <v>15822</v>
          </cell>
        </row>
        <row r="2391">
          <cell r="G2391">
            <v>2856</v>
          </cell>
        </row>
        <row r="2391">
          <cell r="I2391">
            <v>10</v>
          </cell>
        </row>
        <row r="2391">
          <cell r="K2391">
            <v>86850</v>
          </cell>
        </row>
        <row r="2392">
          <cell r="B2392">
            <v>38854</v>
          </cell>
          <cell r="C2392">
            <v>16917</v>
          </cell>
        </row>
        <row r="2392">
          <cell r="G2392">
            <v>3128</v>
          </cell>
        </row>
        <row r="2392">
          <cell r="I2392">
            <v>10</v>
          </cell>
        </row>
        <row r="2392">
          <cell r="K2392">
            <v>176826.8</v>
          </cell>
        </row>
        <row r="2393">
          <cell r="B2393">
            <v>45614</v>
          </cell>
          <cell r="C2393">
            <v>17475</v>
          </cell>
        </row>
        <row r="2393">
          <cell r="G2393">
            <v>3906</v>
          </cell>
        </row>
        <row r="2393">
          <cell r="I2393">
            <v>10</v>
          </cell>
        </row>
        <row r="2393">
          <cell r="K2393">
            <v>159306</v>
          </cell>
        </row>
        <row r="2394">
          <cell r="B2394">
            <v>34429</v>
          </cell>
          <cell r="C2394">
            <v>10567</v>
          </cell>
        </row>
        <row r="2394">
          <cell r="G2394">
            <v>4249</v>
          </cell>
        </row>
        <row r="2394">
          <cell r="I2394">
            <v>10</v>
          </cell>
        </row>
        <row r="2394">
          <cell r="K2394">
            <v>162701</v>
          </cell>
        </row>
        <row r="2395">
          <cell r="B2395">
            <v>39208</v>
          </cell>
          <cell r="C2395">
            <v>12754</v>
          </cell>
        </row>
        <row r="2395">
          <cell r="G2395">
            <v>5716</v>
          </cell>
        </row>
        <row r="2395">
          <cell r="I2395">
            <v>23</v>
          </cell>
        </row>
        <row r="2395">
          <cell r="K2395">
            <v>372987.98</v>
          </cell>
        </row>
        <row r="2396">
          <cell r="B2396">
            <v>47978</v>
          </cell>
          <cell r="C2396">
            <v>14923</v>
          </cell>
        </row>
        <row r="2396">
          <cell r="G2396">
            <v>6227</v>
          </cell>
        </row>
        <row r="2396">
          <cell r="I2396">
            <v>10</v>
          </cell>
        </row>
        <row r="2396">
          <cell r="K2396">
            <v>180360.99</v>
          </cell>
        </row>
        <row r="2397">
          <cell r="B2397">
            <v>41953</v>
          </cell>
          <cell r="C2397">
            <v>11643</v>
          </cell>
        </row>
        <row r="2397">
          <cell r="G2397">
            <v>5537</v>
          </cell>
        </row>
        <row r="2397">
          <cell r="I2397">
            <v>13</v>
          </cell>
        </row>
        <row r="2397">
          <cell r="K2397">
            <v>225560</v>
          </cell>
        </row>
        <row r="2398">
          <cell r="B2398">
            <v>42082</v>
          </cell>
          <cell r="C2398">
            <v>12806</v>
          </cell>
        </row>
        <row r="2398">
          <cell r="G2398">
            <v>5046</v>
          </cell>
        </row>
        <row r="2398">
          <cell r="I2398">
            <v>7</v>
          </cell>
        </row>
        <row r="2398">
          <cell r="K2398">
            <v>161748.99</v>
          </cell>
        </row>
        <row r="2399">
          <cell r="B2399">
            <v>48005</v>
          </cell>
          <cell r="C2399">
            <v>19443</v>
          </cell>
        </row>
        <row r="2399">
          <cell r="G2399">
            <v>4003</v>
          </cell>
        </row>
        <row r="2399">
          <cell r="I2399">
            <v>16</v>
          </cell>
        </row>
        <row r="2399">
          <cell r="K2399">
            <v>281729</v>
          </cell>
        </row>
        <row r="2400">
          <cell r="B2400">
            <v>75652</v>
          </cell>
          <cell r="C2400">
            <v>35863</v>
          </cell>
        </row>
        <row r="2400">
          <cell r="G2400">
            <v>4252</v>
          </cell>
        </row>
        <row r="2400">
          <cell r="I2400">
            <v>8</v>
          </cell>
        </row>
        <row r="2400">
          <cell r="K2400">
            <v>129808.28</v>
          </cell>
        </row>
        <row r="2401">
          <cell r="B2401">
            <v>33626</v>
          </cell>
          <cell r="C2401">
            <v>10654</v>
          </cell>
        </row>
        <row r="2401">
          <cell r="G2401">
            <v>4773</v>
          </cell>
        </row>
        <row r="2401">
          <cell r="I2401">
            <v>7</v>
          </cell>
        </row>
        <row r="2401">
          <cell r="K2401">
            <v>69388</v>
          </cell>
        </row>
        <row r="2402">
          <cell r="B2402">
            <v>34710</v>
          </cell>
          <cell r="C2402">
            <v>9436</v>
          </cell>
        </row>
        <row r="2402">
          <cell r="G2402">
            <v>4641</v>
          </cell>
        </row>
        <row r="2402">
          <cell r="I2402">
            <v>9</v>
          </cell>
        </row>
        <row r="2402">
          <cell r="K2402">
            <v>146684</v>
          </cell>
        </row>
        <row r="2403">
          <cell r="B2403">
            <v>70778</v>
          </cell>
          <cell r="C2403">
            <v>35416</v>
          </cell>
        </row>
        <row r="2403">
          <cell r="G2403">
            <v>4307</v>
          </cell>
        </row>
        <row r="2403">
          <cell r="I2403">
            <v>7</v>
          </cell>
        </row>
        <row r="2403">
          <cell r="K2403">
            <v>97078</v>
          </cell>
        </row>
        <row r="2404">
          <cell r="B2404">
            <v>65326</v>
          </cell>
          <cell r="C2404">
            <v>28909</v>
          </cell>
        </row>
        <row r="2404">
          <cell r="G2404">
            <v>4247</v>
          </cell>
        </row>
        <row r="2404">
          <cell r="I2404">
            <v>20</v>
          </cell>
        </row>
        <row r="2404">
          <cell r="K2404">
            <v>311914.01</v>
          </cell>
        </row>
        <row r="2405">
          <cell r="B2405">
            <v>35696</v>
          </cell>
          <cell r="C2405">
            <v>11035</v>
          </cell>
        </row>
        <row r="2405">
          <cell r="G2405">
            <v>4005</v>
          </cell>
        </row>
        <row r="2405">
          <cell r="I2405">
            <v>12</v>
          </cell>
        </row>
        <row r="2405">
          <cell r="K2405">
            <v>183008</v>
          </cell>
        </row>
        <row r="2406">
          <cell r="B2406">
            <v>42972</v>
          </cell>
          <cell r="C2406">
            <v>12131</v>
          </cell>
        </row>
        <row r="2406">
          <cell r="G2406">
            <v>4535</v>
          </cell>
        </row>
        <row r="2406">
          <cell r="I2406">
            <v>9</v>
          </cell>
        </row>
        <row r="2406">
          <cell r="K2406">
            <v>134658</v>
          </cell>
        </row>
        <row r="2407">
          <cell r="B2407">
            <v>35496</v>
          </cell>
          <cell r="C2407">
            <v>10451</v>
          </cell>
        </row>
        <row r="2407">
          <cell r="G2407">
            <v>4289</v>
          </cell>
        </row>
        <row r="2407">
          <cell r="I2407">
            <v>8</v>
          </cell>
        </row>
        <row r="2407">
          <cell r="K2407">
            <v>133015</v>
          </cell>
        </row>
        <row r="2408">
          <cell r="B2408">
            <v>35179</v>
          </cell>
          <cell r="C2408">
            <v>10089</v>
          </cell>
        </row>
        <row r="2408">
          <cell r="G2408">
            <v>4842</v>
          </cell>
        </row>
        <row r="2408">
          <cell r="I2408">
            <v>13</v>
          </cell>
        </row>
        <row r="2408">
          <cell r="K2408">
            <v>210612</v>
          </cell>
        </row>
        <row r="2409">
          <cell r="B2409">
            <v>36866</v>
          </cell>
          <cell r="C2409">
            <v>10635</v>
          </cell>
        </row>
        <row r="2409">
          <cell r="G2409">
            <v>4483</v>
          </cell>
        </row>
        <row r="2409">
          <cell r="I2409">
            <v>24</v>
          </cell>
        </row>
        <row r="2409">
          <cell r="K2409">
            <v>384081</v>
          </cell>
        </row>
        <row r="2410">
          <cell r="B2410">
            <v>35714</v>
          </cell>
          <cell r="C2410">
            <v>10139</v>
          </cell>
        </row>
        <row r="2410">
          <cell r="G2410">
            <v>4358</v>
          </cell>
        </row>
        <row r="2410">
          <cell r="I2410">
            <v>16</v>
          </cell>
        </row>
        <row r="2410">
          <cell r="K2410">
            <v>229421</v>
          </cell>
        </row>
        <row r="2411">
          <cell r="B2411">
            <v>44663</v>
          </cell>
          <cell r="C2411">
            <v>12526</v>
          </cell>
        </row>
        <row r="2411">
          <cell r="G2411">
            <v>4705</v>
          </cell>
        </row>
        <row r="2411">
          <cell r="I2411">
            <v>15</v>
          </cell>
        </row>
        <row r="2411">
          <cell r="K2411">
            <v>247815</v>
          </cell>
        </row>
        <row r="2412">
          <cell r="B2412">
            <v>37014</v>
          </cell>
          <cell r="C2412">
            <v>10813</v>
          </cell>
        </row>
        <row r="2412">
          <cell r="G2412">
            <v>4481</v>
          </cell>
        </row>
        <row r="2412">
          <cell r="I2412">
            <v>8</v>
          </cell>
        </row>
        <row r="2412">
          <cell r="K2412">
            <v>87493</v>
          </cell>
        </row>
        <row r="2413">
          <cell r="B2413">
            <v>36584</v>
          </cell>
          <cell r="C2413">
            <v>10863</v>
          </cell>
        </row>
        <row r="2413">
          <cell r="G2413">
            <v>4282</v>
          </cell>
        </row>
        <row r="2413">
          <cell r="I2413">
            <v>12</v>
          </cell>
        </row>
        <row r="2413">
          <cell r="K2413">
            <v>199851</v>
          </cell>
        </row>
        <row r="2414">
          <cell r="B2414">
            <v>36492</v>
          </cell>
          <cell r="C2414">
            <v>10289</v>
          </cell>
        </row>
        <row r="2414">
          <cell r="G2414">
            <v>4330</v>
          </cell>
        </row>
        <row r="2414">
          <cell r="I2414">
            <v>8</v>
          </cell>
        </row>
        <row r="2414">
          <cell r="K2414">
            <v>128989.8</v>
          </cell>
        </row>
        <row r="2415">
          <cell r="B2415">
            <v>36152</v>
          </cell>
          <cell r="C2415">
            <v>11173</v>
          </cell>
        </row>
        <row r="2415">
          <cell r="G2415">
            <v>4233</v>
          </cell>
        </row>
        <row r="2415">
          <cell r="I2415">
            <v>16</v>
          </cell>
        </row>
        <row r="2415">
          <cell r="K2415">
            <v>189617</v>
          </cell>
        </row>
        <row r="2416">
          <cell r="B2416">
            <v>31270</v>
          </cell>
          <cell r="C2416">
            <v>8879</v>
          </cell>
        </row>
        <row r="2416">
          <cell r="G2416">
            <v>4255</v>
          </cell>
        </row>
        <row r="2416">
          <cell r="I2416">
            <v>18</v>
          </cell>
        </row>
        <row r="2416">
          <cell r="K2416">
            <v>244122</v>
          </cell>
        </row>
        <row r="2417">
          <cell r="B2417">
            <v>32631</v>
          </cell>
          <cell r="C2417">
            <v>9173</v>
          </cell>
        </row>
        <row r="2417">
          <cell r="G2417">
            <v>4339</v>
          </cell>
        </row>
        <row r="2417">
          <cell r="I2417">
            <v>11</v>
          </cell>
        </row>
        <row r="2417">
          <cell r="K2417">
            <v>163179</v>
          </cell>
        </row>
        <row r="2418">
          <cell r="B2418">
            <v>37337</v>
          </cell>
          <cell r="C2418">
            <v>10552</v>
          </cell>
        </row>
        <row r="2418">
          <cell r="G2418">
            <v>4990</v>
          </cell>
        </row>
        <row r="2418">
          <cell r="I2418">
            <v>19</v>
          </cell>
        </row>
        <row r="2418">
          <cell r="K2418">
            <v>214410</v>
          </cell>
        </row>
        <row r="2419">
          <cell r="B2419">
            <v>34670</v>
          </cell>
          <cell r="C2419">
            <v>9176</v>
          </cell>
        </row>
        <row r="2419">
          <cell r="G2419">
            <v>4590</v>
          </cell>
        </row>
        <row r="2419">
          <cell r="I2419">
            <v>11</v>
          </cell>
        </row>
        <row r="2419">
          <cell r="K2419">
            <v>150841</v>
          </cell>
        </row>
        <row r="2420">
          <cell r="B2420">
            <v>36630</v>
          </cell>
          <cell r="C2420">
            <v>11466</v>
          </cell>
        </row>
        <row r="2420">
          <cell r="G2420">
            <v>4918</v>
          </cell>
        </row>
        <row r="2420">
          <cell r="I2420">
            <v>9</v>
          </cell>
        </row>
        <row r="2420">
          <cell r="K2420">
            <v>96996</v>
          </cell>
        </row>
        <row r="2421">
          <cell r="B2421">
            <v>40042</v>
          </cell>
          <cell r="C2421">
            <v>14274</v>
          </cell>
        </row>
        <row r="2421">
          <cell r="G2421">
            <v>4778</v>
          </cell>
        </row>
        <row r="2421">
          <cell r="I2421">
            <v>10</v>
          </cell>
        </row>
        <row r="2421">
          <cell r="K2421">
            <v>139634</v>
          </cell>
        </row>
        <row r="2422">
          <cell r="B2422">
            <v>40858</v>
          </cell>
          <cell r="C2422">
            <v>12575</v>
          </cell>
        </row>
        <row r="2422">
          <cell r="G2422">
            <v>5660</v>
          </cell>
        </row>
        <row r="2422">
          <cell r="I2422">
            <v>12</v>
          </cell>
        </row>
        <row r="2422">
          <cell r="K2422">
            <v>120835</v>
          </cell>
        </row>
        <row r="2423">
          <cell r="B2423">
            <v>36276</v>
          </cell>
          <cell r="C2423">
            <v>11748</v>
          </cell>
        </row>
        <row r="2423">
          <cell r="G2423">
            <v>4883</v>
          </cell>
        </row>
        <row r="2423">
          <cell r="I2423">
            <v>14</v>
          </cell>
        </row>
        <row r="2423">
          <cell r="K2423">
            <v>221138</v>
          </cell>
        </row>
        <row r="2424">
          <cell r="B2424">
            <v>34239</v>
          </cell>
          <cell r="C2424">
            <v>11453</v>
          </cell>
        </row>
        <row r="2424">
          <cell r="G2424">
            <v>5267</v>
          </cell>
        </row>
        <row r="2424">
          <cell r="I2424">
            <v>6</v>
          </cell>
        </row>
        <row r="2424">
          <cell r="K2424">
            <v>93090</v>
          </cell>
        </row>
        <row r="2425">
          <cell r="B2425">
            <v>39633</v>
          </cell>
          <cell r="C2425">
            <v>11996</v>
          </cell>
        </row>
        <row r="2425">
          <cell r="G2425">
            <v>5356</v>
          </cell>
        </row>
        <row r="2425">
          <cell r="I2425">
            <v>13</v>
          </cell>
        </row>
        <row r="2425">
          <cell r="K2425">
            <v>137275</v>
          </cell>
        </row>
        <row r="2426">
          <cell r="B2426">
            <v>34313</v>
          </cell>
          <cell r="C2426">
            <v>9975</v>
          </cell>
        </row>
        <row r="2426">
          <cell r="G2426">
            <v>4454</v>
          </cell>
        </row>
        <row r="2426">
          <cell r="I2426">
            <v>12</v>
          </cell>
        </row>
        <row r="2426">
          <cell r="K2426">
            <v>147381</v>
          </cell>
        </row>
        <row r="2427">
          <cell r="B2427">
            <v>37039</v>
          </cell>
          <cell r="C2427">
            <v>12189</v>
          </cell>
        </row>
        <row r="2427">
          <cell r="G2427">
            <v>5028</v>
          </cell>
        </row>
        <row r="2427">
          <cell r="I2427">
            <v>14</v>
          </cell>
        </row>
        <row r="2427">
          <cell r="K2427">
            <v>176299</v>
          </cell>
        </row>
        <row r="2428">
          <cell r="B2428">
            <v>41847</v>
          </cell>
          <cell r="C2428">
            <v>14955</v>
          </cell>
        </row>
        <row r="2428">
          <cell r="G2428">
            <v>4096</v>
          </cell>
        </row>
        <row r="2428">
          <cell r="I2428">
            <v>5</v>
          </cell>
        </row>
        <row r="2428">
          <cell r="K2428">
            <v>49974</v>
          </cell>
        </row>
        <row r="2429">
          <cell r="B2429">
            <v>49276</v>
          </cell>
          <cell r="C2429">
            <v>20513</v>
          </cell>
        </row>
        <row r="2429">
          <cell r="G2429">
            <v>2913</v>
          </cell>
        </row>
        <row r="2429">
          <cell r="I2429">
            <v>8</v>
          </cell>
        </row>
        <row r="2429">
          <cell r="K2429">
            <v>110015</v>
          </cell>
        </row>
        <row r="2430">
          <cell r="B2430">
            <v>30534</v>
          </cell>
          <cell r="C2430">
            <v>10965</v>
          </cell>
        </row>
        <row r="2430">
          <cell r="G2430">
            <v>3900</v>
          </cell>
        </row>
        <row r="2430">
          <cell r="I2430">
            <v>8</v>
          </cell>
        </row>
        <row r="2430">
          <cell r="K2430">
            <v>107644</v>
          </cell>
        </row>
        <row r="2431">
          <cell r="B2431">
            <v>40746</v>
          </cell>
          <cell r="C2431">
            <v>14532</v>
          </cell>
        </row>
        <row r="2431">
          <cell r="G2431">
            <v>4958</v>
          </cell>
        </row>
        <row r="2431">
          <cell r="I2431">
            <v>8</v>
          </cell>
        </row>
        <row r="2431">
          <cell r="K2431">
            <v>96155</v>
          </cell>
        </row>
        <row r="2432">
          <cell r="B2432">
            <v>51595</v>
          </cell>
          <cell r="C2432">
            <v>16625</v>
          </cell>
        </row>
        <row r="2432">
          <cell r="G2432">
            <v>4432</v>
          </cell>
        </row>
        <row r="2432">
          <cell r="I2432">
            <v>17</v>
          </cell>
        </row>
        <row r="2432">
          <cell r="K2432">
            <v>223415</v>
          </cell>
        </row>
        <row r="2433">
          <cell r="B2433">
            <v>47089</v>
          </cell>
          <cell r="C2433">
            <v>15110</v>
          </cell>
        </row>
        <row r="2433">
          <cell r="G2433">
            <v>4291</v>
          </cell>
        </row>
        <row r="2433">
          <cell r="I2433">
            <v>10</v>
          </cell>
        </row>
        <row r="2433">
          <cell r="K2433">
            <v>154506</v>
          </cell>
        </row>
        <row r="2434">
          <cell r="B2434">
            <v>52406</v>
          </cell>
          <cell r="C2434">
            <v>18359</v>
          </cell>
        </row>
        <row r="2434">
          <cell r="G2434">
            <v>5035</v>
          </cell>
        </row>
        <row r="2434">
          <cell r="I2434">
            <v>7</v>
          </cell>
        </row>
        <row r="2434">
          <cell r="K2434">
            <v>83999</v>
          </cell>
        </row>
        <row r="2435">
          <cell r="B2435">
            <v>45369</v>
          </cell>
          <cell r="C2435">
            <v>14184</v>
          </cell>
        </row>
        <row r="2435">
          <cell r="G2435">
            <v>4908</v>
          </cell>
        </row>
        <row r="2435">
          <cell r="I2435">
            <v>4</v>
          </cell>
        </row>
        <row r="2435">
          <cell r="K2435">
            <v>66576</v>
          </cell>
        </row>
        <row r="2436">
          <cell r="B2436">
            <v>42640</v>
          </cell>
          <cell r="C2436">
            <v>12494</v>
          </cell>
        </row>
        <row r="2436">
          <cell r="G2436">
            <v>5526</v>
          </cell>
        </row>
        <row r="2436">
          <cell r="I2436">
            <v>23</v>
          </cell>
        </row>
        <row r="2436">
          <cell r="K2436">
            <v>287567</v>
          </cell>
        </row>
        <row r="2437">
          <cell r="B2437">
            <v>38429</v>
          </cell>
          <cell r="C2437">
            <v>10314</v>
          </cell>
        </row>
        <row r="2437">
          <cell r="G2437">
            <v>3439</v>
          </cell>
        </row>
        <row r="2437">
          <cell r="I2437">
            <v>30</v>
          </cell>
        </row>
        <row r="2437">
          <cell r="K2437">
            <v>339172</v>
          </cell>
        </row>
        <row r="2438">
          <cell r="B2438">
            <v>45205</v>
          </cell>
          <cell r="C2438">
            <v>13014</v>
          </cell>
        </row>
        <row r="2438">
          <cell r="G2438">
            <v>4628</v>
          </cell>
        </row>
        <row r="2438">
          <cell r="I2438">
            <v>22</v>
          </cell>
        </row>
        <row r="2438">
          <cell r="K2438">
            <v>218086</v>
          </cell>
        </row>
        <row r="2439">
          <cell r="B2439">
            <v>54476</v>
          </cell>
          <cell r="C2439">
            <v>16840</v>
          </cell>
        </row>
        <row r="2439">
          <cell r="G2439">
            <v>4787</v>
          </cell>
        </row>
        <row r="2439">
          <cell r="I2439">
            <v>28</v>
          </cell>
        </row>
        <row r="2439">
          <cell r="K2439">
            <v>297242</v>
          </cell>
        </row>
        <row r="2440">
          <cell r="B2440">
            <v>43298</v>
          </cell>
          <cell r="C2440">
            <v>11372</v>
          </cell>
        </row>
        <row r="2440">
          <cell r="G2440">
            <v>3652</v>
          </cell>
        </row>
        <row r="2440">
          <cell r="I2440">
            <v>19</v>
          </cell>
        </row>
        <row r="2440">
          <cell r="K2440">
            <v>220875</v>
          </cell>
        </row>
        <row r="2441">
          <cell r="B2441">
            <v>44695</v>
          </cell>
          <cell r="C2441">
            <v>13330</v>
          </cell>
        </row>
        <row r="2441">
          <cell r="G2441">
            <v>3857</v>
          </cell>
        </row>
        <row r="2441">
          <cell r="I2441">
            <v>21</v>
          </cell>
        </row>
        <row r="2441">
          <cell r="K2441">
            <v>264682</v>
          </cell>
        </row>
        <row r="2442">
          <cell r="B2442">
            <v>48934</v>
          </cell>
          <cell r="C2442">
            <v>14832</v>
          </cell>
        </row>
        <row r="2442">
          <cell r="G2442">
            <v>3801</v>
          </cell>
        </row>
        <row r="2442">
          <cell r="I2442">
            <v>14</v>
          </cell>
        </row>
        <row r="2442">
          <cell r="K2442">
            <v>169576.1</v>
          </cell>
        </row>
        <row r="2443">
          <cell r="B2443">
            <v>48765</v>
          </cell>
          <cell r="C2443">
            <v>17601</v>
          </cell>
        </row>
        <row r="2443">
          <cell r="G2443">
            <v>4981</v>
          </cell>
        </row>
        <row r="2443">
          <cell r="I2443">
            <v>9</v>
          </cell>
        </row>
        <row r="2443">
          <cell r="K2443">
            <v>119560</v>
          </cell>
        </row>
        <row r="2444">
          <cell r="B2444">
            <v>35376</v>
          </cell>
          <cell r="C2444">
            <v>9582</v>
          </cell>
        </row>
        <row r="2444">
          <cell r="G2444">
            <v>4162</v>
          </cell>
        </row>
        <row r="2444">
          <cell r="I2444">
            <v>11</v>
          </cell>
        </row>
        <row r="2444">
          <cell r="K2444">
            <v>134840</v>
          </cell>
        </row>
        <row r="2445">
          <cell r="B2445">
            <v>49340</v>
          </cell>
          <cell r="C2445">
            <v>16667</v>
          </cell>
        </row>
        <row r="2445">
          <cell r="G2445">
            <v>5353</v>
          </cell>
        </row>
        <row r="2445">
          <cell r="I2445">
            <v>15</v>
          </cell>
        </row>
        <row r="2445">
          <cell r="K2445">
            <v>202011</v>
          </cell>
        </row>
        <row r="2446">
          <cell r="B2446">
            <v>51512</v>
          </cell>
          <cell r="C2446">
            <v>15859</v>
          </cell>
        </row>
        <row r="2446">
          <cell r="G2446">
            <v>5197</v>
          </cell>
        </row>
        <row r="2446">
          <cell r="I2446">
            <v>20</v>
          </cell>
        </row>
        <row r="2446">
          <cell r="K2446">
            <v>239045</v>
          </cell>
        </row>
        <row r="2447">
          <cell r="B2447">
            <v>43493</v>
          </cell>
          <cell r="C2447">
            <v>11407</v>
          </cell>
        </row>
        <row r="2447">
          <cell r="G2447">
            <v>4784</v>
          </cell>
        </row>
        <row r="2447">
          <cell r="I2447">
            <v>16</v>
          </cell>
        </row>
        <row r="2447">
          <cell r="K2447">
            <v>195423</v>
          </cell>
        </row>
        <row r="2448">
          <cell r="B2448">
            <v>50258</v>
          </cell>
          <cell r="C2448">
            <v>16069</v>
          </cell>
        </row>
        <row r="2448">
          <cell r="G2448">
            <v>5309</v>
          </cell>
        </row>
        <row r="2448">
          <cell r="I2448">
            <v>14</v>
          </cell>
        </row>
        <row r="2448">
          <cell r="K2448">
            <v>150128</v>
          </cell>
        </row>
        <row r="2449">
          <cell r="B2449">
            <v>53629</v>
          </cell>
          <cell r="C2449">
            <v>16854</v>
          </cell>
        </row>
        <row r="2449">
          <cell r="G2449">
            <v>5602</v>
          </cell>
        </row>
        <row r="2449">
          <cell r="I2449">
            <v>15</v>
          </cell>
        </row>
        <row r="2449">
          <cell r="K2449">
            <v>191985</v>
          </cell>
        </row>
        <row r="2450">
          <cell r="B2450">
            <v>51861</v>
          </cell>
          <cell r="C2450">
            <v>15729</v>
          </cell>
        </row>
        <row r="2450">
          <cell r="G2450">
            <v>5646</v>
          </cell>
        </row>
        <row r="2450">
          <cell r="I2450">
            <v>15</v>
          </cell>
        </row>
        <row r="2450">
          <cell r="K2450">
            <v>238817</v>
          </cell>
        </row>
        <row r="2451">
          <cell r="B2451">
            <v>44133</v>
          </cell>
          <cell r="C2451">
            <v>13496</v>
          </cell>
        </row>
        <row r="2451">
          <cell r="G2451">
            <v>4561</v>
          </cell>
        </row>
        <row r="2451">
          <cell r="I2451">
            <v>10</v>
          </cell>
        </row>
        <row r="2451">
          <cell r="K2451">
            <v>138816</v>
          </cell>
        </row>
        <row r="2452">
          <cell r="B2452">
            <v>55031</v>
          </cell>
          <cell r="C2452">
            <v>21832</v>
          </cell>
        </row>
        <row r="2452">
          <cell r="G2452">
            <v>5597</v>
          </cell>
        </row>
        <row r="2452">
          <cell r="I2452">
            <v>10</v>
          </cell>
        </row>
        <row r="2452">
          <cell r="K2452">
            <v>101964</v>
          </cell>
        </row>
        <row r="2453">
          <cell r="B2453">
            <v>65891</v>
          </cell>
          <cell r="C2453">
            <v>25246</v>
          </cell>
        </row>
        <row r="2453">
          <cell r="G2453">
            <v>5626</v>
          </cell>
        </row>
        <row r="2453">
          <cell r="I2453">
            <v>15</v>
          </cell>
        </row>
        <row r="2453">
          <cell r="K2453">
            <v>168225</v>
          </cell>
        </row>
        <row r="2454">
          <cell r="B2454">
            <v>37316</v>
          </cell>
          <cell r="C2454">
            <v>11583</v>
          </cell>
        </row>
        <row r="2454">
          <cell r="G2454">
            <v>4040</v>
          </cell>
        </row>
        <row r="2454">
          <cell r="I2454">
            <v>17</v>
          </cell>
        </row>
        <row r="2454">
          <cell r="K2454">
            <v>210763</v>
          </cell>
        </row>
        <row r="2455">
          <cell r="B2455">
            <v>39353</v>
          </cell>
          <cell r="C2455">
            <v>14787</v>
          </cell>
        </row>
        <row r="2455">
          <cell r="G2455">
            <v>3773</v>
          </cell>
        </row>
        <row r="2455">
          <cell r="I2455">
            <v>15</v>
          </cell>
        </row>
        <row r="2455">
          <cell r="K2455">
            <v>227955.9</v>
          </cell>
        </row>
        <row r="2456">
          <cell r="B2456">
            <v>42492</v>
          </cell>
          <cell r="C2456">
            <v>14051</v>
          </cell>
        </row>
        <row r="2456">
          <cell r="G2456">
            <v>3438</v>
          </cell>
        </row>
        <row r="2456">
          <cell r="I2456">
            <v>15</v>
          </cell>
        </row>
        <row r="2456">
          <cell r="K2456">
            <v>170744</v>
          </cell>
        </row>
        <row r="2457">
          <cell r="B2457">
            <v>41165</v>
          </cell>
          <cell r="C2457">
            <v>13290</v>
          </cell>
        </row>
        <row r="2457">
          <cell r="G2457">
            <v>4035</v>
          </cell>
        </row>
        <row r="2457">
          <cell r="I2457">
            <v>9</v>
          </cell>
        </row>
        <row r="2457">
          <cell r="K2457">
            <v>111943</v>
          </cell>
        </row>
        <row r="2458">
          <cell r="B2458">
            <v>43161</v>
          </cell>
          <cell r="C2458">
            <v>14393</v>
          </cell>
        </row>
        <row r="2458">
          <cell r="G2458">
            <v>3763</v>
          </cell>
        </row>
        <row r="2458">
          <cell r="I2458">
            <v>15</v>
          </cell>
        </row>
        <row r="2458">
          <cell r="K2458">
            <v>194510</v>
          </cell>
        </row>
        <row r="2459">
          <cell r="B2459">
            <v>62040</v>
          </cell>
          <cell r="C2459">
            <v>27533</v>
          </cell>
        </row>
        <row r="2459">
          <cell r="G2459">
            <v>3952</v>
          </cell>
        </row>
        <row r="2459">
          <cell r="I2459">
            <v>12</v>
          </cell>
        </row>
        <row r="2459">
          <cell r="K2459">
            <v>148909</v>
          </cell>
        </row>
        <row r="2460">
          <cell r="B2460">
            <v>68526</v>
          </cell>
          <cell r="C2460">
            <v>28164</v>
          </cell>
        </row>
        <row r="2460">
          <cell r="G2460">
            <v>4363</v>
          </cell>
        </row>
        <row r="2460">
          <cell r="I2460">
            <v>21</v>
          </cell>
        </row>
        <row r="2460">
          <cell r="K2460">
            <v>245673</v>
          </cell>
        </row>
        <row r="2461">
          <cell r="B2461">
            <v>49664</v>
          </cell>
          <cell r="C2461">
            <v>13478</v>
          </cell>
        </row>
        <row r="2461">
          <cell r="G2461">
            <v>4595</v>
          </cell>
        </row>
        <row r="2461">
          <cell r="I2461">
            <v>19</v>
          </cell>
        </row>
        <row r="2461">
          <cell r="K2461">
            <v>205416</v>
          </cell>
        </row>
        <row r="2462">
          <cell r="B2462">
            <v>77245</v>
          </cell>
          <cell r="C2462">
            <v>37038</v>
          </cell>
        </row>
        <row r="2462">
          <cell r="G2462">
            <v>4965</v>
          </cell>
        </row>
        <row r="2462">
          <cell r="I2462">
            <v>12</v>
          </cell>
        </row>
        <row r="2462">
          <cell r="K2462">
            <v>149975</v>
          </cell>
        </row>
        <row r="2463">
          <cell r="B2463">
            <v>87689</v>
          </cell>
          <cell r="C2463">
            <v>43232</v>
          </cell>
        </row>
        <row r="2463">
          <cell r="G2463">
            <v>4693</v>
          </cell>
        </row>
        <row r="2463">
          <cell r="I2463">
            <v>21</v>
          </cell>
        </row>
        <row r="2463">
          <cell r="K2463">
            <v>235599</v>
          </cell>
        </row>
        <row r="2464">
          <cell r="B2464">
            <v>74595</v>
          </cell>
          <cell r="C2464">
            <v>34732</v>
          </cell>
        </row>
        <row r="2464">
          <cell r="G2464">
            <v>4356</v>
          </cell>
        </row>
        <row r="2464">
          <cell r="I2464">
            <v>8</v>
          </cell>
        </row>
        <row r="2464">
          <cell r="K2464">
            <v>88998</v>
          </cell>
        </row>
        <row r="2465">
          <cell r="B2465">
            <v>43360</v>
          </cell>
          <cell r="C2465">
            <v>15053</v>
          </cell>
        </row>
        <row r="2465">
          <cell r="G2465">
            <v>4651</v>
          </cell>
        </row>
        <row r="2465">
          <cell r="I2465">
            <v>7</v>
          </cell>
        </row>
        <row r="2465">
          <cell r="K2465">
            <v>116812</v>
          </cell>
        </row>
        <row r="2466">
          <cell r="B2466">
            <v>50474</v>
          </cell>
          <cell r="C2466">
            <v>20460</v>
          </cell>
        </row>
        <row r="2466">
          <cell r="G2466">
            <v>4781</v>
          </cell>
        </row>
        <row r="2466">
          <cell r="I2466">
            <v>9</v>
          </cell>
        </row>
        <row r="2466">
          <cell r="K2466">
            <v>118553</v>
          </cell>
        </row>
        <row r="2467">
          <cell r="B2467">
            <v>59676</v>
          </cell>
          <cell r="C2467">
            <v>24684</v>
          </cell>
        </row>
        <row r="2467">
          <cell r="G2467">
            <v>3732</v>
          </cell>
        </row>
        <row r="2467">
          <cell r="I2467">
            <v>21</v>
          </cell>
        </row>
        <row r="2467">
          <cell r="K2467">
            <v>271389</v>
          </cell>
        </row>
        <row r="2468">
          <cell r="B2468">
            <v>45437</v>
          </cell>
          <cell r="C2468">
            <v>14979</v>
          </cell>
        </row>
        <row r="2468">
          <cell r="G2468">
            <v>3423</v>
          </cell>
        </row>
        <row r="2468">
          <cell r="I2468">
            <v>18</v>
          </cell>
        </row>
        <row r="2468">
          <cell r="K2468">
            <v>196883</v>
          </cell>
        </row>
        <row r="2469">
          <cell r="B2469">
            <v>60113</v>
          </cell>
          <cell r="C2469">
            <v>19387</v>
          </cell>
        </row>
        <row r="2469">
          <cell r="G2469">
            <v>4333</v>
          </cell>
        </row>
        <row r="2469">
          <cell r="I2469">
            <v>39</v>
          </cell>
        </row>
        <row r="2469">
          <cell r="K2469">
            <v>474391</v>
          </cell>
        </row>
        <row r="2470">
          <cell r="B2470">
            <v>44270</v>
          </cell>
          <cell r="C2470">
            <v>15621</v>
          </cell>
        </row>
        <row r="2470">
          <cell r="G2470">
            <v>2703</v>
          </cell>
        </row>
        <row r="2470">
          <cell r="I2470">
            <v>6</v>
          </cell>
        </row>
        <row r="2470">
          <cell r="K2470">
            <v>99069</v>
          </cell>
        </row>
        <row r="2471">
          <cell r="B2471">
            <v>44118</v>
          </cell>
          <cell r="C2471">
            <v>15819</v>
          </cell>
        </row>
        <row r="2471">
          <cell r="G2471">
            <v>3084</v>
          </cell>
        </row>
        <row r="2471">
          <cell r="I2471">
            <v>13</v>
          </cell>
        </row>
        <row r="2471">
          <cell r="K2471">
            <v>172013</v>
          </cell>
        </row>
        <row r="2472">
          <cell r="B2472">
            <v>35688</v>
          </cell>
          <cell r="C2472">
            <v>14005</v>
          </cell>
        </row>
        <row r="2472">
          <cell r="G2472">
            <v>3100</v>
          </cell>
        </row>
        <row r="2472">
          <cell r="I2472">
            <v>6</v>
          </cell>
        </row>
        <row r="2472">
          <cell r="K2472">
            <v>88775</v>
          </cell>
        </row>
        <row r="2473">
          <cell r="B2473">
            <v>33322</v>
          </cell>
          <cell r="C2473">
            <v>14175</v>
          </cell>
        </row>
        <row r="2473">
          <cell r="G2473">
            <v>2275</v>
          </cell>
        </row>
        <row r="2473">
          <cell r="I2473">
            <v>6</v>
          </cell>
        </row>
        <row r="2473">
          <cell r="K2473">
            <v>82996</v>
          </cell>
        </row>
        <row r="2474">
          <cell r="B2474">
            <v>37007</v>
          </cell>
          <cell r="C2474">
            <v>16388</v>
          </cell>
        </row>
        <row r="2474">
          <cell r="G2474">
            <v>2489</v>
          </cell>
        </row>
        <row r="2474">
          <cell r="I2474">
            <v>8</v>
          </cell>
        </row>
        <row r="2474">
          <cell r="K2474">
            <v>89782</v>
          </cell>
        </row>
        <row r="2475">
          <cell r="B2475">
            <v>38610</v>
          </cell>
          <cell r="C2475">
            <v>14680</v>
          </cell>
        </row>
        <row r="2475">
          <cell r="G2475">
            <v>2775</v>
          </cell>
        </row>
        <row r="2475">
          <cell r="I2475">
            <v>4</v>
          </cell>
        </row>
        <row r="2475">
          <cell r="K2475">
            <v>50169</v>
          </cell>
        </row>
        <row r="2476">
          <cell r="B2476">
            <v>35056</v>
          </cell>
          <cell r="C2476">
            <v>13437</v>
          </cell>
        </row>
        <row r="2476">
          <cell r="G2476">
            <v>2929</v>
          </cell>
        </row>
        <row r="2476">
          <cell r="I2476">
            <v>3</v>
          </cell>
        </row>
        <row r="2476">
          <cell r="K2476">
            <v>41472.4</v>
          </cell>
        </row>
        <row r="2477">
          <cell r="B2477">
            <v>33391</v>
          </cell>
          <cell r="C2477">
            <v>12975</v>
          </cell>
        </row>
        <row r="2477">
          <cell r="G2477">
            <v>2776</v>
          </cell>
        </row>
        <row r="2477">
          <cell r="I2477">
            <v>3</v>
          </cell>
        </row>
        <row r="2477">
          <cell r="K2477">
            <v>76433</v>
          </cell>
        </row>
        <row r="2478">
          <cell r="B2478">
            <v>29824</v>
          </cell>
          <cell r="C2478">
            <v>11871</v>
          </cell>
        </row>
        <row r="2478">
          <cell r="G2478">
            <v>2760</v>
          </cell>
        </row>
        <row r="2478">
          <cell r="I2478">
            <v>4</v>
          </cell>
        </row>
        <row r="2478">
          <cell r="K2478">
            <v>51893</v>
          </cell>
        </row>
        <row r="2479">
          <cell r="B2479">
            <v>28168</v>
          </cell>
          <cell r="C2479">
            <v>10497</v>
          </cell>
        </row>
        <row r="2479">
          <cell r="G2479">
            <v>2469</v>
          </cell>
        </row>
        <row r="2479">
          <cell r="I2479">
            <v>8</v>
          </cell>
        </row>
        <row r="2479">
          <cell r="K2479">
            <v>101944.5</v>
          </cell>
        </row>
        <row r="2480">
          <cell r="B2480">
            <v>32572</v>
          </cell>
          <cell r="C2480">
            <v>13786</v>
          </cell>
        </row>
        <row r="2480">
          <cell r="G2480">
            <v>2812</v>
          </cell>
        </row>
        <row r="2480">
          <cell r="I2480">
            <v>6</v>
          </cell>
        </row>
        <row r="2480">
          <cell r="K2480">
            <v>90298</v>
          </cell>
        </row>
        <row r="2481">
          <cell r="B2481">
            <v>35815</v>
          </cell>
          <cell r="C2481">
            <v>13087</v>
          </cell>
        </row>
        <row r="2481">
          <cell r="G2481">
            <v>2732</v>
          </cell>
        </row>
        <row r="2481">
          <cell r="I2481">
            <v>12</v>
          </cell>
        </row>
        <row r="2481">
          <cell r="K2481">
            <v>137355</v>
          </cell>
        </row>
        <row r="2482">
          <cell r="B2482">
            <v>28516</v>
          </cell>
          <cell r="C2482">
            <v>11178</v>
          </cell>
        </row>
        <row r="2482">
          <cell r="G2482">
            <v>2560</v>
          </cell>
        </row>
        <row r="2482">
          <cell r="I2482">
            <v>8</v>
          </cell>
        </row>
        <row r="2482">
          <cell r="K2482">
            <v>101431</v>
          </cell>
        </row>
        <row r="2483">
          <cell r="B2483">
            <v>30054</v>
          </cell>
          <cell r="C2483">
            <v>11430</v>
          </cell>
        </row>
        <row r="2483">
          <cell r="G2483">
            <v>2591</v>
          </cell>
        </row>
        <row r="2483">
          <cell r="I2483">
            <v>12</v>
          </cell>
        </row>
        <row r="2483">
          <cell r="K2483">
            <v>159171</v>
          </cell>
        </row>
        <row r="2484">
          <cell r="B2484">
            <v>29990</v>
          </cell>
          <cell r="C2484">
            <v>10488</v>
          </cell>
        </row>
        <row r="2484">
          <cell r="G2484">
            <v>2848</v>
          </cell>
        </row>
        <row r="2484">
          <cell r="I2484">
            <v>4</v>
          </cell>
        </row>
        <row r="2484">
          <cell r="K2484">
            <v>69365</v>
          </cell>
        </row>
        <row r="2485">
          <cell r="B2485">
            <v>30999</v>
          </cell>
          <cell r="C2485">
            <v>11491</v>
          </cell>
        </row>
        <row r="2485">
          <cell r="G2485">
            <v>2816</v>
          </cell>
        </row>
        <row r="2485">
          <cell r="I2485">
            <v>5</v>
          </cell>
        </row>
        <row r="2485">
          <cell r="K2485">
            <v>61896</v>
          </cell>
        </row>
        <row r="2486">
          <cell r="B2486">
            <v>31540</v>
          </cell>
          <cell r="C2486">
            <v>10846</v>
          </cell>
        </row>
        <row r="2486">
          <cell r="G2486">
            <v>3237</v>
          </cell>
        </row>
        <row r="2486">
          <cell r="I2486">
            <v>0</v>
          </cell>
        </row>
        <row r="2486">
          <cell r="K2486">
            <v>0</v>
          </cell>
        </row>
        <row r="2487">
          <cell r="B2487">
            <v>29099</v>
          </cell>
          <cell r="C2487">
            <v>11442</v>
          </cell>
        </row>
        <row r="2487">
          <cell r="G2487">
            <v>3233</v>
          </cell>
        </row>
        <row r="2487">
          <cell r="I2487">
            <v>1</v>
          </cell>
        </row>
        <row r="2487">
          <cell r="K2487">
            <v>6046</v>
          </cell>
        </row>
        <row r="2488">
          <cell r="B2488">
            <v>21337</v>
          </cell>
          <cell r="C2488">
            <v>9251</v>
          </cell>
        </row>
        <row r="2488">
          <cell r="G2488">
            <v>2338</v>
          </cell>
        </row>
        <row r="2488">
          <cell r="I2488">
            <v>3</v>
          </cell>
        </row>
        <row r="2488">
          <cell r="K2488">
            <v>42662</v>
          </cell>
        </row>
        <row r="2489">
          <cell r="B2489">
            <v>17073</v>
          </cell>
          <cell r="C2489">
            <v>7330</v>
          </cell>
        </row>
        <row r="2489">
          <cell r="G2489">
            <v>2101</v>
          </cell>
        </row>
        <row r="2489">
          <cell r="I2489">
            <v>5</v>
          </cell>
        </row>
        <row r="2489">
          <cell r="K2489">
            <v>53863</v>
          </cell>
        </row>
        <row r="2490">
          <cell r="B2490">
            <v>24269</v>
          </cell>
          <cell r="C2490">
            <v>9068</v>
          </cell>
        </row>
        <row r="2490">
          <cell r="G2490">
            <v>2222</v>
          </cell>
        </row>
        <row r="2490">
          <cell r="I2490">
            <v>3</v>
          </cell>
        </row>
        <row r="2490">
          <cell r="K2490">
            <v>44920</v>
          </cell>
        </row>
        <row r="2491">
          <cell r="B2491">
            <v>25131</v>
          </cell>
          <cell r="C2491">
            <v>8398</v>
          </cell>
        </row>
        <row r="2491">
          <cell r="G2491">
            <v>2105</v>
          </cell>
        </row>
        <row r="2491">
          <cell r="I2491">
            <v>8</v>
          </cell>
        </row>
        <row r="2491">
          <cell r="K2491">
            <v>110255</v>
          </cell>
        </row>
        <row r="2492">
          <cell r="B2492">
            <v>31631</v>
          </cell>
          <cell r="C2492">
            <v>12319</v>
          </cell>
        </row>
        <row r="2492">
          <cell r="G2492">
            <v>2952</v>
          </cell>
        </row>
        <row r="2492">
          <cell r="I2492">
            <v>2</v>
          </cell>
        </row>
        <row r="2492">
          <cell r="K2492">
            <v>19092</v>
          </cell>
        </row>
        <row r="2493">
          <cell r="B2493">
            <v>56980</v>
          </cell>
          <cell r="C2493">
            <v>17100</v>
          </cell>
        </row>
        <row r="2493">
          <cell r="G2493">
            <v>3403</v>
          </cell>
        </row>
        <row r="2493">
          <cell r="I2493">
            <v>3</v>
          </cell>
        </row>
        <row r="2493">
          <cell r="K2493">
            <v>29859</v>
          </cell>
        </row>
        <row r="2494">
          <cell r="B2494">
            <v>123416</v>
          </cell>
          <cell r="C2494">
            <v>31591</v>
          </cell>
        </row>
        <row r="2494">
          <cell r="G2494">
            <v>3530</v>
          </cell>
        </row>
        <row r="2494">
          <cell r="I2494">
            <v>4</v>
          </cell>
        </row>
        <row r="2494">
          <cell r="K2494">
            <v>54575</v>
          </cell>
        </row>
        <row r="2495">
          <cell r="B2495">
            <v>41097</v>
          </cell>
          <cell r="C2495">
            <v>11154</v>
          </cell>
        </row>
        <row r="2495">
          <cell r="G2495">
            <v>3180</v>
          </cell>
        </row>
        <row r="2495">
          <cell r="I2495">
            <v>4</v>
          </cell>
        </row>
        <row r="2495">
          <cell r="K2495">
            <v>37706</v>
          </cell>
        </row>
        <row r="2496">
          <cell r="B2496">
            <v>114020</v>
          </cell>
          <cell r="C2496">
            <v>25049</v>
          </cell>
        </row>
        <row r="2496">
          <cell r="G2496">
            <v>3583</v>
          </cell>
        </row>
        <row r="2496">
          <cell r="I2496">
            <v>6</v>
          </cell>
        </row>
        <row r="2496">
          <cell r="K2496">
            <v>66902</v>
          </cell>
        </row>
        <row r="2497">
          <cell r="B2497">
            <v>221687</v>
          </cell>
          <cell r="C2497">
            <v>45266</v>
          </cell>
        </row>
        <row r="2497">
          <cell r="G2497">
            <v>3571</v>
          </cell>
        </row>
        <row r="2497">
          <cell r="I2497">
            <v>13</v>
          </cell>
        </row>
        <row r="2497">
          <cell r="K2497">
            <v>138388</v>
          </cell>
        </row>
        <row r="2498">
          <cell r="B2498">
            <v>57384</v>
          </cell>
          <cell r="C2498">
            <v>13675</v>
          </cell>
        </row>
        <row r="2498">
          <cell r="G2498">
            <v>3919</v>
          </cell>
        </row>
        <row r="2498">
          <cell r="I2498">
            <v>10</v>
          </cell>
        </row>
        <row r="2498">
          <cell r="K2498">
            <v>114965</v>
          </cell>
        </row>
        <row r="2499">
          <cell r="B2499">
            <v>38108</v>
          </cell>
          <cell r="C2499">
            <v>9781</v>
          </cell>
        </row>
        <row r="2499">
          <cell r="G2499">
            <v>3558</v>
          </cell>
        </row>
        <row r="2499">
          <cell r="I2499">
            <v>5</v>
          </cell>
        </row>
        <row r="2499">
          <cell r="K2499">
            <v>48841</v>
          </cell>
        </row>
        <row r="2500">
          <cell r="B2500">
            <v>35914</v>
          </cell>
          <cell r="C2500">
            <v>9123</v>
          </cell>
        </row>
        <row r="2500">
          <cell r="G2500">
            <v>3436</v>
          </cell>
        </row>
        <row r="2500">
          <cell r="I2500">
            <v>4</v>
          </cell>
        </row>
        <row r="2500">
          <cell r="K2500">
            <v>29294</v>
          </cell>
        </row>
        <row r="2501">
          <cell r="B2501">
            <v>42065</v>
          </cell>
          <cell r="C2501">
            <v>10123</v>
          </cell>
        </row>
        <row r="2501">
          <cell r="G2501">
            <v>3413</v>
          </cell>
        </row>
        <row r="2501">
          <cell r="I2501">
            <v>10</v>
          </cell>
        </row>
        <row r="2501">
          <cell r="K2501">
            <v>120427</v>
          </cell>
        </row>
        <row r="2502">
          <cell r="B2502">
            <v>432238</v>
          </cell>
          <cell r="C2502">
            <v>78488</v>
          </cell>
        </row>
        <row r="2502">
          <cell r="G2502">
            <v>3373</v>
          </cell>
        </row>
        <row r="2502">
          <cell r="I2502">
            <v>17</v>
          </cell>
        </row>
        <row r="2502">
          <cell r="K2502">
            <v>253113</v>
          </cell>
        </row>
        <row r="2503">
          <cell r="B2503">
            <v>96810</v>
          </cell>
          <cell r="C2503">
            <v>23987</v>
          </cell>
        </row>
        <row r="2503">
          <cell r="G2503">
            <v>3491</v>
          </cell>
        </row>
        <row r="2503">
          <cell r="I2503">
            <v>10</v>
          </cell>
        </row>
        <row r="2503">
          <cell r="K2503">
            <v>141631.96</v>
          </cell>
        </row>
        <row r="2504">
          <cell r="B2504">
            <v>1742089</v>
          </cell>
          <cell r="C2504">
            <v>168871</v>
          </cell>
        </row>
        <row r="2504">
          <cell r="G2504">
            <v>4143</v>
          </cell>
        </row>
        <row r="2504">
          <cell r="I2504">
            <v>1755</v>
          </cell>
        </row>
        <row r="2504">
          <cell r="K2504">
            <v>16646786</v>
          </cell>
        </row>
        <row r="2505">
          <cell r="B2505">
            <v>4669131</v>
          </cell>
          <cell r="C2505">
            <v>368581</v>
          </cell>
        </row>
        <row r="2505">
          <cell r="G2505">
            <v>3999</v>
          </cell>
        </row>
        <row r="2505">
          <cell r="I2505">
            <v>2627</v>
          </cell>
        </row>
        <row r="2505">
          <cell r="K2505">
            <v>24148025</v>
          </cell>
        </row>
        <row r="2506">
          <cell r="B2506">
            <v>248795</v>
          </cell>
          <cell r="C2506">
            <v>46848</v>
          </cell>
        </row>
        <row r="2506">
          <cell r="G2506">
            <v>3754</v>
          </cell>
        </row>
        <row r="2506">
          <cell r="I2506">
            <v>477</v>
          </cell>
        </row>
        <row r="2506">
          <cell r="K2506">
            <v>4516294</v>
          </cell>
        </row>
        <row r="2507">
          <cell r="B2507">
            <v>100738</v>
          </cell>
          <cell r="C2507">
            <v>29077</v>
          </cell>
        </row>
        <row r="2507">
          <cell r="G2507">
            <v>4062</v>
          </cell>
        </row>
        <row r="2507">
          <cell r="I2507">
            <v>237</v>
          </cell>
        </row>
        <row r="2507">
          <cell r="K2507">
            <v>2284011</v>
          </cell>
        </row>
        <row r="2508">
          <cell r="B2508">
            <v>85761</v>
          </cell>
          <cell r="C2508">
            <v>22518</v>
          </cell>
        </row>
        <row r="2508">
          <cell r="G2508">
            <v>2623</v>
          </cell>
        </row>
        <row r="2508">
          <cell r="I2508">
            <v>318</v>
          </cell>
        </row>
        <row r="2508">
          <cell r="K2508">
            <v>3069294</v>
          </cell>
        </row>
        <row r="2509">
          <cell r="B2509">
            <v>458711</v>
          </cell>
          <cell r="C2509">
            <v>66583</v>
          </cell>
        </row>
        <row r="2509">
          <cell r="G2509">
            <v>4252</v>
          </cell>
        </row>
        <row r="2509">
          <cell r="I2509">
            <v>766</v>
          </cell>
        </row>
        <row r="2509">
          <cell r="K2509">
            <v>7211126</v>
          </cell>
        </row>
        <row r="2510">
          <cell r="B2510">
            <v>141105</v>
          </cell>
          <cell r="C2510">
            <v>33750</v>
          </cell>
        </row>
        <row r="2510">
          <cell r="G2510">
            <v>3993</v>
          </cell>
        </row>
        <row r="2510">
          <cell r="I2510">
            <v>351</v>
          </cell>
        </row>
        <row r="2510">
          <cell r="K2510">
            <v>3269326</v>
          </cell>
        </row>
        <row r="2511">
          <cell r="B2511">
            <v>89108</v>
          </cell>
          <cell r="C2511">
            <v>27487</v>
          </cell>
        </row>
        <row r="2511">
          <cell r="G2511">
            <v>4039</v>
          </cell>
        </row>
        <row r="2511">
          <cell r="I2511">
            <v>229</v>
          </cell>
        </row>
        <row r="2511">
          <cell r="K2511">
            <v>2258194</v>
          </cell>
        </row>
        <row r="2512">
          <cell r="B2512">
            <v>91447</v>
          </cell>
          <cell r="C2512">
            <v>30330</v>
          </cell>
        </row>
        <row r="2512">
          <cell r="G2512">
            <v>4444</v>
          </cell>
        </row>
        <row r="2512">
          <cell r="I2512">
            <v>116</v>
          </cell>
        </row>
        <row r="2512">
          <cell r="K2512">
            <v>1182373</v>
          </cell>
        </row>
        <row r="2513">
          <cell r="B2513">
            <v>87719</v>
          </cell>
          <cell r="C2513">
            <v>26063</v>
          </cell>
        </row>
        <row r="2513">
          <cell r="G2513">
            <v>4608</v>
          </cell>
        </row>
        <row r="2513">
          <cell r="I2513">
            <v>65</v>
          </cell>
        </row>
        <row r="2513">
          <cell r="K2513">
            <v>673259</v>
          </cell>
        </row>
        <row r="2514">
          <cell r="B2514">
            <v>337258</v>
          </cell>
          <cell r="C2514">
            <v>84091</v>
          </cell>
        </row>
        <row r="2514">
          <cell r="G2514">
            <v>4825</v>
          </cell>
        </row>
        <row r="2514">
          <cell r="I2514">
            <v>240</v>
          </cell>
        </row>
        <row r="2514">
          <cell r="K2514">
            <v>2298955</v>
          </cell>
        </row>
        <row r="2515">
          <cell r="B2515">
            <v>125601</v>
          </cell>
          <cell r="C2515">
            <v>35444</v>
          </cell>
        </row>
        <row r="2515">
          <cell r="G2515">
            <v>4653</v>
          </cell>
        </row>
        <row r="2515">
          <cell r="I2515">
            <v>142</v>
          </cell>
        </row>
        <row r="2515">
          <cell r="K2515">
            <v>1489247</v>
          </cell>
        </row>
        <row r="2516">
          <cell r="B2516">
            <v>79356</v>
          </cell>
          <cell r="C2516">
            <v>22242</v>
          </cell>
        </row>
        <row r="2516">
          <cell r="G2516">
            <v>5000</v>
          </cell>
        </row>
        <row r="2516">
          <cell r="I2516">
            <v>101</v>
          </cell>
        </row>
        <row r="2516">
          <cell r="K2516">
            <v>1193103</v>
          </cell>
        </row>
        <row r="2517">
          <cell r="B2517">
            <v>75222</v>
          </cell>
          <cell r="C2517">
            <v>23405</v>
          </cell>
        </row>
        <row r="2517">
          <cell r="G2517">
            <v>5102</v>
          </cell>
        </row>
        <row r="2517">
          <cell r="I2517">
            <v>75</v>
          </cell>
        </row>
        <row r="2517">
          <cell r="K2517">
            <v>754946</v>
          </cell>
        </row>
        <row r="2518">
          <cell r="B2518">
            <v>72220</v>
          </cell>
          <cell r="C2518">
            <v>18111</v>
          </cell>
        </row>
        <row r="2518">
          <cell r="G2518">
            <v>4980</v>
          </cell>
        </row>
        <row r="2518">
          <cell r="I2518">
            <v>63</v>
          </cell>
        </row>
        <row r="2518">
          <cell r="K2518">
            <v>658461</v>
          </cell>
        </row>
        <row r="2519">
          <cell r="B2519">
            <v>73151</v>
          </cell>
          <cell r="C2519">
            <v>17209</v>
          </cell>
        </row>
        <row r="2519">
          <cell r="G2519">
            <v>5044</v>
          </cell>
        </row>
        <row r="2519">
          <cell r="I2519">
            <v>99</v>
          </cell>
        </row>
        <row r="2519">
          <cell r="K2519">
            <v>1036505</v>
          </cell>
        </row>
        <row r="2520">
          <cell r="B2520">
            <v>68002</v>
          </cell>
          <cell r="C2520">
            <v>19977</v>
          </cell>
        </row>
        <row r="2520">
          <cell r="G2520">
            <v>4602</v>
          </cell>
        </row>
        <row r="2520">
          <cell r="I2520">
            <v>50</v>
          </cell>
        </row>
        <row r="2520">
          <cell r="K2520">
            <v>560540</v>
          </cell>
        </row>
        <row r="2521">
          <cell r="B2521">
            <v>92244</v>
          </cell>
          <cell r="C2521">
            <v>31852</v>
          </cell>
        </row>
        <row r="2521">
          <cell r="G2521">
            <v>4444</v>
          </cell>
        </row>
        <row r="2521">
          <cell r="I2521">
            <v>52</v>
          </cell>
        </row>
        <row r="2521">
          <cell r="K2521">
            <v>544296</v>
          </cell>
        </row>
        <row r="2522">
          <cell r="B2522">
            <v>86819</v>
          </cell>
          <cell r="C2522">
            <v>27972</v>
          </cell>
        </row>
        <row r="2522">
          <cell r="G2522">
            <v>4325</v>
          </cell>
        </row>
        <row r="2522">
          <cell r="I2522">
            <v>46</v>
          </cell>
        </row>
        <row r="2522">
          <cell r="K2522">
            <v>448615</v>
          </cell>
        </row>
        <row r="2523">
          <cell r="B2523">
            <v>71049</v>
          </cell>
          <cell r="C2523">
            <v>23482</v>
          </cell>
        </row>
        <row r="2523">
          <cell r="G2523">
            <v>4447</v>
          </cell>
        </row>
        <row r="2523">
          <cell r="I2523">
            <v>43</v>
          </cell>
        </row>
        <row r="2523">
          <cell r="K2523">
            <v>394751.01</v>
          </cell>
        </row>
        <row r="2524">
          <cell r="B2524">
            <v>98463</v>
          </cell>
          <cell r="C2524">
            <v>34862</v>
          </cell>
        </row>
        <row r="2524">
          <cell r="G2524">
            <v>5215</v>
          </cell>
        </row>
        <row r="2524">
          <cell r="I2524">
            <v>50</v>
          </cell>
        </row>
        <row r="2524">
          <cell r="K2524">
            <v>494127.64</v>
          </cell>
        </row>
        <row r="2525">
          <cell r="B2525">
            <v>88148</v>
          </cell>
          <cell r="C2525">
            <v>29190</v>
          </cell>
        </row>
        <row r="2525">
          <cell r="G2525">
            <v>5320</v>
          </cell>
        </row>
        <row r="2525">
          <cell r="I2525">
            <v>98</v>
          </cell>
        </row>
        <row r="2525">
          <cell r="K2525">
            <v>880794</v>
          </cell>
        </row>
        <row r="2526">
          <cell r="B2526">
            <v>95875</v>
          </cell>
          <cell r="C2526">
            <v>29116</v>
          </cell>
        </row>
        <row r="2526">
          <cell r="G2526">
            <v>5895</v>
          </cell>
        </row>
        <row r="2526">
          <cell r="I2526">
            <v>67</v>
          </cell>
        </row>
        <row r="2526">
          <cell r="K2526">
            <v>627042</v>
          </cell>
        </row>
        <row r="2527">
          <cell r="B2527">
            <v>72836</v>
          </cell>
          <cell r="C2527">
            <v>21361</v>
          </cell>
        </row>
        <row r="2527">
          <cell r="G2527">
            <v>6206</v>
          </cell>
        </row>
        <row r="2527">
          <cell r="I2527">
            <v>55</v>
          </cell>
        </row>
        <row r="2527">
          <cell r="K2527">
            <v>591272</v>
          </cell>
        </row>
        <row r="2528">
          <cell r="B2528">
            <v>77170</v>
          </cell>
          <cell r="C2528">
            <v>22590</v>
          </cell>
        </row>
        <row r="2528">
          <cell r="G2528">
            <v>6097</v>
          </cell>
        </row>
        <row r="2528">
          <cell r="I2528">
            <v>54</v>
          </cell>
        </row>
        <row r="2528">
          <cell r="K2528">
            <v>557540</v>
          </cell>
        </row>
        <row r="2529">
          <cell r="B2529">
            <v>98600</v>
          </cell>
          <cell r="C2529">
            <v>32472</v>
          </cell>
        </row>
        <row r="2529">
          <cell r="G2529">
            <v>7205</v>
          </cell>
        </row>
        <row r="2529">
          <cell r="I2529">
            <v>73</v>
          </cell>
        </row>
        <row r="2529">
          <cell r="K2529">
            <v>676700</v>
          </cell>
        </row>
        <row r="2530">
          <cell r="B2530">
            <v>529359</v>
          </cell>
          <cell r="C2530">
            <v>90929</v>
          </cell>
        </row>
        <row r="2530">
          <cell r="G2530">
            <v>7875</v>
          </cell>
        </row>
        <row r="2530">
          <cell r="I2530">
            <v>448</v>
          </cell>
        </row>
        <row r="2530">
          <cell r="K2530">
            <v>4164870</v>
          </cell>
        </row>
        <row r="2531">
          <cell r="B2531">
            <v>373527</v>
          </cell>
          <cell r="C2531">
            <v>67237</v>
          </cell>
        </row>
        <row r="2531">
          <cell r="G2531">
            <v>6298</v>
          </cell>
        </row>
        <row r="2531">
          <cell r="I2531">
            <v>586</v>
          </cell>
        </row>
        <row r="2531">
          <cell r="K2531">
            <v>5767745</v>
          </cell>
        </row>
        <row r="2532">
          <cell r="B2532">
            <v>98109</v>
          </cell>
          <cell r="C2532">
            <v>27862</v>
          </cell>
        </row>
        <row r="2532">
          <cell r="G2532">
            <v>7629</v>
          </cell>
        </row>
        <row r="2532">
          <cell r="I2532">
            <v>128</v>
          </cell>
        </row>
        <row r="2532">
          <cell r="K2532">
            <v>1263345.01</v>
          </cell>
        </row>
        <row r="2533">
          <cell r="B2533">
            <v>90981</v>
          </cell>
          <cell r="C2533">
            <v>28898</v>
          </cell>
        </row>
        <row r="2533">
          <cell r="G2533">
            <v>8759</v>
          </cell>
        </row>
        <row r="2533">
          <cell r="I2533">
            <v>96</v>
          </cell>
        </row>
        <row r="2533">
          <cell r="K2533">
            <v>922664</v>
          </cell>
        </row>
        <row r="2534">
          <cell r="B2534">
            <v>78183</v>
          </cell>
          <cell r="C2534">
            <v>25814</v>
          </cell>
        </row>
        <row r="2534">
          <cell r="G2534">
            <v>7992</v>
          </cell>
        </row>
        <row r="2534">
          <cell r="I2534">
            <v>153</v>
          </cell>
        </row>
        <row r="2534">
          <cell r="K2534">
            <v>1463381</v>
          </cell>
        </row>
        <row r="2535">
          <cell r="B2535">
            <v>30155</v>
          </cell>
          <cell r="C2535">
            <v>12166</v>
          </cell>
        </row>
        <row r="2535">
          <cell r="G2535">
            <v>2785</v>
          </cell>
        </row>
        <row r="2535">
          <cell r="I2535">
            <v>10</v>
          </cell>
        </row>
        <row r="2535">
          <cell r="K2535">
            <v>138167</v>
          </cell>
        </row>
        <row r="2536">
          <cell r="B2536">
            <v>21961</v>
          </cell>
          <cell r="C2536">
            <v>6838</v>
          </cell>
        </row>
        <row r="2536">
          <cell r="G2536">
            <v>2808</v>
          </cell>
        </row>
        <row r="2536">
          <cell r="I2536">
            <v>3</v>
          </cell>
        </row>
        <row r="2536">
          <cell r="K2536">
            <v>35663</v>
          </cell>
        </row>
        <row r="2537">
          <cell r="B2537">
            <v>18175</v>
          </cell>
          <cell r="C2537">
            <v>5675</v>
          </cell>
        </row>
        <row r="2537">
          <cell r="G2537">
            <v>1688</v>
          </cell>
        </row>
        <row r="2537">
          <cell r="I2537">
            <v>0</v>
          </cell>
        </row>
        <row r="2537">
          <cell r="K2537">
            <v>1900</v>
          </cell>
        </row>
        <row r="2538">
          <cell r="B2538">
            <v>16688</v>
          </cell>
          <cell r="C2538">
            <v>5847</v>
          </cell>
        </row>
        <row r="2538">
          <cell r="G2538">
            <v>1506</v>
          </cell>
        </row>
        <row r="2538">
          <cell r="I2538">
            <v>3</v>
          </cell>
        </row>
        <row r="2538">
          <cell r="K2538">
            <v>36066</v>
          </cell>
        </row>
        <row r="2539">
          <cell r="B2539">
            <v>12684</v>
          </cell>
          <cell r="C2539">
            <v>4669</v>
          </cell>
        </row>
        <row r="2539">
          <cell r="G2539">
            <v>1454</v>
          </cell>
        </row>
        <row r="2539">
          <cell r="I2539">
            <v>0</v>
          </cell>
        </row>
        <row r="2539">
          <cell r="K2539">
            <v>0</v>
          </cell>
        </row>
        <row r="2540">
          <cell r="B2540">
            <v>11849</v>
          </cell>
          <cell r="C2540">
            <v>4352</v>
          </cell>
        </row>
        <row r="2540">
          <cell r="G2540">
            <v>1582</v>
          </cell>
        </row>
        <row r="2540">
          <cell r="I2540">
            <v>1</v>
          </cell>
        </row>
        <row r="2540">
          <cell r="K2540">
            <v>10816</v>
          </cell>
        </row>
        <row r="2541">
          <cell r="B2541">
            <v>13565</v>
          </cell>
          <cell r="C2541">
            <v>4644</v>
          </cell>
        </row>
        <row r="2541">
          <cell r="G2541">
            <v>1596</v>
          </cell>
        </row>
        <row r="2541">
          <cell r="I2541">
            <v>2</v>
          </cell>
        </row>
        <row r="2541">
          <cell r="K2541">
            <v>31092</v>
          </cell>
        </row>
        <row r="2542">
          <cell r="B2542">
            <v>16027</v>
          </cell>
          <cell r="C2542">
            <v>5795</v>
          </cell>
        </row>
        <row r="2542">
          <cell r="G2542">
            <v>1615</v>
          </cell>
        </row>
        <row r="2542">
          <cell r="I2542">
            <v>1</v>
          </cell>
        </row>
        <row r="2542">
          <cell r="K2542">
            <v>12912</v>
          </cell>
        </row>
        <row r="2543">
          <cell r="B2543">
            <v>13964</v>
          </cell>
          <cell r="C2543">
            <v>5403</v>
          </cell>
        </row>
        <row r="2543">
          <cell r="G2543">
            <v>1465</v>
          </cell>
        </row>
        <row r="2543">
          <cell r="I2543">
            <v>0</v>
          </cell>
        </row>
        <row r="2543">
          <cell r="K2543">
            <v>0</v>
          </cell>
        </row>
        <row r="2544">
          <cell r="B2544">
            <v>19759</v>
          </cell>
          <cell r="C2544">
            <v>7739</v>
          </cell>
        </row>
        <row r="2544">
          <cell r="G2544">
            <v>1512</v>
          </cell>
        </row>
        <row r="2544">
          <cell r="I2544">
            <v>2</v>
          </cell>
        </row>
        <row r="2544">
          <cell r="K2544">
            <v>33926</v>
          </cell>
        </row>
        <row r="2545">
          <cell r="B2545">
            <v>16936</v>
          </cell>
          <cell r="C2545">
            <v>5091</v>
          </cell>
        </row>
        <row r="2545">
          <cell r="G2545">
            <v>1225</v>
          </cell>
        </row>
        <row r="2545">
          <cell r="I2545">
            <v>1</v>
          </cell>
        </row>
        <row r="2545">
          <cell r="K2545">
            <v>7392</v>
          </cell>
        </row>
        <row r="2546">
          <cell r="B2546">
            <v>12654</v>
          </cell>
          <cell r="C2546">
            <v>5109</v>
          </cell>
        </row>
        <row r="2546">
          <cell r="G2546">
            <v>1438</v>
          </cell>
        </row>
        <row r="2546">
          <cell r="I2546">
            <v>4</v>
          </cell>
        </row>
        <row r="2546">
          <cell r="K2546">
            <v>33543</v>
          </cell>
        </row>
        <row r="2547">
          <cell r="B2547">
            <v>15233</v>
          </cell>
          <cell r="C2547">
            <v>5935</v>
          </cell>
        </row>
        <row r="2547">
          <cell r="G2547">
            <v>1654</v>
          </cell>
        </row>
        <row r="2547">
          <cell r="I2547">
            <v>0</v>
          </cell>
        </row>
        <row r="2547">
          <cell r="K2547">
            <v>0</v>
          </cell>
        </row>
        <row r="2548">
          <cell r="B2548">
            <v>13881</v>
          </cell>
          <cell r="C2548">
            <v>5915</v>
          </cell>
        </row>
        <row r="2548">
          <cell r="G2548">
            <v>1546</v>
          </cell>
        </row>
        <row r="2548">
          <cell r="I2548">
            <v>0</v>
          </cell>
        </row>
        <row r="2548">
          <cell r="K2548">
            <v>0</v>
          </cell>
        </row>
        <row r="2549">
          <cell r="B2549">
            <v>12879</v>
          </cell>
          <cell r="C2549">
            <v>4384</v>
          </cell>
        </row>
        <row r="2549">
          <cell r="G2549">
            <v>1279</v>
          </cell>
        </row>
        <row r="2549">
          <cell r="I2549">
            <v>1</v>
          </cell>
        </row>
        <row r="2549">
          <cell r="K2549">
            <v>13452</v>
          </cell>
        </row>
        <row r="2550">
          <cell r="B2550">
            <v>10404</v>
          </cell>
          <cell r="C2550">
            <v>3978</v>
          </cell>
        </row>
        <row r="2550">
          <cell r="G2550">
            <v>1093</v>
          </cell>
        </row>
        <row r="2550">
          <cell r="I2550">
            <v>4</v>
          </cell>
        </row>
        <row r="2550">
          <cell r="K2550">
            <v>89215</v>
          </cell>
        </row>
        <row r="2551">
          <cell r="B2551">
            <v>18765</v>
          </cell>
          <cell r="C2551">
            <v>10225</v>
          </cell>
        </row>
        <row r="2551">
          <cell r="G2551">
            <v>1467</v>
          </cell>
        </row>
        <row r="2551">
          <cell r="I2551">
            <v>0</v>
          </cell>
        </row>
        <row r="2551">
          <cell r="K2551">
            <v>0</v>
          </cell>
        </row>
        <row r="2552">
          <cell r="B2552">
            <v>13807</v>
          </cell>
          <cell r="C2552">
            <v>4431</v>
          </cell>
        </row>
        <row r="2552">
          <cell r="G2552">
            <v>1444</v>
          </cell>
        </row>
        <row r="2552">
          <cell r="I2552">
            <v>0</v>
          </cell>
        </row>
        <row r="2552">
          <cell r="K2552">
            <v>0</v>
          </cell>
        </row>
        <row r="2553">
          <cell r="B2553">
            <v>16090</v>
          </cell>
          <cell r="C2553">
            <v>5203</v>
          </cell>
        </row>
        <row r="2553">
          <cell r="G2553">
            <v>1622</v>
          </cell>
        </row>
        <row r="2553">
          <cell r="I2553">
            <v>0</v>
          </cell>
        </row>
        <row r="2553">
          <cell r="K2553">
            <v>0</v>
          </cell>
        </row>
        <row r="2554">
          <cell r="B2554">
            <v>18231</v>
          </cell>
          <cell r="C2554">
            <v>6096</v>
          </cell>
        </row>
        <row r="2554">
          <cell r="G2554">
            <v>1726</v>
          </cell>
        </row>
        <row r="2554">
          <cell r="I2554">
            <v>0</v>
          </cell>
        </row>
        <row r="2554">
          <cell r="K2554">
            <v>0</v>
          </cell>
        </row>
        <row r="2555">
          <cell r="B2555">
            <v>16918</v>
          </cell>
          <cell r="C2555">
            <v>6570</v>
          </cell>
        </row>
        <row r="2555">
          <cell r="G2555">
            <v>2056</v>
          </cell>
        </row>
        <row r="2555">
          <cell r="I2555">
            <v>3</v>
          </cell>
        </row>
        <row r="2555">
          <cell r="K2555">
            <v>67620</v>
          </cell>
        </row>
        <row r="2556">
          <cell r="B2556">
            <v>21747</v>
          </cell>
          <cell r="C2556">
            <v>7679</v>
          </cell>
        </row>
        <row r="2556">
          <cell r="G2556">
            <v>2507</v>
          </cell>
        </row>
        <row r="2556">
          <cell r="I2556">
            <v>1</v>
          </cell>
        </row>
        <row r="2556">
          <cell r="K2556">
            <v>11047</v>
          </cell>
        </row>
        <row r="2557">
          <cell r="B2557">
            <v>25782</v>
          </cell>
          <cell r="C2557">
            <v>8583</v>
          </cell>
        </row>
        <row r="2557">
          <cell r="G2557">
            <v>2515</v>
          </cell>
        </row>
        <row r="2557">
          <cell r="I2557">
            <v>0</v>
          </cell>
        </row>
        <row r="2557">
          <cell r="K2557">
            <v>0</v>
          </cell>
        </row>
        <row r="2558">
          <cell r="B2558">
            <v>22398</v>
          </cell>
          <cell r="C2558">
            <v>7329</v>
          </cell>
        </row>
        <row r="2558">
          <cell r="G2558">
            <v>2786</v>
          </cell>
        </row>
        <row r="2558">
          <cell r="I2558">
            <v>5</v>
          </cell>
        </row>
        <row r="2558">
          <cell r="K2558">
            <v>183387</v>
          </cell>
        </row>
        <row r="2559">
          <cell r="B2559">
            <v>27918</v>
          </cell>
          <cell r="C2559">
            <v>8422</v>
          </cell>
        </row>
        <row r="2559">
          <cell r="G2559">
            <v>3672</v>
          </cell>
        </row>
        <row r="2559">
          <cell r="I2559">
            <v>10</v>
          </cell>
        </row>
        <row r="2559">
          <cell r="K2559">
            <v>119203</v>
          </cell>
        </row>
        <row r="2560">
          <cell r="B2560">
            <v>30636</v>
          </cell>
          <cell r="C2560">
            <v>10154</v>
          </cell>
        </row>
        <row r="2560">
          <cell r="G2560">
            <v>4694</v>
          </cell>
        </row>
        <row r="2560">
          <cell r="I2560">
            <v>10</v>
          </cell>
        </row>
        <row r="2560">
          <cell r="K2560">
            <v>96790.98</v>
          </cell>
        </row>
        <row r="2561">
          <cell r="B2561">
            <v>37926</v>
          </cell>
          <cell r="C2561">
            <v>12388</v>
          </cell>
        </row>
        <row r="2561">
          <cell r="G2561">
            <v>4515</v>
          </cell>
        </row>
        <row r="2561">
          <cell r="I2561">
            <v>10</v>
          </cell>
        </row>
        <row r="2561">
          <cell r="K2561">
            <v>113973</v>
          </cell>
        </row>
        <row r="2562">
          <cell r="B2562">
            <v>41393</v>
          </cell>
          <cell r="C2562">
            <v>12511</v>
          </cell>
        </row>
        <row r="2562">
          <cell r="G2562">
            <v>6298</v>
          </cell>
        </row>
        <row r="2562">
          <cell r="I2562">
            <v>10</v>
          </cell>
        </row>
        <row r="2562">
          <cell r="K2562">
            <v>128245</v>
          </cell>
        </row>
        <row r="2563">
          <cell r="B2563">
            <v>48456</v>
          </cell>
          <cell r="C2563">
            <v>16953</v>
          </cell>
        </row>
        <row r="2563">
          <cell r="G2563">
            <v>6552</v>
          </cell>
        </row>
        <row r="2563">
          <cell r="I2563">
            <v>4</v>
          </cell>
        </row>
        <row r="2563">
          <cell r="K2563">
            <v>38760</v>
          </cell>
        </row>
        <row r="2564">
          <cell r="B2564">
            <v>47798</v>
          </cell>
          <cell r="C2564">
            <v>19600</v>
          </cell>
        </row>
        <row r="2564">
          <cell r="G2564">
            <v>4812</v>
          </cell>
        </row>
        <row r="2564">
          <cell r="I2564">
            <v>6</v>
          </cell>
        </row>
        <row r="2564">
          <cell r="K2564">
            <v>72458</v>
          </cell>
        </row>
        <row r="2565">
          <cell r="B2565">
            <v>38890</v>
          </cell>
          <cell r="C2565">
            <v>17621</v>
          </cell>
        </row>
        <row r="2565">
          <cell r="G2565">
            <v>3328</v>
          </cell>
        </row>
        <row r="2565">
          <cell r="I2565">
            <v>12</v>
          </cell>
        </row>
        <row r="2565">
          <cell r="K2565">
            <v>146792.01</v>
          </cell>
        </row>
        <row r="2566">
          <cell r="B2566">
            <v>32841</v>
          </cell>
          <cell r="C2566">
            <v>13541</v>
          </cell>
        </row>
        <row r="2566">
          <cell r="G2566">
            <v>3286</v>
          </cell>
        </row>
        <row r="2566">
          <cell r="I2566">
            <v>9</v>
          </cell>
        </row>
        <row r="2566">
          <cell r="K2566">
            <v>120594</v>
          </cell>
        </row>
        <row r="2567">
          <cell r="B2567">
            <v>56070</v>
          </cell>
          <cell r="C2567">
            <v>25423</v>
          </cell>
        </row>
        <row r="2567">
          <cell r="G2567">
            <v>3506</v>
          </cell>
        </row>
        <row r="2567">
          <cell r="I2567">
            <v>4</v>
          </cell>
        </row>
        <row r="2567">
          <cell r="K2567">
            <v>40993</v>
          </cell>
        </row>
        <row r="2568">
          <cell r="B2568">
            <v>56578</v>
          </cell>
          <cell r="C2568">
            <v>26930</v>
          </cell>
        </row>
        <row r="2568">
          <cell r="G2568">
            <v>4347</v>
          </cell>
        </row>
        <row r="2568">
          <cell r="I2568">
            <v>11</v>
          </cell>
        </row>
        <row r="2568">
          <cell r="K2568">
            <v>143652</v>
          </cell>
        </row>
        <row r="2569">
          <cell r="B2569">
            <v>29842</v>
          </cell>
          <cell r="C2569">
            <v>11645</v>
          </cell>
        </row>
        <row r="2569">
          <cell r="G2569">
            <v>4714</v>
          </cell>
        </row>
        <row r="2569">
          <cell r="I2569">
            <v>8</v>
          </cell>
        </row>
        <row r="2569">
          <cell r="K2569">
            <v>70036</v>
          </cell>
        </row>
        <row r="2570">
          <cell r="B2570">
            <v>29929</v>
          </cell>
          <cell r="C2570">
            <v>12152</v>
          </cell>
        </row>
        <row r="2570">
          <cell r="G2570">
            <v>4014</v>
          </cell>
        </row>
        <row r="2570">
          <cell r="I2570">
            <v>6</v>
          </cell>
        </row>
        <row r="2570">
          <cell r="K2570">
            <v>78059</v>
          </cell>
        </row>
        <row r="2571">
          <cell r="B2571">
            <v>38870</v>
          </cell>
          <cell r="C2571">
            <v>15732</v>
          </cell>
        </row>
        <row r="2571">
          <cell r="G2571">
            <v>3676</v>
          </cell>
        </row>
        <row r="2571">
          <cell r="I2571">
            <v>7</v>
          </cell>
        </row>
        <row r="2571">
          <cell r="K2571">
            <v>91471</v>
          </cell>
        </row>
        <row r="2572">
          <cell r="B2572">
            <v>23648</v>
          </cell>
          <cell r="C2572">
            <v>9229</v>
          </cell>
        </row>
        <row r="2572">
          <cell r="G2572">
            <v>2705</v>
          </cell>
        </row>
        <row r="2572">
          <cell r="I2572">
            <v>9</v>
          </cell>
        </row>
        <row r="2572">
          <cell r="K2572">
            <v>93589</v>
          </cell>
        </row>
        <row r="2573">
          <cell r="B2573">
            <v>25071</v>
          </cell>
          <cell r="C2573">
            <v>9741</v>
          </cell>
        </row>
        <row r="2573">
          <cell r="G2573">
            <v>2935</v>
          </cell>
        </row>
        <row r="2573">
          <cell r="I2573">
            <v>4</v>
          </cell>
        </row>
        <row r="2573">
          <cell r="K2573">
            <v>68468</v>
          </cell>
        </row>
        <row r="2574">
          <cell r="B2574">
            <v>31430</v>
          </cell>
          <cell r="C2574">
            <v>11689</v>
          </cell>
        </row>
        <row r="2574">
          <cell r="G2574">
            <v>3497</v>
          </cell>
        </row>
        <row r="2574">
          <cell r="I2574">
            <v>2</v>
          </cell>
        </row>
        <row r="2574">
          <cell r="K2574">
            <v>29678</v>
          </cell>
        </row>
        <row r="2575">
          <cell r="B2575">
            <v>50240</v>
          </cell>
          <cell r="C2575">
            <v>19012</v>
          </cell>
        </row>
        <row r="2575">
          <cell r="G2575">
            <v>4345</v>
          </cell>
        </row>
        <row r="2575">
          <cell r="I2575">
            <v>6</v>
          </cell>
        </row>
        <row r="2575">
          <cell r="K2575">
            <v>51492</v>
          </cell>
        </row>
        <row r="2576">
          <cell r="B2576">
            <v>50313</v>
          </cell>
          <cell r="C2576">
            <v>17574</v>
          </cell>
        </row>
        <row r="2576">
          <cell r="G2576">
            <v>4374</v>
          </cell>
        </row>
        <row r="2576">
          <cell r="I2576">
            <v>7</v>
          </cell>
        </row>
        <row r="2576">
          <cell r="K2576">
            <v>56046.01</v>
          </cell>
        </row>
        <row r="2577">
          <cell r="B2577">
            <v>33139</v>
          </cell>
          <cell r="C2577">
            <v>11814</v>
          </cell>
        </row>
        <row r="2577">
          <cell r="G2577">
            <v>3810</v>
          </cell>
        </row>
        <row r="2577">
          <cell r="I2577">
            <v>1</v>
          </cell>
        </row>
        <row r="2577">
          <cell r="K2577">
            <v>15974</v>
          </cell>
        </row>
        <row r="2578">
          <cell r="B2578">
            <v>41718</v>
          </cell>
          <cell r="C2578">
            <v>16056</v>
          </cell>
        </row>
        <row r="2578">
          <cell r="G2578">
            <v>4276</v>
          </cell>
        </row>
        <row r="2578">
          <cell r="I2578">
            <v>4</v>
          </cell>
        </row>
        <row r="2578">
          <cell r="K2578">
            <v>44886</v>
          </cell>
        </row>
        <row r="2579">
          <cell r="B2579">
            <v>35747</v>
          </cell>
          <cell r="C2579">
            <v>14567</v>
          </cell>
        </row>
        <row r="2579">
          <cell r="G2579">
            <v>6466</v>
          </cell>
        </row>
        <row r="2579">
          <cell r="I2579">
            <v>6</v>
          </cell>
        </row>
        <row r="2579">
          <cell r="K2579">
            <v>80598</v>
          </cell>
        </row>
        <row r="2580">
          <cell r="B2580">
            <v>32466</v>
          </cell>
          <cell r="C2580">
            <v>13272</v>
          </cell>
        </row>
        <row r="2580">
          <cell r="G2580">
            <v>5845</v>
          </cell>
        </row>
        <row r="2580">
          <cell r="I2580">
            <v>1</v>
          </cell>
        </row>
        <row r="2580">
          <cell r="K2580">
            <v>5574</v>
          </cell>
        </row>
        <row r="2581">
          <cell r="B2581">
            <v>33268</v>
          </cell>
          <cell r="C2581">
            <v>13139</v>
          </cell>
        </row>
        <row r="2581">
          <cell r="G2581">
            <v>5469</v>
          </cell>
        </row>
        <row r="2581">
          <cell r="I2581">
            <v>4</v>
          </cell>
        </row>
        <row r="2581">
          <cell r="K2581">
            <v>66256</v>
          </cell>
        </row>
        <row r="2582">
          <cell r="B2582">
            <v>39078</v>
          </cell>
          <cell r="C2582">
            <v>16089</v>
          </cell>
        </row>
        <row r="2582">
          <cell r="G2582">
            <v>4822</v>
          </cell>
        </row>
        <row r="2582">
          <cell r="I2582">
            <v>0</v>
          </cell>
        </row>
        <row r="2582">
          <cell r="K2582">
            <v>0</v>
          </cell>
        </row>
        <row r="2583">
          <cell r="B2583">
            <v>44653</v>
          </cell>
          <cell r="C2583">
            <v>18902</v>
          </cell>
        </row>
        <row r="2583">
          <cell r="G2583">
            <v>4943</v>
          </cell>
        </row>
        <row r="2583">
          <cell r="I2583">
            <v>3</v>
          </cell>
        </row>
        <row r="2583">
          <cell r="K2583">
            <v>38386</v>
          </cell>
        </row>
        <row r="2584">
          <cell r="B2584">
            <v>34797</v>
          </cell>
          <cell r="C2584">
            <v>14277</v>
          </cell>
        </row>
        <row r="2584">
          <cell r="G2584">
            <v>4739</v>
          </cell>
        </row>
        <row r="2584">
          <cell r="I2584">
            <v>5</v>
          </cell>
        </row>
        <row r="2584">
          <cell r="K2584">
            <v>38544.02</v>
          </cell>
        </row>
        <row r="2585">
          <cell r="B2585">
            <v>37647</v>
          </cell>
          <cell r="C2585">
            <v>13515</v>
          </cell>
        </row>
        <row r="2585">
          <cell r="G2585">
            <v>5438</v>
          </cell>
        </row>
        <row r="2585">
          <cell r="I2585">
            <v>8</v>
          </cell>
        </row>
        <row r="2585">
          <cell r="K2585">
            <v>92263</v>
          </cell>
        </row>
        <row r="2586">
          <cell r="B2586">
            <v>30510</v>
          </cell>
          <cell r="C2586">
            <v>10825</v>
          </cell>
        </row>
        <row r="2586">
          <cell r="G2586">
            <v>4329</v>
          </cell>
        </row>
        <row r="2586">
          <cell r="I2586">
            <v>7</v>
          </cell>
        </row>
        <row r="2586">
          <cell r="K2586">
            <v>68518</v>
          </cell>
        </row>
        <row r="2587">
          <cell r="B2587">
            <v>39195</v>
          </cell>
          <cell r="C2587">
            <v>16378</v>
          </cell>
        </row>
        <row r="2587">
          <cell r="G2587">
            <v>5790</v>
          </cell>
        </row>
        <row r="2587">
          <cell r="I2587">
            <v>5</v>
          </cell>
        </row>
        <row r="2587">
          <cell r="K2587">
            <v>61154</v>
          </cell>
        </row>
        <row r="2588">
          <cell r="B2588">
            <v>40453</v>
          </cell>
          <cell r="C2588">
            <v>15597</v>
          </cell>
        </row>
        <row r="2588">
          <cell r="G2588">
            <v>5630</v>
          </cell>
        </row>
        <row r="2588">
          <cell r="I2588">
            <v>9</v>
          </cell>
        </row>
        <row r="2588">
          <cell r="K2588">
            <v>86499</v>
          </cell>
        </row>
        <row r="2589">
          <cell r="B2589">
            <v>41127</v>
          </cell>
          <cell r="C2589">
            <v>18309</v>
          </cell>
        </row>
        <row r="2589">
          <cell r="G2589">
            <v>6105</v>
          </cell>
        </row>
        <row r="2589">
          <cell r="I2589">
            <v>10</v>
          </cell>
        </row>
        <row r="2589">
          <cell r="K2589">
            <v>127231</v>
          </cell>
        </row>
        <row r="2590">
          <cell r="B2590">
            <v>55372</v>
          </cell>
          <cell r="C2590">
            <v>26058</v>
          </cell>
        </row>
        <row r="2590">
          <cell r="G2590">
            <v>9336</v>
          </cell>
        </row>
        <row r="2590">
          <cell r="I2590">
            <v>4</v>
          </cell>
        </row>
        <row r="2590">
          <cell r="K2590">
            <v>61136</v>
          </cell>
        </row>
        <row r="2591">
          <cell r="B2591">
            <v>52096</v>
          </cell>
          <cell r="C2591">
            <v>26800</v>
          </cell>
        </row>
        <row r="2591">
          <cell r="G2591">
            <v>6894</v>
          </cell>
        </row>
        <row r="2591">
          <cell r="I2591">
            <v>5</v>
          </cell>
        </row>
        <row r="2591">
          <cell r="K2591">
            <v>62420</v>
          </cell>
        </row>
        <row r="2592">
          <cell r="B2592">
            <v>53657</v>
          </cell>
          <cell r="C2592">
            <v>25631</v>
          </cell>
        </row>
        <row r="2592">
          <cell r="G2592">
            <v>4113</v>
          </cell>
        </row>
        <row r="2592">
          <cell r="I2592">
            <v>5</v>
          </cell>
        </row>
        <row r="2592">
          <cell r="K2592">
            <v>49390</v>
          </cell>
        </row>
        <row r="2593">
          <cell r="B2593">
            <v>64174</v>
          </cell>
          <cell r="C2593">
            <v>32553</v>
          </cell>
        </row>
        <row r="2593">
          <cell r="G2593">
            <v>4194</v>
          </cell>
        </row>
        <row r="2593">
          <cell r="I2593">
            <v>9</v>
          </cell>
        </row>
        <row r="2593">
          <cell r="K2593">
            <v>116334</v>
          </cell>
        </row>
        <row r="2594">
          <cell r="B2594">
            <v>68872</v>
          </cell>
          <cell r="C2594">
            <v>36161</v>
          </cell>
        </row>
        <row r="2594">
          <cell r="G2594">
            <v>4461</v>
          </cell>
        </row>
        <row r="2594">
          <cell r="I2594">
            <v>15</v>
          </cell>
        </row>
        <row r="2594">
          <cell r="K2594">
            <v>201005</v>
          </cell>
        </row>
        <row r="2595">
          <cell r="B2595">
            <v>63057</v>
          </cell>
          <cell r="C2595">
            <v>35955</v>
          </cell>
        </row>
        <row r="2595">
          <cell r="G2595">
            <v>5398</v>
          </cell>
        </row>
        <row r="2595">
          <cell r="I2595">
            <v>9</v>
          </cell>
        </row>
        <row r="2595">
          <cell r="K2595">
            <v>83733.02</v>
          </cell>
        </row>
        <row r="2596">
          <cell r="B2596">
            <v>49648</v>
          </cell>
          <cell r="C2596">
            <v>26088</v>
          </cell>
        </row>
        <row r="2596">
          <cell r="G2596">
            <v>3510</v>
          </cell>
        </row>
        <row r="2596">
          <cell r="I2596">
            <v>6</v>
          </cell>
        </row>
        <row r="2596">
          <cell r="K2596">
            <v>45516</v>
          </cell>
        </row>
        <row r="2597">
          <cell r="B2597">
            <v>52286</v>
          </cell>
          <cell r="C2597">
            <v>27021</v>
          </cell>
        </row>
        <row r="2597">
          <cell r="G2597">
            <v>3712</v>
          </cell>
        </row>
        <row r="2597">
          <cell r="I2597">
            <v>8</v>
          </cell>
        </row>
        <row r="2597">
          <cell r="K2597">
            <v>94736</v>
          </cell>
        </row>
        <row r="2598">
          <cell r="B2598">
            <v>49943</v>
          </cell>
          <cell r="C2598">
            <v>22102</v>
          </cell>
        </row>
        <row r="2598">
          <cell r="G2598">
            <v>3858</v>
          </cell>
        </row>
        <row r="2598">
          <cell r="I2598">
            <v>0</v>
          </cell>
        </row>
        <row r="2598">
          <cell r="K2598">
            <v>3217</v>
          </cell>
        </row>
        <row r="2599">
          <cell r="B2599">
            <v>56413</v>
          </cell>
          <cell r="C2599">
            <v>27454</v>
          </cell>
        </row>
        <row r="2599">
          <cell r="G2599">
            <v>4087</v>
          </cell>
        </row>
        <row r="2599">
          <cell r="I2599">
            <v>15</v>
          </cell>
        </row>
        <row r="2599">
          <cell r="K2599">
            <v>175115.92</v>
          </cell>
        </row>
        <row r="2600">
          <cell r="B2600">
            <v>81940</v>
          </cell>
          <cell r="C2600">
            <v>43402</v>
          </cell>
        </row>
        <row r="2600">
          <cell r="G2600">
            <v>5347</v>
          </cell>
        </row>
        <row r="2600">
          <cell r="I2600">
            <v>13</v>
          </cell>
        </row>
        <row r="2600">
          <cell r="K2600">
            <v>174756</v>
          </cell>
        </row>
        <row r="2601">
          <cell r="B2601">
            <v>79759</v>
          </cell>
          <cell r="C2601">
            <v>39264</v>
          </cell>
        </row>
        <row r="2601">
          <cell r="G2601">
            <v>6157</v>
          </cell>
        </row>
        <row r="2601">
          <cell r="I2601">
            <v>7</v>
          </cell>
        </row>
        <row r="2601">
          <cell r="K2601">
            <v>90735</v>
          </cell>
        </row>
        <row r="2602">
          <cell r="B2602">
            <v>107772</v>
          </cell>
          <cell r="C2602">
            <v>60533</v>
          </cell>
        </row>
        <row r="2602">
          <cell r="G2602">
            <v>5758</v>
          </cell>
        </row>
        <row r="2602">
          <cell r="I2602">
            <v>14</v>
          </cell>
        </row>
        <row r="2602">
          <cell r="K2602">
            <v>156902</v>
          </cell>
        </row>
        <row r="2603">
          <cell r="B2603">
            <v>179326</v>
          </cell>
          <cell r="C2603">
            <v>74263</v>
          </cell>
        </row>
        <row r="2603">
          <cell r="G2603">
            <v>6274</v>
          </cell>
        </row>
        <row r="2603">
          <cell r="I2603">
            <v>18</v>
          </cell>
        </row>
        <row r="2603">
          <cell r="K2603">
            <v>225389</v>
          </cell>
        </row>
        <row r="2604">
          <cell r="B2604">
            <v>183203</v>
          </cell>
          <cell r="C2604">
            <v>73100</v>
          </cell>
        </row>
        <row r="2604">
          <cell r="G2604">
            <v>7996</v>
          </cell>
        </row>
        <row r="2604">
          <cell r="I2604">
            <v>9</v>
          </cell>
        </row>
        <row r="2604">
          <cell r="K2604">
            <v>98147</v>
          </cell>
        </row>
        <row r="2605">
          <cell r="B2605">
            <v>90901</v>
          </cell>
          <cell r="C2605">
            <v>37091</v>
          </cell>
        </row>
        <row r="2605">
          <cell r="G2605">
            <v>5233</v>
          </cell>
        </row>
        <row r="2605">
          <cell r="I2605">
            <v>9</v>
          </cell>
        </row>
        <row r="2605">
          <cell r="K2605">
            <v>113424</v>
          </cell>
        </row>
        <row r="2606">
          <cell r="B2606">
            <v>129452</v>
          </cell>
          <cell r="C2606">
            <v>50403</v>
          </cell>
        </row>
        <row r="2606">
          <cell r="G2606">
            <v>5061</v>
          </cell>
        </row>
        <row r="2606">
          <cell r="I2606">
            <v>5</v>
          </cell>
        </row>
        <row r="2606">
          <cell r="K2606">
            <v>58008</v>
          </cell>
        </row>
        <row r="2607">
          <cell r="B2607">
            <v>208332</v>
          </cell>
          <cell r="C2607">
            <v>65215</v>
          </cell>
        </row>
        <row r="2607">
          <cell r="G2607">
            <v>4216</v>
          </cell>
        </row>
        <row r="2607">
          <cell r="I2607">
            <v>59</v>
          </cell>
        </row>
        <row r="2607">
          <cell r="K2607">
            <v>535148</v>
          </cell>
        </row>
        <row r="2608">
          <cell r="B2608">
            <v>87842</v>
          </cell>
          <cell r="C2608">
            <v>31711</v>
          </cell>
        </row>
        <row r="2608">
          <cell r="G2608">
            <v>3525</v>
          </cell>
        </row>
        <row r="2608">
          <cell r="I2608">
            <v>51</v>
          </cell>
        </row>
        <row r="2608">
          <cell r="K2608">
            <v>472738</v>
          </cell>
        </row>
        <row r="2609">
          <cell r="B2609">
            <v>71617</v>
          </cell>
          <cell r="C2609">
            <v>27143</v>
          </cell>
        </row>
        <row r="2609">
          <cell r="G2609">
            <v>3477</v>
          </cell>
        </row>
        <row r="2609">
          <cell r="I2609">
            <v>27</v>
          </cell>
        </row>
        <row r="2609">
          <cell r="K2609">
            <v>244200</v>
          </cell>
        </row>
        <row r="2610">
          <cell r="B2610">
            <v>67994</v>
          </cell>
          <cell r="C2610">
            <v>22506</v>
          </cell>
        </row>
        <row r="2610">
          <cell r="G2610">
            <v>3080</v>
          </cell>
        </row>
        <row r="2610">
          <cell r="I2610">
            <v>12</v>
          </cell>
        </row>
        <row r="2610">
          <cell r="K2610">
            <v>115881</v>
          </cell>
        </row>
        <row r="2611">
          <cell r="B2611">
            <v>63399</v>
          </cell>
          <cell r="C2611">
            <v>23999</v>
          </cell>
        </row>
        <row r="2611">
          <cell r="G2611">
            <v>3115</v>
          </cell>
        </row>
        <row r="2611">
          <cell r="I2611">
            <v>19</v>
          </cell>
        </row>
        <row r="2611">
          <cell r="K2611">
            <v>221859</v>
          </cell>
        </row>
        <row r="2612">
          <cell r="B2612">
            <v>66614</v>
          </cell>
          <cell r="C2612">
            <v>29381</v>
          </cell>
        </row>
        <row r="2612">
          <cell r="G2612">
            <v>3421</v>
          </cell>
        </row>
        <row r="2612">
          <cell r="I2612">
            <v>10</v>
          </cell>
        </row>
        <row r="2612">
          <cell r="K2612">
            <v>107048</v>
          </cell>
        </row>
        <row r="2613">
          <cell r="B2613">
            <v>87321</v>
          </cell>
          <cell r="C2613">
            <v>25507</v>
          </cell>
        </row>
        <row r="2613">
          <cell r="G2613">
            <v>2580</v>
          </cell>
        </row>
        <row r="2613">
          <cell r="I2613">
            <v>48</v>
          </cell>
        </row>
        <row r="2613">
          <cell r="K2613">
            <v>416213</v>
          </cell>
        </row>
        <row r="2614">
          <cell r="B2614">
            <v>64743</v>
          </cell>
          <cell r="C2614">
            <v>18764</v>
          </cell>
        </row>
        <row r="2614">
          <cell r="G2614">
            <v>2532</v>
          </cell>
        </row>
        <row r="2614">
          <cell r="I2614">
            <v>5</v>
          </cell>
        </row>
        <row r="2614">
          <cell r="K2614">
            <v>175579</v>
          </cell>
        </row>
        <row r="2615">
          <cell r="B2615">
            <v>33719</v>
          </cell>
          <cell r="C2615">
            <v>10171</v>
          </cell>
        </row>
        <row r="2615">
          <cell r="G2615">
            <v>1519</v>
          </cell>
        </row>
        <row r="2615">
          <cell r="I2615">
            <v>20</v>
          </cell>
        </row>
        <row r="2615">
          <cell r="K2615">
            <v>207070</v>
          </cell>
        </row>
        <row r="2616">
          <cell r="B2616">
            <v>33903</v>
          </cell>
          <cell r="C2616">
            <v>11114</v>
          </cell>
        </row>
        <row r="2616">
          <cell r="G2616">
            <v>1972</v>
          </cell>
        </row>
        <row r="2616">
          <cell r="I2616">
            <v>17</v>
          </cell>
        </row>
        <row r="2616">
          <cell r="K2616">
            <v>180462</v>
          </cell>
        </row>
        <row r="2617">
          <cell r="B2617">
            <v>30089</v>
          </cell>
          <cell r="C2617">
            <v>9722</v>
          </cell>
        </row>
        <row r="2617">
          <cell r="G2617">
            <v>2014</v>
          </cell>
        </row>
        <row r="2617">
          <cell r="I2617">
            <v>17</v>
          </cell>
        </row>
        <row r="2617">
          <cell r="K2617">
            <v>179299</v>
          </cell>
        </row>
        <row r="2618">
          <cell r="B2618">
            <v>41425</v>
          </cell>
          <cell r="C2618">
            <v>13595</v>
          </cell>
        </row>
        <row r="2618">
          <cell r="G2618">
            <v>2755</v>
          </cell>
        </row>
        <row r="2618">
          <cell r="I2618">
            <v>8</v>
          </cell>
        </row>
        <row r="2618">
          <cell r="K2618">
            <v>93466</v>
          </cell>
        </row>
        <row r="2619">
          <cell r="B2619">
            <v>35602</v>
          </cell>
          <cell r="C2619">
            <v>12312</v>
          </cell>
        </row>
        <row r="2619">
          <cell r="G2619">
            <v>2489</v>
          </cell>
        </row>
        <row r="2619">
          <cell r="I2619">
            <v>11</v>
          </cell>
        </row>
        <row r="2619">
          <cell r="K2619">
            <v>116265</v>
          </cell>
        </row>
        <row r="2620">
          <cell r="B2620">
            <v>32683</v>
          </cell>
          <cell r="C2620">
            <v>12568</v>
          </cell>
        </row>
        <row r="2620">
          <cell r="G2620">
            <v>2793</v>
          </cell>
        </row>
        <row r="2620">
          <cell r="I2620">
            <v>6</v>
          </cell>
        </row>
        <row r="2620">
          <cell r="K2620">
            <v>60378</v>
          </cell>
        </row>
        <row r="2621">
          <cell r="B2621">
            <v>35466</v>
          </cell>
          <cell r="C2621">
            <v>11968</v>
          </cell>
        </row>
        <row r="2621">
          <cell r="G2621">
            <v>2929</v>
          </cell>
        </row>
        <row r="2621">
          <cell r="I2621">
            <v>6</v>
          </cell>
        </row>
        <row r="2621">
          <cell r="K2621">
            <v>73291</v>
          </cell>
        </row>
        <row r="2622">
          <cell r="B2622">
            <v>39305</v>
          </cell>
          <cell r="C2622">
            <v>16493</v>
          </cell>
        </row>
        <row r="2622">
          <cell r="G2622">
            <v>2726</v>
          </cell>
        </row>
        <row r="2622">
          <cell r="I2622">
            <v>8</v>
          </cell>
        </row>
        <row r="2622">
          <cell r="K2622">
            <v>93623</v>
          </cell>
        </row>
        <row r="2623">
          <cell r="B2623">
            <v>54545</v>
          </cell>
          <cell r="C2623">
            <v>27433</v>
          </cell>
        </row>
        <row r="2623">
          <cell r="G2623">
            <v>4424</v>
          </cell>
        </row>
        <row r="2623">
          <cell r="I2623">
            <v>11</v>
          </cell>
        </row>
        <row r="2623">
          <cell r="K2623">
            <v>137884</v>
          </cell>
        </row>
        <row r="2624">
          <cell r="B2624">
            <v>91465</v>
          </cell>
          <cell r="C2624">
            <v>59903</v>
          </cell>
        </row>
        <row r="2624">
          <cell r="G2624">
            <v>54234</v>
          </cell>
        </row>
        <row r="2624">
          <cell r="I2624">
            <v>9</v>
          </cell>
        </row>
        <row r="2624">
          <cell r="K2624">
            <v>92420</v>
          </cell>
        </row>
        <row r="2625">
          <cell r="B2625">
            <v>83906</v>
          </cell>
          <cell r="C2625">
            <v>54081</v>
          </cell>
        </row>
        <row r="2625">
          <cell r="G2625">
            <v>5012</v>
          </cell>
        </row>
        <row r="2625">
          <cell r="I2625">
            <v>10</v>
          </cell>
        </row>
        <row r="2625">
          <cell r="K2625">
            <v>117301</v>
          </cell>
        </row>
        <row r="2626">
          <cell r="B2626">
            <v>30052</v>
          </cell>
          <cell r="C2626">
            <v>13127</v>
          </cell>
        </row>
        <row r="2626">
          <cell r="G2626">
            <v>2074</v>
          </cell>
        </row>
        <row r="2626">
          <cell r="I2626">
            <v>2</v>
          </cell>
        </row>
        <row r="2626">
          <cell r="K2626">
            <v>25187</v>
          </cell>
        </row>
        <row r="2627">
          <cell r="B2627">
            <v>33559</v>
          </cell>
          <cell r="C2627">
            <v>13933</v>
          </cell>
        </row>
        <row r="2627">
          <cell r="G2627">
            <v>2420</v>
          </cell>
        </row>
        <row r="2627">
          <cell r="I2627">
            <v>4</v>
          </cell>
        </row>
        <row r="2627">
          <cell r="K2627">
            <v>36550</v>
          </cell>
        </row>
        <row r="2628">
          <cell r="B2628">
            <v>32671</v>
          </cell>
          <cell r="C2628">
            <v>12852</v>
          </cell>
        </row>
        <row r="2628">
          <cell r="G2628">
            <v>2458</v>
          </cell>
        </row>
        <row r="2628">
          <cell r="I2628">
            <v>12</v>
          </cell>
        </row>
        <row r="2628">
          <cell r="K2628">
            <v>127803</v>
          </cell>
        </row>
        <row r="2629">
          <cell r="B2629">
            <v>37557</v>
          </cell>
          <cell r="C2629">
            <v>16178</v>
          </cell>
        </row>
        <row r="2629">
          <cell r="G2629">
            <v>3028</v>
          </cell>
        </row>
        <row r="2629">
          <cell r="I2629">
            <v>3</v>
          </cell>
        </row>
        <row r="2629">
          <cell r="K2629">
            <v>25520</v>
          </cell>
        </row>
        <row r="2630">
          <cell r="B2630">
            <v>39856</v>
          </cell>
          <cell r="C2630">
            <v>17665</v>
          </cell>
        </row>
        <row r="2630">
          <cell r="G2630">
            <v>3450</v>
          </cell>
        </row>
        <row r="2630">
          <cell r="I2630">
            <v>5</v>
          </cell>
        </row>
        <row r="2630">
          <cell r="K2630">
            <v>54960</v>
          </cell>
        </row>
        <row r="2631">
          <cell r="B2631">
            <v>39182</v>
          </cell>
          <cell r="C2631">
            <v>18382</v>
          </cell>
        </row>
        <row r="2631">
          <cell r="G2631">
            <v>3651</v>
          </cell>
        </row>
        <row r="2631">
          <cell r="I2631">
            <v>7</v>
          </cell>
        </row>
        <row r="2631">
          <cell r="K2631">
            <v>81286</v>
          </cell>
        </row>
        <row r="2632">
          <cell r="B2632">
            <v>64002</v>
          </cell>
          <cell r="C2632">
            <v>35273</v>
          </cell>
        </row>
        <row r="2632">
          <cell r="G2632">
            <v>5236</v>
          </cell>
        </row>
        <row r="2632">
          <cell r="I2632">
            <v>8</v>
          </cell>
        </row>
        <row r="2632">
          <cell r="K2632">
            <v>82650</v>
          </cell>
        </row>
        <row r="2633">
          <cell r="B2633">
            <v>57236</v>
          </cell>
          <cell r="C2633">
            <v>30834</v>
          </cell>
        </row>
        <row r="2633">
          <cell r="G2633">
            <v>4483</v>
          </cell>
        </row>
        <row r="2633">
          <cell r="I2633">
            <v>8</v>
          </cell>
        </row>
        <row r="2633">
          <cell r="K2633">
            <v>78672</v>
          </cell>
        </row>
        <row r="2634">
          <cell r="B2634">
            <v>53895</v>
          </cell>
          <cell r="C2634">
            <v>27791</v>
          </cell>
        </row>
        <row r="2634">
          <cell r="G2634">
            <v>4047</v>
          </cell>
        </row>
        <row r="2634">
          <cell r="I2634">
            <v>12</v>
          </cell>
        </row>
        <row r="2634">
          <cell r="K2634">
            <v>148100</v>
          </cell>
        </row>
        <row r="2635">
          <cell r="B2635">
            <v>46973</v>
          </cell>
          <cell r="C2635">
            <v>20544</v>
          </cell>
        </row>
        <row r="2635">
          <cell r="G2635">
            <v>3956</v>
          </cell>
        </row>
        <row r="2635">
          <cell r="I2635">
            <v>6</v>
          </cell>
        </row>
        <row r="2635">
          <cell r="K2635">
            <v>71071.01</v>
          </cell>
        </row>
        <row r="2636">
          <cell r="B2636">
            <v>53078</v>
          </cell>
          <cell r="C2636">
            <v>27332</v>
          </cell>
        </row>
        <row r="2636">
          <cell r="G2636">
            <v>3060</v>
          </cell>
        </row>
        <row r="2636">
          <cell r="I2636">
            <v>14</v>
          </cell>
        </row>
        <row r="2636">
          <cell r="K2636">
            <v>168760</v>
          </cell>
        </row>
        <row r="2637">
          <cell r="B2637">
            <v>48803</v>
          </cell>
          <cell r="C2637">
            <v>23979</v>
          </cell>
        </row>
        <row r="2637">
          <cell r="G2637">
            <v>3954</v>
          </cell>
        </row>
        <row r="2637">
          <cell r="I2637">
            <v>13</v>
          </cell>
        </row>
        <row r="2637">
          <cell r="K2637">
            <v>114441</v>
          </cell>
        </row>
        <row r="2638">
          <cell r="B2638">
            <v>59036</v>
          </cell>
          <cell r="C2638">
            <v>25611</v>
          </cell>
        </row>
        <row r="2638">
          <cell r="G2638">
            <v>4393</v>
          </cell>
        </row>
        <row r="2638">
          <cell r="I2638">
            <v>13</v>
          </cell>
        </row>
        <row r="2638">
          <cell r="K2638">
            <v>158015</v>
          </cell>
        </row>
        <row r="2639">
          <cell r="B2639">
            <v>40527</v>
          </cell>
          <cell r="C2639">
            <v>18510</v>
          </cell>
        </row>
        <row r="2639">
          <cell r="G2639">
            <v>3436</v>
          </cell>
        </row>
        <row r="2639">
          <cell r="I2639">
            <v>6</v>
          </cell>
        </row>
        <row r="2639">
          <cell r="K2639">
            <v>63511</v>
          </cell>
        </row>
        <row r="2640">
          <cell r="B2640">
            <v>36783</v>
          </cell>
          <cell r="C2640">
            <v>16368</v>
          </cell>
        </row>
        <row r="2640">
          <cell r="G2640">
            <v>3378</v>
          </cell>
        </row>
        <row r="2640">
          <cell r="I2640">
            <v>7</v>
          </cell>
        </row>
        <row r="2640">
          <cell r="K2640">
            <v>73417</v>
          </cell>
        </row>
        <row r="2641">
          <cell r="B2641">
            <v>49342</v>
          </cell>
          <cell r="C2641">
            <v>25896</v>
          </cell>
        </row>
        <row r="2641">
          <cell r="G2641">
            <v>3804</v>
          </cell>
        </row>
        <row r="2641">
          <cell r="I2641">
            <v>13</v>
          </cell>
        </row>
        <row r="2641">
          <cell r="K2641">
            <v>154073</v>
          </cell>
        </row>
        <row r="2642">
          <cell r="B2642">
            <v>53688</v>
          </cell>
          <cell r="C2642">
            <v>23513</v>
          </cell>
        </row>
        <row r="2642">
          <cell r="G2642">
            <v>3458</v>
          </cell>
        </row>
        <row r="2642">
          <cell r="I2642">
            <v>17</v>
          </cell>
        </row>
        <row r="2642">
          <cell r="K2642">
            <v>182972</v>
          </cell>
        </row>
        <row r="2643">
          <cell r="B2643">
            <v>41665</v>
          </cell>
          <cell r="C2643">
            <v>15380</v>
          </cell>
        </row>
        <row r="2643">
          <cell r="G2643">
            <v>2762</v>
          </cell>
        </row>
        <row r="2643">
          <cell r="I2643">
            <v>15</v>
          </cell>
        </row>
        <row r="2643">
          <cell r="K2643">
            <v>143603</v>
          </cell>
        </row>
        <row r="2644">
          <cell r="B2644">
            <v>60286</v>
          </cell>
          <cell r="C2644">
            <v>25138</v>
          </cell>
        </row>
        <row r="2644">
          <cell r="G2644">
            <v>4138</v>
          </cell>
        </row>
        <row r="2644">
          <cell r="I2644">
            <v>14</v>
          </cell>
        </row>
        <row r="2644">
          <cell r="K2644">
            <v>165534</v>
          </cell>
        </row>
        <row r="2645">
          <cell r="B2645">
            <v>65685</v>
          </cell>
          <cell r="C2645">
            <v>24506</v>
          </cell>
        </row>
        <row r="2645">
          <cell r="G2645">
            <v>5543</v>
          </cell>
        </row>
        <row r="2645">
          <cell r="I2645">
            <v>12</v>
          </cell>
        </row>
        <row r="2645">
          <cell r="K2645">
            <v>175596</v>
          </cell>
        </row>
        <row r="2646">
          <cell r="B2646">
            <v>66464</v>
          </cell>
          <cell r="C2646">
            <v>26469</v>
          </cell>
        </row>
        <row r="2646">
          <cell r="G2646">
            <v>6316</v>
          </cell>
        </row>
        <row r="2646">
          <cell r="I2646">
            <v>18</v>
          </cell>
        </row>
        <row r="2646">
          <cell r="K2646">
            <v>223535</v>
          </cell>
        </row>
        <row r="2647">
          <cell r="B2647">
            <v>67496</v>
          </cell>
          <cell r="C2647">
            <v>29524</v>
          </cell>
        </row>
        <row r="2647">
          <cell r="G2647">
            <v>6702</v>
          </cell>
        </row>
        <row r="2647">
          <cell r="I2647">
            <v>11</v>
          </cell>
        </row>
        <row r="2647">
          <cell r="K2647">
            <v>122052</v>
          </cell>
        </row>
        <row r="2648">
          <cell r="B2648">
            <v>75189</v>
          </cell>
          <cell r="C2648">
            <v>34469</v>
          </cell>
        </row>
        <row r="2648">
          <cell r="G2648">
            <v>7111</v>
          </cell>
        </row>
        <row r="2648">
          <cell r="I2648">
            <v>7</v>
          </cell>
        </row>
        <row r="2648">
          <cell r="K2648">
            <v>105104</v>
          </cell>
        </row>
        <row r="2649">
          <cell r="B2649">
            <v>60949</v>
          </cell>
          <cell r="C2649">
            <v>24536</v>
          </cell>
        </row>
        <row r="2649">
          <cell r="G2649">
            <v>5433</v>
          </cell>
        </row>
        <row r="2649">
          <cell r="I2649">
            <v>17</v>
          </cell>
        </row>
        <row r="2649">
          <cell r="K2649">
            <v>201837</v>
          </cell>
        </row>
        <row r="2650">
          <cell r="B2650">
            <v>55930</v>
          </cell>
          <cell r="C2650">
            <v>22989</v>
          </cell>
        </row>
        <row r="2650">
          <cell r="G2650">
            <v>5511</v>
          </cell>
        </row>
        <row r="2650">
          <cell r="I2650">
            <v>9</v>
          </cell>
        </row>
        <row r="2650">
          <cell r="K2650">
            <v>97042</v>
          </cell>
        </row>
        <row r="2651">
          <cell r="B2651">
            <v>106981</v>
          </cell>
          <cell r="C2651">
            <v>52871</v>
          </cell>
        </row>
        <row r="2651">
          <cell r="G2651">
            <v>7088</v>
          </cell>
        </row>
        <row r="2651">
          <cell r="I2651">
            <v>14</v>
          </cell>
        </row>
        <row r="2651">
          <cell r="K2651">
            <v>173054</v>
          </cell>
        </row>
        <row r="2652">
          <cell r="B2652">
            <v>159934</v>
          </cell>
          <cell r="C2652">
            <v>75666</v>
          </cell>
        </row>
        <row r="2652">
          <cell r="G2652">
            <v>9164</v>
          </cell>
        </row>
        <row r="2652">
          <cell r="I2652">
            <v>10</v>
          </cell>
        </row>
        <row r="2652">
          <cell r="K2652">
            <v>119036</v>
          </cell>
        </row>
        <row r="2653">
          <cell r="B2653">
            <v>131997</v>
          </cell>
          <cell r="C2653">
            <v>76526</v>
          </cell>
        </row>
        <row r="2653">
          <cell r="G2653">
            <v>9823</v>
          </cell>
        </row>
        <row r="2653">
          <cell r="I2653">
            <v>6</v>
          </cell>
        </row>
        <row r="2653">
          <cell r="K2653">
            <v>57896</v>
          </cell>
        </row>
        <row r="2654">
          <cell r="B2654">
            <v>115844</v>
          </cell>
          <cell r="C2654">
            <v>69290</v>
          </cell>
        </row>
        <row r="2654">
          <cell r="G2654">
            <v>9021</v>
          </cell>
        </row>
        <row r="2654">
          <cell r="I2654">
            <v>2</v>
          </cell>
        </row>
        <row r="2654">
          <cell r="K2654">
            <v>39622</v>
          </cell>
        </row>
        <row r="2655">
          <cell r="B2655">
            <v>34852</v>
          </cell>
          <cell r="C2655">
            <v>17563</v>
          </cell>
        </row>
        <row r="2655">
          <cell r="G2655">
            <v>2444</v>
          </cell>
        </row>
        <row r="2655">
          <cell r="I2655">
            <v>16</v>
          </cell>
        </row>
        <row r="2655">
          <cell r="K2655">
            <v>178218</v>
          </cell>
        </row>
        <row r="2656">
          <cell r="B2656">
            <v>27052</v>
          </cell>
          <cell r="C2656">
            <v>12064</v>
          </cell>
        </row>
        <row r="2656">
          <cell r="G2656">
            <v>1978</v>
          </cell>
        </row>
        <row r="2656">
          <cell r="I2656">
            <v>17</v>
          </cell>
        </row>
        <row r="2656">
          <cell r="K2656">
            <v>180486</v>
          </cell>
        </row>
        <row r="2657">
          <cell r="B2657">
            <v>128426</v>
          </cell>
          <cell r="C2657">
            <v>65033</v>
          </cell>
        </row>
        <row r="2657">
          <cell r="G2657">
            <v>17368</v>
          </cell>
        </row>
        <row r="2657">
          <cell r="I2657">
            <v>11</v>
          </cell>
        </row>
        <row r="2657">
          <cell r="K2657">
            <v>134621</v>
          </cell>
        </row>
        <row r="2658">
          <cell r="B2658">
            <v>122044</v>
          </cell>
          <cell r="C2658">
            <v>72362</v>
          </cell>
        </row>
        <row r="2658">
          <cell r="G2658">
            <v>11300</v>
          </cell>
        </row>
        <row r="2658">
          <cell r="I2658">
            <v>14</v>
          </cell>
        </row>
        <row r="2658">
          <cell r="K2658">
            <v>181588</v>
          </cell>
        </row>
        <row r="2659">
          <cell r="B2659">
            <v>188291</v>
          </cell>
          <cell r="C2659">
            <v>94461</v>
          </cell>
        </row>
        <row r="2659">
          <cell r="G2659">
            <v>12812</v>
          </cell>
        </row>
        <row r="2659">
          <cell r="I2659">
            <v>7</v>
          </cell>
        </row>
        <row r="2659">
          <cell r="K2659">
            <v>48645</v>
          </cell>
        </row>
        <row r="2660">
          <cell r="B2660">
            <v>174470</v>
          </cell>
          <cell r="C2660">
            <v>89753</v>
          </cell>
        </row>
        <row r="2660">
          <cell r="G2660">
            <v>13686</v>
          </cell>
        </row>
        <row r="2660">
          <cell r="I2660">
            <v>0</v>
          </cell>
        </row>
        <row r="2660">
          <cell r="K2660">
            <v>57</v>
          </cell>
        </row>
        <row r="2661">
          <cell r="B2661">
            <v>128613</v>
          </cell>
          <cell r="C2661">
            <v>67278</v>
          </cell>
        </row>
        <row r="2661">
          <cell r="G2661">
            <v>5667</v>
          </cell>
        </row>
        <row r="2661">
          <cell r="I2661">
            <v>2</v>
          </cell>
        </row>
        <row r="2661">
          <cell r="K2661">
            <v>24684</v>
          </cell>
        </row>
        <row r="2662">
          <cell r="B2662">
            <v>157610</v>
          </cell>
          <cell r="C2662">
            <v>63013</v>
          </cell>
        </row>
        <row r="2662">
          <cell r="G2662">
            <v>5917</v>
          </cell>
        </row>
        <row r="2662">
          <cell r="I2662">
            <v>81</v>
          </cell>
        </row>
        <row r="2662">
          <cell r="K2662">
            <v>863162</v>
          </cell>
        </row>
        <row r="2663">
          <cell r="B2663">
            <v>85484</v>
          </cell>
          <cell r="C2663">
            <v>41306</v>
          </cell>
        </row>
        <row r="2663">
          <cell r="G2663">
            <v>5554</v>
          </cell>
        </row>
        <row r="2663">
          <cell r="I2663">
            <v>22</v>
          </cell>
        </row>
        <row r="2663">
          <cell r="K2663">
            <v>228989</v>
          </cell>
        </row>
        <row r="2664">
          <cell r="B2664">
            <v>73802</v>
          </cell>
          <cell r="C2664">
            <v>37101</v>
          </cell>
        </row>
        <row r="2664">
          <cell r="G2664">
            <v>4704</v>
          </cell>
        </row>
        <row r="2664">
          <cell r="I2664">
            <v>11</v>
          </cell>
        </row>
        <row r="2664">
          <cell r="K2664">
            <v>133123</v>
          </cell>
        </row>
        <row r="2665">
          <cell r="B2665">
            <v>87658</v>
          </cell>
          <cell r="C2665">
            <v>43393</v>
          </cell>
        </row>
        <row r="2665">
          <cell r="G2665">
            <v>4384</v>
          </cell>
        </row>
        <row r="2665">
          <cell r="I2665">
            <v>90</v>
          </cell>
        </row>
        <row r="2665">
          <cell r="K2665">
            <v>1098280</v>
          </cell>
        </row>
        <row r="2666">
          <cell r="B2666">
            <v>88293</v>
          </cell>
          <cell r="C2666">
            <v>44998</v>
          </cell>
        </row>
        <row r="2666">
          <cell r="G2666">
            <v>4623</v>
          </cell>
        </row>
        <row r="2666">
          <cell r="I2666">
            <v>29</v>
          </cell>
        </row>
        <row r="2666">
          <cell r="K2666">
            <v>325282.01</v>
          </cell>
        </row>
        <row r="2667">
          <cell r="B2667">
            <v>71245</v>
          </cell>
          <cell r="C2667">
            <v>32363</v>
          </cell>
        </row>
        <row r="2667">
          <cell r="G2667">
            <v>4082</v>
          </cell>
        </row>
        <row r="2667">
          <cell r="I2667">
            <v>30</v>
          </cell>
        </row>
        <row r="2667">
          <cell r="K2667">
            <v>333662</v>
          </cell>
        </row>
        <row r="2668">
          <cell r="B2668">
            <v>58725</v>
          </cell>
          <cell r="C2668">
            <v>30567</v>
          </cell>
        </row>
        <row r="2668">
          <cell r="G2668">
            <v>4294</v>
          </cell>
        </row>
        <row r="2668">
          <cell r="I2668">
            <v>20</v>
          </cell>
        </row>
        <row r="2668">
          <cell r="K2668">
            <v>208182</v>
          </cell>
        </row>
        <row r="2669">
          <cell r="B2669">
            <v>65717</v>
          </cell>
          <cell r="C2669">
            <v>36040</v>
          </cell>
        </row>
        <row r="2669">
          <cell r="G2669">
            <v>3722</v>
          </cell>
        </row>
        <row r="2669">
          <cell r="I2669">
            <v>21</v>
          </cell>
        </row>
        <row r="2669">
          <cell r="K2669">
            <v>248557</v>
          </cell>
        </row>
        <row r="2670">
          <cell r="B2670">
            <v>84671</v>
          </cell>
          <cell r="C2670">
            <v>33915</v>
          </cell>
        </row>
        <row r="2670">
          <cell r="G2670">
            <v>3893</v>
          </cell>
        </row>
        <row r="2670">
          <cell r="I2670">
            <v>38</v>
          </cell>
        </row>
        <row r="2670">
          <cell r="K2670">
            <v>440044</v>
          </cell>
        </row>
        <row r="2671">
          <cell r="B2671">
            <v>73146</v>
          </cell>
          <cell r="C2671">
            <v>36442</v>
          </cell>
        </row>
        <row r="2671">
          <cell r="G2671">
            <v>3625</v>
          </cell>
        </row>
        <row r="2671">
          <cell r="I2671">
            <v>33</v>
          </cell>
        </row>
        <row r="2671">
          <cell r="K2671">
            <v>335410</v>
          </cell>
        </row>
        <row r="2672">
          <cell r="B2672">
            <v>72962</v>
          </cell>
          <cell r="C2672">
            <v>40541</v>
          </cell>
        </row>
        <row r="2672">
          <cell r="G2672">
            <v>3993</v>
          </cell>
        </row>
        <row r="2672">
          <cell r="I2672">
            <v>13</v>
          </cell>
        </row>
        <row r="2672">
          <cell r="K2672">
            <v>153000.02</v>
          </cell>
        </row>
        <row r="2673">
          <cell r="B2673">
            <v>79215</v>
          </cell>
          <cell r="C2673">
            <v>43897</v>
          </cell>
        </row>
        <row r="2673">
          <cell r="G2673">
            <v>5019</v>
          </cell>
        </row>
        <row r="2673">
          <cell r="I2673">
            <v>17</v>
          </cell>
        </row>
        <row r="2673">
          <cell r="K2673">
            <v>168167.02</v>
          </cell>
        </row>
        <row r="2674">
          <cell r="B2674">
            <v>77344</v>
          </cell>
          <cell r="C2674">
            <v>43772</v>
          </cell>
        </row>
        <row r="2674">
          <cell r="G2674">
            <v>4580</v>
          </cell>
        </row>
        <row r="2674">
          <cell r="I2674">
            <v>10</v>
          </cell>
        </row>
        <row r="2674">
          <cell r="K2674">
            <v>106944.02</v>
          </cell>
        </row>
        <row r="2675">
          <cell r="B2675">
            <v>75875</v>
          </cell>
          <cell r="C2675">
            <v>42404</v>
          </cell>
        </row>
        <row r="2675">
          <cell r="G2675">
            <v>5198</v>
          </cell>
        </row>
        <row r="2675">
          <cell r="I2675">
            <v>14</v>
          </cell>
        </row>
        <row r="2675">
          <cell r="K2675">
            <v>131276.04</v>
          </cell>
        </row>
        <row r="2676">
          <cell r="B2676">
            <v>84380</v>
          </cell>
          <cell r="C2676">
            <v>51257</v>
          </cell>
        </row>
        <row r="2676">
          <cell r="G2676">
            <v>5843</v>
          </cell>
        </row>
        <row r="2676">
          <cell r="I2676">
            <v>14</v>
          </cell>
        </row>
        <row r="2676">
          <cell r="K2676">
            <v>156595</v>
          </cell>
        </row>
        <row r="2677">
          <cell r="B2677">
            <v>87599</v>
          </cell>
          <cell r="C2677">
            <v>47674</v>
          </cell>
        </row>
        <row r="2677">
          <cell r="G2677">
            <v>6496</v>
          </cell>
        </row>
        <row r="2677">
          <cell r="I2677">
            <v>9</v>
          </cell>
        </row>
        <row r="2677">
          <cell r="K2677">
            <v>96429</v>
          </cell>
        </row>
        <row r="2678">
          <cell r="B2678">
            <v>70641</v>
          </cell>
          <cell r="C2678">
            <v>38182</v>
          </cell>
        </row>
        <row r="2678">
          <cell r="G2678">
            <v>4618</v>
          </cell>
        </row>
        <row r="2678">
          <cell r="I2678">
            <v>9</v>
          </cell>
        </row>
        <row r="2678">
          <cell r="K2678">
            <v>285736</v>
          </cell>
        </row>
        <row r="2679">
          <cell r="B2679">
            <v>46666</v>
          </cell>
          <cell r="C2679">
            <v>25900</v>
          </cell>
        </row>
        <row r="2679">
          <cell r="G2679">
            <v>3431</v>
          </cell>
        </row>
        <row r="2679">
          <cell r="I2679">
            <v>6</v>
          </cell>
        </row>
        <row r="2679">
          <cell r="K2679">
            <v>61265.04</v>
          </cell>
        </row>
        <row r="2680">
          <cell r="B2680">
            <v>31699</v>
          </cell>
          <cell r="C2680">
            <v>16273</v>
          </cell>
        </row>
        <row r="2680">
          <cell r="G2680">
            <v>2759</v>
          </cell>
        </row>
        <row r="2680">
          <cell r="I2680">
            <v>8</v>
          </cell>
        </row>
        <row r="2680">
          <cell r="K2680">
            <v>85135.03</v>
          </cell>
        </row>
        <row r="2681">
          <cell r="B2681">
            <v>49183</v>
          </cell>
          <cell r="C2681">
            <v>25158</v>
          </cell>
        </row>
        <row r="2681">
          <cell r="G2681">
            <v>4241</v>
          </cell>
        </row>
        <row r="2681">
          <cell r="I2681">
            <v>8</v>
          </cell>
        </row>
        <row r="2681">
          <cell r="K2681">
            <v>128809.08</v>
          </cell>
        </row>
        <row r="2682">
          <cell r="B2682">
            <v>44755</v>
          </cell>
          <cell r="C2682">
            <v>24013</v>
          </cell>
        </row>
        <row r="2682">
          <cell r="G2682">
            <v>3630</v>
          </cell>
        </row>
        <row r="2682">
          <cell r="I2682">
            <v>13</v>
          </cell>
        </row>
        <row r="2682">
          <cell r="K2682">
            <v>154192.02</v>
          </cell>
        </row>
        <row r="2683">
          <cell r="B2683">
            <v>47133</v>
          </cell>
          <cell r="C2683">
            <v>25491</v>
          </cell>
        </row>
        <row r="2683">
          <cell r="G2683">
            <v>4210</v>
          </cell>
        </row>
        <row r="2683">
          <cell r="I2683">
            <v>3</v>
          </cell>
        </row>
        <row r="2683">
          <cell r="K2683">
            <v>27484</v>
          </cell>
        </row>
        <row r="2684">
          <cell r="B2684">
            <v>49303</v>
          </cell>
          <cell r="C2684">
            <v>26203</v>
          </cell>
        </row>
        <row r="2684">
          <cell r="G2684">
            <v>4129</v>
          </cell>
        </row>
        <row r="2684">
          <cell r="I2684">
            <v>14</v>
          </cell>
        </row>
        <row r="2684">
          <cell r="K2684">
            <v>181899.09</v>
          </cell>
        </row>
        <row r="2685">
          <cell r="B2685">
            <v>23657</v>
          </cell>
          <cell r="C2685">
            <v>9000</v>
          </cell>
        </row>
        <row r="2685">
          <cell r="G2685">
            <v>1948</v>
          </cell>
        </row>
        <row r="2685">
          <cell r="I2685">
            <v>9</v>
          </cell>
        </row>
        <row r="2685">
          <cell r="K2685">
            <v>92907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018"/>
  <sheetViews>
    <sheetView tabSelected="1" workbookViewId="0">
      <selection activeCell="O9" sqref="O9"/>
    </sheetView>
  </sheetViews>
  <sheetFormatPr defaultColWidth="9.02654867256637" defaultRowHeight="13.5"/>
  <sheetData>
    <row r="1" ht="27.75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5"/>
    </row>
    <row r="2" ht="13.85" spans="1:11">
      <c r="A2" s="6">
        <v>45110</v>
      </c>
      <c r="B2" s="7">
        <v>667</v>
      </c>
      <c r="C2" s="7">
        <v>217</v>
      </c>
      <c r="D2" s="7">
        <v>0</v>
      </c>
      <c r="E2" s="7">
        <v>8</v>
      </c>
      <c r="F2" s="7">
        <v>0</v>
      </c>
      <c r="G2" s="8">
        <v>0</v>
      </c>
      <c r="H2" s="9" t="e">
        <f t="shared" ref="H2:H65" si="0">I2/G2</f>
        <v>#DIV/0!</v>
      </c>
      <c r="I2" s="7">
        <v>0</v>
      </c>
      <c r="J2" s="10">
        <v>0</v>
      </c>
      <c r="K2" s="5"/>
    </row>
    <row r="3" ht="13.85" spans="1:11">
      <c r="A3" s="6">
        <v>45111</v>
      </c>
      <c r="B3" s="7">
        <v>984</v>
      </c>
      <c r="C3" s="7">
        <v>270</v>
      </c>
      <c r="D3" s="7">
        <v>0</v>
      </c>
      <c r="E3" s="7">
        <v>15</v>
      </c>
      <c r="F3" s="7">
        <v>0</v>
      </c>
      <c r="G3" s="11">
        <v>0</v>
      </c>
      <c r="H3" s="9" t="e">
        <f t="shared" si="0"/>
        <v>#DIV/0!</v>
      </c>
      <c r="I3" s="7">
        <v>0</v>
      </c>
      <c r="J3" s="10">
        <v>0</v>
      </c>
      <c r="K3" s="5"/>
    </row>
    <row r="4" ht="13.85" spans="1:11">
      <c r="A4" s="6">
        <v>45112</v>
      </c>
      <c r="B4" s="7">
        <v>910</v>
      </c>
      <c r="C4" s="7">
        <v>247</v>
      </c>
      <c r="D4" s="7">
        <v>0</v>
      </c>
      <c r="E4" s="7">
        <v>10</v>
      </c>
      <c r="F4" s="7">
        <v>362</v>
      </c>
      <c r="G4" s="8">
        <v>79</v>
      </c>
      <c r="H4" s="9">
        <f t="shared" si="0"/>
        <v>0.0632911392405063</v>
      </c>
      <c r="I4" s="7">
        <v>5</v>
      </c>
      <c r="J4" s="10">
        <v>0.0202</v>
      </c>
      <c r="K4" s="5"/>
    </row>
    <row r="5" ht="13.85" spans="1:11">
      <c r="A5" s="6">
        <v>45113</v>
      </c>
      <c r="B5" s="7">
        <v>769</v>
      </c>
      <c r="C5" s="7">
        <v>217</v>
      </c>
      <c r="D5" s="7">
        <v>0</v>
      </c>
      <c r="E5" s="7">
        <v>6</v>
      </c>
      <c r="F5" s="7">
        <v>2</v>
      </c>
      <c r="G5" s="8">
        <v>30</v>
      </c>
      <c r="H5" s="9">
        <f t="shared" si="0"/>
        <v>0.0666666666666667</v>
      </c>
      <c r="I5" s="7">
        <v>2</v>
      </c>
      <c r="J5" s="10">
        <v>0.0092</v>
      </c>
      <c r="K5" s="5"/>
    </row>
    <row r="6" ht="13.85" spans="1:11">
      <c r="A6" s="6">
        <v>45114</v>
      </c>
      <c r="B6" s="7">
        <v>873</v>
      </c>
      <c r="C6" s="7">
        <v>265</v>
      </c>
      <c r="D6" s="7">
        <v>0</v>
      </c>
      <c r="E6" s="7">
        <v>11</v>
      </c>
      <c r="F6" s="12">
        <v>7994</v>
      </c>
      <c r="G6" s="8">
        <v>28</v>
      </c>
      <c r="H6" s="9">
        <f t="shared" si="0"/>
        <v>0.0714285714285714</v>
      </c>
      <c r="I6" s="7">
        <v>2</v>
      </c>
      <c r="J6" s="10">
        <v>0.0075</v>
      </c>
      <c r="K6" s="5"/>
    </row>
    <row r="7" ht="13.85" spans="1:11">
      <c r="A7" s="6">
        <v>45115</v>
      </c>
      <c r="B7" s="7">
        <v>924</v>
      </c>
      <c r="C7" s="7">
        <v>234</v>
      </c>
      <c r="D7" s="7">
        <v>0</v>
      </c>
      <c r="E7" s="7">
        <v>9</v>
      </c>
      <c r="F7" s="7">
        <v>1</v>
      </c>
      <c r="G7" s="11">
        <v>0</v>
      </c>
      <c r="H7" s="9" t="e">
        <f t="shared" si="0"/>
        <v>#DIV/0!</v>
      </c>
      <c r="I7" s="7">
        <v>1</v>
      </c>
      <c r="J7" s="10">
        <v>0.0043</v>
      </c>
      <c r="K7" s="5"/>
    </row>
    <row r="8" ht="13.85" spans="1:11">
      <c r="A8" s="6">
        <v>45116</v>
      </c>
      <c r="B8" s="7">
        <v>792</v>
      </c>
      <c r="C8" s="7">
        <v>236</v>
      </c>
      <c r="D8" s="7">
        <v>0</v>
      </c>
      <c r="E8" s="7">
        <v>13</v>
      </c>
      <c r="F8" s="7">
        <v>0</v>
      </c>
      <c r="G8" s="11">
        <v>0</v>
      </c>
      <c r="H8" s="9" t="e">
        <f t="shared" si="0"/>
        <v>#DIV/0!</v>
      </c>
      <c r="I8" s="7">
        <v>0</v>
      </c>
      <c r="J8" s="10">
        <v>0</v>
      </c>
      <c r="K8" s="5"/>
    </row>
    <row r="9" ht="13.85" spans="1:11">
      <c r="A9" s="6">
        <v>45117</v>
      </c>
      <c r="B9" s="13">
        <v>1003</v>
      </c>
      <c r="C9" s="7">
        <v>291</v>
      </c>
      <c r="D9" s="7">
        <v>0</v>
      </c>
      <c r="E9" s="7">
        <v>12</v>
      </c>
      <c r="F9" s="12">
        <v>8198</v>
      </c>
      <c r="G9" s="8">
        <v>73</v>
      </c>
      <c r="H9" s="9">
        <f t="shared" si="0"/>
        <v>0.0136986301369863</v>
      </c>
      <c r="I9" s="7">
        <v>1</v>
      </c>
      <c r="J9" s="10">
        <v>0.0034</v>
      </c>
      <c r="K9" s="5"/>
    </row>
    <row r="10" ht="13.85" spans="1:11">
      <c r="A10" s="6">
        <v>45118</v>
      </c>
      <c r="B10" s="13">
        <v>1682</v>
      </c>
      <c r="C10" s="7">
        <v>348</v>
      </c>
      <c r="D10" s="7">
        <v>0</v>
      </c>
      <c r="E10" s="7">
        <v>13</v>
      </c>
      <c r="F10" s="12">
        <v>36372</v>
      </c>
      <c r="G10" s="8">
        <v>72</v>
      </c>
      <c r="H10" s="9">
        <f t="shared" si="0"/>
        <v>0.0972222222222222</v>
      </c>
      <c r="I10" s="7">
        <v>7</v>
      </c>
      <c r="J10" s="10">
        <v>0.0201</v>
      </c>
      <c r="K10" s="5"/>
    </row>
    <row r="11" ht="13.85" spans="1:11">
      <c r="A11" s="6">
        <v>45119</v>
      </c>
      <c r="B11" s="7">
        <v>789</v>
      </c>
      <c r="C11" s="7">
        <v>234</v>
      </c>
      <c r="D11" s="7">
        <v>0</v>
      </c>
      <c r="E11" s="7">
        <v>5</v>
      </c>
      <c r="F11" s="12">
        <v>44003</v>
      </c>
      <c r="G11" s="8">
        <v>37</v>
      </c>
      <c r="H11" s="9">
        <f t="shared" si="0"/>
        <v>0.162162162162162</v>
      </c>
      <c r="I11" s="7">
        <v>6</v>
      </c>
      <c r="J11" s="10">
        <v>0.0256</v>
      </c>
      <c r="K11" s="5"/>
    </row>
    <row r="12" ht="13.85" spans="1:11">
      <c r="A12" s="6">
        <v>45120</v>
      </c>
      <c r="B12" s="13">
        <v>1014</v>
      </c>
      <c r="C12" s="7">
        <v>261</v>
      </c>
      <c r="D12" s="7">
        <v>0</v>
      </c>
      <c r="E12" s="7">
        <v>11</v>
      </c>
      <c r="F12" s="12">
        <v>16710</v>
      </c>
      <c r="G12" s="8">
        <v>37</v>
      </c>
      <c r="H12" s="9">
        <f t="shared" si="0"/>
        <v>0.108108108108108</v>
      </c>
      <c r="I12" s="7">
        <v>4</v>
      </c>
      <c r="J12" s="10">
        <v>0.0153</v>
      </c>
      <c r="K12" s="5"/>
    </row>
    <row r="13" ht="13.85" spans="1:11">
      <c r="A13" s="6">
        <v>45121</v>
      </c>
      <c r="B13" s="7">
        <v>762</v>
      </c>
      <c r="C13" s="7">
        <v>238</v>
      </c>
      <c r="D13" s="7">
        <v>0</v>
      </c>
      <c r="E13" s="7">
        <v>6</v>
      </c>
      <c r="F13" s="12">
        <v>26557</v>
      </c>
      <c r="G13" s="8">
        <v>39</v>
      </c>
      <c r="H13" s="9">
        <f t="shared" si="0"/>
        <v>0.0512820512820513</v>
      </c>
      <c r="I13" s="7">
        <v>2</v>
      </c>
      <c r="J13" s="10">
        <v>0.0084</v>
      </c>
      <c r="K13" s="5"/>
    </row>
    <row r="14" ht="13.85" spans="1:11">
      <c r="A14" s="6">
        <v>45122</v>
      </c>
      <c r="B14" s="7">
        <v>623</v>
      </c>
      <c r="C14" s="7">
        <v>251</v>
      </c>
      <c r="D14" s="7">
        <v>0</v>
      </c>
      <c r="E14" s="7">
        <v>7</v>
      </c>
      <c r="F14" s="7">
        <v>2</v>
      </c>
      <c r="G14" s="11">
        <v>0</v>
      </c>
      <c r="H14" s="9" t="e">
        <f t="shared" si="0"/>
        <v>#DIV/0!</v>
      </c>
      <c r="I14" s="7">
        <v>2</v>
      </c>
      <c r="J14" s="10">
        <v>0.008</v>
      </c>
      <c r="K14" s="5"/>
    </row>
    <row r="15" ht="13.85" spans="1:11">
      <c r="A15" s="6">
        <v>45123</v>
      </c>
      <c r="B15" s="7">
        <v>680</v>
      </c>
      <c r="C15" s="7">
        <v>209</v>
      </c>
      <c r="D15" s="7">
        <v>0</v>
      </c>
      <c r="E15" s="7">
        <v>14</v>
      </c>
      <c r="F15" s="12">
        <v>17523</v>
      </c>
      <c r="G15" s="11">
        <v>0</v>
      </c>
      <c r="H15" s="9" t="e">
        <f t="shared" si="0"/>
        <v>#DIV/0!</v>
      </c>
      <c r="I15" s="7">
        <v>3</v>
      </c>
      <c r="J15" s="10">
        <v>0.0144</v>
      </c>
      <c r="K15" s="5"/>
    </row>
    <row r="16" ht="13.85" spans="1:11">
      <c r="A16" s="6">
        <v>45124</v>
      </c>
      <c r="B16" s="7">
        <v>874</v>
      </c>
      <c r="C16" s="7">
        <v>251</v>
      </c>
      <c r="D16" s="7">
        <v>0</v>
      </c>
      <c r="E16" s="7">
        <v>7</v>
      </c>
      <c r="F16" s="12">
        <v>11058</v>
      </c>
      <c r="G16" s="8">
        <v>68</v>
      </c>
      <c r="H16" s="9">
        <f t="shared" si="0"/>
        <v>0.0735294117647059</v>
      </c>
      <c r="I16" s="7">
        <v>5</v>
      </c>
      <c r="J16" s="10">
        <v>0.0199</v>
      </c>
      <c r="K16" s="5"/>
    </row>
    <row r="17" ht="13.85" spans="1:11">
      <c r="A17" s="6">
        <v>45125</v>
      </c>
      <c r="B17" s="7">
        <v>744</v>
      </c>
      <c r="C17" s="7">
        <v>241</v>
      </c>
      <c r="D17" s="7">
        <v>0</v>
      </c>
      <c r="E17" s="7">
        <v>5</v>
      </c>
      <c r="F17" s="12">
        <v>22509</v>
      </c>
      <c r="G17" s="14">
        <v>31</v>
      </c>
      <c r="H17" s="9">
        <f t="shared" si="0"/>
        <v>0.032258064516129</v>
      </c>
      <c r="I17" s="7">
        <v>1</v>
      </c>
      <c r="J17" s="10">
        <v>0.0041</v>
      </c>
      <c r="K17" s="5"/>
    </row>
    <row r="18" ht="13.85" spans="1:11">
      <c r="A18" s="6">
        <v>45126</v>
      </c>
      <c r="B18" s="7">
        <v>772</v>
      </c>
      <c r="C18" s="7">
        <v>289</v>
      </c>
      <c r="D18" s="7">
        <v>0</v>
      </c>
      <c r="E18" s="7">
        <v>11</v>
      </c>
      <c r="F18" s="7">
        <v>0</v>
      </c>
      <c r="G18" s="14">
        <v>18</v>
      </c>
      <c r="H18" s="9">
        <f t="shared" si="0"/>
        <v>0</v>
      </c>
      <c r="I18" s="7">
        <v>0</v>
      </c>
      <c r="J18" s="10">
        <v>0</v>
      </c>
      <c r="K18" s="5"/>
    </row>
    <row r="19" ht="13.85" spans="1:11">
      <c r="A19" s="6">
        <v>45127</v>
      </c>
      <c r="B19" s="8">
        <v>839</v>
      </c>
      <c r="C19" s="8">
        <v>252</v>
      </c>
      <c r="D19" s="14">
        <v>0</v>
      </c>
      <c r="E19" s="14">
        <v>7</v>
      </c>
      <c r="F19" s="14">
        <v>0</v>
      </c>
      <c r="G19" s="14">
        <v>38</v>
      </c>
      <c r="H19" s="9">
        <f t="shared" si="0"/>
        <v>0</v>
      </c>
      <c r="I19" s="15">
        <v>0</v>
      </c>
      <c r="J19" s="14">
        <v>0</v>
      </c>
      <c r="K19" s="5"/>
    </row>
    <row r="20" ht="13.85" spans="1:11">
      <c r="A20" s="6">
        <v>45128</v>
      </c>
      <c r="B20" s="16">
        <v>2338</v>
      </c>
      <c r="C20" s="8">
        <v>708</v>
      </c>
      <c r="D20" s="8">
        <v>0</v>
      </c>
      <c r="E20" s="8">
        <v>7</v>
      </c>
      <c r="F20" s="17">
        <v>17377</v>
      </c>
      <c r="G20" s="15">
        <v>30</v>
      </c>
      <c r="H20" s="9">
        <f t="shared" si="0"/>
        <v>0.133333333333333</v>
      </c>
      <c r="I20" s="8">
        <v>4</v>
      </c>
      <c r="J20" s="18">
        <v>0.0056</v>
      </c>
      <c r="K20" s="5"/>
    </row>
    <row r="21" ht="13.85" spans="1:11">
      <c r="A21" s="6">
        <v>45129</v>
      </c>
      <c r="B21" s="16">
        <v>1246</v>
      </c>
      <c r="C21" s="8">
        <v>364</v>
      </c>
      <c r="D21" s="8">
        <v>0</v>
      </c>
      <c r="E21" s="8">
        <v>12</v>
      </c>
      <c r="F21" s="17">
        <v>47911.01</v>
      </c>
      <c r="G21" s="15">
        <v>47</v>
      </c>
      <c r="H21" s="9">
        <f t="shared" si="0"/>
        <v>0.127659574468085</v>
      </c>
      <c r="I21" s="8">
        <v>6</v>
      </c>
      <c r="J21" s="18">
        <v>0.0165</v>
      </c>
      <c r="K21" s="5"/>
    </row>
    <row r="22" ht="13.85" spans="1:11">
      <c r="A22" s="6">
        <v>45130</v>
      </c>
      <c r="B22" s="8">
        <v>848</v>
      </c>
      <c r="C22" s="8">
        <v>274</v>
      </c>
      <c r="D22" s="8">
        <v>0</v>
      </c>
      <c r="E22" s="8">
        <v>16</v>
      </c>
      <c r="F22" s="17">
        <v>85670</v>
      </c>
      <c r="G22" s="15">
        <v>41</v>
      </c>
      <c r="H22" s="9">
        <f t="shared" si="0"/>
        <v>0.195121951219512</v>
      </c>
      <c r="I22" s="8">
        <v>8</v>
      </c>
      <c r="J22" s="18">
        <v>0.0292</v>
      </c>
      <c r="K22" s="5"/>
    </row>
    <row r="23" ht="15" spans="1:11">
      <c r="A23" s="6">
        <v>45131</v>
      </c>
      <c r="B23" s="8">
        <v>717</v>
      </c>
      <c r="C23" s="8">
        <v>261</v>
      </c>
      <c r="D23" s="8">
        <v>0</v>
      </c>
      <c r="E23" s="8">
        <v>5</v>
      </c>
      <c r="F23" s="17">
        <v>12058</v>
      </c>
      <c r="G23" s="14">
        <v>35</v>
      </c>
      <c r="H23" s="9">
        <f t="shared" si="0"/>
        <v>0.114285714285714</v>
      </c>
      <c r="I23" s="8">
        <v>4</v>
      </c>
      <c r="J23" s="18">
        <v>0.0153</v>
      </c>
      <c r="K23" s="19"/>
    </row>
    <row r="24" ht="13.85" spans="1:11">
      <c r="A24" s="6">
        <v>45132</v>
      </c>
      <c r="B24" s="8">
        <v>933</v>
      </c>
      <c r="C24" s="8">
        <v>429</v>
      </c>
      <c r="D24" s="8">
        <v>0</v>
      </c>
      <c r="E24" s="8">
        <v>11</v>
      </c>
      <c r="F24" s="17">
        <v>63588</v>
      </c>
      <c r="G24" s="14">
        <v>28</v>
      </c>
      <c r="H24" s="9">
        <f t="shared" si="0"/>
        <v>0.142857142857143</v>
      </c>
      <c r="I24" s="8">
        <v>4</v>
      </c>
      <c r="J24" s="18">
        <v>0.0093</v>
      </c>
      <c r="K24" s="5"/>
    </row>
    <row r="25" ht="13.85" spans="1:11">
      <c r="A25" s="6">
        <v>45133</v>
      </c>
      <c r="B25" s="15">
        <v>639</v>
      </c>
      <c r="C25" s="15">
        <v>255</v>
      </c>
      <c r="D25" s="15">
        <v>0</v>
      </c>
      <c r="E25" s="15">
        <v>4</v>
      </c>
      <c r="F25" s="15">
        <v>2</v>
      </c>
      <c r="G25" s="14">
        <v>41</v>
      </c>
      <c r="H25" s="9">
        <f t="shared" si="0"/>
        <v>0.0487804878048781</v>
      </c>
      <c r="I25" s="15">
        <v>2</v>
      </c>
      <c r="J25" s="9">
        <v>0.0078</v>
      </c>
      <c r="K25" s="5"/>
    </row>
    <row r="26" ht="13.85" spans="1:11">
      <c r="A26" s="6">
        <v>45134</v>
      </c>
      <c r="B26" s="8">
        <v>812</v>
      </c>
      <c r="C26" s="8">
        <v>308</v>
      </c>
      <c r="D26" s="8">
        <v>0</v>
      </c>
      <c r="E26" s="8">
        <v>10</v>
      </c>
      <c r="F26" s="17">
        <v>112974</v>
      </c>
      <c r="G26" s="15">
        <v>28</v>
      </c>
      <c r="H26" s="9">
        <f t="shared" si="0"/>
        <v>0.178571428571429</v>
      </c>
      <c r="I26" s="8">
        <v>5</v>
      </c>
      <c r="J26" s="18">
        <v>0.0162</v>
      </c>
      <c r="K26" s="5"/>
    </row>
    <row r="27" ht="13.9" spans="1:11">
      <c r="A27" s="6">
        <v>45135</v>
      </c>
      <c r="B27" s="8">
        <v>925</v>
      </c>
      <c r="C27" s="8">
        <v>391</v>
      </c>
      <c r="D27" s="8">
        <v>0</v>
      </c>
      <c r="E27" s="8">
        <v>13</v>
      </c>
      <c r="F27" s="8">
        <v>0</v>
      </c>
      <c r="G27" s="8">
        <v>32</v>
      </c>
      <c r="H27" s="9">
        <f t="shared" si="0"/>
        <v>0</v>
      </c>
      <c r="I27" s="8">
        <v>0</v>
      </c>
      <c r="J27" s="8" t="s">
        <v>10</v>
      </c>
      <c r="K27" s="5"/>
    </row>
    <row r="28" ht="13.9" spans="1:11">
      <c r="A28" s="6">
        <v>45136</v>
      </c>
      <c r="B28" s="8">
        <v>658</v>
      </c>
      <c r="C28" s="8">
        <v>281</v>
      </c>
      <c r="D28" s="8">
        <v>0</v>
      </c>
      <c r="E28" s="8">
        <v>5</v>
      </c>
      <c r="F28" s="8">
        <v>0</v>
      </c>
      <c r="G28" s="8">
        <v>25</v>
      </c>
      <c r="H28" s="9">
        <f t="shared" si="0"/>
        <v>0.04</v>
      </c>
      <c r="I28" s="8">
        <v>1</v>
      </c>
      <c r="J28" s="8" t="s">
        <v>11</v>
      </c>
      <c r="K28" s="5"/>
    </row>
    <row r="29" ht="13.9" spans="1:11">
      <c r="A29" s="6">
        <v>45137</v>
      </c>
      <c r="B29" s="16">
        <v>19757</v>
      </c>
      <c r="C29" s="16">
        <v>14351</v>
      </c>
      <c r="D29" s="8">
        <v>0</v>
      </c>
      <c r="E29" s="8">
        <v>11</v>
      </c>
      <c r="F29" s="17">
        <v>41710</v>
      </c>
      <c r="G29" s="8">
        <v>32</v>
      </c>
      <c r="H29" s="9">
        <f t="shared" si="0"/>
        <v>0.0625</v>
      </c>
      <c r="I29" s="8">
        <v>2</v>
      </c>
      <c r="J29" s="8" t="s">
        <v>12</v>
      </c>
      <c r="K29" s="5"/>
    </row>
    <row r="30" ht="13.85" spans="1:11">
      <c r="A30" s="6">
        <v>45138</v>
      </c>
      <c r="B30" s="16">
        <v>4735</v>
      </c>
      <c r="C30" s="16">
        <v>3502</v>
      </c>
      <c r="D30" s="8">
        <v>0</v>
      </c>
      <c r="E30" s="8">
        <v>8</v>
      </c>
      <c r="F30" s="17">
        <v>130182</v>
      </c>
      <c r="G30" s="14">
        <v>25</v>
      </c>
      <c r="H30" s="9">
        <f t="shared" si="0"/>
        <v>0.16</v>
      </c>
      <c r="I30" s="8">
        <v>4</v>
      </c>
      <c r="J30" s="18">
        <v>0.0011</v>
      </c>
      <c r="K30" s="5"/>
    </row>
    <row r="31" ht="13.85" spans="1:11">
      <c r="A31" s="6">
        <v>45139</v>
      </c>
      <c r="B31" s="16">
        <v>1707</v>
      </c>
      <c r="C31" s="16">
        <v>1120</v>
      </c>
      <c r="D31" s="8">
        <v>0</v>
      </c>
      <c r="E31" s="8">
        <v>9</v>
      </c>
      <c r="F31" s="8">
        <v>0</v>
      </c>
      <c r="G31" s="14">
        <v>36</v>
      </c>
      <c r="H31" s="9">
        <f t="shared" si="0"/>
        <v>0</v>
      </c>
      <c r="I31" s="8">
        <v>0</v>
      </c>
      <c r="J31" s="18">
        <v>0</v>
      </c>
      <c r="K31" s="5"/>
    </row>
    <row r="32" ht="13.85" spans="1:11">
      <c r="A32" s="6">
        <v>45140</v>
      </c>
      <c r="B32" s="16">
        <v>1261</v>
      </c>
      <c r="C32" s="8">
        <v>786</v>
      </c>
      <c r="D32" s="8">
        <v>0</v>
      </c>
      <c r="E32" s="8">
        <v>12</v>
      </c>
      <c r="F32" s="17">
        <v>93433</v>
      </c>
      <c r="G32" s="14">
        <v>19</v>
      </c>
      <c r="H32" s="9">
        <f t="shared" si="0"/>
        <v>0.157894736842105</v>
      </c>
      <c r="I32" s="8">
        <v>3</v>
      </c>
      <c r="J32" s="18">
        <v>0.0038</v>
      </c>
      <c r="K32" s="5"/>
    </row>
    <row r="33" ht="13.85" spans="1:11">
      <c r="A33" s="20">
        <v>45141</v>
      </c>
      <c r="B33" s="21">
        <v>1350</v>
      </c>
      <c r="C33" s="22">
        <v>930</v>
      </c>
      <c r="D33" s="22">
        <v>0</v>
      </c>
      <c r="E33" s="22">
        <v>6</v>
      </c>
      <c r="F33" s="22">
        <v>0</v>
      </c>
      <c r="G33" s="23">
        <v>20</v>
      </c>
      <c r="H33" s="9">
        <f t="shared" si="0"/>
        <v>0</v>
      </c>
      <c r="I33" s="22">
        <v>0</v>
      </c>
      <c r="J33" s="24">
        <v>0</v>
      </c>
      <c r="K33" s="5"/>
    </row>
    <row r="34" ht="13.85" spans="1:11">
      <c r="A34" s="25">
        <v>45142</v>
      </c>
      <c r="B34" s="26">
        <v>650</v>
      </c>
      <c r="C34" s="27">
        <v>1063</v>
      </c>
      <c r="D34" s="26">
        <v>0</v>
      </c>
      <c r="E34" s="26">
        <v>9</v>
      </c>
      <c r="F34" s="26">
        <v>2</v>
      </c>
      <c r="G34" s="28">
        <v>16</v>
      </c>
      <c r="H34" s="9">
        <f t="shared" si="0"/>
        <v>0.1875</v>
      </c>
      <c r="I34" s="26">
        <v>3</v>
      </c>
      <c r="J34" s="29">
        <v>0.0046</v>
      </c>
      <c r="K34" s="5"/>
    </row>
    <row r="35" ht="13.85" spans="1:11">
      <c r="A35" s="25">
        <v>45143</v>
      </c>
      <c r="B35" s="26">
        <v>558</v>
      </c>
      <c r="C35" s="26">
        <v>892</v>
      </c>
      <c r="D35" s="26">
        <v>0</v>
      </c>
      <c r="E35" s="26">
        <v>8</v>
      </c>
      <c r="F35" s="26">
        <v>1</v>
      </c>
      <c r="G35" s="30">
        <v>26</v>
      </c>
      <c r="H35" s="9">
        <f t="shared" si="0"/>
        <v>0.115384615384615</v>
      </c>
      <c r="I35" s="26">
        <v>3</v>
      </c>
      <c r="J35" s="29">
        <v>0.0054</v>
      </c>
      <c r="K35" s="5"/>
    </row>
    <row r="36" ht="13.85" spans="1:11">
      <c r="A36" s="25">
        <v>45144</v>
      </c>
      <c r="B36" s="26">
        <v>377</v>
      </c>
      <c r="C36" s="26">
        <v>766</v>
      </c>
      <c r="D36" s="26">
        <v>0</v>
      </c>
      <c r="E36" s="26">
        <v>8</v>
      </c>
      <c r="F36" s="31">
        <v>35896</v>
      </c>
      <c r="G36" s="30">
        <v>16</v>
      </c>
      <c r="H36" s="9">
        <f t="shared" si="0"/>
        <v>0.0625</v>
      </c>
      <c r="I36" s="32">
        <v>1</v>
      </c>
      <c r="J36" s="29">
        <v>0.0027</v>
      </c>
      <c r="K36" s="5"/>
    </row>
    <row r="37" ht="13.85" spans="1:11">
      <c r="A37" s="25">
        <v>45145</v>
      </c>
      <c r="B37" s="26">
        <v>819</v>
      </c>
      <c r="C37" s="26">
        <v>432</v>
      </c>
      <c r="D37" s="26">
        <v>0</v>
      </c>
      <c r="E37" s="26">
        <v>7</v>
      </c>
      <c r="F37" s="33">
        <v>0</v>
      </c>
      <c r="G37" s="30">
        <v>26</v>
      </c>
      <c r="H37" s="9">
        <f t="shared" si="0"/>
        <v>0.0384615384615385</v>
      </c>
      <c r="I37" s="32">
        <v>1</v>
      </c>
      <c r="J37" s="29">
        <v>0.0023</v>
      </c>
      <c r="K37" s="5"/>
    </row>
    <row r="38" ht="13.85" spans="1:11">
      <c r="A38" s="34">
        <v>45146</v>
      </c>
      <c r="B38" s="35">
        <v>755</v>
      </c>
      <c r="C38" s="35">
        <v>331</v>
      </c>
      <c r="D38" s="35">
        <v>0</v>
      </c>
      <c r="E38" s="35">
        <v>11</v>
      </c>
      <c r="F38" s="36">
        <v>74293</v>
      </c>
      <c r="G38" s="30">
        <v>32</v>
      </c>
      <c r="H38" s="9">
        <f t="shared" si="0"/>
        <v>0.0625</v>
      </c>
      <c r="I38" s="37">
        <v>2</v>
      </c>
      <c r="J38" s="38">
        <v>0.006</v>
      </c>
      <c r="K38" s="5"/>
    </row>
    <row r="39" ht="13.85" spans="1:11">
      <c r="A39" s="39">
        <v>45147</v>
      </c>
      <c r="B39" s="40">
        <v>1410</v>
      </c>
      <c r="C39" s="41">
        <v>811</v>
      </c>
      <c r="D39" s="42">
        <v>0</v>
      </c>
      <c r="E39" s="42">
        <v>9</v>
      </c>
      <c r="F39" s="43">
        <v>0</v>
      </c>
      <c r="G39" s="30">
        <v>17</v>
      </c>
      <c r="H39" s="9">
        <f t="shared" si="0"/>
        <v>0.0588235294117647</v>
      </c>
      <c r="I39" s="44">
        <v>1</v>
      </c>
      <c r="J39" s="45">
        <v>0.0012</v>
      </c>
      <c r="K39" s="5"/>
    </row>
    <row r="40" ht="13.85" spans="1:11">
      <c r="A40" s="46">
        <v>45148</v>
      </c>
      <c r="B40" s="8">
        <v>507</v>
      </c>
      <c r="C40" s="8">
        <v>218</v>
      </c>
      <c r="D40" s="8">
        <v>0</v>
      </c>
      <c r="E40" s="8">
        <v>7</v>
      </c>
      <c r="F40" s="47">
        <v>1</v>
      </c>
      <c r="G40" s="30">
        <v>19</v>
      </c>
      <c r="H40" s="9">
        <f t="shared" si="0"/>
        <v>0.0526315789473684</v>
      </c>
      <c r="I40" s="48">
        <v>1</v>
      </c>
      <c r="J40" s="18">
        <v>0.0046</v>
      </c>
      <c r="K40" s="5"/>
    </row>
    <row r="41" ht="13.85" spans="1:11">
      <c r="A41" s="46">
        <v>45149</v>
      </c>
      <c r="B41" s="8">
        <v>453</v>
      </c>
      <c r="C41" s="8">
        <v>203</v>
      </c>
      <c r="D41" s="8">
        <v>0</v>
      </c>
      <c r="E41" s="8">
        <v>9</v>
      </c>
      <c r="F41" s="47">
        <v>1</v>
      </c>
      <c r="G41" s="30">
        <v>18</v>
      </c>
      <c r="H41" s="9">
        <f t="shared" si="0"/>
        <v>0.111111111111111</v>
      </c>
      <c r="I41" s="48">
        <v>2</v>
      </c>
      <c r="J41" s="18">
        <v>0.0099</v>
      </c>
      <c r="K41" s="5"/>
    </row>
    <row r="42" ht="13.85" spans="1:11">
      <c r="A42" s="46">
        <v>45150</v>
      </c>
      <c r="B42" s="8">
        <v>573</v>
      </c>
      <c r="C42" s="8">
        <v>216</v>
      </c>
      <c r="D42" s="8">
        <v>0</v>
      </c>
      <c r="E42" s="8">
        <v>5</v>
      </c>
      <c r="F42" s="47">
        <v>1</v>
      </c>
      <c r="G42" s="30">
        <v>31</v>
      </c>
      <c r="H42" s="9">
        <f t="shared" si="0"/>
        <v>0.032258064516129</v>
      </c>
      <c r="I42" s="48">
        <v>1</v>
      </c>
      <c r="J42" s="18">
        <v>0.0046</v>
      </c>
      <c r="K42" s="5"/>
    </row>
    <row r="43" ht="13.85" spans="1:11">
      <c r="A43" s="46">
        <v>45151</v>
      </c>
      <c r="B43" s="8">
        <v>613</v>
      </c>
      <c r="C43" s="8">
        <v>253</v>
      </c>
      <c r="D43" s="8">
        <v>0</v>
      </c>
      <c r="E43" s="8">
        <v>12</v>
      </c>
      <c r="F43" s="49">
        <v>16761</v>
      </c>
      <c r="G43" s="30">
        <v>25</v>
      </c>
      <c r="H43" s="9">
        <f t="shared" si="0"/>
        <v>0.04</v>
      </c>
      <c r="I43" s="48">
        <v>1</v>
      </c>
      <c r="J43" s="18">
        <v>0.004</v>
      </c>
      <c r="K43" s="5"/>
    </row>
    <row r="44" ht="13.85" spans="1:11">
      <c r="A44" s="39">
        <v>45152</v>
      </c>
      <c r="B44" s="50">
        <v>1255</v>
      </c>
      <c r="C44" s="51">
        <v>567</v>
      </c>
      <c r="D44" s="51">
        <v>0</v>
      </c>
      <c r="E44" s="51">
        <v>12</v>
      </c>
      <c r="F44" s="52">
        <v>1</v>
      </c>
      <c r="G44" s="53">
        <v>21</v>
      </c>
      <c r="H44" s="9">
        <f t="shared" si="0"/>
        <v>0.0476190476190476</v>
      </c>
      <c r="I44" s="54">
        <v>1</v>
      </c>
      <c r="J44" s="55">
        <v>0.0018</v>
      </c>
      <c r="K44" s="5"/>
    </row>
    <row r="45" ht="13.85" spans="1:11">
      <c r="A45" s="46">
        <v>45153</v>
      </c>
      <c r="B45" s="8">
        <v>325</v>
      </c>
      <c r="C45" s="8">
        <v>799</v>
      </c>
      <c r="D45" s="8">
        <v>0</v>
      </c>
      <c r="E45" s="8">
        <v>10</v>
      </c>
      <c r="F45" s="17">
        <v>15517</v>
      </c>
      <c r="G45" s="14">
        <v>32</v>
      </c>
      <c r="H45" s="9">
        <f t="shared" si="0"/>
        <v>0.09375</v>
      </c>
      <c r="I45" s="8">
        <v>3</v>
      </c>
      <c r="J45" s="18">
        <v>0.0092</v>
      </c>
      <c r="K45" s="5"/>
    </row>
    <row r="46" ht="13.85" spans="1:11">
      <c r="A46" s="46">
        <v>45154</v>
      </c>
      <c r="B46" s="8">
        <v>616</v>
      </c>
      <c r="C46" s="8">
        <v>263</v>
      </c>
      <c r="D46" s="8">
        <v>0</v>
      </c>
      <c r="E46" s="8">
        <v>13</v>
      </c>
      <c r="F46" s="17">
        <v>11526</v>
      </c>
      <c r="G46" s="14">
        <v>33</v>
      </c>
      <c r="H46" s="9">
        <f t="shared" si="0"/>
        <v>0.0606060606060606</v>
      </c>
      <c r="I46" s="8">
        <v>2</v>
      </c>
      <c r="J46" s="18">
        <v>0.0076</v>
      </c>
      <c r="K46" s="5"/>
    </row>
    <row r="47" ht="13.85" spans="1:11">
      <c r="A47" s="56">
        <v>45155</v>
      </c>
      <c r="B47" s="57">
        <v>592</v>
      </c>
      <c r="C47" s="57">
        <v>250</v>
      </c>
      <c r="D47" s="57">
        <v>0</v>
      </c>
      <c r="E47" s="57">
        <v>10</v>
      </c>
      <c r="F47" s="57">
        <v>0</v>
      </c>
      <c r="G47" s="58">
        <v>24</v>
      </c>
      <c r="H47" s="9">
        <f t="shared" si="0"/>
        <v>0</v>
      </c>
      <c r="I47" s="57">
        <v>0</v>
      </c>
      <c r="J47" s="59">
        <v>0</v>
      </c>
      <c r="K47" s="5"/>
    </row>
    <row r="48" ht="13.85" spans="1:11">
      <c r="A48" s="46">
        <v>45156</v>
      </c>
      <c r="B48" s="16">
        <v>2084</v>
      </c>
      <c r="C48" s="16">
        <v>1510</v>
      </c>
      <c r="D48" s="8">
        <v>0</v>
      </c>
      <c r="E48" s="8">
        <v>8</v>
      </c>
      <c r="F48" s="17">
        <v>46142</v>
      </c>
      <c r="G48" s="14">
        <v>25</v>
      </c>
      <c r="H48" s="9">
        <f t="shared" si="0"/>
        <v>0.12</v>
      </c>
      <c r="I48" s="8">
        <v>3</v>
      </c>
      <c r="J48" s="18">
        <v>0.002</v>
      </c>
      <c r="K48" s="5"/>
    </row>
    <row r="49" ht="13.85" spans="1:11">
      <c r="A49" s="46">
        <v>45157</v>
      </c>
      <c r="B49" s="8">
        <v>800</v>
      </c>
      <c r="C49" s="8">
        <v>464</v>
      </c>
      <c r="D49" s="8">
        <v>0</v>
      </c>
      <c r="E49" s="8">
        <v>5</v>
      </c>
      <c r="F49" s="17">
        <v>138199</v>
      </c>
      <c r="G49" s="14">
        <v>9</v>
      </c>
      <c r="H49" s="9">
        <f t="shared" si="0"/>
        <v>0.333333333333333</v>
      </c>
      <c r="I49" s="8">
        <v>3</v>
      </c>
      <c r="J49" s="18">
        <v>0.0065</v>
      </c>
      <c r="K49" s="5"/>
    </row>
    <row r="50" ht="13.85" spans="1:11">
      <c r="A50" s="39">
        <v>45158</v>
      </c>
      <c r="B50" s="22">
        <v>943</v>
      </c>
      <c r="C50" s="22">
        <v>497</v>
      </c>
      <c r="D50" s="22">
        <v>0</v>
      </c>
      <c r="E50" s="22">
        <v>7</v>
      </c>
      <c r="F50" s="60">
        <v>30139</v>
      </c>
      <c r="G50" s="42">
        <v>28</v>
      </c>
      <c r="H50" s="9">
        <f t="shared" si="0"/>
        <v>0.0714285714285714</v>
      </c>
      <c r="I50" s="22">
        <v>2</v>
      </c>
      <c r="J50" s="24">
        <v>0.004</v>
      </c>
      <c r="K50" s="5"/>
    </row>
    <row r="51" ht="13.85" spans="1:11">
      <c r="A51" s="61">
        <v>45159</v>
      </c>
      <c r="B51" s="62">
        <v>945</v>
      </c>
      <c r="C51" s="62">
        <v>462</v>
      </c>
      <c r="D51" s="62">
        <v>0</v>
      </c>
      <c r="E51" s="62">
        <v>7</v>
      </c>
      <c r="F51" s="62">
        <v>1</v>
      </c>
      <c r="G51" s="63">
        <v>24</v>
      </c>
      <c r="H51" s="9">
        <f t="shared" si="0"/>
        <v>0.0416666666666667</v>
      </c>
      <c r="I51" s="62">
        <v>1</v>
      </c>
      <c r="J51" s="64">
        <v>0.0022</v>
      </c>
      <c r="K51" s="5"/>
    </row>
    <row r="52" ht="13.85" spans="1:11">
      <c r="A52" s="61">
        <v>45160</v>
      </c>
      <c r="B52" s="62">
        <v>938</v>
      </c>
      <c r="C52" s="62">
        <v>441</v>
      </c>
      <c r="D52" s="62">
        <v>0</v>
      </c>
      <c r="E52" s="62">
        <v>7</v>
      </c>
      <c r="F52" s="65">
        <v>18868</v>
      </c>
      <c r="G52" s="63">
        <v>33</v>
      </c>
      <c r="H52" s="9">
        <f t="shared" si="0"/>
        <v>0.0606060606060606</v>
      </c>
      <c r="I52" s="62">
        <v>2</v>
      </c>
      <c r="J52" s="64">
        <v>0.0045</v>
      </c>
      <c r="K52" s="5"/>
    </row>
    <row r="53" ht="13.85" spans="1:11">
      <c r="A53" s="66">
        <v>45161</v>
      </c>
      <c r="B53" s="67">
        <v>2247</v>
      </c>
      <c r="C53" s="67">
        <v>1597</v>
      </c>
      <c r="D53" s="67">
        <v>301</v>
      </c>
      <c r="E53" s="68">
        <v>13</v>
      </c>
      <c r="F53" s="69">
        <v>228741</v>
      </c>
      <c r="G53" s="70">
        <v>28</v>
      </c>
      <c r="H53" s="9">
        <f t="shared" si="0"/>
        <v>0.0714285714285714</v>
      </c>
      <c r="I53" s="68">
        <v>2</v>
      </c>
      <c r="J53" s="71">
        <v>0.0013</v>
      </c>
      <c r="K53" s="5"/>
    </row>
    <row r="54" ht="13.85" spans="1:11">
      <c r="A54" s="46">
        <v>45162</v>
      </c>
      <c r="B54" s="16">
        <v>1219</v>
      </c>
      <c r="C54" s="8">
        <v>687</v>
      </c>
      <c r="D54" s="16">
        <v>846</v>
      </c>
      <c r="E54" s="8">
        <v>7</v>
      </c>
      <c r="F54" s="17">
        <v>44764</v>
      </c>
      <c r="G54" s="14">
        <v>24</v>
      </c>
      <c r="H54" s="9">
        <f t="shared" si="0"/>
        <v>0.166666666666667</v>
      </c>
      <c r="I54" s="8">
        <v>4</v>
      </c>
      <c r="J54" s="18">
        <v>0.0058</v>
      </c>
      <c r="K54" s="5"/>
    </row>
    <row r="55" ht="13.85" spans="1:11">
      <c r="A55" s="46">
        <v>45163</v>
      </c>
      <c r="B55" s="16">
        <v>1392</v>
      </c>
      <c r="C55" s="8">
        <v>838</v>
      </c>
      <c r="D55" s="16">
        <v>940</v>
      </c>
      <c r="E55" s="8">
        <v>9</v>
      </c>
      <c r="F55" s="8">
        <v>1</v>
      </c>
      <c r="G55" s="14">
        <v>19</v>
      </c>
      <c r="H55" s="9">
        <f t="shared" si="0"/>
        <v>0.0526315789473684</v>
      </c>
      <c r="I55" s="8">
        <v>1</v>
      </c>
      <c r="J55" s="18">
        <v>0.0012</v>
      </c>
      <c r="K55" s="5"/>
    </row>
    <row r="56" ht="13.85" spans="1:11">
      <c r="A56" s="46">
        <v>45164</v>
      </c>
      <c r="B56" s="16">
        <v>1170</v>
      </c>
      <c r="C56" s="8">
        <v>774</v>
      </c>
      <c r="D56" s="16">
        <v>643</v>
      </c>
      <c r="E56" s="8">
        <v>6</v>
      </c>
      <c r="F56" s="8">
        <v>0</v>
      </c>
      <c r="G56" s="14">
        <v>22</v>
      </c>
      <c r="H56" s="9">
        <f t="shared" si="0"/>
        <v>0</v>
      </c>
      <c r="I56" s="8">
        <v>0</v>
      </c>
      <c r="J56" s="18">
        <v>0</v>
      </c>
      <c r="K56" s="5"/>
    </row>
    <row r="57" ht="13.85" spans="1:11">
      <c r="A57" s="39">
        <v>45165</v>
      </c>
      <c r="B57" s="21">
        <v>1291</v>
      </c>
      <c r="C57" s="22">
        <v>724</v>
      </c>
      <c r="D57" s="21">
        <v>722</v>
      </c>
      <c r="E57" s="22">
        <v>13</v>
      </c>
      <c r="F57" s="22">
        <v>1</v>
      </c>
      <c r="G57" s="42">
        <v>19</v>
      </c>
      <c r="H57" s="9">
        <f t="shared" si="0"/>
        <v>0.0526315789473684</v>
      </c>
      <c r="I57" s="22">
        <v>1</v>
      </c>
      <c r="J57" s="24">
        <v>0.0014</v>
      </c>
      <c r="K57" s="5"/>
    </row>
    <row r="58" ht="13.85" spans="1:11">
      <c r="A58" s="61">
        <v>45166</v>
      </c>
      <c r="B58" s="72">
        <v>2422</v>
      </c>
      <c r="C58" s="72">
        <v>1686</v>
      </c>
      <c r="D58" s="72">
        <v>678</v>
      </c>
      <c r="E58" s="62">
        <v>5</v>
      </c>
      <c r="F58" s="62">
        <v>0</v>
      </c>
      <c r="G58" s="63">
        <v>19</v>
      </c>
      <c r="H58" s="9">
        <f t="shared" si="0"/>
        <v>0</v>
      </c>
      <c r="I58" s="62">
        <v>0</v>
      </c>
      <c r="J58" s="64">
        <v>0</v>
      </c>
      <c r="K58" s="5"/>
    </row>
    <row r="59" ht="13.85" spans="1:11">
      <c r="A59" s="66">
        <v>45167</v>
      </c>
      <c r="B59" s="67">
        <v>4456</v>
      </c>
      <c r="C59" s="67">
        <v>2766</v>
      </c>
      <c r="D59" s="67">
        <v>697</v>
      </c>
      <c r="E59" s="68">
        <v>12</v>
      </c>
      <c r="F59" s="68">
        <v>1</v>
      </c>
      <c r="G59" s="70">
        <v>18</v>
      </c>
      <c r="H59" s="9">
        <f t="shared" si="0"/>
        <v>0.111111111111111</v>
      </c>
      <c r="I59" s="68">
        <v>2</v>
      </c>
      <c r="J59" s="71">
        <v>0.0007</v>
      </c>
      <c r="K59" s="5"/>
    </row>
    <row r="60" ht="13.85" spans="1:11">
      <c r="A60" s="39">
        <v>45168</v>
      </c>
      <c r="B60" s="21">
        <v>5214</v>
      </c>
      <c r="C60" s="21">
        <v>3218</v>
      </c>
      <c r="D60" s="21">
        <v>768</v>
      </c>
      <c r="E60" s="22">
        <v>9</v>
      </c>
      <c r="F60" s="22">
        <v>1</v>
      </c>
      <c r="G60" s="42">
        <v>12</v>
      </c>
      <c r="H60" s="9">
        <f t="shared" si="0"/>
        <v>0.0833333333333333</v>
      </c>
      <c r="I60" s="22">
        <v>1</v>
      </c>
      <c r="J60" s="24">
        <v>0.0003</v>
      </c>
      <c r="K60" s="5"/>
    </row>
    <row r="61" ht="13.85" spans="1:11">
      <c r="A61" s="66">
        <v>45169</v>
      </c>
      <c r="B61" s="67">
        <v>2612</v>
      </c>
      <c r="C61" s="67">
        <v>1637</v>
      </c>
      <c r="D61" s="67">
        <v>966</v>
      </c>
      <c r="E61" s="68">
        <v>6</v>
      </c>
      <c r="F61" s="68">
        <v>2</v>
      </c>
      <c r="G61" s="70">
        <v>8</v>
      </c>
      <c r="H61" s="9">
        <f t="shared" si="0"/>
        <v>0.25</v>
      </c>
      <c r="I61" s="68">
        <v>2</v>
      </c>
      <c r="J61" s="71">
        <v>0.0012</v>
      </c>
      <c r="K61" s="5"/>
    </row>
    <row r="62" ht="13.85" spans="1:11">
      <c r="A62" s="46">
        <v>45170</v>
      </c>
      <c r="B62" s="16">
        <v>1785</v>
      </c>
      <c r="C62" s="16">
        <v>1068</v>
      </c>
      <c r="D62" s="16">
        <v>1107</v>
      </c>
      <c r="E62" s="8">
        <v>4</v>
      </c>
      <c r="F62" s="8">
        <v>0</v>
      </c>
      <c r="G62" s="14">
        <v>13</v>
      </c>
      <c r="H62" s="9">
        <f t="shared" si="0"/>
        <v>0</v>
      </c>
      <c r="I62" s="8">
        <v>0</v>
      </c>
      <c r="J62" s="18">
        <v>0</v>
      </c>
      <c r="K62" s="5"/>
    </row>
    <row r="63" ht="13.85" spans="1:11">
      <c r="A63" s="46">
        <v>45171</v>
      </c>
      <c r="B63" s="16">
        <v>3665</v>
      </c>
      <c r="C63" s="16">
        <v>2868</v>
      </c>
      <c r="D63" s="16">
        <v>1306</v>
      </c>
      <c r="E63" s="8">
        <v>9</v>
      </c>
      <c r="F63" s="8">
        <v>1</v>
      </c>
      <c r="G63" s="14">
        <v>13</v>
      </c>
      <c r="H63" s="9">
        <f t="shared" si="0"/>
        <v>0.0769230769230769</v>
      </c>
      <c r="I63" s="8">
        <v>1</v>
      </c>
      <c r="J63" s="18">
        <v>0.0003</v>
      </c>
      <c r="K63" s="5"/>
    </row>
    <row r="64" ht="13.85" spans="1:11">
      <c r="A64" s="46">
        <v>45172</v>
      </c>
      <c r="B64" s="16">
        <v>2407</v>
      </c>
      <c r="C64" s="16">
        <v>1681</v>
      </c>
      <c r="D64" s="16">
        <v>1632</v>
      </c>
      <c r="E64" s="8">
        <v>12</v>
      </c>
      <c r="F64" s="8">
        <v>0</v>
      </c>
      <c r="G64" s="14">
        <v>20</v>
      </c>
      <c r="H64" s="9">
        <f t="shared" si="0"/>
        <v>0</v>
      </c>
      <c r="I64" s="8">
        <v>0</v>
      </c>
      <c r="J64" s="18">
        <v>0</v>
      </c>
      <c r="K64" s="5"/>
    </row>
    <row r="65" ht="13.85" spans="1:11">
      <c r="A65" s="46">
        <v>45173</v>
      </c>
      <c r="B65" s="16">
        <v>1681</v>
      </c>
      <c r="C65" s="16">
        <v>1114</v>
      </c>
      <c r="D65" s="16">
        <v>1390</v>
      </c>
      <c r="E65" s="8">
        <v>10</v>
      </c>
      <c r="F65" s="8">
        <v>2</v>
      </c>
      <c r="G65" s="14">
        <v>10</v>
      </c>
      <c r="H65" s="9">
        <f t="shared" si="0"/>
        <v>0.2</v>
      </c>
      <c r="I65" s="8">
        <v>2</v>
      </c>
      <c r="J65" s="18">
        <v>0.0018</v>
      </c>
      <c r="K65" s="5"/>
    </row>
    <row r="66" ht="13.85" spans="1:11">
      <c r="A66" s="46">
        <v>45174</v>
      </c>
      <c r="B66" s="16">
        <v>1428</v>
      </c>
      <c r="C66" s="8">
        <v>959</v>
      </c>
      <c r="D66" s="16">
        <v>1317</v>
      </c>
      <c r="E66" s="8">
        <v>6</v>
      </c>
      <c r="F66" s="8">
        <v>0</v>
      </c>
      <c r="G66" s="14">
        <v>20</v>
      </c>
      <c r="H66" s="9">
        <f t="shared" ref="H66:H129" si="1">I66/G66</f>
        <v>0.05</v>
      </c>
      <c r="I66" s="8">
        <v>1</v>
      </c>
      <c r="J66" s="18">
        <v>0.001</v>
      </c>
      <c r="K66" s="5"/>
    </row>
    <row r="67" ht="13.85" spans="1:11">
      <c r="A67" s="39">
        <v>45175</v>
      </c>
      <c r="B67" s="21">
        <v>1196</v>
      </c>
      <c r="C67" s="22">
        <v>801</v>
      </c>
      <c r="D67" s="21">
        <v>899</v>
      </c>
      <c r="E67" s="22">
        <v>6</v>
      </c>
      <c r="F67" s="22">
        <v>0</v>
      </c>
      <c r="G67" s="42">
        <v>22</v>
      </c>
      <c r="H67" s="9">
        <f t="shared" si="1"/>
        <v>0</v>
      </c>
      <c r="I67" s="22">
        <v>0</v>
      </c>
      <c r="J67" s="24">
        <v>0</v>
      </c>
      <c r="K67" s="5"/>
    </row>
    <row r="68" ht="13.85" spans="1:11">
      <c r="A68" s="46">
        <v>45176</v>
      </c>
      <c r="B68" s="16">
        <v>1349</v>
      </c>
      <c r="C68" s="8">
        <v>867</v>
      </c>
      <c r="D68" s="16">
        <v>957</v>
      </c>
      <c r="E68" s="8">
        <v>8</v>
      </c>
      <c r="F68" s="8">
        <v>0</v>
      </c>
      <c r="G68" s="14">
        <v>23</v>
      </c>
      <c r="H68" s="9">
        <f t="shared" si="1"/>
        <v>0</v>
      </c>
      <c r="I68" s="8">
        <v>0</v>
      </c>
      <c r="J68" s="18">
        <v>0</v>
      </c>
      <c r="K68" s="5"/>
    </row>
    <row r="69" ht="13.85" spans="1:11">
      <c r="A69" s="46">
        <v>45177</v>
      </c>
      <c r="B69" s="14">
        <v>1431</v>
      </c>
      <c r="C69" s="14">
        <v>988</v>
      </c>
      <c r="D69" s="73">
        <v>899</v>
      </c>
      <c r="E69" s="14">
        <v>9</v>
      </c>
      <c r="F69" s="14">
        <v>0</v>
      </c>
      <c r="G69" s="14">
        <v>22</v>
      </c>
      <c r="H69" s="9">
        <f t="shared" si="1"/>
        <v>0</v>
      </c>
      <c r="I69" s="15">
        <v>0</v>
      </c>
      <c r="J69" s="18">
        <v>0</v>
      </c>
      <c r="K69" s="5"/>
    </row>
    <row r="70" ht="13.85" spans="1:11">
      <c r="A70" s="46">
        <v>45178</v>
      </c>
      <c r="B70" s="14">
        <v>2224</v>
      </c>
      <c r="C70" s="14">
        <v>1665</v>
      </c>
      <c r="D70" s="73">
        <v>1092</v>
      </c>
      <c r="E70" s="14">
        <v>12</v>
      </c>
      <c r="F70" s="14">
        <v>0</v>
      </c>
      <c r="G70" s="14">
        <v>13</v>
      </c>
      <c r="H70" s="9">
        <f t="shared" si="1"/>
        <v>0</v>
      </c>
      <c r="I70" s="15">
        <v>0</v>
      </c>
      <c r="J70" s="18">
        <v>0</v>
      </c>
      <c r="K70" s="5"/>
    </row>
    <row r="71" ht="13.85" spans="1:11">
      <c r="A71" s="46">
        <v>45179</v>
      </c>
      <c r="B71" s="14">
        <v>2396</v>
      </c>
      <c r="C71" s="14">
        <v>1688</v>
      </c>
      <c r="D71" s="73">
        <v>1100</v>
      </c>
      <c r="E71" s="14">
        <v>10</v>
      </c>
      <c r="F71" s="14">
        <v>0</v>
      </c>
      <c r="G71" s="14">
        <v>26</v>
      </c>
      <c r="H71" s="9">
        <f t="shared" si="1"/>
        <v>0</v>
      </c>
      <c r="I71" s="15">
        <v>0</v>
      </c>
      <c r="J71" s="18">
        <v>0</v>
      </c>
      <c r="K71" s="5"/>
    </row>
    <row r="72" ht="13.85" spans="1:11">
      <c r="A72" s="46">
        <v>45180</v>
      </c>
      <c r="B72" s="16">
        <v>2041</v>
      </c>
      <c r="C72" s="16">
        <v>1434</v>
      </c>
      <c r="D72" s="16">
        <v>1202</v>
      </c>
      <c r="E72" s="8">
        <v>6</v>
      </c>
      <c r="F72" s="8">
        <v>0</v>
      </c>
      <c r="G72" s="14">
        <v>23</v>
      </c>
      <c r="H72" s="9">
        <f t="shared" si="1"/>
        <v>0</v>
      </c>
      <c r="I72" s="8">
        <v>0</v>
      </c>
      <c r="J72" s="18">
        <v>0</v>
      </c>
      <c r="K72" s="5"/>
    </row>
    <row r="73" ht="13.85" spans="1:11">
      <c r="A73" s="46">
        <v>45181</v>
      </c>
      <c r="B73" s="16">
        <v>9016</v>
      </c>
      <c r="C73" s="16">
        <v>6687</v>
      </c>
      <c r="D73" s="16">
        <v>1017</v>
      </c>
      <c r="E73" s="8">
        <v>26</v>
      </c>
      <c r="F73" s="8">
        <v>3</v>
      </c>
      <c r="G73" s="14">
        <v>28</v>
      </c>
      <c r="H73" s="9">
        <f t="shared" si="1"/>
        <v>0.0714285714285714</v>
      </c>
      <c r="I73" s="8">
        <v>2</v>
      </c>
      <c r="J73" s="18">
        <v>0.0003</v>
      </c>
      <c r="K73" s="5"/>
    </row>
    <row r="74" ht="13.85" spans="1:11">
      <c r="A74" s="46">
        <v>45182</v>
      </c>
      <c r="B74" s="16">
        <v>2240</v>
      </c>
      <c r="C74" s="16">
        <v>1486</v>
      </c>
      <c r="D74" s="16">
        <v>1238</v>
      </c>
      <c r="E74" s="8">
        <v>11</v>
      </c>
      <c r="F74" s="17">
        <v>26428</v>
      </c>
      <c r="G74" s="14">
        <v>27</v>
      </c>
      <c r="H74" s="9">
        <f t="shared" si="1"/>
        <v>0.0740740740740741</v>
      </c>
      <c r="I74" s="8">
        <v>2</v>
      </c>
      <c r="J74" s="18">
        <v>0.0013</v>
      </c>
      <c r="K74" s="5"/>
    </row>
    <row r="75" ht="15" spans="1:11">
      <c r="A75" s="46">
        <v>45183</v>
      </c>
      <c r="B75" s="16">
        <v>2264</v>
      </c>
      <c r="C75" s="16">
        <v>1435</v>
      </c>
      <c r="D75" s="16">
        <v>966</v>
      </c>
      <c r="E75" s="8">
        <v>12</v>
      </c>
      <c r="F75" s="8">
        <v>0</v>
      </c>
      <c r="G75" s="14">
        <v>23</v>
      </c>
      <c r="H75" s="9">
        <f t="shared" si="1"/>
        <v>0</v>
      </c>
      <c r="I75" s="8">
        <v>0</v>
      </c>
      <c r="J75" s="18">
        <v>0</v>
      </c>
      <c r="K75" s="19"/>
    </row>
    <row r="76" ht="15" spans="1:11">
      <c r="A76" s="46">
        <v>45184</v>
      </c>
      <c r="B76" s="16">
        <v>1758</v>
      </c>
      <c r="C76" s="16">
        <v>1184</v>
      </c>
      <c r="D76" s="16">
        <v>945</v>
      </c>
      <c r="E76" s="8">
        <v>5</v>
      </c>
      <c r="F76" s="8">
        <v>0</v>
      </c>
      <c r="G76" s="8">
        <v>28</v>
      </c>
      <c r="H76" s="9">
        <f t="shared" si="1"/>
        <v>0</v>
      </c>
      <c r="I76" s="8">
        <v>0</v>
      </c>
      <c r="J76" s="18">
        <v>0</v>
      </c>
      <c r="K76" s="19"/>
    </row>
    <row r="77" ht="15" spans="1:11">
      <c r="A77" s="46">
        <v>45185</v>
      </c>
      <c r="B77" s="16">
        <v>1793</v>
      </c>
      <c r="C77" s="16">
        <v>1175</v>
      </c>
      <c r="D77" s="16">
        <v>899</v>
      </c>
      <c r="E77" s="8">
        <v>13</v>
      </c>
      <c r="F77" s="8">
        <v>0</v>
      </c>
      <c r="G77" s="14">
        <v>18</v>
      </c>
      <c r="H77" s="9">
        <f t="shared" si="1"/>
        <v>0</v>
      </c>
      <c r="I77" s="8">
        <v>0</v>
      </c>
      <c r="J77" s="18">
        <v>0</v>
      </c>
      <c r="K77" s="19"/>
    </row>
    <row r="78" ht="15" spans="1:11">
      <c r="A78" s="46">
        <v>45186</v>
      </c>
      <c r="B78" s="16">
        <v>1872</v>
      </c>
      <c r="C78" s="16">
        <v>1238</v>
      </c>
      <c r="D78" s="16">
        <v>958</v>
      </c>
      <c r="E78" s="8">
        <v>5</v>
      </c>
      <c r="F78" s="8">
        <v>0</v>
      </c>
      <c r="G78" s="74">
        <v>17</v>
      </c>
      <c r="H78" s="9">
        <f t="shared" si="1"/>
        <v>0</v>
      </c>
      <c r="I78" s="8">
        <v>0</v>
      </c>
      <c r="J78" s="18">
        <v>0</v>
      </c>
      <c r="K78" s="19"/>
    </row>
    <row r="79" ht="13.85" spans="1:11">
      <c r="A79" s="39">
        <v>45187</v>
      </c>
      <c r="B79" s="21">
        <v>1934</v>
      </c>
      <c r="C79" s="21">
        <v>1314</v>
      </c>
      <c r="D79" s="21">
        <v>881</v>
      </c>
      <c r="E79" s="22">
        <v>8</v>
      </c>
      <c r="F79" s="22">
        <v>0</v>
      </c>
      <c r="G79" s="42">
        <v>13</v>
      </c>
      <c r="H79" s="9">
        <f t="shared" si="1"/>
        <v>0.0769230769230769</v>
      </c>
      <c r="I79" s="22">
        <v>1</v>
      </c>
      <c r="J79" s="24">
        <v>0.0008</v>
      </c>
      <c r="K79" s="5"/>
    </row>
    <row r="80" ht="13.85" spans="1:11">
      <c r="A80" s="66">
        <v>45188</v>
      </c>
      <c r="B80" s="67">
        <v>1819</v>
      </c>
      <c r="C80" s="67">
        <v>1236</v>
      </c>
      <c r="D80" s="67">
        <v>914</v>
      </c>
      <c r="E80" s="68">
        <v>5</v>
      </c>
      <c r="F80" s="68">
        <v>0</v>
      </c>
      <c r="G80" s="70">
        <v>22</v>
      </c>
      <c r="H80" s="9">
        <f t="shared" si="1"/>
        <v>0</v>
      </c>
      <c r="I80" s="68">
        <v>0</v>
      </c>
      <c r="J80" s="71">
        <v>0</v>
      </c>
      <c r="K80" s="5"/>
    </row>
    <row r="81" ht="13.85" spans="1:11">
      <c r="A81" s="25">
        <v>45189</v>
      </c>
      <c r="B81" s="75">
        <v>14961</v>
      </c>
      <c r="C81" s="75">
        <v>9781</v>
      </c>
      <c r="D81" s="75">
        <v>917</v>
      </c>
      <c r="E81" s="35">
        <v>425</v>
      </c>
      <c r="F81" s="76">
        <v>26298.5</v>
      </c>
      <c r="G81" s="53">
        <v>22</v>
      </c>
      <c r="H81" s="9">
        <f t="shared" si="1"/>
        <v>1</v>
      </c>
      <c r="I81" s="35">
        <v>22</v>
      </c>
      <c r="J81" s="38">
        <v>0.0022</v>
      </c>
      <c r="K81" s="5"/>
    </row>
    <row r="82" ht="13.85" spans="1:11">
      <c r="A82" s="34">
        <v>45190</v>
      </c>
      <c r="B82" s="77">
        <v>691366</v>
      </c>
      <c r="C82" s="67">
        <v>322308</v>
      </c>
      <c r="D82" s="67">
        <v>1087</v>
      </c>
      <c r="E82" s="67">
        <v>98776</v>
      </c>
      <c r="F82" s="69">
        <v>10095.1</v>
      </c>
      <c r="G82" s="78">
        <v>2076</v>
      </c>
      <c r="H82" s="9">
        <f t="shared" si="1"/>
        <v>0.0144508670520231</v>
      </c>
      <c r="I82" s="68">
        <v>30</v>
      </c>
      <c r="J82" s="71">
        <v>0.0001</v>
      </c>
      <c r="K82" s="5"/>
    </row>
    <row r="83" ht="13.85" spans="1:11">
      <c r="A83" s="25">
        <v>45191</v>
      </c>
      <c r="B83" s="27">
        <v>9702</v>
      </c>
      <c r="C83" s="27">
        <v>5737</v>
      </c>
      <c r="D83" s="27">
        <v>959</v>
      </c>
      <c r="E83" s="30">
        <v>190</v>
      </c>
      <c r="F83" s="79">
        <v>45893.4</v>
      </c>
      <c r="G83" s="30">
        <v>40</v>
      </c>
      <c r="H83" s="9">
        <f t="shared" si="1"/>
        <v>0.775</v>
      </c>
      <c r="I83" s="80">
        <v>31</v>
      </c>
      <c r="J83" s="71">
        <f t="shared" ref="J83:J85" si="2">I83/C83</f>
        <v>0.00540352100400906</v>
      </c>
      <c r="K83" s="5"/>
    </row>
    <row r="84" ht="13.85" spans="1:11">
      <c r="A84" s="25">
        <v>45192</v>
      </c>
      <c r="B84" s="27">
        <v>7217</v>
      </c>
      <c r="C84" s="27">
        <v>4439</v>
      </c>
      <c r="D84" s="27">
        <v>850</v>
      </c>
      <c r="E84" s="30">
        <v>228</v>
      </c>
      <c r="F84" s="79">
        <v>119488.7</v>
      </c>
      <c r="G84" s="30">
        <v>37</v>
      </c>
      <c r="H84" s="9">
        <f t="shared" si="1"/>
        <v>0.459459459459459</v>
      </c>
      <c r="I84" s="35">
        <v>17</v>
      </c>
      <c r="J84" s="71">
        <f t="shared" si="2"/>
        <v>0.00382969137193061</v>
      </c>
      <c r="K84" s="5"/>
    </row>
    <row r="85" ht="13.85" spans="1:11">
      <c r="A85" s="25">
        <v>45193</v>
      </c>
      <c r="B85" s="27">
        <v>9877</v>
      </c>
      <c r="C85" s="27">
        <v>6053</v>
      </c>
      <c r="D85" s="27">
        <v>1104</v>
      </c>
      <c r="E85" s="30">
        <v>372</v>
      </c>
      <c r="F85" s="79">
        <v>30067.7</v>
      </c>
      <c r="G85" s="30">
        <v>50</v>
      </c>
      <c r="H85" s="9">
        <f t="shared" si="1"/>
        <v>0.14</v>
      </c>
      <c r="I85" s="80">
        <v>7</v>
      </c>
      <c r="J85" s="81">
        <f t="shared" si="2"/>
        <v>0.00115645134643978</v>
      </c>
      <c r="K85" s="5"/>
    </row>
    <row r="86" ht="13.85" spans="1:11">
      <c r="A86" s="34">
        <v>45194</v>
      </c>
      <c r="B86" s="75">
        <v>19559</v>
      </c>
      <c r="C86" s="75">
        <v>13642</v>
      </c>
      <c r="D86" s="75">
        <v>1185</v>
      </c>
      <c r="E86" s="35">
        <v>122</v>
      </c>
      <c r="F86" s="76">
        <v>88208.3</v>
      </c>
      <c r="G86" s="53">
        <v>100</v>
      </c>
      <c r="H86" s="9">
        <f t="shared" si="1"/>
        <v>0.89</v>
      </c>
      <c r="I86" s="35">
        <v>89</v>
      </c>
      <c r="J86" s="38">
        <v>0.0065</v>
      </c>
      <c r="K86" s="5"/>
    </row>
    <row r="87" ht="13.85" spans="1:11">
      <c r="A87" s="25">
        <v>45195</v>
      </c>
      <c r="B87" s="75">
        <v>10829</v>
      </c>
      <c r="C87" s="75">
        <v>6754</v>
      </c>
      <c r="D87" s="75">
        <v>960</v>
      </c>
      <c r="E87" s="35">
        <v>97</v>
      </c>
      <c r="F87" s="76">
        <v>145889.7</v>
      </c>
      <c r="G87" s="53">
        <v>80</v>
      </c>
      <c r="H87" s="9">
        <f t="shared" si="1"/>
        <v>0.8875</v>
      </c>
      <c r="I87" s="35">
        <v>71</v>
      </c>
      <c r="J87" s="38">
        <v>0.0105</v>
      </c>
      <c r="K87" s="5"/>
    </row>
    <row r="88" ht="13.9" spans="1:11">
      <c r="A88" s="25">
        <v>45196</v>
      </c>
      <c r="B88" s="82" t="s">
        <v>13</v>
      </c>
      <c r="C88" s="62" t="s">
        <v>14</v>
      </c>
      <c r="D88" s="72">
        <v>1000</v>
      </c>
      <c r="E88" s="62" t="s">
        <v>15</v>
      </c>
      <c r="F88" s="65" t="s">
        <v>16</v>
      </c>
      <c r="G88" s="62">
        <v>42</v>
      </c>
      <c r="H88" s="9">
        <f t="shared" si="1"/>
        <v>0.30952380952381</v>
      </c>
      <c r="I88" s="62" t="s">
        <v>17</v>
      </c>
      <c r="J88" s="64">
        <f t="shared" ref="J88:J151" si="3">I88/C88</f>
        <v>0.00240340173784433</v>
      </c>
      <c r="K88" s="5"/>
    </row>
    <row r="89" ht="13.9" spans="1:11">
      <c r="A89" s="25">
        <v>45197</v>
      </c>
      <c r="B89" s="82" t="s">
        <v>18</v>
      </c>
      <c r="C89" s="62" t="s">
        <v>19</v>
      </c>
      <c r="D89" s="72">
        <v>1143</v>
      </c>
      <c r="E89" s="62" t="s">
        <v>20</v>
      </c>
      <c r="F89" s="65" t="s">
        <v>21</v>
      </c>
      <c r="G89" s="62">
        <v>53</v>
      </c>
      <c r="H89" s="9">
        <f t="shared" si="1"/>
        <v>0.320754716981132</v>
      </c>
      <c r="I89" s="62" t="s">
        <v>22</v>
      </c>
      <c r="J89" s="64">
        <f t="shared" si="3"/>
        <v>0.000964593735814798</v>
      </c>
      <c r="K89" s="5"/>
    </row>
    <row r="90" ht="13.9" spans="1:11">
      <c r="A90" s="25">
        <v>45198</v>
      </c>
      <c r="B90" s="82" t="s">
        <v>23</v>
      </c>
      <c r="C90" s="62" t="s">
        <v>24</v>
      </c>
      <c r="D90" s="72">
        <v>795</v>
      </c>
      <c r="E90" s="62" t="s">
        <v>25</v>
      </c>
      <c r="F90" s="65" t="s">
        <v>26</v>
      </c>
      <c r="G90" s="62">
        <v>23</v>
      </c>
      <c r="H90" s="9">
        <f t="shared" si="1"/>
        <v>0.347826086956522</v>
      </c>
      <c r="I90" s="62" t="s">
        <v>27</v>
      </c>
      <c r="J90" s="64">
        <f t="shared" si="3"/>
        <v>0.000572532741716167</v>
      </c>
      <c r="K90" s="5"/>
    </row>
    <row r="91" ht="13.9" spans="1:11">
      <c r="A91" s="25">
        <v>45199</v>
      </c>
      <c r="B91" s="82" t="s">
        <v>28</v>
      </c>
      <c r="C91" s="62" t="s">
        <v>29</v>
      </c>
      <c r="D91" s="72">
        <v>866</v>
      </c>
      <c r="E91" s="62" t="s">
        <v>30</v>
      </c>
      <c r="F91" s="65" t="s">
        <v>31</v>
      </c>
      <c r="G91" s="62">
        <v>47</v>
      </c>
      <c r="H91" s="9">
        <f t="shared" si="1"/>
        <v>0.170212765957447</v>
      </c>
      <c r="I91" s="62" t="s">
        <v>27</v>
      </c>
      <c r="J91" s="64">
        <f t="shared" si="3"/>
        <v>0.000548170481019597</v>
      </c>
      <c r="K91" s="5"/>
    </row>
    <row r="92" ht="13.9" spans="1:11">
      <c r="A92" s="25">
        <v>45200</v>
      </c>
      <c r="B92" s="82" t="s">
        <v>32</v>
      </c>
      <c r="C92" s="62" t="s">
        <v>33</v>
      </c>
      <c r="D92" s="72">
        <v>857</v>
      </c>
      <c r="E92" s="62" t="s">
        <v>34</v>
      </c>
      <c r="F92" s="65" t="s">
        <v>35</v>
      </c>
      <c r="G92" s="62">
        <v>33</v>
      </c>
      <c r="H92" s="9">
        <f t="shared" si="1"/>
        <v>0.0909090909090909</v>
      </c>
      <c r="I92" s="62" t="s">
        <v>36</v>
      </c>
      <c r="J92" s="64">
        <f t="shared" si="3"/>
        <v>0.000337799797320122</v>
      </c>
      <c r="K92" s="5"/>
    </row>
    <row r="93" ht="13.9" spans="1:11">
      <c r="A93" s="25">
        <v>45201</v>
      </c>
      <c r="B93" s="82" t="s">
        <v>37</v>
      </c>
      <c r="C93" s="62" t="s">
        <v>38</v>
      </c>
      <c r="D93" s="72">
        <v>880</v>
      </c>
      <c r="E93" s="62" t="s">
        <v>39</v>
      </c>
      <c r="F93" s="65" t="s">
        <v>40</v>
      </c>
      <c r="G93" s="62">
        <v>26</v>
      </c>
      <c r="H93" s="9">
        <f t="shared" si="1"/>
        <v>0.115384615384615</v>
      </c>
      <c r="I93" s="62" t="s">
        <v>36</v>
      </c>
      <c r="J93" s="64">
        <f t="shared" si="3"/>
        <v>0.000334970969182671</v>
      </c>
      <c r="K93" s="5"/>
    </row>
    <row r="94" ht="13.9" spans="1:11">
      <c r="A94" s="25">
        <v>45202</v>
      </c>
      <c r="B94" s="82" t="s">
        <v>41</v>
      </c>
      <c r="C94" s="62" t="s">
        <v>42</v>
      </c>
      <c r="D94" s="72">
        <v>923</v>
      </c>
      <c r="E94" s="62" t="s">
        <v>34</v>
      </c>
      <c r="F94" s="65" t="s">
        <v>43</v>
      </c>
      <c r="G94" s="62">
        <v>28</v>
      </c>
      <c r="H94" s="9">
        <f t="shared" si="1"/>
        <v>0.178571428571429</v>
      </c>
      <c r="I94" s="62" t="s">
        <v>44</v>
      </c>
      <c r="J94" s="64">
        <f t="shared" si="3"/>
        <v>0.000555802578923966</v>
      </c>
      <c r="K94" s="5"/>
    </row>
    <row r="95" ht="13.9" spans="1:11">
      <c r="A95" s="25">
        <v>45203</v>
      </c>
      <c r="B95" s="82" t="s">
        <v>45</v>
      </c>
      <c r="C95" s="62" t="s">
        <v>46</v>
      </c>
      <c r="D95" s="72">
        <v>1032</v>
      </c>
      <c r="E95" s="62" t="s">
        <v>47</v>
      </c>
      <c r="F95" s="65" t="s">
        <v>48</v>
      </c>
      <c r="G95" s="62">
        <v>19</v>
      </c>
      <c r="H95" s="9">
        <f t="shared" si="1"/>
        <v>0.263157894736842</v>
      </c>
      <c r="I95" s="62" t="s">
        <v>44</v>
      </c>
      <c r="J95" s="64">
        <f t="shared" si="3"/>
        <v>0.000548065329387263</v>
      </c>
      <c r="K95" s="5"/>
    </row>
    <row r="96" ht="13.9" spans="1:11">
      <c r="A96" s="25">
        <v>45204</v>
      </c>
      <c r="B96" s="82" t="s">
        <v>49</v>
      </c>
      <c r="C96" s="62" t="s">
        <v>50</v>
      </c>
      <c r="D96" s="72">
        <v>1022</v>
      </c>
      <c r="E96" s="62" t="s">
        <v>51</v>
      </c>
      <c r="F96" s="65" t="s">
        <v>52</v>
      </c>
      <c r="G96" s="62">
        <v>28</v>
      </c>
      <c r="H96" s="9">
        <f t="shared" si="1"/>
        <v>0.178571428571429</v>
      </c>
      <c r="I96" s="62" t="s">
        <v>44</v>
      </c>
      <c r="J96" s="64">
        <f t="shared" si="3"/>
        <v>0.000540423692174665</v>
      </c>
      <c r="K96" s="5"/>
    </row>
    <row r="97" ht="13.9" spans="1:11">
      <c r="A97" s="25">
        <v>45205</v>
      </c>
      <c r="B97" s="82" t="s">
        <v>53</v>
      </c>
      <c r="C97" s="62" t="s">
        <v>54</v>
      </c>
      <c r="D97" s="72">
        <v>1030</v>
      </c>
      <c r="E97" s="62" t="s">
        <v>55</v>
      </c>
      <c r="F97" s="65" t="s">
        <v>56</v>
      </c>
      <c r="G97" s="62">
        <v>63</v>
      </c>
      <c r="H97" s="9">
        <f t="shared" si="1"/>
        <v>0.126984126984127</v>
      </c>
      <c r="I97" s="62" t="s">
        <v>27</v>
      </c>
      <c r="J97" s="64">
        <f t="shared" si="3"/>
        <v>0.00085524909129784</v>
      </c>
      <c r="K97" s="5"/>
    </row>
    <row r="98" ht="13.9" spans="1:11">
      <c r="A98" s="25">
        <v>45206</v>
      </c>
      <c r="B98" s="82" t="s">
        <v>57</v>
      </c>
      <c r="C98" s="62" t="s">
        <v>58</v>
      </c>
      <c r="D98" s="72">
        <v>1065</v>
      </c>
      <c r="E98" s="62" t="s">
        <v>59</v>
      </c>
      <c r="F98" s="65" t="s">
        <v>60</v>
      </c>
      <c r="G98" s="62">
        <v>60</v>
      </c>
      <c r="H98" s="9">
        <f t="shared" si="1"/>
        <v>0.166666666666667</v>
      </c>
      <c r="I98" s="62" t="s">
        <v>61</v>
      </c>
      <c r="J98" s="64">
        <f t="shared" si="3"/>
        <v>0.00176087339320303</v>
      </c>
      <c r="K98" s="5"/>
    </row>
    <row r="99" ht="13.9" spans="1:11">
      <c r="A99" s="25">
        <v>45207</v>
      </c>
      <c r="B99" s="82" t="s">
        <v>62</v>
      </c>
      <c r="C99" s="62" t="s">
        <v>63</v>
      </c>
      <c r="D99" s="72">
        <v>1027</v>
      </c>
      <c r="E99" s="62" t="s">
        <v>64</v>
      </c>
      <c r="F99" s="65" t="s">
        <v>65</v>
      </c>
      <c r="G99" s="62">
        <v>57</v>
      </c>
      <c r="H99" s="9">
        <f t="shared" si="1"/>
        <v>0.12280701754386</v>
      </c>
      <c r="I99" s="62" t="s">
        <v>66</v>
      </c>
      <c r="J99" s="64">
        <f t="shared" si="3"/>
        <v>0.00692383778437191</v>
      </c>
      <c r="K99" s="5"/>
    </row>
    <row r="100" ht="13.9" spans="1:11">
      <c r="A100" s="25">
        <v>45208</v>
      </c>
      <c r="B100" s="82" t="s">
        <v>67</v>
      </c>
      <c r="C100" s="62" t="s">
        <v>68</v>
      </c>
      <c r="D100" s="72">
        <v>1018</v>
      </c>
      <c r="E100" s="62" t="s">
        <v>69</v>
      </c>
      <c r="F100" s="65" t="s">
        <v>70</v>
      </c>
      <c r="G100" s="62">
        <v>121</v>
      </c>
      <c r="H100" s="9">
        <f t="shared" si="1"/>
        <v>0.0578512396694215</v>
      </c>
      <c r="I100" s="62" t="s">
        <v>66</v>
      </c>
      <c r="J100" s="64">
        <f t="shared" si="3"/>
        <v>0.00555996822875298</v>
      </c>
      <c r="K100" s="5"/>
    </row>
    <row r="101" ht="13.85" spans="1:11">
      <c r="A101" s="83">
        <v>45209</v>
      </c>
      <c r="B101" s="84">
        <v>2263</v>
      </c>
      <c r="C101" s="84">
        <v>1089</v>
      </c>
      <c r="D101" s="85">
        <v>1229</v>
      </c>
      <c r="E101" s="28">
        <v>20</v>
      </c>
      <c r="F101" s="86">
        <v>64058.4</v>
      </c>
      <c r="G101" s="28">
        <v>80</v>
      </c>
      <c r="H101" s="9">
        <f t="shared" si="1"/>
        <v>0.1375</v>
      </c>
      <c r="I101" s="87">
        <v>11</v>
      </c>
      <c r="J101" s="88">
        <f t="shared" si="3"/>
        <v>0.0101010101010101</v>
      </c>
      <c r="K101" s="5"/>
    </row>
    <row r="102" ht="13.9" spans="1:11">
      <c r="A102" s="83">
        <v>45210</v>
      </c>
      <c r="B102" s="26" t="s">
        <v>71</v>
      </c>
      <c r="C102" s="26" t="s">
        <v>72</v>
      </c>
      <c r="D102" s="89">
        <v>1025</v>
      </c>
      <c r="E102" s="26" t="s">
        <v>73</v>
      </c>
      <c r="F102" s="90">
        <v>9899</v>
      </c>
      <c r="G102" s="30">
        <v>54</v>
      </c>
      <c r="H102" s="9">
        <f t="shared" si="1"/>
        <v>0.240740740740741</v>
      </c>
      <c r="I102" s="80">
        <v>13</v>
      </c>
      <c r="J102" s="29">
        <f t="shared" si="3"/>
        <v>0.00194407058471661</v>
      </c>
      <c r="K102" s="5"/>
    </row>
    <row r="103" ht="13.9" spans="1:11">
      <c r="A103" s="83">
        <v>45211</v>
      </c>
      <c r="B103" s="26" t="s">
        <v>74</v>
      </c>
      <c r="C103" s="26" t="s">
        <v>75</v>
      </c>
      <c r="D103" s="89">
        <v>1053</v>
      </c>
      <c r="E103" s="30">
        <v>38</v>
      </c>
      <c r="F103" s="90" t="s">
        <v>76</v>
      </c>
      <c r="G103" s="30">
        <v>105</v>
      </c>
      <c r="H103" s="9">
        <f t="shared" si="1"/>
        <v>0.19047619047619</v>
      </c>
      <c r="I103" s="80">
        <v>20</v>
      </c>
      <c r="J103" s="29">
        <f t="shared" si="3"/>
        <v>0.0119545726240287</v>
      </c>
      <c r="K103" s="5"/>
    </row>
    <row r="104" ht="13.9" spans="1:11">
      <c r="A104" s="83">
        <v>45212</v>
      </c>
      <c r="B104" s="26" t="s">
        <v>77</v>
      </c>
      <c r="C104" s="26" t="s">
        <v>78</v>
      </c>
      <c r="D104" s="27">
        <v>747</v>
      </c>
      <c r="E104" s="26" t="s">
        <v>79</v>
      </c>
      <c r="F104" s="79" t="s">
        <v>80</v>
      </c>
      <c r="G104" s="30">
        <v>53</v>
      </c>
      <c r="H104" s="9">
        <f t="shared" si="1"/>
        <v>0.0377358490566038</v>
      </c>
      <c r="I104" s="80">
        <v>2</v>
      </c>
      <c r="J104" s="29">
        <f t="shared" si="3"/>
        <v>0.00172562553925798</v>
      </c>
      <c r="K104" s="5"/>
    </row>
    <row r="105" ht="13.9" spans="1:11">
      <c r="A105" s="83">
        <v>45213</v>
      </c>
      <c r="B105" s="26" t="s">
        <v>81</v>
      </c>
      <c r="C105" s="26" t="s">
        <v>82</v>
      </c>
      <c r="D105" s="27">
        <v>826</v>
      </c>
      <c r="E105" s="26" t="s">
        <v>47</v>
      </c>
      <c r="F105" s="79" t="s">
        <v>83</v>
      </c>
      <c r="G105" s="30">
        <v>37</v>
      </c>
      <c r="H105" s="9">
        <f t="shared" si="1"/>
        <v>0</v>
      </c>
      <c r="I105" s="80">
        <v>0</v>
      </c>
      <c r="J105" s="29">
        <f t="shared" si="3"/>
        <v>0</v>
      </c>
      <c r="K105" s="5"/>
    </row>
    <row r="106" ht="13.9" spans="1:11">
      <c r="A106" s="83">
        <v>45214</v>
      </c>
      <c r="B106" s="26" t="s">
        <v>84</v>
      </c>
      <c r="C106" s="26" t="s">
        <v>85</v>
      </c>
      <c r="D106" s="27">
        <v>760</v>
      </c>
      <c r="E106" s="26" t="s">
        <v>86</v>
      </c>
      <c r="F106" s="79" t="s">
        <v>87</v>
      </c>
      <c r="G106" s="30">
        <v>46</v>
      </c>
      <c r="H106" s="9">
        <f t="shared" si="1"/>
        <v>0.0434782608695652</v>
      </c>
      <c r="I106" s="80">
        <v>2</v>
      </c>
      <c r="J106" s="29">
        <f t="shared" si="3"/>
        <v>0.00174216027874564</v>
      </c>
      <c r="K106" s="5"/>
    </row>
    <row r="107" ht="13.9" spans="1:11">
      <c r="A107" s="83">
        <v>45215</v>
      </c>
      <c r="B107" s="26" t="s">
        <v>88</v>
      </c>
      <c r="C107" s="26" t="s">
        <v>89</v>
      </c>
      <c r="D107" s="89">
        <v>958</v>
      </c>
      <c r="E107" s="30">
        <v>40</v>
      </c>
      <c r="F107" s="90">
        <v>2000</v>
      </c>
      <c r="G107" s="91">
        <v>78</v>
      </c>
      <c r="H107" s="9">
        <f t="shared" si="1"/>
        <v>0.0128205128205128</v>
      </c>
      <c r="I107" s="80" t="s">
        <v>90</v>
      </c>
      <c r="J107" s="29">
        <f t="shared" si="3"/>
        <v>0.000595238095238095</v>
      </c>
      <c r="K107" s="5"/>
    </row>
    <row r="108" ht="13.9" spans="1:11">
      <c r="A108" s="83">
        <v>45216</v>
      </c>
      <c r="B108" s="26" t="s">
        <v>91</v>
      </c>
      <c r="C108" s="26" t="s">
        <v>92</v>
      </c>
      <c r="D108" s="89">
        <v>965</v>
      </c>
      <c r="E108" s="30">
        <v>52</v>
      </c>
      <c r="F108" s="90">
        <v>25374</v>
      </c>
      <c r="G108" s="30">
        <v>99</v>
      </c>
      <c r="H108" s="9">
        <f t="shared" si="1"/>
        <v>0.0101010101010101</v>
      </c>
      <c r="I108" s="80">
        <v>1</v>
      </c>
      <c r="J108" s="29">
        <f t="shared" si="3"/>
        <v>0.000500751126690035</v>
      </c>
      <c r="K108" s="5"/>
    </row>
    <row r="109" ht="13.9" spans="1:11">
      <c r="A109" s="83">
        <v>45217</v>
      </c>
      <c r="B109" s="26" t="s">
        <v>93</v>
      </c>
      <c r="C109" s="26" t="s">
        <v>94</v>
      </c>
      <c r="D109" s="89">
        <v>1240</v>
      </c>
      <c r="E109" s="30">
        <v>97</v>
      </c>
      <c r="F109" s="79">
        <v>12207</v>
      </c>
      <c r="G109" s="30">
        <v>187</v>
      </c>
      <c r="H109" s="9">
        <f t="shared" si="1"/>
        <v>0.0213903743315508</v>
      </c>
      <c r="I109" s="80">
        <v>4</v>
      </c>
      <c r="J109" s="29">
        <f t="shared" si="3"/>
        <v>0.00149700598802395</v>
      </c>
      <c r="K109" s="5"/>
    </row>
    <row r="110" ht="13.9" spans="1:11">
      <c r="A110" s="83">
        <v>45218</v>
      </c>
      <c r="B110" s="26" t="s">
        <v>95</v>
      </c>
      <c r="C110" s="26" t="s">
        <v>96</v>
      </c>
      <c r="D110" s="89">
        <v>1191</v>
      </c>
      <c r="E110" s="91" t="s">
        <v>97</v>
      </c>
      <c r="F110" s="26" t="s">
        <v>98</v>
      </c>
      <c r="G110" s="91" t="s">
        <v>99</v>
      </c>
      <c r="H110" s="9">
        <f t="shared" si="1"/>
        <v>0.0241935483870968</v>
      </c>
      <c r="I110" s="80" t="s">
        <v>36</v>
      </c>
      <c r="J110" s="29">
        <f t="shared" si="3"/>
        <v>0.00124378109452736</v>
      </c>
      <c r="K110" s="5"/>
    </row>
    <row r="111" ht="13.85" spans="1:11">
      <c r="A111" s="92">
        <v>45219</v>
      </c>
      <c r="B111" s="93">
        <v>4892</v>
      </c>
      <c r="C111" s="93">
        <v>2094</v>
      </c>
      <c r="D111" s="93">
        <v>1028</v>
      </c>
      <c r="E111" s="53">
        <v>45</v>
      </c>
      <c r="F111" s="94">
        <v>15176</v>
      </c>
      <c r="G111" s="53">
        <v>81</v>
      </c>
      <c r="H111" s="45">
        <f t="shared" si="1"/>
        <v>0.0246913580246914</v>
      </c>
      <c r="I111" s="95">
        <v>2</v>
      </c>
      <c r="J111" s="38">
        <f t="shared" si="3"/>
        <v>0.000955109837631328</v>
      </c>
      <c r="K111" s="5"/>
    </row>
    <row r="112" ht="13.85" spans="1:11">
      <c r="A112" s="83">
        <v>45220</v>
      </c>
      <c r="B112" s="89">
        <v>5654</v>
      </c>
      <c r="C112" s="89">
        <v>2384</v>
      </c>
      <c r="D112" s="89">
        <v>1153</v>
      </c>
      <c r="E112" s="30">
        <v>49</v>
      </c>
      <c r="F112" s="96">
        <v>0</v>
      </c>
      <c r="G112" s="30">
        <v>79</v>
      </c>
      <c r="H112" s="97">
        <f t="shared" si="1"/>
        <v>0</v>
      </c>
      <c r="I112" s="80">
        <v>0</v>
      </c>
      <c r="J112" s="29">
        <f t="shared" si="3"/>
        <v>0</v>
      </c>
      <c r="K112" s="5"/>
    </row>
    <row r="113" ht="13.85" spans="1:11">
      <c r="A113" s="83">
        <v>45221</v>
      </c>
      <c r="B113" s="89">
        <v>7012</v>
      </c>
      <c r="C113" s="89">
        <v>2792</v>
      </c>
      <c r="D113" s="89">
        <v>1226</v>
      </c>
      <c r="E113" s="30">
        <v>71</v>
      </c>
      <c r="F113" s="96">
        <v>0</v>
      </c>
      <c r="G113" s="30">
        <v>99</v>
      </c>
      <c r="H113" s="97">
        <f t="shared" si="1"/>
        <v>0</v>
      </c>
      <c r="I113" s="80">
        <v>0</v>
      </c>
      <c r="J113" s="29">
        <f t="shared" si="3"/>
        <v>0</v>
      </c>
      <c r="K113" s="5"/>
    </row>
    <row r="114" ht="13.9" spans="1:11">
      <c r="A114" s="83">
        <v>45222</v>
      </c>
      <c r="B114" s="26" t="s">
        <v>100</v>
      </c>
      <c r="C114" s="26" t="s">
        <v>101</v>
      </c>
      <c r="D114" s="89">
        <v>1056</v>
      </c>
      <c r="E114" s="30">
        <v>58</v>
      </c>
      <c r="F114" s="89">
        <v>25965</v>
      </c>
      <c r="G114" s="30">
        <v>77</v>
      </c>
      <c r="H114" s="97">
        <f t="shared" si="1"/>
        <v>0.038961038961039</v>
      </c>
      <c r="I114" s="80">
        <v>3</v>
      </c>
      <c r="J114" s="29">
        <f t="shared" si="3"/>
        <v>0.00131521262604121</v>
      </c>
      <c r="K114" s="5"/>
    </row>
    <row r="115" ht="13.9" spans="1:11">
      <c r="A115" s="83">
        <v>45223</v>
      </c>
      <c r="B115" s="26" t="s">
        <v>102</v>
      </c>
      <c r="C115" s="26" t="s">
        <v>103</v>
      </c>
      <c r="D115" s="98">
        <v>1777</v>
      </c>
      <c r="E115" s="26">
        <v>709</v>
      </c>
      <c r="F115" s="99">
        <v>3825551</v>
      </c>
      <c r="G115" s="26">
        <v>358</v>
      </c>
      <c r="H115" s="97">
        <f t="shared" si="1"/>
        <v>0.76536312849162</v>
      </c>
      <c r="I115" s="26" t="s">
        <v>104</v>
      </c>
      <c r="J115" s="29">
        <f t="shared" si="3"/>
        <v>0.0260258358662614</v>
      </c>
      <c r="K115" s="5"/>
    </row>
    <row r="116" ht="13.9" spans="1:11">
      <c r="A116" s="83">
        <v>45224</v>
      </c>
      <c r="B116" s="26" t="s">
        <v>105</v>
      </c>
      <c r="C116" s="26" t="s">
        <v>106</v>
      </c>
      <c r="D116" s="98">
        <v>2052</v>
      </c>
      <c r="E116" s="26">
        <v>474</v>
      </c>
      <c r="F116" s="99">
        <v>1566124</v>
      </c>
      <c r="G116" s="26">
        <v>294</v>
      </c>
      <c r="H116" s="97">
        <f t="shared" si="1"/>
        <v>0.346938775510204</v>
      </c>
      <c r="I116" s="26" t="s">
        <v>107</v>
      </c>
      <c r="J116" s="29">
        <f t="shared" si="3"/>
        <v>0.00294729542302358</v>
      </c>
      <c r="K116" s="5"/>
    </row>
    <row r="117" ht="13.9" spans="1:11">
      <c r="A117" s="83">
        <v>45225</v>
      </c>
      <c r="B117" s="26" t="s">
        <v>108</v>
      </c>
      <c r="C117" s="26" t="s">
        <v>109</v>
      </c>
      <c r="D117" s="98">
        <v>1162</v>
      </c>
      <c r="E117" s="26">
        <v>242</v>
      </c>
      <c r="F117" s="99">
        <v>1245128.8</v>
      </c>
      <c r="G117" s="26">
        <v>220</v>
      </c>
      <c r="H117" s="97">
        <f t="shared" si="1"/>
        <v>0.377272727272727</v>
      </c>
      <c r="I117" s="26" t="s">
        <v>110</v>
      </c>
      <c r="J117" s="29">
        <f t="shared" si="3"/>
        <v>0.0326514555468135</v>
      </c>
      <c r="K117" s="5"/>
    </row>
    <row r="118" ht="13.9" spans="1:11">
      <c r="A118" s="83">
        <v>45226</v>
      </c>
      <c r="B118" s="26" t="s">
        <v>111</v>
      </c>
      <c r="C118" s="26" t="s">
        <v>112</v>
      </c>
      <c r="D118" s="98">
        <v>1576</v>
      </c>
      <c r="E118" s="26">
        <v>226</v>
      </c>
      <c r="F118" s="99">
        <v>586060</v>
      </c>
      <c r="G118" s="26">
        <v>188</v>
      </c>
      <c r="H118" s="97">
        <f t="shared" si="1"/>
        <v>0.218085106382979</v>
      </c>
      <c r="I118" s="26" t="s">
        <v>113</v>
      </c>
      <c r="J118" s="29">
        <f t="shared" si="3"/>
        <v>0.00702897308417624</v>
      </c>
      <c r="K118" s="5"/>
    </row>
    <row r="119" ht="13.9" spans="1:11">
      <c r="A119" s="83">
        <v>45227</v>
      </c>
      <c r="B119" s="26" t="s">
        <v>114</v>
      </c>
      <c r="C119" s="26" t="s">
        <v>115</v>
      </c>
      <c r="D119" s="98">
        <v>1551</v>
      </c>
      <c r="E119" s="26">
        <v>339</v>
      </c>
      <c r="F119" s="99">
        <v>1134674</v>
      </c>
      <c r="G119" s="26">
        <v>203</v>
      </c>
      <c r="H119" s="97">
        <f t="shared" si="1"/>
        <v>0.374384236453202</v>
      </c>
      <c r="I119" s="26" t="s">
        <v>116</v>
      </c>
      <c r="J119" s="29">
        <f t="shared" si="3"/>
        <v>0.0265641384131423</v>
      </c>
      <c r="K119" s="5"/>
    </row>
    <row r="120" ht="13.9" spans="1:11">
      <c r="A120" s="83">
        <v>45228</v>
      </c>
      <c r="B120" s="26" t="s">
        <v>117</v>
      </c>
      <c r="C120" s="26" t="s">
        <v>118</v>
      </c>
      <c r="D120" s="98">
        <v>1396</v>
      </c>
      <c r="E120" s="26">
        <v>245</v>
      </c>
      <c r="F120" s="99">
        <v>840039</v>
      </c>
      <c r="G120" s="26">
        <v>214</v>
      </c>
      <c r="H120" s="97">
        <f t="shared" si="1"/>
        <v>0.289719626168224</v>
      </c>
      <c r="I120" s="26" t="s">
        <v>97</v>
      </c>
      <c r="J120" s="29">
        <f t="shared" si="3"/>
        <v>0.0243710691823899</v>
      </c>
      <c r="K120" s="5"/>
    </row>
    <row r="121" ht="13.9" spans="1:11">
      <c r="A121" s="83">
        <v>45229</v>
      </c>
      <c r="B121" s="26" t="s">
        <v>119</v>
      </c>
      <c r="C121" s="26" t="s">
        <v>120</v>
      </c>
      <c r="D121" s="98">
        <v>1399</v>
      </c>
      <c r="E121" s="26">
        <v>221</v>
      </c>
      <c r="F121" s="99">
        <v>988025</v>
      </c>
      <c r="G121" s="26">
        <v>180</v>
      </c>
      <c r="H121" s="97">
        <f t="shared" si="1"/>
        <v>0.377777777777778</v>
      </c>
      <c r="I121" s="26" t="s">
        <v>121</v>
      </c>
      <c r="J121" s="29">
        <f t="shared" si="3"/>
        <v>0.00594249759678406</v>
      </c>
      <c r="K121" s="5"/>
    </row>
    <row r="122" ht="13.9" spans="1:11">
      <c r="A122" s="83">
        <v>45230</v>
      </c>
      <c r="B122" s="26" t="s">
        <v>122</v>
      </c>
      <c r="C122" s="26" t="s">
        <v>123</v>
      </c>
      <c r="D122" s="98">
        <v>3948</v>
      </c>
      <c r="E122" s="26">
        <v>277</v>
      </c>
      <c r="F122" s="99">
        <v>1261314</v>
      </c>
      <c r="G122" s="26">
        <v>197</v>
      </c>
      <c r="H122" s="97">
        <f t="shared" si="1"/>
        <v>0.50761421319797</v>
      </c>
      <c r="I122" s="26" t="s">
        <v>124</v>
      </c>
      <c r="J122" s="29">
        <f t="shared" si="3"/>
        <v>0.00775855380557064</v>
      </c>
      <c r="K122" s="5"/>
    </row>
    <row r="123" ht="13.9" spans="1:11">
      <c r="A123" s="83">
        <v>45231</v>
      </c>
      <c r="B123" s="26" t="s">
        <v>125</v>
      </c>
      <c r="C123" s="26" t="s">
        <v>126</v>
      </c>
      <c r="D123" s="98">
        <v>2681</v>
      </c>
      <c r="E123" s="26">
        <v>139</v>
      </c>
      <c r="F123" s="99">
        <v>806983</v>
      </c>
      <c r="G123" s="26">
        <v>161</v>
      </c>
      <c r="H123" s="97">
        <f t="shared" si="1"/>
        <v>0.37888198757764</v>
      </c>
      <c r="I123" s="26" t="s">
        <v>127</v>
      </c>
      <c r="J123" s="29">
        <f t="shared" si="3"/>
        <v>0.0036806854522416</v>
      </c>
      <c r="K123" s="5"/>
    </row>
    <row r="124" ht="13.9" spans="1:11">
      <c r="A124" s="83">
        <v>45232</v>
      </c>
      <c r="B124" s="26" t="s">
        <v>128</v>
      </c>
      <c r="C124" s="26" t="s">
        <v>129</v>
      </c>
      <c r="D124" s="98">
        <v>2500</v>
      </c>
      <c r="E124" s="26">
        <v>831</v>
      </c>
      <c r="F124" s="99">
        <v>912318</v>
      </c>
      <c r="G124" s="26">
        <v>269</v>
      </c>
      <c r="H124" s="97">
        <f t="shared" si="1"/>
        <v>0.312267657992565</v>
      </c>
      <c r="I124" s="26" t="s">
        <v>130</v>
      </c>
      <c r="J124" s="29">
        <f t="shared" si="3"/>
        <v>0.0173733195449845</v>
      </c>
      <c r="K124" s="5"/>
    </row>
    <row r="125" ht="13.9" spans="1:11">
      <c r="A125" s="83">
        <v>45233</v>
      </c>
      <c r="B125" s="26" t="s">
        <v>131</v>
      </c>
      <c r="C125" s="26" t="s">
        <v>132</v>
      </c>
      <c r="D125" s="98">
        <v>2472</v>
      </c>
      <c r="E125" s="26">
        <v>230</v>
      </c>
      <c r="F125" s="99">
        <v>938940</v>
      </c>
      <c r="G125" s="26">
        <v>240</v>
      </c>
      <c r="H125" s="97">
        <f t="shared" si="1"/>
        <v>0.3125</v>
      </c>
      <c r="I125" s="26" t="s">
        <v>25</v>
      </c>
      <c r="J125" s="29">
        <f t="shared" si="3"/>
        <v>0.0160427807486631</v>
      </c>
      <c r="K125" s="5"/>
    </row>
    <row r="126" ht="13.9" spans="1:11">
      <c r="A126" s="83">
        <v>45234</v>
      </c>
      <c r="B126" s="26" t="s">
        <v>133</v>
      </c>
      <c r="C126" s="26" t="s">
        <v>134</v>
      </c>
      <c r="D126" s="98">
        <v>2755</v>
      </c>
      <c r="E126" s="26">
        <v>107</v>
      </c>
      <c r="F126" s="99">
        <v>517073</v>
      </c>
      <c r="G126" s="26">
        <v>199</v>
      </c>
      <c r="H126" s="97">
        <f t="shared" si="1"/>
        <v>0.195979899497487</v>
      </c>
      <c r="I126" s="26" t="s">
        <v>135</v>
      </c>
      <c r="J126" s="29">
        <f t="shared" si="3"/>
        <v>0.0099413713994392</v>
      </c>
      <c r="K126" s="5"/>
    </row>
    <row r="127" ht="13.9" spans="1:11">
      <c r="A127" s="83">
        <v>45235</v>
      </c>
      <c r="B127" s="26" t="s">
        <v>136</v>
      </c>
      <c r="C127" s="26" t="s">
        <v>137</v>
      </c>
      <c r="D127" s="98">
        <v>3178</v>
      </c>
      <c r="E127" s="26">
        <v>914</v>
      </c>
      <c r="F127" s="99">
        <v>1102356</v>
      </c>
      <c r="G127" s="26">
        <v>421</v>
      </c>
      <c r="H127" s="97">
        <f t="shared" si="1"/>
        <v>0.26603325415677</v>
      </c>
      <c r="I127" s="26" t="s">
        <v>138</v>
      </c>
      <c r="J127" s="29">
        <f t="shared" si="3"/>
        <v>0.0178088726347591</v>
      </c>
      <c r="K127" s="5"/>
    </row>
    <row r="128" ht="13.9" spans="1:11">
      <c r="A128" s="83">
        <v>45236</v>
      </c>
      <c r="B128" s="26" t="s">
        <v>139</v>
      </c>
      <c r="C128" s="26" t="s">
        <v>140</v>
      </c>
      <c r="D128" s="98">
        <v>3138</v>
      </c>
      <c r="E128" s="26">
        <v>173</v>
      </c>
      <c r="F128" s="99">
        <v>367821</v>
      </c>
      <c r="G128" s="26">
        <v>251</v>
      </c>
      <c r="H128" s="97">
        <f t="shared" si="1"/>
        <v>0.127490039840637</v>
      </c>
      <c r="I128" s="26" t="s">
        <v>79</v>
      </c>
      <c r="J128" s="29">
        <f t="shared" si="3"/>
        <v>0.00826019617965927</v>
      </c>
      <c r="K128" s="5"/>
    </row>
    <row r="129" ht="13.9" spans="1:11">
      <c r="A129" s="83">
        <v>45237</v>
      </c>
      <c r="B129" s="26" t="s">
        <v>141</v>
      </c>
      <c r="C129" s="26" t="s">
        <v>142</v>
      </c>
      <c r="D129" s="98">
        <v>3049</v>
      </c>
      <c r="E129" s="26">
        <v>165</v>
      </c>
      <c r="F129" s="99">
        <v>327179</v>
      </c>
      <c r="G129" s="26">
        <v>209</v>
      </c>
      <c r="H129" s="97">
        <f t="shared" si="1"/>
        <v>0.167464114832536</v>
      </c>
      <c r="I129" s="26" t="s">
        <v>143</v>
      </c>
      <c r="J129" s="29">
        <f t="shared" si="3"/>
        <v>0.00688976377952756</v>
      </c>
      <c r="K129" s="5"/>
    </row>
    <row r="130" ht="13.9" spans="1:11">
      <c r="A130" s="83">
        <v>45238</v>
      </c>
      <c r="B130" s="26" t="s">
        <v>144</v>
      </c>
      <c r="C130" s="26" t="s">
        <v>145</v>
      </c>
      <c r="D130" s="98">
        <v>2891</v>
      </c>
      <c r="E130" s="26">
        <v>113</v>
      </c>
      <c r="F130" s="99">
        <v>283371</v>
      </c>
      <c r="G130" s="26">
        <v>195</v>
      </c>
      <c r="H130" s="97">
        <f t="shared" ref="H130:H193" si="4">I130/G130</f>
        <v>0.358974358974359</v>
      </c>
      <c r="I130" s="26" t="s">
        <v>146</v>
      </c>
      <c r="J130" s="29">
        <f t="shared" si="3"/>
        <v>0.0128913443830571</v>
      </c>
      <c r="K130" s="5"/>
    </row>
    <row r="131" ht="13.9" spans="1:11">
      <c r="A131" s="83">
        <v>45239</v>
      </c>
      <c r="B131" s="26" t="s">
        <v>147</v>
      </c>
      <c r="C131" s="26" t="s">
        <v>148</v>
      </c>
      <c r="D131" s="98">
        <v>3067</v>
      </c>
      <c r="E131" s="26">
        <v>129</v>
      </c>
      <c r="F131" s="99">
        <v>355207</v>
      </c>
      <c r="G131" s="26">
        <v>217</v>
      </c>
      <c r="H131" s="97">
        <f t="shared" si="4"/>
        <v>0.387096774193548</v>
      </c>
      <c r="I131" s="26" t="s">
        <v>130</v>
      </c>
      <c r="J131" s="29">
        <f t="shared" si="3"/>
        <v>0.00407114816071342</v>
      </c>
      <c r="K131" s="5"/>
    </row>
    <row r="132" ht="13.9" spans="1:11">
      <c r="A132" s="83">
        <v>45240</v>
      </c>
      <c r="B132" s="26" t="s">
        <v>149</v>
      </c>
      <c r="C132" s="26" t="s">
        <v>150</v>
      </c>
      <c r="D132" s="98">
        <v>3192</v>
      </c>
      <c r="E132" s="26">
        <v>130</v>
      </c>
      <c r="F132" s="99">
        <v>746802.2</v>
      </c>
      <c r="G132" s="26">
        <v>231</v>
      </c>
      <c r="H132" s="97">
        <f t="shared" si="4"/>
        <v>0.70995670995671</v>
      </c>
      <c r="I132" s="26" t="s">
        <v>151</v>
      </c>
      <c r="J132" s="29">
        <f t="shared" si="3"/>
        <v>0.0277073830038858</v>
      </c>
      <c r="K132" s="5"/>
    </row>
    <row r="133" ht="13.9" spans="1:11">
      <c r="A133" s="83">
        <v>45241</v>
      </c>
      <c r="B133" s="26" t="s">
        <v>152</v>
      </c>
      <c r="C133" s="26" t="s">
        <v>153</v>
      </c>
      <c r="D133" s="98">
        <v>4261</v>
      </c>
      <c r="E133" s="26">
        <v>175</v>
      </c>
      <c r="F133" s="99">
        <v>2083233</v>
      </c>
      <c r="G133" s="26">
        <v>305</v>
      </c>
      <c r="H133" s="97">
        <f t="shared" si="4"/>
        <v>0.875409836065574</v>
      </c>
      <c r="I133" s="26" t="s">
        <v>154</v>
      </c>
      <c r="J133" s="29">
        <f t="shared" si="3"/>
        <v>0.00930508120164494</v>
      </c>
      <c r="K133" s="5"/>
    </row>
    <row r="134" ht="13.9" spans="1:11">
      <c r="A134" s="83">
        <v>45242</v>
      </c>
      <c r="B134" s="26" t="s">
        <v>155</v>
      </c>
      <c r="C134" s="26" t="s">
        <v>156</v>
      </c>
      <c r="D134" s="98">
        <v>3628</v>
      </c>
      <c r="E134" s="26">
        <v>63</v>
      </c>
      <c r="F134" s="99">
        <v>184243</v>
      </c>
      <c r="G134" s="26">
        <v>141</v>
      </c>
      <c r="H134" s="97">
        <f t="shared" si="4"/>
        <v>0.26241134751773</v>
      </c>
      <c r="I134" s="26" t="s">
        <v>157</v>
      </c>
      <c r="J134" s="29">
        <f t="shared" si="3"/>
        <v>0.0054741825713863</v>
      </c>
      <c r="K134" s="5"/>
    </row>
    <row r="135" ht="13.9" spans="1:11">
      <c r="A135" s="83">
        <v>45243</v>
      </c>
      <c r="B135" s="26" t="s">
        <v>158</v>
      </c>
      <c r="C135" s="26" t="s">
        <v>159</v>
      </c>
      <c r="D135" s="98">
        <v>3286</v>
      </c>
      <c r="E135" s="26">
        <v>51</v>
      </c>
      <c r="F135" s="99">
        <v>317717</v>
      </c>
      <c r="G135" s="26">
        <v>165</v>
      </c>
      <c r="H135" s="97">
        <f t="shared" si="4"/>
        <v>0.224242424242424</v>
      </c>
      <c r="I135" s="26" t="s">
        <v>157</v>
      </c>
      <c r="J135" s="29">
        <f t="shared" si="3"/>
        <v>0.0055823777911889</v>
      </c>
      <c r="K135" s="5"/>
    </row>
    <row r="136" ht="13.9" spans="1:11">
      <c r="A136" s="83">
        <v>45244</v>
      </c>
      <c r="B136" s="26" t="s">
        <v>160</v>
      </c>
      <c r="C136" s="26" t="s">
        <v>161</v>
      </c>
      <c r="D136" s="89">
        <v>2022</v>
      </c>
      <c r="E136" s="30">
        <v>30</v>
      </c>
      <c r="F136" s="90">
        <v>0</v>
      </c>
      <c r="G136" s="30">
        <v>112</v>
      </c>
      <c r="H136" s="97">
        <f t="shared" si="4"/>
        <v>0</v>
      </c>
      <c r="I136" s="80">
        <v>0</v>
      </c>
      <c r="J136" s="29">
        <f t="shared" si="3"/>
        <v>0</v>
      </c>
      <c r="K136" s="5"/>
    </row>
    <row r="137" ht="13.85" spans="1:11">
      <c r="A137" s="83">
        <v>45245</v>
      </c>
      <c r="B137" s="100">
        <v>9071</v>
      </c>
      <c r="C137" s="101">
        <v>5501</v>
      </c>
      <c r="D137" s="89">
        <v>2157</v>
      </c>
      <c r="E137" s="30">
        <v>41</v>
      </c>
      <c r="F137" s="90">
        <v>12325</v>
      </c>
      <c r="G137" s="30">
        <v>88</v>
      </c>
      <c r="H137" s="97">
        <f t="shared" si="4"/>
        <v>0.0113636363636364</v>
      </c>
      <c r="I137" s="80">
        <v>1</v>
      </c>
      <c r="J137" s="29">
        <f t="shared" si="3"/>
        <v>0.000181785129976368</v>
      </c>
      <c r="K137" s="5"/>
    </row>
    <row r="138" ht="13.85" spans="1:11">
      <c r="A138" s="83">
        <v>45246</v>
      </c>
      <c r="B138" s="102">
        <v>13996</v>
      </c>
      <c r="C138" s="102">
        <v>9470</v>
      </c>
      <c r="D138" s="89">
        <v>2182</v>
      </c>
      <c r="E138" s="30">
        <v>31</v>
      </c>
      <c r="F138" s="90">
        <v>558</v>
      </c>
      <c r="G138" s="30">
        <v>93</v>
      </c>
      <c r="H138" s="97">
        <f t="shared" si="4"/>
        <v>0.032258064516129</v>
      </c>
      <c r="I138" s="80">
        <v>3</v>
      </c>
      <c r="J138" s="29">
        <f t="shared" si="3"/>
        <v>0.000316789862724393</v>
      </c>
      <c r="K138" s="5"/>
    </row>
    <row r="139" ht="13.9" spans="1:11">
      <c r="A139" s="25">
        <v>45247</v>
      </c>
      <c r="B139" s="26" t="s">
        <v>162</v>
      </c>
      <c r="C139" s="26" t="s">
        <v>163</v>
      </c>
      <c r="D139" s="89">
        <v>2081</v>
      </c>
      <c r="E139" s="26">
        <v>44</v>
      </c>
      <c r="F139" s="90">
        <v>6000</v>
      </c>
      <c r="G139" s="30">
        <v>69</v>
      </c>
      <c r="H139" s="97">
        <f t="shared" si="4"/>
        <v>0.0144927536231884</v>
      </c>
      <c r="I139" s="80">
        <v>1</v>
      </c>
      <c r="J139" s="29">
        <f t="shared" si="3"/>
        <v>9.91276764472641e-5</v>
      </c>
      <c r="K139" s="5"/>
    </row>
    <row r="140" ht="13.9" spans="1:11">
      <c r="A140" s="25">
        <v>45248</v>
      </c>
      <c r="B140" s="26" t="s">
        <v>164</v>
      </c>
      <c r="C140" s="26" t="s">
        <v>165</v>
      </c>
      <c r="D140" s="89">
        <v>1930</v>
      </c>
      <c r="E140" s="26" t="s">
        <v>166</v>
      </c>
      <c r="F140" s="90">
        <v>0</v>
      </c>
      <c r="G140" s="30">
        <v>56</v>
      </c>
      <c r="H140" s="97">
        <f t="shared" si="4"/>
        <v>0</v>
      </c>
      <c r="I140" s="80">
        <v>0</v>
      </c>
      <c r="J140" s="29">
        <f t="shared" si="3"/>
        <v>0</v>
      </c>
      <c r="K140" s="5"/>
    </row>
    <row r="141" ht="13.9" spans="1:11">
      <c r="A141" s="25">
        <v>45249</v>
      </c>
      <c r="B141" s="26" t="s">
        <v>167</v>
      </c>
      <c r="C141" s="26" t="s">
        <v>168</v>
      </c>
      <c r="D141" s="89">
        <v>1971</v>
      </c>
      <c r="E141" s="26" t="s">
        <v>169</v>
      </c>
      <c r="F141" s="90">
        <v>0</v>
      </c>
      <c r="G141" s="30">
        <v>75</v>
      </c>
      <c r="H141" s="97">
        <f t="shared" si="4"/>
        <v>0</v>
      </c>
      <c r="I141" s="80">
        <v>0</v>
      </c>
      <c r="J141" s="29">
        <f t="shared" si="3"/>
        <v>0</v>
      </c>
      <c r="K141" s="5"/>
    </row>
    <row r="142" ht="13.9" spans="1:11">
      <c r="A142" s="25">
        <v>45250</v>
      </c>
      <c r="B142" s="26" t="s">
        <v>170</v>
      </c>
      <c r="C142" s="26" t="s">
        <v>171</v>
      </c>
      <c r="D142" s="89">
        <v>2135</v>
      </c>
      <c r="E142" s="30">
        <v>60</v>
      </c>
      <c r="F142" s="90">
        <v>3000</v>
      </c>
      <c r="G142" s="30">
        <v>50</v>
      </c>
      <c r="H142" s="97">
        <f t="shared" si="4"/>
        <v>0.06</v>
      </c>
      <c r="I142" s="80">
        <v>3</v>
      </c>
      <c r="J142" s="29">
        <f t="shared" si="3"/>
        <v>0.000229585979949491</v>
      </c>
      <c r="K142" s="5"/>
    </row>
    <row r="143" ht="13.9" spans="1:11">
      <c r="A143" s="25">
        <v>45251</v>
      </c>
      <c r="B143" s="27" t="s">
        <v>172</v>
      </c>
      <c r="C143" s="27" t="s">
        <v>173</v>
      </c>
      <c r="D143" s="89">
        <v>2082</v>
      </c>
      <c r="E143" s="27" t="s">
        <v>174</v>
      </c>
      <c r="F143" s="90">
        <v>13808</v>
      </c>
      <c r="G143" s="30">
        <v>64</v>
      </c>
      <c r="H143" s="97">
        <f t="shared" si="4"/>
        <v>0.015625</v>
      </c>
      <c r="I143" s="80">
        <v>1</v>
      </c>
      <c r="J143" s="29">
        <f t="shared" si="3"/>
        <v>0.000194439043359907</v>
      </c>
      <c r="K143" s="5"/>
    </row>
    <row r="144" ht="13.85" spans="1:11">
      <c r="A144" s="25">
        <v>45252</v>
      </c>
      <c r="B144" s="103" t="s">
        <v>175</v>
      </c>
      <c r="C144" s="103" t="s">
        <v>176</v>
      </c>
      <c r="D144" s="104">
        <v>2103</v>
      </c>
      <c r="E144" s="103" t="s">
        <v>166</v>
      </c>
      <c r="F144" s="105">
        <v>16269</v>
      </c>
      <c r="G144" s="106">
        <v>81</v>
      </c>
      <c r="H144" s="97">
        <f t="shared" si="4"/>
        <v>0.0123456790123457</v>
      </c>
      <c r="I144" s="107">
        <v>1</v>
      </c>
      <c r="J144" s="29">
        <f t="shared" si="3"/>
        <v>0.000123900384091191</v>
      </c>
      <c r="K144" s="5"/>
    </row>
    <row r="145" ht="13.85" spans="1:11">
      <c r="A145" s="25">
        <v>45253</v>
      </c>
      <c r="B145" s="108" t="s">
        <v>177</v>
      </c>
      <c r="C145" s="108" t="s">
        <v>178</v>
      </c>
      <c r="D145" s="104">
        <v>2143</v>
      </c>
      <c r="E145" s="106">
        <v>38</v>
      </c>
      <c r="F145" s="105">
        <v>0</v>
      </c>
      <c r="G145" s="106">
        <v>59</v>
      </c>
      <c r="H145" s="97">
        <f t="shared" si="4"/>
        <v>0</v>
      </c>
      <c r="I145" s="107">
        <v>0</v>
      </c>
      <c r="J145" s="29">
        <f t="shared" si="3"/>
        <v>0</v>
      </c>
      <c r="K145" s="5"/>
    </row>
    <row r="146" ht="13.85" spans="1:11">
      <c r="A146" s="25">
        <v>45254</v>
      </c>
      <c r="B146" s="108" t="s">
        <v>179</v>
      </c>
      <c r="C146" s="108" t="s">
        <v>180</v>
      </c>
      <c r="D146" s="104">
        <v>2217</v>
      </c>
      <c r="E146" s="109" t="s">
        <v>181</v>
      </c>
      <c r="F146" s="105">
        <v>0</v>
      </c>
      <c r="G146" s="106">
        <v>43</v>
      </c>
      <c r="H146" s="97">
        <f t="shared" si="4"/>
        <v>0</v>
      </c>
      <c r="I146" s="107">
        <v>0</v>
      </c>
      <c r="J146" s="29">
        <f t="shared" si="3"/>
        <v>0</v>
      </c>
      <c r="K146" s="5"/>
    </row>
    <row r="147" ht="13.85" spans="1:11">
      <c r="A147" s="25">
        <v>45255</v>
      </c>
      <c r="B147" s="108" t="s">
        <v>182</v>
      </c>
      <c r="C147" s="108" t="s">
        <v>183</v>
      </c>
      <c r="D147" s="104">
        <v>2544</v>
      </c>
      <c r="E147" s="109" t="s">
        <v>39</v>
      </c>
      <c r="F147" s="105">
        <v>72642</v>
      </c>
      <c r="G147" s="106">
        <v>61</v>
      </c>
      <c r="H147" s="97">
        <f t="shared" si="4"/>
        <v>0.0491803278688525</v>
      </c>
      <c r="I147" s="107">
        <v>3</v>
      </c>
      <c r="J147" s="29">
        <f t="shared" si="3"/>
        <v>0.000536576641030227</v>
      </c>
      <c r="K147" s="5"/>
    </row>
    <row r="148" ht="13.85" spans="1:11">
      <c r="A148" s="25">
        <v>45256</v>
      </c>
      <c r="B148" s="108" t="s">
        <v>184</v>
      </c>
      <c r="C148" s="108" t="s">
        <v>185</v>
      </c>
      <c r="D148" s="104">
        <v>2512</v>
      </c>
      <c r="E148" s="109" t="s">
        <v>86</v>
      </c>
      <c r="F148" s="105">
        <v>86856</v>
      </c>
      <c r="G148" s="106">
        <v>63</v>
      </c>
      <c r="H148" s="97">
        <f t="shared" si="4"/>
        <v>0.0317460317460317</v>
      </c>
      <c r="I148" s="107">
        <v>2</v>
      </c>
      <c r="J148" s="29">
        <f t="shared" si="3"/>
        <v>0.000410677618069815</v>
      </c>
      <c r="K148" s="5"/>
    </row>
    <row r="149" ht="13.85" spans="1:11">
      <c r="A149" s="25">
        <v>45257</v>
      </c>
      <c r="B149" s="110" t="s">
        <v>186</v>
      </c>
      <c r="C149" s="110" t="s">
        <v>187</v>
      </c>
      <c r="D149" s="111">
        <v>2411</v>
      </c>
      <c r="E149" s="53">
        <v>29</v>
      </c>
      <c r="F149" s="112">
        <v>889.84</v>
      </c>
      <c r="G149" s="113">
        <v>62</v>
      </c>
      <c r="H149" s="114">
        <f t="shared" si="4"/>
        <v>0.0161290322580645</v>
      </c>
      <c r="I149" s="115">
        <v>1</v>
      </c>
      <c r="J149" s="38">
        <f t="shared" si="3"/>
        <v>0.000207943439384487</v>
      </c>
      <c r="K149" s="5"/>
    </row>
    <row r="150" ht="13.85" spans="1:11">
      <c r="A150" s="34">
        <v>45258</v>
      </c>
      <c r="B150" s="116" t="s">
        <v>188</v>
      </c>
      <c r="C150" s="117" t="s">
        <v>189</v>
      </c>
      <c r="D150" s="118">
        <v>2469</v>
      </c>
      <c r="E150" s="119">
        <v>26</v>
      </c>
      <c r="F150" s="120">
        <v>12054</v>
      </c>
      <c r="G150" s="119">
        <v>60</v>
      </c>
      <c r="H150" s="121">
        <f t="shared" si="4"/>
        <v>0.0166666666666667</v>
      </c>
      <c r="I150" s="122">
        <v>1</v>
      </c>
      <c r="J150" s="71">
        <f t="shared" si="3"/>
        <v>0.000303674460977832</v>
      </c>
      <c r="K150" s="5"/>
    </row>
    <row r="151" ht="13.85" spans="1:11">
      <c r="A151" s="25">
        <v>45259</v>
      </c>
      <c r="B151" s="108" t="s">
        <v>190</v>
      </c>
      <c r="C151" s="108" t="s">
        <v>191</v>
      </c>
      <c r="D151" s="104">
        <v>2933</v>
      </c>
      <c r="E151" s="106">
        <v>25</v>
      </c>
      <c r="F151" s="105">
        <v>45324</v>
      </c>
      <c r="G151" s="106">
        <v>57</v>
      </c>
      <c r="H151" s="97">
        <f t="shared" si="4"/>
        <v>0.0350877192982456</v>
      </c>
      <c r="I151" s="107">
        <v>2</v>
      </c>
      <c r="J151" s="29">
        <f t="shared" si="3"/>
        <v>0.00115540150202195</v>
      </c>
      <c r="K151" s="5"/>
    </row>
    <row r="152" ht="13.85" spans="1:11">
      <c r="A152" s="25">
        <v>45260</v>
      </c>
      <c r="B152" s="103" t="s">
        <v>192</v>
      </c>
      <c r="C152" s="103" t="s">
        <v>193</v>
      </c>
      <c r="D152" s="104">
        <v>2703</v>
      </c>
      <c r="E152" s="103" t="s">
        <v>47</v>
      </c>
      <c r="F152" s="104">
        <v>18210</v>
      </c>
      <c r="G152" s="106">
        <v>61</v>
      </c>
      <c r="H152" s="97">
        <f t="shared" si="4"/>
        <v>0.0163934426229508</v>
      </c>
      <c r="I152" s="107">
        <v>1</v>
      </c>
      <c r="J152" s="29">
        <f t="shared" ref="J152:J215" si="5">I152/C152</f>
        <v>0.000677506775067751</v>
      </c>
      <c r="K152" s="5"/>
    </row>
    <row r="153" ht="13.85" spans="1:11">
      <c r="A153" s="25">
        <v>45261</v>
      </c>
      <c r="B153" s="123" t="s">
        <v>194</v>
      </c>
      <c r="C153" s="124" t="s">
        <v>195</v>
      </c>
      <c r="D153" s="125">
        <v>3285</v>
      </c>
      <c r="E153" s="124" t="s">
        <v>196</v>
      </c>
      <c r="F153" s="125" t="s">
        <v>197</v>
      </c>
      <c r="G153" s="124">
        <v>67</v>
      </c>
      <c r="H153" s="97">
        <f t="shared" si="4"/>
        <v>0.0149253731343284</v>
      </c>
      <c r="I153" s="126">
        <v>1</v>
      </c>
      <c r="J153" s="29">
        <f t="shared" si="5"/>
        <v>0.000581057524694945</v>
      </c>
      <c r="K153" s="5"/>
    </row>
    <row r="154" ht="13.85" spans="1:11">
      <c r="A154" s="25">
        <v>45262</v>
      </c>
      <c r="B154" s="127" t="s">
        <v>198</v>
      </c>
      <c r="C154" s="128" t="s">
        <v>199</v>
      </c>
      <c r="D154" s="104">
        <v>5082</v>
      </c>
      <c r="E154" s="128" t="s">
        <v>200</v>
      </c>
      <c r="F154" s="104">
        <v>14092</v>
      </c>
      <c r="G154" s="128">
        <v>65</v>
      </c>
      <c r="H154" s="97">
        <f t="shared" si="4"/>
        <v>0.0153846153846154</v>
      </c>
      <c r="I154" s="107">
        <v>1</v>
      </c>
      <c r="J154" s="29">
        <f t="shared" si="5"/>
        <v>0.000432525951557093</v>
      </c>
      <c r="K154" s="5"/>
    </row>
    <row r="155" ht="13.85" spans="1:11">
      <c r="A155" s="25">
        <v>45263</v>
      </c>
      <c r="B155" s="127" t="s">
        <v>201</v>
      </c>
      <c r="C155" s="128" t="s">
        <v>202</v>
      </c>
      <c r="D155" s="104">
        <v>7335</v>
      </c>
      <c r="E155" s="128" t="s">
        <v>203</v>
      </c>
      <c r="F155" s="104">
        <v>49578</v>
      </c>
      <c r="G155" s="128">
        <v>65</v>
      </c>
      <c r="H155" s="97">
        <f t="shared" si="4"/>
        <v>0.0461538461538462</v>
      </c>
      <c r="I155" s="107">
        <v>3</v>
      </c>
      <c r="J155" s="29">
        <f t="shared" si="5"/>
        <v>0.00129589632829374</v>
      </c>
      <c r="K155" s="5"/>
    </row>
    <row r="156" ht="13.85" spans="1:11">
      <c r="A156" s="25">
        <v>45264</v>
      </c>
      <c r="B156" s="127" t="s">
        <v>204</v>
      </c>
      <c r="C156" s="128" t="s">
        <v>205</v>
      </c>
      <c r="D156" s="104">
        <v>3743</v>
      </c>
      <c r="E156" s="128" t="s">
        <v>206</v>
      </c>
      <c r="F156" s="104">
        <v>90908</v>
      </c>
      <c r="G156" s="128">
        <v>141</v>
      </c>
      <c r="H156" s="97">
        <f t="shared" si="4"/>
        <v>0.0354609929078014</v>
      </c>
      <c r="I156" s="107">
        <v>5</v>
      </c>
      <c r="J156" s="29">
        <f t="shared" si="5"/>
        <v>0.00190186382655002</v>
      </c>
      <c r="K156" s="5"/>
    </row>
    <row r="157" ht="13.85" spans="1:11">
      <c r="A157" s="25">
        <v>45265</v>
      </c>
      <c r="B157" s="127" t="s">
        <v>207</v>
      </c>
      <c r="C157" s="128" t="s">
        <v>208</v>
      </c>
      <c r="D157" s="104">
        <v>3632</v>
      </c>
      <c r="E157" s="128" t="s">
        <v>209</v>
      </c>
      <c r="F157" s="104">
        <v>30155</v>
      </c>
      <c r="G157" s="128">
        <v>113</v>
      </c>
      <c r="H157" s="97">
        <f t="shared" si="4"/>
        <v>0.00884955752212389</v>
      </c>
      <c r="I157" s="107">
        <v>1</v>
      </c>
      <c r="J157" s="29">
        <f t="shared" si="5"/>
        <v>0.000402090872537193</v>
      </c>
      <c r="K157" s="5"/>
    </row>
    <row r="158" ht="13.85" spans="1:11">
      <c r="A158" s="25">
        <v>45266</v>
      </c>
      <c r="B158" s="127" t="s">
        <v>210</v>
      </c>
      <c r="C158" s="128" t="s">
        <v>211</v>
      </c>
      <c r="D158" s="104">
        <v>3283</v>
      </c>
      <c r="E158" s="128" t="s">
        <v>212</v>
      </c>
      <c r="F158" s="104">
        <v>10334</v>
      </c>
      <c r="G158" s="128">
        <v>81</v>
      </c>
      <c r="H158" s="97">
        <f t="shared" si="4"/>
        <v>0.0123456790123457</v>
      </c>
      <c r="I158" s="107">
        <v>1</v>
      </c>
      <c r="J158" s="29">
        <f t="shared" si="5"/>
        <v>0.000388349514563107</v>
      </c>
      <c r="K158" s="5"/>
    </row>
    <row r="159" ht="13.85" spans="1:11">
      <c r="A159" s="25">
        <v>45267</v>
      </c>
      <c r="B159" s="127" t="s">
        <v>213</v>
      </c>
      <c r="C159" s="128" t="s">
        <v>214</v>
      </c>
      <c r="D159" s="104">
        <v>3419</v>
      </c>
      <c r="E159" s="128" t="s">
        <v>215</v>
      </c>
      <c r="F159" s="104">
        <v>128895</v>
      </c>
      <c r="G159" s="128">
        <v>85</v>
      </c>
      <c r="H159" s="97">
        <f t="shared" si="4"/>
        <v>0.0705882352941176</v>
      </c>
      <c r="I159" s="107">
        <v>6</v>
      </c>
      <c r="J159" s="29">
        <f t="shared" si="5"/>
        <v>0.00253914515446466</v>
      </c>
      <c r="K159" s="5"/>
    </row>
    <row r="160" ht="13.85" spans="1:11">
      <c r="A160" s="25">
        <v>45268</v>
      </c>
      <c r="B160" s="127" t="s">
        <v>216</v>
      </c>
      <c r="C160" s="128" t="s">
        <v>217</v>
      </c>
      <c r="D160" s="104">
        <v>3076</v>
      </c>
      <c r="E160" s="128" t="s">
        <v>218</v>
      </c>
      <c r="F160" s="104">
        <v>39536</v>
      </c>
      <c r="G160" s="128">
        <v>75</v>
      </c>
      <c r="H160" s="97">
        <f t="shared" si="4"/>
        <v>0.0533333333333333</v>
      </c>
      <c r="I160" s="107">
        <v>4</v>
      </c>
      <c r="J160" s="29">
        <f t="shared" si="5"/>
        <v>0.00107324926214113</v>
      </c>
      <c r="K160" s="5"/>
    </row>
    <row r="161" ht="13.85" spans="1:11">
      <c r="A161" s="25">
        <v>45269</v>
      </c>
      <c r="B161" s="127" t="s">
        <v>219</v>
      </c>
      <c r="C161" s="128" t="s">
        <v>220</v>
      </c>
      <c r="D161" s="104">
        <v>4952</v>
      </c>
      <c r="E161" s="128" t="s">
        <v>221</v>
      </c>
      <c r="F161" s="104">
        <v>23617</v>
      </c>
      <c r="G161" s="128">
        <v>79</v>
      </c>
      <c r="H161" s="97">
        <f t="shared" si="4"/>
        <v>0.0379746835443038</v>
      </c>
      <c r="I161" s="107">
        <v>3</v>
      </c>
      <c r="J161" s="29">
        <f t="shared" si="5"/>
        <v>0.000877449546651068</v>
      </c>
      <c r="K161" s="5"/>
    </row>
    <row r="162" ht="13.85" spans="1:11">
      <c r="A162" s="25">
        <v>45270</v>
      </c>
      <c r="B162" s="127" t="s">
        <v>222</v>
      </c>
      <c r="C162" s="128" t="s">
        <v>223</v>
      </c>
      <c r="D162" s="104">
        <v>5408</v>
      </c>
      <c r="E162" s="128" t="s">
        <v>116</v>
      </c>
      <c r="F162" s="104">
        <v>23148</v>
      </c>
      <c r="G162" s="128">
        <v>102</v>
      </c>
      <c r="H162" s="97">
        <f t="shared" si="4"/>
        <v>0.0196078431372549</v>
      </c>
      <c r="I162" s="107">
        <v>2</v>
      </c>
      <c r="J162" s="29">
        <f t="shared" si="5"/>
        <v>0.000332944897619444</v>
      </c>
      <c r="K162" s="5"/>
    </row>
    <row r="163" ht="13.85" spans="1:11">
      <c r="A163" s="25">
        <v>45271</v>
      </c>
      <c r="B163" s="127" t="s">
        <v>224</v>
      </c>
      <c r="C163" s="128" t="s">
        <v>225</v>
      </c>
      <c r="D163" s="104">
        <v>7757</v>
      </c>
      <c r="E163" s="128" t="s">
        <v>226</v>
      </c>
      <c r="F163" s="104">
        <v>99031</v>
      </c>
      <c r="G163" s="128">
        <v>84</v>
      </c>
      <c r="H163" s="97">
        <f t="shared" si="4"/>
        <v>0.0595238095238095</v>
      </c>
      <c r="I163" s="107">
        <v>5</v>
      </c>
      <c r="J163" s="29">
        <f t="shared" si="5"/>
        <v>0.000930925339787749</v>
      </c>
      <c r="K163" s="5"/>
    </row>
    <row r="164" ht="13.85" spans="1:11">
      <c r="A164" s="25">
        <v>45272</v>
      </c>
      <c r="B164" s="127" t="s">
        <v>227</v>
      </c>
      <c r="C164" s="128" t="s">
        <v>228</v>
      </c>
      <c r="D164" s="104">
        <v>9281</v>
      </c>
      <c r="E164" s="128" t="s">
        <v>229</v>
      </c>
      <c r="F164" s="104">
        <v>333073</v>
      </c>
      <c r="G164" s="128">
        <v>135</v>
      </c>
      <c r="H164" s="97">
        <f t="shared" si="4"/>
        <v>0.155555555555556</v>
      </c>
      <c r="I164" s="107">
        <v>21</v>
      </c>
      <c r="J164" s="29">
        <f t="shared" si="5"/>
        <v>0.000819064706111783</v>
      </c>
      <c r="K164" s="5"/>
    </row>
    <row r="165" ht="13.85" spans="1:11">
      <c r="A165" s="25">
        <v>45273</v>
      </c>
      <c r="B165" s="127" t="s">
        <v>230</v>
      </c>
      <c r="C165" s="128" t="s">
        <v>231</v>
      </c>
      <c r="D165" s="104">
        <v>11931</v>
      </c>
      <c r="E165" s="128" t="s">
        <v>135</v>
      </c>
      <c r="F165" s="104">
        <v>111176</v>
      </c>
      <c r="G165" s="128">
        <v>83</v>
      </c>
      <c r="H165" s="97">
        <f t="shared" si="4"/>
        <v>0.0843373493975904</v>
      </c>
      <c r="I165" s="107">
        <v>7</v>
      </c>
      <c r="J165" s="29">
        <f t="shared" si="5"/>
        <v>0.000549666274047899</v>
      </c>
      <c r="K165" s="5"/>
    </row>
    <row r="166" ht="13.85" spans="1:11">
      <c r="A166" s="25">
        <v>45274</v>
      </c>
      <c r="B166" s="128" t="s">
        <v>232</v>
      </c>
      <c r="C166" s="128" t="s">
        <v>233</v>
      </c>
      <c r="D166" s="104">
        <v>9845</v>
      </c>
      <c r="E166" s="128" t="s">
        <v>47</v>
      </c>
      <c r="F166" s="104">
        <v>19504</v>
      </c>
      <c r="G166" s="106">
        <v>63</v>
      </c>
      <c r="H166" s="97">
        <f t="shared" si="4"/>
        <v>0.0476190476190476</v>
      </c>
      <c r="I166" s="107" t="s">
        <v>36</v>
      </c>
      <c r="J166" s="29">
        <f t="shared" si="5"/>
        <v>0.000274901493631449</v>
      </c>
      <c r="K166" s="5"/>
    </row>
    <row r="167" ht="13.85" spans="1:11">
      <c r="A167" s="25">
        <v>45275</v>
      </c>
      <c r="B167" s="128" t="s">
        <v>234</v>
      </c>
      <c r="C167" s="128" t="s">
        <v>235</v>
      </c>
      <c r="D167" s="89">
        <v>11161</v>
      </c>
      <c r="E167" s="128" t="s">
        <v>236</v>
      </c>
      <c r="F167" s="90">
        <v>6527</v>
      </c>
      <c r="G167" s="128" t="s">
        <v>237</v>
      </c>
      <c r="H167" s="97">
        <f t="shared" si="4"/>
        <v>0.0227272727272727</v>
      </c>
      <c r="I167" s="80">
        <v>1</v>
      </c>
      <c r="J167" s="29">
        <f t="shared" si="5"/>
        <v>0.000123031496062992</v>
      </c>
      <c r="K167" s="5"/>
    </row>
    <row r="168" ht="13.85" spans="1:11">
      <c r="A168" s="25">
        <v>45276</v>
      </c>
      <c r="B168" s="128" t="s">
        <v>238</v>
      </c>
      <c r="C168" s="128" t="s">
        <v>239</v>
      </c>
      <c r="D168" s="89">
        <v>10467</v>
      </c>
      <c r="E168" s="128" t="s">
        <v>64</v>
      </c>
      <c r="F168" s="90">
        <v>0</v>
      </c>
      <c r="G168" s="128" t="s">
        <v>240</v>
      </c>
      <c r="H168" s="97">
        <f t="shared" si="4"/>
        <v>0</v>
      </c>
      <c r="I168" s="80">
        <v>0</v>
      </c>
      <c r="J168" s="29">
        <f t="shared" si="5"/>
        <v>0</v>
      </c>
      <c r="K168" s="5"/>
    </row>
    <row r="169" ht="13.85" spans="1:11">
      <c r="A169" s="25">
        <v>45277</v>
      </c>
      <c r="B169" s="128" t="s">
        <v>241</v>
      </c>
      <c r="C169" s="128" t="s">
        <v>242</v>
      </c>
      <c r="D169" s="89">
        <v>9476</v>
      </c>
      <c r="E169" s="128" t="s">
        <v>47</v>
      </c>
      <c r="F169" s="90">
        <v>67158</v>
      </c>
      <c r="G169" s="128" t="s">
        <v>127</v>
      </c>
      <c r="H169" s="97">
        <f t="shared" si="4"/>
        <v>0.0491803278688525</v>
      </c>
      <c r="I169" s="80">
        <v>3</v>
      </c>
      <c r="J169" s="29">
        <f t="shared" si="5"/>
        <v>0.00102951269732327</v>
      </c>
      <c r="K169" s="5"/>
    </row>
    <row r="170" ht="13.85" spans="1:11">
      <c r="A170" s="25">
        <v>45278</v>
      </c>
      <c r="B170" s="104">
        <v>3388</v>
      </c>
      <c r="C170" s="104">
        <v>1959</v>
      </c>
      <c r="D170" s="104">
        <v>8267</v>
      </c>
      <c r="E170" s="128" t="s">
        <v>51</v>
      </c>
      <c r="F170" s="105">
        <v>13287</v>
      </c>
      <c r="G170" s="128" t="s">
        <v>243</v>
      </c>
      <c r="H170" s="97">
        <f t="shared" si="4"/>
        <v>0.0185185185185185</v>
      </c>
      <c r="I170" s="107" t="s">
        <v>90</v>
      </c>
      <c r="J170" s="29">
        <f t="shared" si="5"/>
        <v>0.000510464522715671</v>
      </c>
      <c r="K170" s="5"/>
    </row>
    <row r="171" ht="13.85" spans="1:11">
      <c r="A171" s="25">
        <v>45279</v>
      </c>
      <c r="B171" s="123" t="s">
        <v>244</v>
      </c>
      <c r="C171" s="124" t="s">
        <v>245</v>
      </c>
      <c r="D171" s="125">
        <v>7983</v>
      </c>
      <c r="E171" s="124" t="s">
        <v>64</v>
      </c>
      <c r="F171" s="129">
        <v>8835</v>
      </c>
      <c r="G171" s="124" t="s">
        <v>169</v>
      </c>
      <c r="H171" s="97">
        <f t="shared" si="4"/>
        <v>0.0196078431372549</v>
      </c>
      <c r="I171" s="126" t="s">
        <v>90</v>
      </c>
      <c r="J171" s="29">
        <f t="shared" si="5"/>
        <v>0.000415454923140839</v>
      </c>
      <c r="K171" s="5"/>
    </row>
    <row r="172" ht="13.85" spans="1:11">
      <c r="A172" s="25">
        <v>45280</v>
      </c>
      <c r="B172" s="130">
        <v>5240</v>
      </c>
      <c r="C172" s="89">
        <v>3443</v>
      </c>
      <c r="D172" s="104">
        <v>2551</v>
      </c>
      <c r="E172" s="128" t="s">
        <v>246</v>
      </c>
      <c r="F172" s="128" t="s">
        <v>247</v>
      </c>
      <c r="G172" s="128" t="s">
        <v>113</v>
      </c>
      <c r="H172" s="97">
        <f t="shared" si="4"/>
        <v>0</v>
      </c>
      <c r="I172" s="107" t="s">
        <v>247</v>
      </c>
      <c r="J172" s="29">
        <f t="shared" si="5"/>
        <v>0</v>
      </c>
      <c r="K172" s="5"/>
    </row>
    <row r="173" ht="13.85" spans="1:11">
      <c r="A173" s="25">
        <v>45281</v>
      </c>
      <c r="B173" s="108" t="s">
        <v>248</v>
      </c>
      <c r="C173" s="108" t="s">
        <v>249</v>
      </c>
      <c r="D173" s="104">
        <v>1842</v>
      </c>
      <c r="E173" s="128" t="s">
        <v>250</v>
      </c>
      <c r="F173" s="128" t="s">
        <v>247</v>
      </c>
      <c r="G173" s="128" t="s">
        <v>251</v>
      </c>
      <c r="H173" s="97">
        <f t="shared" si="4"/>
        <v>0</v>
      </c>
      <c r="I173" s="107" t="s">
        <v>247</v>
      </c>
      <c r="J173" s="29">
        <f t="shared" si="5"/>
        <v>0</v>
      </c>
      <c r="K173" s="5"/>
    </row>
    <row r="174" ht="13.85" spans="1:11">
      <c r="A174" s="25">
        <v>45282</v>
      </c>
      <c r="B174" s="128" t="s">
        <v>252</v>
      </c>
      <c r="C174" s="128" t="s">
        <v>253</v>
      </c>
      <c r="D174" s="104">
        <v>2428</v>
      </c>
      <c r="E174" s="108" t="s">
        <v>22</v>
      </c>
      <c r="F174" s="128" t="s">
        <v>247</v>
      </c>
      <c r="G174" s="128" t="s">
        <v>169</v>
      </c>
      <c r="H174" s="97">
        <f t="shared" si="4"/>
        <v>0</v>
      </c>
      <c r="I174" s="107" t="s">
        <v>247</v>
      </c>
      <c r="J174" s="29">
        <f t="shared" si="5"/>
        <v>0</v>
      </c>
      <c r="K174" s="5"/>
    </row>
    <row r="175" ht="13.85" spans="1:11">
      <c r="A175" s="25">
        <v>45283</v>
      </c>
      <c r="B175" s="128" t="s">
        <v>254</v>
      </c>
      <c r="C175" s="128" t="s">
        <v>255</v>
      </c>
      <c r="D175" s="104">
        <v>2073</v>
      </c>
      <c r="E175" s="108" t="s">
        <v>250</v>
      </c>
      <c r="F175" s="128" t="s">
        <v>247</v>
      </c>
      <c r="G175" s="128" t="s">
        <v>135</v>
      </c>
      <c r="H175" s="97">
        <f t="shared" si="4"/>
        <v>0</v>
      </c>
      <c r="I175" s="107" t="s">
        <v>247</v>
      </c>
      <c r="J175" s="29">
        <f t="shared" si="5"/>
        <v>0</v>
      </c>
      <c r="K175" s="5"/>
    </row>
    <row r="176" ht="13.85" spans="1:11">
      <c r="A176" s="25">
        <v>45284</v>
      </c>
      <c r="B176" s="128" t="s">
        <v>256</v>
      </c>
      <c r="C176" s="128" t="s">
        <v>257</v>
      </c>
      <c r="D176" s="104">
        <v>2182</v>
      </c>
      <c r="E176" s="108" t="s">
        <v>236</v>
      </c>
      <c r="F176" s="128" t="s">
        <v>247</v>
      </c>
      <c r="G176" s="128" t="s">
        <v>135</v>
      </c>
      <c r="H176" s="97">
        <f t="shared" si="4"/>
        <v>0</v>
      </c>
      <c r="I176" s="107" t="s">
        <v>247</v>
      </c>
      <c r="J176" s="29">
        <f t="shared" si="5"/>
        <v>0</v>
      </c>
      <c r="K176" s="5"/>
    </row>
    <row r="177" ht="13.85" spans="1:11">
      <c r="A177" s="34">
        <v>45285</v>
      </c>
      <c r="B177" s="131" t="s">
        <v>258</v>
      </c>
      <c r="C177" s="132" t="s">
        <v>259</v>
      </c>
      <c r="D177" s="133">
        <v>2471</v>
      </c>
      <c r="E177" s="132" t="s">
        <v>47</v>
      </c>
      <c r="F177" s="134">
        <v>52643</v>
      </c>
      <c r="G177" s="132" t="s">
        <v>15</v>
      </c>
      <c r="H177" s="114">
        <f t="shared" si="4"/>
        <v>0.0526315789473684</v>
      </c>
      <c r="I177" s="135" t="s">
        <v>36</v>
      </c>
      <c r="J177" s="38">
        <f t="shared" si="5"/>
        <v>0.000635458589281932</v>
      </c>
      <c r="K177" s="5"/>
    </row>
    <row r="178" ht="13.85" spans="1:11">
      <c r="A178" s="25">
        <v>45286</v>
      </c>
      <c r="B178" s="89">
        <v>9689</v>
      </c>
      <c r="C178" s="89">
        <v>5885</v>
      </c>
      <c r="D178" s="104">
        <v>1923</v>
      </c>
      <c r="E178" s="128" t="s">
        <v>250</v>
      </c>
      <c r="F178" s="104">
        <v>1349.76</v>
      </c>
      <c r="G178" s="128" t="s">
        <v>260</v>
      </c>
      <c r="H178" s="97">
        <f t="shared" si="4"/>
        <v>0.0140845070422535</v>
      </c>
      <c r="I178" s="107" t="s">
        <v>90</v>
      </c>
      <c r="J178" s="29">
        <f t="shared" si="5"/>
        <v>0.000169923534409516</v>
      </c>
      <c r="K178" s="5"/>
    </row>
    <row r="179" ht="13.85" spans="1:11">
      <c r="A179" s="25">
        <v>45287</v>
      </c>
      <c r="B179" s="89">
        <v>8342</v>
      </c>
      <c r="C179" s="89">
        <v>5000</v>
      </c>
      <c r="D179" s="104">
        <v>1898</v>
      </c>
      <c r="E179" s="128" t="s">
        <v>69</v>
      </c>
      <c r="F179" s="104">
        <v>64825</v>
      </c>
      <c r="G179" s="128" t="s">
        <v>30</v>
      </c>
      <c r="H179" s="97">
        <f t="shared" si="4"/>
        <v>0.0434782608695652</v>
      </c>
      <c r="I179" s="107" t="s">
        <v>261</v>
      </c>
      <c r="J179" s="29">
        <f t="shared" si="5"/>
        <v>0.0008</v>
      </c>
      <c r="K179" s="5"/>
    </row>
    <row r="180" ht="13.9" spans="1:11">
      <c r="A180" s="25">
        <v>45288</v>
      </c>
      <c r="B180" s="130" t="s">
        <v>262</v>
      </c>
      <c r="C180" s="89" t="s">
        <v>263</v>
      </c>
      <c r="D180" s="104" t="s">
        <v>264</v>
      </c>
      <c r="E180" s="128" t="s">
        <v>73</v>
      </c>
      <c r="F180" s="104">
        <v>9000</v>
      </c>
      <c r="G180" s="128" t="s">
        <v>265</v>
      </c>
      <c r="H180" s="97">
        <f t="shared" si="4"/>
        <v>0.05</v>
      </c>
      <c r="I180" s="107" t="s">
        <v>36</v>
      </c>
      <c r="J180" s="29">
        <f t="shared" si="5"/>
        <v>0.000591482649842271</v>
      </c>
      <c r="K180" s="5"/>
    </row>
    <row r="181" ht="13.85" spans="1:11">
      <c r="A181" s="25">
        <v>45289</v>
      </c>
      <c r="B181" s="127" t="s">
        <v>266</v>
      </c>
      <c r="C181" s="128" t="s">
        <v>267</v>
      </c>
      <c r="D181" s="104">
        <v>2556</v>
      </c>
      <c r="E181" s="128" t="s">
        <v>268</v>
      </c>
      <c r="F181" s="104">
        <v>23108</v>
      </c>
      <c r="G181" s="128" t="s">
        <v>269</v>
      </c>
      <c r="H181" s="97">
        <f t="shared" si="4"/>
        <v>0.04</v>
      </c>
      <c r="I181" s="107" t="s">
        <v>270</v>
      </c>
      <c r="J181" s="29">
        <f t="shared" si="5"/>
        <v>0.000604047115675023</v>
      </c>
      <c r="K181" s="5"/>
    </row>
    <row r="182" ht="13.85" spans="1:11">
      <c r="A182" s="25">
        <v>45290</v>
      </c>
      <c r="B182" s="127" t="s">
        <v>271</v>
      </c>
      <c r="C182" s="128" t="s">
        <v>272</v>
      </c>
      <c r="D182" s="104">
        <v>2888</v>
      </c>
      <c r="E182" s="128" t="s">
        <v>268</v>
      </c>
      <c r="F182" s="104" t="s">
        <v>247</v>
      </c>
      <c r="G182" s="128" t="s">
        <v>273</v>
      </c>
      <c r="H182" s="97">
        <f t="shared" si="4"/>
        <v>0</v>
      </c>
      <c r="I182" s="107" t="s">
        <v>247</v>
      </c>
      <c r="J182" s="29">
        <f t="shared" si="5"/>
        <v>0</v>
      </c>
      <c r="K182" s="5"/>
    </row>
    <row r="183" ht="13.85" spans="1:11">
      <c r="A183" s="25">
        <v>45291</v>
      </c>
      <c r="B183" s="127" t="s">
        <v>274</v>
      </c>
      <c r="C183" s="128" t="s">
        <v>275</v>
      </c>
      <c r="D183" s="104">
        <v>2332</v>
      </c>
      <c r="E183" s="128" t="s">
        <v>246</v>
      </c>
      <c r="F183" s="104">
        <v>11754</v>
      </c>
      <c r="G183" s="128" t="s">
        <v>251</v>
      </c>
      <c r="H183" s="97">
        <f t="shared" si="4"/>
        <v>0.0416666666666667</v>
      </c>
      <c r="I183" s="107" t="s">
        <v>270</v>
      </c>
      <c r="J183" s="29">
        <f t="shared" si="5"/>
        <v>0.000718648939992814</v>
      </c>
      <c r="K183" s="5"/>
    </row>
    <row r="184" ht="13.85" spans="1:11">
      <c r="A184" s="25">
        <v>45292</v>
      </c>
      <c r="B184" s="127" t="s">
        <v>276</v>
      </c>
      <c r="C184" s="128" t="s">
        <v>277</v>
      </c>
      <c r="D184" s="104">
        <v>2606</v>
      </c>
      <c r="E184" s="128" t="s">
        <v>51</v>
      </c>
      <c r="F184" s="104">
        <v>50251</v>
      </c>
      <c r="G184" s="128" t="s">
        <v>127</v>
      </c>
      <c r="H184" s="97">
        <f t="shared" si="4"/>
        <v>0.0491803278688525</v>
      </c>
      <c r="I184" s="107" t="s">
        <v>36</v>
      </c>
      <c r="J184" s="29">
        <f t="shared" si="5"/>
        <v>0.00105042016806723</v>
      </c>
      <c r="K184" s="5"/>
    </row>
    <row r="185" ht="13.85" spans="1:11">
      <c r="A185" s="25">
        <v>45293</v>
      </c>
      <c r="B185" s="128" t="s">
        <v>278</v>
      </c>
      <c r="C185" s="128" t="s">
        <v>279</v>
      </c>
      <c r="D185" s="104">
        <v>2690</v>
      </c>
      <c r="E185" s="128" t="s">
        <v>135</v>
      </c>
      <c r="F185" s="104" t="s">
        <v>247</v>
      </c>
      <c r="G185" s="128" t="s">
        <v>247</v>
      </c>
      <c r="H185" s="97" t="e">
        <f t="shared" si="4"/>
        <v>#DIV/0!</v>
      </c>
      <c r="I185" s="107">
        <v>0</v>
      </c>
      <c r="J185" s="29">
        <f t="shared" si="5"/>
        <v>0</v>
      </c>
      <c r="K185" s="5"/>
    </row>
    <row r="186" ht="13.85" spans="1:11">
      <c r="A186" s="25">
        <v>45294</v>
      </c>
      <c r="B186" s="127" t="s">
        <v>280</v>
      </c>
      <c r="C186" s="128" t="s">
        <v>281</v>
      </c>
      <c r="D186" s="104">
        <v>3020</v>
      </c>
      <c r="E186" s="128" t="s">
        <v>226</v>
      </c>
      <c r="F186" s="104">
        <v>43610</v>
      </c>
      <c r="G186" s="128" t="s">
        <v>130</v>
      </c>
      <c r="H186" s="97">
        <f t="shared" si="4"/>
        <v>0.0238095238095238</v>
      </c>
      <c r="I186" s="107" t="s">
        <v>270</v>
      </c>
      <c r="J186" s="29">
        <f t="shared" si="5"/>
        <v>0.000373134328358209</v>
      </c>
      <c r="K186" s="5"/>
    </row>
    <row r="187" ht="13.85" spans="1:11">
      <c r="A187" s="25">
        <v>45295</v>
      </c>
      <c r="B187" s="127">
        <v>6519</v>
      </c>
      <c r="C187" s="128">
        <v>3685</v>
      </c>
      <c r="D187" s="104">
        <v>2906</v>
      </c>
      <c r="E187" s="128" t="s">
        <v>157</v>
      </c>
      <c r="F187" s="104">
        <v>4000</v>
      </c>
      <c r="G187" s="128" t="s">
        <v>282</v>
      </c>
      <c r="H187" s="97">
        <f t="shared" si="4"/>
        <v>0.027027027027027</v>
      </c>
      <c r="I187" s="107" t="s">
        <v>270</v>
      </c>
      <c r="J187" s="29">
        <f t="shared" si="5"/>
        <v>0.000542740841248304</v>
      </c>
      <c r="K187" s="5"/>
    </row>
    <row r="188" ht="13.85" spans="1:11">
      <c r="A188" s="25">
        <v>45296</v>
      </c>
      <c r="B188" s="128" t="s">
        <v>283</v>
      </c>
      <c r="C188" s="128" t="s">
        <v>284</v>
      </c>
      <c r="D188" s="104">
        <v>3551</v>
      </c>
      <c r="E188" s="128" t="s">
        <v>86</v>
      </c>
      <c r="F188" s="104" t="s">
        <v>285</v>
      </c>
      <c r="G188" s="128" t="s">
        <v>282</v>
      </c>
      <c r="H188" s="97">
        <f t="shared" si="4"/>
        <v>0.0405405405405405</v>
      </c>
      <c r="I188" s="107">
        <v>3</v>
      </c>
      <c r="J188" s="29">
        <f t="shared" si="5"/>
        <v>0.000737463126843658</v>
      </c>
      <c r="K188" s="5"/>
    </row>
    <row r="189" ht="13.85" spans="1:11">
      <c r="A189" s="25">
        <v>45297</v>
      </c>
      <c r="B189" s="128" t="s">
        <v>286</v>
      </c>
      <c r="C189" s="128" t="s">
        <v>287</v>
      </c>
      <c r="D189" s="104">
        <v>7561</v>
      </c>
      <c r="E189" s="128" t="s">
        <v>22</v>
      </c>
      <c r="F189" s="104">
        <v>45201</v>
      </c>
      <c r="G189" s="128" t="s">
        <v>237</v>
      </c>
      <c r="H189" s="97">
        <f t="shared" si="4"/>
        <v>0.0909090909090909</v>
      </c>
      <c r="I189" s="107">
        <v>4</v>
      </c>
      <c r="J189" s="29">
        <f t="shared" si="5"/>
        <v>0.000814166497048646</v>
      </c>
      <c r="K189" s="5"/>
    </row>
    <row r="190" ht="13.85" spans="1:11">
      <c r="A190" s="25">
        <v>45298</v>
      </c>
      <c r="B190" s="128" t="s">
        <v>288</v>
      </c>
      <c r="C190" s="104" t="s">
        <v>289</v>
      </c>
      <c r="D190" s="104">
        <v>7326</v>
      </c>
      <c r="E190" s="128" t="s">
        <v>51</v>
      </c>
      <c r="F190" s="104">
        <v>26596</v>
      </c>
      <c r="G190" s="128" t="s">
        <v>290</v>
      </c>
      <c r="H190" s="97">
        <f t="shared" si="4"/>
        <v>0.0338983050847458</v>
      </c>
      <c r="I190" s="107">
        <v>2</v>
      </c>
      <c r="J190" s="29">
        <f t="shared" si="5"/>
        <v>0.000359841669665347</v>
      </c>
      <c r="K190" s="5"/>
    </row>
    <row r="191" ht="13.85" spans="1:11">
      <c r="A191" s="25">
        <v>45299</v>
      </c>
      <c r="B191" s="136">
        <v>7426</v>
      </c>
      <c r="C191" s="104">
        <v>4214</v>
      </c>
      <c r="D191" s="104">
        <v>9017</v>
      </c>
      <c r="E191" s="128" t="s">
        <v>69</v>
      </c>
      <c r="F191" s="128">
        <v>0</v>
      </c>
      <c r="G191" s="128" t="s">
        <v>265</v>
      </c>
      <c r="H191" s="97">
        <f t="shared" si="4"/>
        <v>0</v>
      </c>
      <c r="I191" s="107" t="s">
        <v>247</v>
      </c>
      <c r="J191" s="29">
        <f t="shared" si="5"/>
        <v>0</v>
      </c>
      <c r="K191" s="5"/>
    </row>
    <row r="192" ht="13.9" spans="1:11">
      <c r="A192" s="25">
        <v>45300</v>
      </c>
      <c r="B192" s="137" t="s">
        <v>291</v>
      </c>
      <c r="C192" s="125" t="s">
        <v>292</v>
      </c>
      <c r="D192" s="125">
        <v>8295</v>
      </c>
      <c r="E192" s="85" t="s">
        <v>246</v>
      </c>
      <c r="F192" s="125">
        <v>15266</v>
      </c>
      <c r="G192" s="128" t="s">
        <v>293</v>
      </c>
      <c r="H192" s="97">
        <f t="shared" si="4"/>
        <v>0.0181818181818182</v>
      </c>
      <c r="I192" s="126" t="s">
        <v>90</v>
      </c>
      <c r="J192" s="29">
        <f t="shared" si="5"/>
        <v>0.000177399325882562</v>
      </c>
      <c r="K192" s="5"/>
    </row>
    <row r="193" ht="13.85" spans="1:11">
      <c r="A193" s="25">
        <v>45301</v>
      </c>
      <c r="B193" s="123" t="s">
        <v>294</v>
      </c>
      <c r="C193" s="124" t="s">
        <v>295</v>
      </c>
      <c r="D193" s="125">
        <v>8309</v>
      </c>
      <c r="E193" s="124" t="s">
        <v>34</v>
      </c>
      <c r="F193" s="125">
        <v>40543</v>
      </c>
      <c r="G193" s="124" t="s">
        <v>226</v>
      </c>
      <c r="H193" s="97">
        <f t="shared" si="4"/>
        <v>0.0517241379310345</v>
      </c>
      <c r="I193" s="126" t="s">
        <v>36</v>
      </c>
      <c r="J193" s="29">
        <f t="shared" si="5"/>
        <v>0.000518941359626362</v>
      </c>
      <c r="K193" s="5"/>
    </row>
    <row r="194" ht="13.85" spans="1:11">
      <c r="A194" s="25">
        <v>45302</v>
      </c>
      <c r="B194" s="128">
        <v>7921</v>
      </c>
      <c r="C194" s="128">
        <v>4681</v>
      </c>
      <c r="D194" s="104">
        <v>7621</v>
      </c>
      <c r="E194" s="128" t="s">
        <v>296</v>
      </c>
      <c r="F194" s="128" t="s">
        <v>247</v>
      </c>
      <c r="G194" s="128" t="s">
        <v>293</v>
      </c>
      <c r="H194" s="97">
        <f t="shared" ref="H194:H257" si="6">I194/G194</f>
        <v>0</v>
      </c>
      <c r="I194" s="107" t="s">
        <v>247</v>
      </c>
      <c r="J194" s="29">
        <f t="shared" si="5"/>
        <v>0</v>
      </c>
      <c r="K194" s="5"/>
    </row>
    <row r="195" ht="13.85" spans="1:11">
      <c r="A195" s="25">
        <v>45303</v>
      </c>
      <c r="B195" s="123" t="s">
        <v>297</v>
      </c>
      <c r="C195" s="124" t="s">
        <v>298</v>
      </c>
      <c r="D195" s="125">
        <v>8498</v>
      </c>
      <c r="E195" s="124" t="s">
        <v>51</v>
      </c>
      <c r="F195" s="125">
        <v>0</v>
      </c>
      <c r="G195" s="124" t="s">
        <v>243</v>
      </c>
      <c r="H195" s="97">
        <f t="shared" si="6"/>
        <v>0</v>
      </c>
      <c r="I195" s="126">
        <v>0</v>
      </c>
      <c r="J195" s="29">
        <f t="shared" si="5"/>
        <v>0</v>
      </c>
      <c r="K195" s="5"/>
    </row>
    <row r="196" ht="13.85" spans="1:11">
      <c r="A196" s="25">
        <v>45304</v>
      </c>
      <c r="B196" s="127" t="s">
        <v>299</v>
      </c>
      <c r="C196" s="128" t="s">
        <v>300</v>
      </c>
      <c r="D196" s="104">
        <v>9789</v>
      </c>
      <c r="E196" s="128" t="s">
        <v>51</v>
      </c>
      <c r="F196" s="104">
        <v>11448</v>
      </c>
      <c r="G196" s="128" t="s">
        <v>113</v>
      </c>
      <c r="H196" s="97">
        <f t="shared" si="6"/>
        <v>0.0487804878048781</v>
      </c>
      <c r="I196" s="107">
        <v>2</v>
      </c>
      <c r="J196" s="29">
        <f t="shared" si="5"/>
        <v>0.000305483427524057</v>
      </c>
      <c r="K196" s="5"/>
    </row>
    <row r="197" ht="13.85" spans="1:11">
      <c r="A197" s="25">
        <v>45305</v>
      </c>
      <c r="B197" s="138" t="s">
        <v>301</v>
      </c>
      <c r="C197" s="139" t="s">
        <v>302</v>
      </c>
      <c r="D197" s="104">
        <v>9458</v>
      </c>
      <c r="E197" s="139" t="s">
        <v>250</v>
      </c>
      <c r="F197" s="104">
        <v>6149</v>
      </c>
      <c r="G197" s="106">
        <v>48</v>
      </c>
      <c r="H197" s="97">
        <f t="shared" si="6"/>
        <v>0.0625</v>
      </c>
      <c r="I197" s="107">
        <v>3</v>
      </c>
      <c r="J197" s="29">
        <f t="shared" si="5"/>
        <v>0.000349365319669267</v>
      </c>
      <c r="K197" s="5"/>
    </row>
    <row r="198" ht="13.85" spans="1:11">
      <c r="A198" s="25">
        <v>45306</v>
      </c>
      <c r="B198" s="136">
        <v>8792</v>
      </c>
      <c r="C198" s="104">
        <v>5530</v>
      </c>
      <c r="D198" s="104">
        <v>9256</v>
      </c>
      <c r="E198" s="106">
        <v>24</v>
      </c>
      <c r="F198" s="106">
        <v>0</v>
      </c>
      <c r="G198" s="106">
        <v>49</v>
      </c>
      <c r="H198" s="97">
        <f t="shared" si="6"/>
        <v>0</v>
      </c>
      <c r="I198" s="107">
        <v>0</v>
      </c>
      <c r="J198" s="29">
        <f t="shared" si="5"/>
        <v>0</v>
      </c>
      <c r="K198" s="5"/>
    </row>
    <row r="199" ht="13.85" spans="1:11">
      <c r="A199" s="25">
        <v>45307</v>
      </c>
      <c r="B199" s="137">
        <v>32830</v>
      </c>
      <c r="C199" s="125">
        <v>24366</v>
      </c>
      <c r="D199" s="125">
        <v>9624</v>
      </c>
      <c r="E199" s="140">
        <v>41</v>
      </c>
      <c r="F199" s="125">
        <v>3000</v>
      </c>
      <c r="G199" s="140">
        <v>65</v>
      </c>
      <c r="H199" s="97">
        <f t="shared" si="6"/>
        <v>0.0153846153846154</v>
      </c>
      <c r="I199" s="126">
        <v>1</v>
      </c>
      <c r="J199" s="29">
        <f t="shared" si="5"/>
        <v>4.10407945497825e-5</v>
      </c>
      <c r="K199" s="5"/>
    </row>
    <row r="200" ht="13.85" spans="1:11">
      <c r="A200" s="25">
        <v>45308</v>
      </c>
      <c r="B200" s="137">
        <v>10249</v>
      </c>
      <c r="C200" s="125">
        <v>6325</v>
      </c>
      <c r="D200" s="125">
        <v>7643</v>
      </c>
      <c r="E200" s="140">
        <v>19</v>
      </c>
      <c r="F200" s="125">
        <v>92897</v>
      </c>
      <c r="G200" s="125">
        <v>58</v>
      </c>
      <c r="H200" s="97">
        <f t="shared" si="6"/>
        <v>0.0862068965517241</v>
      </c>
      <c r="I200" s="126">
        <v>5</v>
      </c>
      <c r="J200" s="29">
        <f t="shared" si="5"/>
        <v>0.000790513833992095</v>
      </c>
      <c r="K200" s="5"/>
    </row>
    <row r="201" ht="13.85" spans="1:11">
      <c r="A201" s="25">
        <v>45309</v>
      </c>
      <c r="B201" s="130">
        <v>27590</v>
      </c>
      <c r="C201" s="89">
        <v>20301</v>
      </c>
      <c r="D201" s="104">
        <v>8529</v>
      </c>
      <c r="E201" s="104">
        <v>30</v>
      </c>
      <c r="F201" s="104">
        <v>21672</v>
      </c>
      <c r="G201" s="107">
        <v>50</v>
      </c>
      <c r="H201" s="97">
        <f t="shared" si="6"/>
        <v>0.02</v>
      </c>
      <c r="I201" s="107">
        <v>1</v>
      </c>
      <c r="J201" s="29">
        <f t="shared" si="5"/>
        <v>4.92586572090045e-5</v>
      </c>
      <c r="K201" s="5"/>
    </row>
    <row r="202" ht="13.85" spans="1:11">
      <c r="A202" s="25">
        <v>45310</v>
      </c>
      <c r="B202" s="137">
        <v>12419</v>
      </c>
      <c r="C202" s="125">
        <v>7521</v>
      </c>
      <c r="D202" s="125">
        <v>8533</v>
      </c>
      <c r="E202" s="140">
        <v>17</v>
      </c>
      <c r="F202" s="125">
        <v>51896</v>
      </c>
      <c r="G202" s="141">
        <v>45</v>
      </c>
      <c r="H202" s="97">
        <f t="shared" si="6"/>
        <v>0.0888888888888889</v>
      </c>
      <c r="I202" s="126">
        <v>4</v>
      </c>
      <c r="J202" s="29">
        <f t="shared" si="5"/>
        <v>0.00053184416965829</v>
      </c>
      <c r="K202" s="5"/>
    </row>
    <row r="203" ht="13.85" spans="1:11">
      <c r="A203" s="25">
        <v>45311</v>
      </c>
      <c r="B203" s="136">
        <v>16937</v>
      </c>
      <c r="C203" s="104">
        <v>9574</v>
      </c>
      <c r="D203" s="104">
        <v>9835</v>
      </c>
      <c r="E203" s="104">
        <v>22</v>
      </c>
      <c r="F203" s="104">
        <v>40180</v>
      </c>
      <c r="G203" s="142">
        <v>50</v>
      </c>
      <c r="H203" s="97">
        <f t="shared" si="6"/>
        <v>0.06</v>
      </c>
      <c r="I203" s="107">
        <v>3</v>
      </c>
      <c r="J203" s="29">
        <f t="shared" si="5"/>
        <v>0.000313348652600794</v>
      </c>
      <c r="K203" s="5"/>
    </row>
    <row r="204" ht="13.85" spans="1:11">
      <c r="A204" s="25">
        <v>45312</v>
      </c>
      <c r="B204" s="136">
        <v>15429</v>
      </c>
      <c r="C204" s="104">
        <v>8785</v>
      </c>
      <c r="D204" s="104">
        <v>9976</v>
      </c>
      <c r="E204" s="104">
        <v>32</v>
      </c>
      <c r="F204" s="104">
        <v>27078</v>
      </c>
      <c r="G204" s="142">
        <v>49</v>
      </c>
      <c r="H204" s="97">
        <f t="shared" si="6"/>
        <v>0.0612244897959184</v>
      </c>
      <c r="I204" s="107">
        <v>3</v>
      </c>
      <c r="J204" s="29">
        <f t="shared" si="5"/>
        <v>0.000341491178144565</v>
      </c>
      <c r="K204" s="5"/>
    </row>
    <row r="205" ht="13.85" spans="1:11">
      <c r="A205" s="25">
        <v>45313</v>
      </c>
      <c r="B205" s="136">
        <v>14516</v>
      </c>
      <c r="C205" s="104">
        <v>8174</v>
      </c>
      <c r="D205" s="104">
        <v>9134</v>
      </c>
      <c r="E205" s="142">
        <v>21</v>
      </c>
      <c r="F205" s="104">
        <v>0</v>
      </c>
      <c r="G205" s="104">
        <v>47</v>
      </c>
      <c r="H205" s="97">
        <f t="shared" si="6"/>
        <v>0</v>
      </c>
      <c r="I205" s="107">
        <v>0</v>
      </c>
      <c r="J205" s="29">
        <f t="shared" si="5"/>
        <v>0</v>
      </c>
      <c r="K205" s="5"/>
    </row>
    <row r="206" ht="13.85" spans="1:11">
      <c r="A206" s="25">
        <v>45314</v>
      </c>
      <c r="B206" s="137">
        <v>16370</v>
      </c>
      <c r="C206" s="125">
        <v>8600</v>
      </c>
      <c r="D206" s="125">
        <v>9441</v>
      </c>
      <c r="E206" s="141">
        <v>12</v>
      </c>
      <c r="F206" s="125">
        <v>17414</v>
      </c>
      <c r="G206" s="125">
        <v>39</v>
      </c>
      <c r="H206" s="97">
        <f t="shared" si="6"/>
        <v>0.0256410256410256</v>
      </c>
      <c r="I206" s="126">
        <v>1</v>
      </c>
      <c r="J206" s="29">
        <f t="shared" si="5"/>
        <v>0.000116279069767442</v>
      </c>
      <c r="K206" s="5"/>
    </row>
    <row r="207" ht="13.85" spans="1:11">
      <c r="A207" s="25">
        <v>45315</v>
      </c>
      <c r="B207" s="136">
        <v>40292</v>
      </c>
      <c r="C207" s="104">
        <v>30488</v>
      </c>
      <c r="D207" s="104">
        <v>8766</v>
      </c>
      <c r="E207" s="104">
        <v>26</v>
      </c>
      <c r="F207" s="104">
        <v>13196</v>
      </c>
      <c r="G207" s="104">
        <v>43</v>
      </c>
      <c r="H207" s="97">
        <f t="shared" si="6"/>
        <v>0.0232558139534884</v>
      </c>
      <c r="I207" s="107">
        <v>1</v>
      </c>
      <c r="J207" s="29">
        <f t="shared" si="5"/>
        <v>3.27997900813435e-5</v>
      </c>
      <c r="K207" s="5"/>
    </row>
    <row r="208" ht="13.85" spans="1:11">
      <c r="A208" s="25">
        <v>45316</v>
      </c>
      <c r="B208" s="136">
        <v>8783</v>
      </c>
      <c r="C208" s="104">
        <v>1738</v>
      </c>
      <c r="D208" s="104">
        <v>5463</v>
      </c>
      <c r="E208" s="104">
        <v>20</v>
      </c>
      <c r="F208" s="104">
        <v>15942</v>
      </c>
      <c r="G208" s="104">
        <v>66</v>
      </c>
      <c r="H208" s="97">
        <f t="shared" si="6"/>
        <v>0.0151515151515152</v>
      </c>
      <c r="I208" s="107">
        <v>1</v>
      </c>
      <c r="J208" s="29">
        <f t="shared" si="5"/>
        <v>0.000575373993095512</v>
      </c>
      <c r="K208" s="5"/>
    </row>
    <row r="209" ht="13.85" spans="1:11">
      <c r="A209" s="25">
        <v>45317</v>
      </c>
      <c r="B209" s="139" t="s">
        <v>303</v>
      </c>
      <c r="C209" s="139" t="s">
        <v>304</v>
      </c>
      <c r="D209" s="104">
        <v>5803</v>
      </c>
      <c r="E209" s="106">
        <v>21</v>
      </c>
      <c r="F209" s="104">
        <v>26582</v>
      </c>
      <c r="G209" s="106">
        <v>53</v>
      </c>
      <c r="H209" s="97">
        <f t="shared" si="6"/>
        <v>0.0377358490566038</v>
      </c>
      <c r="I209" s="107">
        <v>2</v>
      </c>
      <c r="J209" s="29">
        <f t="shared" si="5"/>
        <v>0.000249128051818635</v>
      </c>
      <c r="K209" s="5"/>
    </row>
    <row r="210" ht="13.85" spans="1:11">
      <c r="A210" s="25">
        <v>45318</v>
      </c>
      <c r="B210" s="139" t="s">
        <v>305</v>
      </c>
      <c r="C210" s="139" t="s">
        <v>306</v>
      </c>
      <c r="D210" s="104">
        <v>5580</v>
      </c>
      <c r="E210" s="106">
        <v>23</v>
      </c>
      <c r="F210" s="104">
        <v>51048</v>
      </c>
      <c r="G210" s="106">
        <v>49</v>
      </c>
      <c r="H210" s="97">
        <f t="shared" si="6"/>
        <v>0.0612244897959184</v>
      </c>
      <c r="I210" s="107">
        <v>3</v>
      </c>
      <c r="J210" s="29">
        <f t="shared" si="5"/>
        <v>0.000424748690358205</v>
      </c>
      <c r="K210" s="5"/>
    </row>
    <row r="211" ht="13.85" spans="1:11">
      <c r="A211" s="25">
        <v>45319</v>
      </c>
      <c r="B211" s="139" t="s">
        <v>307</v>
      </c>
      <c r="C211" s="139" t="s">
        <v>308</v>
      </c>
      <c r="D211" s="104">
        <v>5351</v>
      </c>
      <c r="E211" s="106">
        <v>24</v>
      </c>
      <c r="F211" s="104">
        <v>27692</v>
      </c>
      <c r="G211" s="106">
        <v>37</v>
      </c>
      <c r="H211" s="97">
        <f t="shared" si="6"/>
        <v>0.0540540540540541</v>
      </c>
      <c r="I211" s="107">
        <v>2</v>
      </c>
      <c r="J211" s="29">
        <f t="shared" si="5"/>
        <v>0.000304321363359708</v>
      </c>
      <c r="K211" s="5"/>
    </row>
    <row r="212" ht="13.85" spans="1:11">
      <c r="A212" s="25">
        <v>45320</v>
      </c>
      <c r="B212" s="137">
        <v>8999</v>
      </c>
      <c r="C212" s="125">
        <v>5766</v>
      </c>
      <c r="D212" s="125">
        <v>4704</v>
      </c>
      <c r="E212" s="125">
        <v>22</v>
      </c>
      <c r="F212" s="125">
        <v>81318</v>
      </c>
      <c r="G212" s="125">
        <v>55</v>
      </c>
      <c r="H212" s="97">
        <f t="shared" si="6"/>
        <v>0.109090909090909</v>
      </c>
      <c r="I212" s="126">
        <v>6</v>
      </c>
      <c r="J212" s="29">
        <f t="shared" si="5"/>
        <v>0.00104058272632674</v>
      </c>
      <c r="K212" s="5"/>
    </row>
    <row r="213" ht="13.85" spans="1:11">
      <c r="A213" s="25">
        <v>45321</v>
      </c>
      <c r="B213" s="136">
        <v>7230</v>
      </c>
      <c r="C213" s="104">
        <v>4245</v>
      </c>
      <c r="D213" s="104">
        <v>3469</v>
      </c>
      <c r="E213" s="104">
        <v>20</v>
      </c>
      <c r="F213" s="104">
        <v>0</v>
      </c>
      <c r="G213" s="104">
        <v>49</v>
      </c>
      <c r="H213" s="97">
        <f t="shared" si="6"/>
        <v>0</v>
      </c>
      <c r="I213" s="107">
        <v>0</v>
      </c>
      <c r="J213" s="29">
        <f t="shared" si="5"/>
        <v>0</v>
      </c>
      <c r="K213" s="5"/>
    </row>
    <row r="214" ht="13.9" spans="1:11">
      <c r="A214" s="25">
        <v>45322</v>
      </c>
      <c r="B214" s="130">
        <v>9009</v>
      </c>
      <c r="C214" s="89">
        <v>5546</v>
      </c>
      <c r="D214" s="104">
        <v>4798</v>
      </c>
      <c r="E214" s="143" t="s">
        <v>64</v>
      </c>
      <c r="F214" s="104">
        <v>0</v>
      </c>
      <c r="G214" s="104">
        <v>42</v>
      </c>
      <c r="H214" s="97">
        <f t="shared" si="6"/>
        <v>0</v>
      </c>
      <c r="I214" s="107">
        <v>0</v>
      </c>
      <c r="J214" s="29">
        <f t="shared" si="5"/>
        <v>0</v>
      </c>
      <c r="K214" s="5"/>
    </row>
    <row r="215" ht="13.85" spans="1:11">
      <c r="A215" s="25">
        <v>45323</v>
      </c>
      <c r="B215" s="137">
        <v>7049</v>
      </c>
      <c r="C215" s="125">
        <v>4505</v>
      </c>
      <c r="D215" s="125">
        <v>5337</v>
      </c>
      <c r="E215" s="125">
        <v>36</v>
      </c>
      <c r="F215" s="125">
        <v>11874</v>
      </c>
      <c r="G215" s="141">
        <v>50</v>
      </c>
      <c r="H215" s="97">
        <f t="shared" si="6"/>
        <v>0.02</v>
      </c>
      <c r="I215" s="126">
        <v>1</v>
      </c>
      <c r="J215" s="29">
        <f t="shared" si="5"/>
        <v>0.000221975582685905</v>
      </c>
      <c r="K215" s="5"/>
    </row>
    <row r="216" ht="13.85" spans="1:11">
      <c r="A216" s="25">
        <v>45324</v>
      </c>
      <c r="B216" s="136">
        <v>9885</v>
      </c>
      <c r="C216" s="104">
        <v>6412</v>
      </c>
      <c r="D216" s="104">
        <v>5658</v>
      </c>
      <c r="E216" s="104">
        <v>35</v>
      </c>
      <c r="F216" s="104">
        <v>10442</v>
      </c>
      <c r="G216" s="104">
        <v>39</v>
      </c>
      <c r="H216" s="97">
        <f t="shared" si="6"/>
        <v>0.0256410256410256</v>
      </c>
      <c r="I216" s="107">
        <v>1</v>
      </c>
      <c r="J216" s="29">
        <f t="shared" ref="J216:J279" si="7">I216/C216</f>
        <v>0.000155957579538366</v>
      </c>
      <c r="K216" s="5"/>
    </row>
    <row r="217" ht="13.85" spans="1:11">
      <c r="A217" s="25">
        <v>45325</v>
      </c>
      <c r="B217" s="136">
        <v>12339</v>
      </c>
      <c r="C217" s="104">
        <v>8070</v>
      </c>
      <c r="D217" s="104">
        <v>6153</v>
      </c>
      <c r="E217" s="104">
        <v>27</v>
      </c>
      <c r="F217" s="104">
        <v>0</v>
      </c>
      <c r="G217" s="104">
        <v>42</v>
      </c>
      <c r="H217" s="97">
        <f t="shared" si="6"/>
        <v>0</v>
      </c>
      <c r="I217" s="107">
        <v>0</v>
      </c>
      <c r="J217" s="29">
        <f t="shared" si="7"/>
        <v>0</v>
      </c>
      <c r="K217" s="5"/>
    </row>
    <row r="218" ht="13.85" spans="1:11">
      <c r="A218" s="25">
        <v>45326</v>
      </c>
      <c r="B218" s="104">
        <v>11865</v>
      </c>
      <c r="C218" s="104">
        <v>7907</v>
      </c>
      <c r="D218" s="104">
        <v>6507</v>
      </c>
      <c r="E218" s="104">
        <v>42</v>
      </c>
      <c r="F218" s="104">
        <v>11234</v>
      </c>
      <c r="G218" s="104">
        <v>35</v>
      </c>
      <c r="H218" s="97">
        <f t="shared" si="6"/>
        <v>0.0285714285714286</v>
      </c>
      <c r="I218" s="107">
        <v>1</v>
      </c>
      <c r="J218" s="29">
        <f t="shared" si="7"/>
        <v>0.00012647021626407</v>
      </c>
      <c r="K218" s="5"/>
    </row>
    <row r="219" ht="13.85" spans="1:11">
      <c r="A219" s="25">
        <v>45327</v>
      </c>
      <c r="B219" s="104">
        <v>34724</v>
      </c>
      <c r="C219" s="104">
        <v>25204</v>
      </c>
      <c r="D219" s="104">
        <v>6961</v>
      </c>
      <c r="E219" s="104">
        <v>45</v>
      </c>
      <c r="F219" s="104">
        <v>15414</v>
      </c>
      <c r="G219" s="104">
        <v>46</v>
      </c>
      <c r="H219" s="97">
        <f t="shared" si="6"/>
        <v>0.0652173913043478</v>
      </c>
      <c r="I219" s="107">
        <v>3</v>
      </c>
      <c r="J219" s="29">
        <f t="shared" si="7"/>
        <v>0.000119028725599111</v>
      </c>
      <c r="K219" s="5"/>
    </row>
    <row r="220" ht="13.85" spans="1:11">
      <c r="A220" s="25">
        <v>45328</v>
      </c>
      <c r="B220" s="136">
        <v>18929</v>
      </c>
      <c r="C220" s="104">
        <v>11212</v>
      </c>
      <c r="D220" s="104">
        <v>7676</v>
      </c>
      <c r="E220" s="104">
        <v>67</v>
      </c>
      <c r="F220" s="104">
        <v>57796</v>
      </c>
      <c r="G220" s="104">
        <v>42</v>
      </c>
      <c r="H220" s="97">
        <f t="shared" si="6"/>
        <v>0.142857142857143</v>
      </c>
      <c r="I220" s="107">
        <v>6</v>
      </c>
      <c r="J220" s="29">
        <f t="shared" si="7"/>
        <v>0.000535140920442383</v>
      </c>
      <c r="K220" s="5"/>
    </row>
    <row r="221" ht="13.85" spans="1:11">
      <c r="A221" s="25">
        <v>45329</v>
      </c>
      <c r="B221" s="144">
        <v>18316</v>
      </c>
      <c r="C221" s="104">
        <v>10716</v>
      </c>
      <c r="D221" s="104">
        <v>8145</v>
      </c>
      <c r="E221" s="104">
        <v>28</v>
      </c>
      <c r="F221" s="104">
        <v>49556</v>
      </c>
      <c r="G221" s="104">
        <v>37</v>
      </c>
      <c r="H221" s="97">
        <f t="shared" si="6"/>
        <v>0.0810810810810811</v>
      </c>
      <c r="I221" s="107">
        <v>3</v>
      </c>
      <c r="J221" s="29">
        <f t="shared" si="7"/>
        <v>0.000279955207166853</v>
      </c>
      <c r="K221" s="5"/>
    </row>
    <row r="222" ht="13.85" spans="1:11">
      <c r="A222" s="25">
        <v>45330</v>
      </c>
      <c r="B222" s="104">
        <v>17567</v>
      </c>
      <c r="C222" s="104" t="s">
        <v>309</v>
      </c>
      <c r="D222" s="104">
        <v>6972</v>
      </c>
      <c r="E222" s="139" t="s">
        <v>135</v>
      </c>
      <c r="F222" s="104">
        <v>28115</v>
      </c>
      <c r="G222" s="104">
        <v>23</v>
      </c>
      <c r="H222" s="97">
        <f t="shared" si="6"/>
        <v>0.130434782608696</v>
      </c>
      <c r="I222" s="107">
        <v>3</v>
      </c>
      <c r="J222" s="29">
        <f t="shared" si="7"/>
        <v>0.000287383849027685</v>
      </c>
      <c r="K222" s="5"/>
    </row>
    <row r="223" ht="13.85" spans="1:11">
      <c r="A223" s="25">
        <v>45331</v>
      </c>
      <c r="B223" s="104" t="s">
        <v>310</v>
      </c>
      <c r="C223" s="104" t="s">
        <v>311</v>
      </c>
      <c r="D223" s="104">
        <v>6512</v>
      </c>
      <c r="E223" s="139" t="s">
        <v>51</v>
      </c>
      <c r="F223" s="104">
        <v>17094</v>
      </c>
      <c r="G223" s="104">
        <v>15</v>
      </c>
      <c r="H223" s="97">
        <f t="shared" si="6"/>
        <v>0.0666666666666667</v>
      </c>
      <c r="I223" s="107">
        <v>1</v>
      </c>
      <c r="J223" s="29">
        <f t="shared" si="7"/>
        <v>0.000103167234086454</v>
      </c>
      <c r="K223" s="5"/>
    </row>
    <row r="224" ht="13.85" spans="1:11">
      <c r="A224" s="25">
        <v>45332</v>
      </c>
      <c r="B224" s="104" t="s">
        <v>312</v>
      </c>
      <c r="C224" s="104" t="s">
        <v>313</v>
      </c>
      <c r="D224" s="104">
        <v>6985</v>
      </c>
      <c r="E224" s="139" t="s">
        <v>246</v>
      </c>
      <c r="F224" s="104">
        <v>0</v>
      </c>
      <c r="G224" s="104">
        <v>13</v>
      </c>
      <c r="H224" s="97">
        <f t="shared" si="6"/>
        <v>0</v>
      </c>
      <c r="I224" s="107">
        <v>0</v>
      </c>
      <c r="J224" s="29">
        <f t="shared" si="7"/>
        <v>0</v>
      </c>
      <c r="K224" s="5"/>
    </row>
    <row r="225" ht="13.85" spans="1:11">
      <c r="A225" s="25">
        <v>45333</v>
      </c>
      <c r="B225" s="104" t="s">
        <v>314</v>
      </c>
      <c r="C225" s="104" t="s">
        <v>315</v>
      </c>
      <c r="D225" s="104">
        <v>8082</v>
      </c>
      <c r="E225" s="139" t="s">
        <v>316</v>
      </c>
      <c r="F225" s="104">
        <v>0</v>
      </c>
      <c r="G225" s="104">
        <v>17</v>
      </c>
      <c r="H225" s="97">
        <f t="shared" si="6"/>
        <v>0</v>
      </c>
      <c r="I225" s="107">
        <v>0</v>
      </c>
      <c r="J225" s="29">
        <f t="shared" si="7"/>
        <v>0</v>
      </c>
      <c r="K225" s="5"/>
    </row>
    <row r="226" ht="13.85" spans="1:11">
      <c r="A226" s="25">
        <v>45334</v>
      </c>
      <c r="B226" s="104" t="s">
        <v>317</v>
      </c>
      <c r="C226" s="104" t="s">
        <v>318</v>
      </c>
      <c r="D226" s="104">
        <v>8265</v>
      </c>
      <c r="E226" s="139" t="s">
        <v>319</v>
      </c>
      <c r="F226" s="104">
        <v>69657</v>
      </c>
      <c r="G226" s="104">
        <v>29</v>
      </c>
      <c r="H226" s="97">
        <f t="shared" si="6"/>
        <v>0.103448275862069</v>
      </c>
      <c r="I226" s="107">
        <v>3</v>
      </c>
      <c r="J226" s="29">
        <f t="shared" si="7"/>
        <v>0.000213371266002845</v>
      </c>
      <c r="K226" s="5"/>
    </row>
    <row r="227" ht="13.85" spans="1:11">
      <c r="A227" s="25">
        <v>45335</v>
      </c>
      <c r="B227" s="104" t="s">
        <v>320</v>
      </c>
      <c r="C227" s="104" t="s">
        <v>321</v>
      </c>
      <c r="D227" s="104">
        <v>7866</v>
      </c>
      <c r="E227" s="139" t="s">
        <v>319</v>
      </c>
      <c r="F227" s="104">
        <v>24528</v>
      </c>
      <c r="G227" s="104">
        <v>39</v>
      </c>
      <c r="H227" s="97">
        <f t="shared" si="6"/>
        <v>0.0512820512820513</v>
      </c>
      <c r="I227" s="107">
        <v>2</v>
      </c>
      <c r="J227" s="29">
        <f t="shared" si="7"/>
        <v>0.000163961305131989</v>
      </c>
      <c r="K227" s="5"/>
    </row>
    <row r="228" ht="13.85" spans="1:11">
      <c r="A228" s="25">
        <v>45336</v>
      </c>
      <c r="B228" s="104" t="s">
        <v>322</v>
      </c>
      <c r="C228" s="104" t="s">
        <v>323</v>
      </c>
      <c r="D228" s="104">
        <v>7980</v>
      </c>
      <c r="E228" s="139" t="s">
        <v>237</v>
      </c>
      <c r="F228" s="104">
        <v>0</v>
      </c>
      <c r="G228" s="104">
        <v>28</v>
      </c>
      <c r="H228" s="97">
        <f t="shared" si="6"/>
        <v>0</v>
      </c>
      <c r="I228" s="107">
        <v>0</v>
      </c>
      <c r="J228" s="29">
        <f t="shared" si="7"/>
        <v>0</v>
      </c>
      <c r="K228" s="5"/>
    </row>
    <row r="229" ht="13.85" spans="1:11">
      <c r="A229" s="25">
        <v>45337</v>
      </c>
      <c r="B229" s="104" t="s">
        <v>324</v>
      </c>
      <c r="C229" s="104" t="s">
        <v>325</v>
      </c>
      <c r="D229" s="104">
        <v>8315</v>
      </c>
      <c r="E229" s="139" t="s">
        <v>265</v>
      </c>
      <c r="F229" s="104">
        <v>12754</v>
      </c>
      <c r="G229" s="104">
        <v>34</v>
      </c>
      <c r="H229" s="97">
        <f t="shared" si="6"/>
        <v>0.0294117647058824</v>
      </c>
      <c r="I229" s="107">
        <v>1</v>
      </c>
      <c r="J229" s="29">
        <f t="shared" si="7"/>
        <v>8.26787928896238e-5</v>
      </c>
      <c r="K229" s="5"/>
    </row>
    <row r="230" ht="13.85" spans="1:11">
      <c r="A230" s="25">
        <v>45338</v>
      </c>
      <c r="B230" s="104" t="s">
        <v>326</v>
      </c>
      <c r="C230" s="104" t="s">
        <v>325</v>
      </c>
      <c r="D230" s="104">
        <v>8390</v>
      </c>
      <c r="E230" s="139" t="s">
        <v>97</v>
      </c>
      <c r="F230" s="104">
        <v>73500</v>
      </c>
      <c r="G230" s="104">
        <v>40</v>
      </c>
      <c r="H230" s="97">
        <f t="shared" si="6"/>
        <v>0.125</v>
      </c>
      <c r="I230" s="107">
        <v>5</v>
      </c>
      <c r="J230" s="29">
        <f t="shared" si="7"/>
        <v>0.000413393964448119</v>
      </c>
      <c r="K230" s="5"/>
    </row>
    <row r="231" ht="13.85" spans="1:11">
      <c r="A231" s="25">
        <v>45339</v>
      </c>
      <c r="B231" s="104" t="s">
        <v>327</v>
      </c>
      <c r="C231" s="104" t="s">
        <v>328</v>
      </c>
      <c r="D231" s="104">
        <v>8056</v>
      </c>
      <c r="E231" s="139" t="s">
        <v>329</v>
      </c>
      <c r="F231" s="104">
        <v>11968</v>
      </c>
      <c r="G231" s="104">
        <v>55</v>
      </c>
      <c r="H231" s="97">
        <f t="shared" si="6"/>
        <v>0.0181818181818182</v>
      </c>
      <c r="I231" s="107">
        <v>1</v>
      </c>
      <c r="J231" s="29">
        <f t="shared" si="7"/>
        <v>8.40548037320333e-5</v>
      </c>
      <c r="K231" s="5"/>
    </row>
    <row r="232" ht="13.85" spans="1:11">
      <c r="A232" s="25">
        <v>45340</v>
      </c>
      <c r="B232" s="104" t="s">
        <v>330</v>
      </c>
      <c r="C232" s="104" t="s">
        <v>331</v>
      </c>
      <c r="D232" s="104">
        <v>8030</v>
      </c>
      <c r="E232" s="139" t="s">
        <v>107</v>
      </c>
      <c r="F232" s="104">
        <v>224874</v>
      </c>
      <c r="G232" s="104">
        <v>76</v>
      </c>
      <c r="H232" s="97">
        <f t="shared" si="6"/>
        <v>0.105263157894737</v>
      </c>
      <c r="I232" s="107">
        <v>8</v>
      </c>
      <c r="J232" s="29">
        <f t="shared" si="7"/>
        <v>0.000718261806428443</v>
      </c>
      <c r="K232" s="5"/>
    </row>
    <row r="233" ht="13.85" spans="1:11">
      <c r="A233" s="25">
        <v>45341</v>
      </c>
      <c r="B233" s="104" t="s">
        <v>332</v>
      </c>
      <c r="C233" s="104" t="s">
        <v>333</v>
      </c>
      <c r="D233" s="104">
        <v>6328</v>
      </c>
      <c r="E233" s="139" t="s">
        <v>15</v>
      </c>
      <c r="F233" s="104">
        <v>12538</v>
      </c>
      <c r="G233" s="104">
        <v>112</v>
      </c>
      <c r="H233" s="97">
        <f t="shared" si="6"/>
        <v>0.0178571428571429</v>
      </c>
      <c r="I233" s="107">
        <v>2</v>
      </c>
      <c r="J233" s="29">
        <f t="shared" si="7"/>
        <v>0.000366367466568969</v>
      </c>
      <c r="K233" s="5"/>
    </row>
    <row r="234" ht="13.85" spans="1:11">
      <c r="A234" s="145">
        <v>45342</v>
      </c>
      <c r="B234" s="104">
        <v>21196</v>
      </c>
      <c r="C234" s="104">
        <v>14097</v>
      </c>
      <c r="D234" s="104">
        <v>5563</v>
      </c>
      <c r="E234" s="107">
        <v>59</v>
      </c>
      <c r="F234" s="104">
        <v>171067</v>
      </c>
      <c r="G234" s="107">
        <v>92</v>
      </c>
      <c r="H234" s="97">
        <f t="shared" si="6"/>
        <v>0.0869565217391304</v>
      </c>
      <c r="I234" s="107">
        <v>8</v>
      </c>
      <c r="J234" s="29">
        <f t="shared" si="7"/>
        <v>0.000567496630488756</v>
      </c>
      <c r="K234" s="5"/>
    </row>
    <row r="235" ht="13.85" spans="1:11">
      <c r="A235" s="145">
        <v>45343</v>
      </c>
      <c r="B235" s="104">
        <v>40246</v>
      </c>
      <c r="C235" s="104">
        <v>29089</v>
      </c>
      <c r="D235" s="104">
        <v>5086</v>
      </c>
      <c r="E235" s="104">
        <v>78</v>
      </c>
      <c r="F235" s="104">
        <v>0</v>
      </c>
      <c r="G235" s="104">
        <v>107</v>
      </c>
      <c r="H235" s="97">
        <f t="shared" si="6"/>
        <v>0</v>
      </c>
      <c r="I235" s="107">
        <v>0</v>
      </c>
      <c r="J235" s="29">
        <f t="shared" si="7"/>
        <v>0</v>
      </c>
      <c r="K235" s="5"/>
    </row>
    <row r="236" ht="13.85" spans="1:11">
      <c r="A236" s="145">
        <v>45344</v>
      </c>
      <c r="B236" s="136">
        <v>24676</v>
      </c>
      <c r="C236" s="104">
        <v>15566</v>
      </c>
      <c r="D236" s="104">
        <v>4549</v>
      </c>
      <c r="E236" s="104">
        <v>87</v>
      </c>
      <c r="F236" s="104">
        <v>38989</v>
      </c>
      <c r="G236" s="104">
        <v>120</v>
      </c>
      <c r="H236" s="97">
        <f t="shared" si="6"/>
        <v>0.025</v>
      </c>
      <c r="I236" s="107">
        <v>3</v>
      </c>
      <c r="J236" s="29">
        <f t="shared" si="7"/>
        <v>0.000192727739946036</v>
      </c>
      <c r="K236" s="5"/>
    </row>
    <row r="237" ht="13.85" spans="1:11">
      <c r="A237" s="145">
        <v>45345</v>
      </c>
      <c r="B237" s="139" t="s">
        <v>334</v>
      </c>
      <c r="C237" s="139" t="s">
        <v>335</v>
      </c>
      <c r="D237" s="104">
        <v>4031</v>
      </c>
      <c r="E237" s="104">
        <v>74</v>
      </c>
      <c r="F237" s="104">
        <v>35058</v>
      </c>
      <c r="G237" s="104">
        <v>101</v>
      </c>
      <c r="H237" s="97">
        <f t="shared" si="6"/>
        <v>0.0297029702970297</v>
      </c>
      <c r="I237" s="107">
        <v>3</v>
      </c>
      <c r="J237" s="29">
        <f t="shared" si="7"/>
        <v>0.000348553502962705</v>
      </c>
      <c r="K237" s="5"/>
    </row>
    <row r="238" ht="13.85" spans="1:11">
      <c r="A238" s="145">
        <v>45346</v>
      </c>
      <c r="B238" s="139" t="s">
        <v>336</v>
      </c>
      <c r="C238" s="139" t="s">
        <v>337</v>
      </c>
      <c r="D238" s="104">
        <v>4285</v>
      </c>
      <c r="E238" s="104">
        <v>61</v>
      </c>
      <c r="F238" s="104">
        <v>68833</v>
      </c>
      <c r="G238" s="104">
        <v>85</v>
      </c>
      <c r="H238" s="97">
        <f t="shared" si="6"/>
        <v>0.0352941176470588</v>
      </c>
      <c r="I238" s="107">
        <v>3</v>
      </c>
      <c r="J238" s="29">
        <f t="shared" si="7"/>
        <v>0.000289463527595523</v>
      </c>
      <c r="K238" s="5"/>
    </row>
    <row r="239" ht="13.85" spans="1:11">
      <c r="A239" s="145">
        <v>45347</v>
      </c>
      <c r="B239" s="139" t="s">
        <v>338</v>
      </c>
      <c r="C239" s="139" t="s">
        <v>339</v>
      </c>
      <c r="D239" s="104">
        <v>4268</v>
      </c>
      <c r="E239" s="104">
        <v>64</v>
      </c>
      <c r="F239" s="104">
        <v>45464</v>
      </c>
      <c r="G239" s="104">
        <v>82</v>
      </c>
      <c r="H239" s="97">
        <f t="shared" si="6"/>
        <v>0.0487804878048781</v>
      </c>
      <c r="I239" s="107">
        <v>4</v>
      </c>
      <c r="J239" s="29">
        <f t="shared" si="7"/>
        <v>0.000380517503805175</v>
      </c>
      <c r="K239" s="5"/>
    </row>
    <row r="240" ht="13.85" spans="1:11">
      <c r="A240" s="145">
        <v>45348</v>
      </c>
      <c r="B240" s="136">
        <v>13669</v>
      </c>
      <c r="C240" s="104">
        <v>8534</v>
      </c>
      <c r="D240" s="104">
        <v>4199</v>
      </c>
      <c r="E240" s="104">
        <v>49</v>
      </c>
      <c r="F240" s="104">
        <v>10682</v>
      </c>
      <c r="G240" s="104">
        <v>80</v>
      </c>
      <c r="H240" s="97">
        <f t="shared" si="6"/>
        <v>0.0125</v>
      </c>
      <c r="I240" s="107">
        <v>1</v>
      </c>
      <c r="J240" s="29">
        <f t="shared" si="7"/>
        <v>0.000117178345441762</v>
      </c>
      <c r="K240" s="5"/>
    </row>
    <row r="241" ht="13.85" spans="1:11">
      <c r="A241" s="145">
        <v>45349</v>
      </c>
      <c r="B241" s="136">
        <v>10011</v>
      </c>
      <c r="C241" s="104">
        <v>7018</v>
      </c>
      <c r="D241" s="104">
        <v>1964</v>
      </c>
      <c r="E241" s="104">
        <v>52</v>
      </c>
      <c r="F241" s="104">
        <v>36740</v>
      </c>
      <c r="G241" s="104">
        <v>78</v>
      </c>
      <c r="H241" s="97">
        <f t="shared" si="6"/>
        <v>0.0256410256410256</v>
      </c>
      <c r="I241" s="107">
        <v>2</v>
      </c>
      <c r="J241" s="29">
        <f t="shared" si="7"/>
        <v>0.000284981476204047</v>
      </c>
      <c r="K241" s="5"/>
    </row>
    <row r="242" ht="13.85" spans="1:11">
      <c r="A242" s="145">
        <v>45350</v>
      </c>
      <c r="B242" s="104">
        <v>20463</v>
      </c>
      <c r="C242" s="104">
        <v>13950</v>
      </c>
      <c r="D242" s="104">
        <v>2005</v>
      </c>
      <c r="E242" s="104">
        <v>50</v>
      </c>
      <c r="F242" s="104">
        <v>129831</v>
      </c>
      <c r="G242" s="104">
        <v>68</v>
      </c>
      <c r="H242" s="97">
        <f t="shared" si="6"/>
        <v>0.117647058823529</v>
      </c>
      <c r="I242" s="107">
        <v>8</v>
      </c>
      <c r="J242" s="29">
        <f t="shared" si="7"/>
        <v>0.000573476702508961</v>
      </c>
      <c r="K242" s="5"/>
    </row>
    <row r="243" ht="13.85" spans="1:11">
      <c r="A243" s="145">
        <v>45351</v>
      </c>
      <c r="B243" s="104">
        <v>13163</v>
      </c>
      <c r="C243" s="104">
        <v>8746</v>
      </c>
      <c r="D243" s="104">
        <v>1992</v>
      </c>
      <c r="E243" s="104">
        <v>50</v>
      </c>
      <c r="F243" s="104">
        <v>51795</v>
      </c>
      <c r="G243" s="104">
        <v>101</v>
      </c>
      <c r="H243" s="97">
        <f t="shared" si="6"/>
        <v>0.0396039603960396</v>
      </c>
      <c r="I243" s="15">
        <v>4</v>
      </c>
      <c r="J243" s="29">
        <f t="shared" si="7"/>
        <v>0.000457351932311914</v>
      </c>
      <c r="K243" s="5"/>
    </row>
    <row r="244" ht="13.85" spans="1:11">
      <c r="A244" s="145">
        <v>45352</v>
      </c>
      <c r="B244" s="73">
        <v>13178</v>
      </c>
      <c r="C244" s="73">
        <v>8446</v>
      </c>
      <c r="D244" s="73">
        <v>1880</v>
      </c>
      <c r="E244" s="104">
        <v>44</v>
      </c>
      <c r="F244" s="104">
        <v>10402</v>
      </c>
      <c r="G244" s="13">
        <v>71</v>
      </c>
      <c r="H244" s="97">
        <f t="shared" si="6"/>
        <v>0.0140845070422535</v>
      </c>
      <c r="I244" s="15">
        <v>1</v>
      </c>
      <c r="J244" s="29">
        <f t="shared" si="7"/>
        <v>0.00011839924224485</v>
      </c>
      <c r="K244" s="5"/>
    </row>
    <row r="245" ht="13.85" spans="1:11">
      <c r="A245" s="145">
        <v>45353</v>
      </c>
      <c r="B245" s="73">
        <v>18666</v>
      </c>
      <c r="C245" s="73">
        <v>10841</v>
      </c>
      <c r="D245" s="73">
        <v>6897</v>
      </c>
      <c r="E245" s="104">
        <v>41</v>
      </c>
      <c r="F245" s="104">
        <v>52630</v>
      </c>
      <c r="G245" s="13">
        <v>97</v>
      </c>
      <c r="H245" s="97">
        <f t="shared" si="6"/>
        <v>0.0412371134020619</v>
      </c>
      <c r="I245" s="15">
        <v>4</v>
      </c>
      <c r="J245" s="29">
        <f t="shared" si="7"/>
        <v>0.000368969652246103</v>
      </c>
      <c r="K245" s="5"/>
    </row>
    <row r="246" ht="13.85" spans="1:11">
      <c r="A246" s="146">
        <v>45354</v>
      </c>
      <c r="B246" s="133">
        <v>19769</v>
      </c>
      <c r="C246" s="133">
        <v>11567</v>
      </c>
      <c r="D246" s="133">
        <v>7942</v>
      </c>
      <c r="E246" s="111">
        <v>61</v>
      </c>
      <c r="F246" s="111">
        <v>80628</v>
      </c>
      <c r="G246" s="147">
        <v>73</v>
      </c>
      <c r="H246" s="114">
        <f t="shared" si="6"/>
        <v>0.0547945205479452</v>
      </c>
      <c r="I246" s="148">
        <v>4</v>
      </c>
      <c r="J246" s="38">
        <f t="shared" si="7"/>
        <v>0.000345811359903173</v>
      </c>
      <c r="K246" s="5"/>
    </row>
    <row r="247" ht="13.85" spans="1:11">
      <c r="A247" s="149">
        <v>45355</v>
      </c>
      <c r="B247" s="73">
        <v>18169</v>
      </c>
      <c r="C247" s="73">
        <v>11435</v>
      </c>
      <c r="D247" s="73">
        <v>7415</v>
      </c>
      <c r="E247" s="150">
        <v>48</v>
      </c>
      <c r="F247" s="150">
        <v>69341</v>
      </c>
      <c r="G247" s="150">
        <v>67</v>
      </c>
      <c r="H247" s="9">
        <f t="shared" si="6"/>
        <v>0.0447761194029851</v>
      </c>
      <c r="I247" s="15">
        <v>3</v>
      </c>
      <c r="J247" s="18">
        <f t="shared" si="7"/>
        <v>0.000262352426759948</v>
      </c>
      <c r="K247" s="5"/>
    </row>
    <row r="248" ht="13.85" spans="1:11">
      <c r="A248" s="149">
        <v>45356</v>
      </c>
      <c r="B248" s="73">
        <v>19187</v>
      </c>
      <c r="C248" s="73">
        <v>12903</v>
      </c>
      <c r="D248" s="73">
        <v>8084</v>
      </c>
      <c r="E248" s="150">
        <v>44</v>
      </c>
      <c r="F248" s="150">
        <v>13074</v>
      </c>
      <c r="G248" s="150">
        <v>78</v>
      </c>
      <c r="H248" s="9">
        <f t="shared" si="6"/>
        <v>0.0128205128205128</v>
      </c>
      <c r="I248" s="15">
        <v>1</v>
      </c>
      <c r="J248" s="18">
        <f t="shared" si="7"/>
        <v>7.75013562737348e-5</v>
      </c>
      <c r="K248" s="5"/>
    </row>
    <row r="249" ht="13.85" spans="1:11">
      <c r="A249" s="149">
        <v>45357</v>
      </c>
      <c r="B249" s="73">
        <v>28888</v>
      </c>
      <c r="C249" s="73">
        <v>18819</v>
      </c>
      <c r="D249" s="73">
        <v>11485</v>
      </c>
      <c r="E249" s="150">
        <v>115</v>
      </c>
      <c r="F249" s="150">
        <f>'[1]Fliggy Store Daily Key Data'!K1916</f>
        <v>192490</v>
      </c>
      <c r="G249" s="150">
        <v>102</v>
      </c>
      <c r="H249" s="9">
        <f t="shared" si="6"/>
        <v>0.117647058823529</v>
      </c>
      <c r="I249" s="15">
        <v>12</v>
      </c>
      <c r="J249" s="18">
        <f t="shared" si="7"/>
        <v>0.000637653435357883</v>
      </c>
      <c r="K249" s="5"/>
    </row>
    <row r="250" ht="13.85" spans="1:11">
      <c r="A250" s="149">
        <v>45358</v>
      </c>
      <c r="B250" s="73">
        <v>25063</v>
      </c>
      <c r="C250" s="73">
        <v>15233</v>
      </c>
      <c r="D250" s="73">
        <v>11015</v>
      </c>
      <c r="E250" s="150">
        <v>132</v>
      </c>
      <c r="F250" s="150">
        <f>'[1]Fliggy Store Daily Key Data'!K1917</f>
        <v>521213</v>
      </c>
      <c r="G250" s="150">
        <v>151</v>
      </c>
      <c r="H250" s="9">
        <f t="shared" si="6"/>
        <v>0.245033112582781</v>
      </c>
      <c r="I250" s="15">
        <v>37</v>
      </c>
      <c r="J250" s="18">
        <f t="shared" si="7"/>
        <v>0.00242893717586818</v>
      </c>
      <c r="K250" s="5"/>
    </row>
    <row r="251" ht="13.85" spans="1:11">
      <c r="A251" s="149">
        <v>45359</v>
      </c>
      <c r="B251" s="150">
        <v>20580</v>
      </c>
      <c r="C251" s="150">
        <v>13033</v>
      </c>
      <c r="D251" s="150">
        <f>'[1]Fliggy Store Daily Key Data'!G1918</f>
        <v>8564</v>
      </c>
      <c r="E251" s="150">
        <v>176</v>
      </c>
      <c r="F251" s="150">
        <f>'[1]Fliggy Store Daily Key Data'!K1918</f>
        <v>402158</v>
      </c>
      <c r="G251" s="150">
        <v>143</v>
      </c>
      <c r="H251" s="9">
        <f t="shared" si="6"/>
        <v>0.167832167832168</v>
      </c>
      <c r="I251" s="15">
        <v>24</v>
      </c>
      <c r="J251" s="18">
        <f t="shared" si="7"/>
        <v>0.00184147932172178</v>
      </c>
      <c r="K251" s="5"/>
    </row>
    <row r="252" ht="13.85" spans="1:11">
      <c r="A252" s="149">
        <v>45360</v>
      </c>
      <c r="B252" s="150">
        <v>23662</v>
      </c>
      <c r="C252" s="150">
        <v>13670</v>
      </c>
      <c r="D252" s="150">
        <f>'[1]Fliggy Store Daily Key Data'!G1919</f>
        <v>9399</v>
      </c>
      <c r="E252" s="150">
        <v>96</v>
      </c>
      <c r="F252" s="150">
        <f>'[1]Fliggy Store Daily Key Data'!K1919</f>
        <v>220641</v>
      </c>
      <c r="G252" s="150">
        <v>108</v>
      </c>
      <c r="H252" s="9">
        <f t="shared" si="6"/>
        <v>0.12037037037037</v>
      </c>
      <c r="I252" s="15">
        <v>13</v>
      </c>
      <c r="J252" s="18">
        <f t="shared" si="7"/>
        <v>0.000950987564008778</v>
      </c>
      <c r="K252" s="5"/>
    </row>
    <row r="253" ht="13.85" spans="1:11">
      <c r="A253" s="149">
        <v>45361</v>
      </c>
      <c r="B253" s="150">
        <v>33757</v>
      </c>
      <c r="C253" s="150">
        <v>20794</v>
      </c>
      <c r="D253" s="150">
        <f>'[1]Fliggy Store Daily Key Data'!G1920</f>
        <v>11998</v>
      </c>
      <c r="E253" s="150">
        <v>94</v>
      </c>
      <c r="F253" s="150">
        <f>'[1]Fliggy Store Daily Key Data'!K1920</f>
        <v>181339.6</v>
      </c>
      <c r="G253" s="150">
        <v>102</v>
      </c>
      <c r="H253" s="9">
        <f t="shared" si="6"/>
        <v>0.0980392156862745</v>
      </c>
      <c r="I253" s="15">
        <v>10</v>
      </c>
      <c r="J253" s="18">
        <f t="shared" si="7"/>
        <v>0.000480907954217563</v>
      </c>
      <c r="K253" s="5"/>
    </row>
    <row r="254" ht="13.85" spans="1:11">
      <c r="A254" s="149">
        <v>45362</v>
      </c>
      <c r="B254" s="150">
        <f>'[1]Fliggy Store Daily Key Data'!B1921</f>
        <v>52560</v>
      </c>
      <c r="C254" s="150">
        <f>'[1]Fliggy Store Daily Key Data'!C1921</f>
        <v>31255</v>
      </c>
      <c r="D254" s="150">
        <f>'[1]Fliggy Store Daily Key Data'!G1921</f>
        <v>11361</v>
      </c>
      <c r="E254" s="150">
        <v>272</v>
      </c>
      <c r="F254" s="150">
        <f>'[1]Fliggy Store Daily Key Data'!K1921</f>
        <v>375387</v>
      </c>
      <c r="G254" s="150">
        <v>152</v>
      </c>
      <c r="H254" s="9">
        <f t="shared" si="6"/>
        <v>0.131578947368421</v>
      </c>
      <c r="I254" s="15">
        <v>20</v>
      </c>
      <c r="J254" s="18">
        <f t="shared" si="7"/>
        <v>0.000639897616381379</v>
      </c>
      <c r="K254" s="5"/>
    </row>
    <row r="255" ht="13.85" spans="1:11">
      <c r="A255" s="149">
        <v>45363</v>
      </c>
      <c r="B255" s="150">
        <f>'[1]Fliggy Store Daily Key Data'!B1922</f>
        <v>39263</v>
      </c>
      <c r="C255" s="150">
        <f>'[1]Fliggy Store Daily Key Data'!C1922</f>
        <v>21920</v>
      </c>
      <c r="D255" s="150">
        <f>'[1]Fliggy Store Daily Key Data'!G1922</f>
        <v>11819</v>
      </c>
      <c r="E255" s="150">
        <v>78</v>
      </c>
      <c r="F255" s="150">
        <f>'[1]Fliggy Store Daily Key Data'!K1922</f>
        <v>226576</v>
      </c>
      <c r="G255" s="150">
        <v>188</v>
      </c>
      <c r="H255" s="9">
        <f t="shared" si="6"/>
        <v>0.0957446808510638</v>
      </c>
      <c r="I255" s="15">
        <v>18</v>
      </c>
      <c r="J255" s="18">
        <f t="shared" si="7"/>
        <v>0.000821167883211679</v>
      </c>
      <c r="K255" s="5"/>
    </row>
    <row r="256" ht="13.85" spans="1:11">
      <c r="A256" s="149">
        <v>45364</v>
      </c>
      <c r="B256" s="150">
        <f>'[1]Fliggy Store Daily Key Data'!B1923</f>
        <v>53016</v>
      </c>
      <c r="C256" s="150">
        <f>'[1]Fliggy Store Daily Key Data'!C1923</f>
        <v>30458</v>
      </c>
      <c r="D256" s="150">
        <f>'[1]Fliggy Store Daily Key Data'!G1923</f>
        <v>10973</v>
      </c>
      <c r="E256" s="150">
        <v>161</v>
      </c>
      <c r="F256" s="150">
        <f>'[1]Fliggy Store Daily Key Data'!K1923</f>
        <v>280917</v>
      </c>
      <c r="G256" s="150">
        <v>186</v>
      </c>
      <c r="H256" s="9">
        <f t="shared" si="6"/>
        <v>0.102150537634409</v>
      </c>
      <c r="I256" s="15">
        <v>19</v>
      </c>
      <c r="J256" s="18">
        <f t="shared" si="7"/>
        <v>0.000623809836496159</v>
      </c>
      <c r="K256" s="5"/>
    </row>
    <row r="257" ht="13.85" spans="1:11">
      <c r="A257" s="149">
        <v>45365</v>
      </c>
      <c r="B257" s="150">
        <f>'[1]Fliggy Store Daily Key Data'!B1924</f>
        <v>31061</v>
      </c>
      <c r="C257" s="150">
        <f>'[1]Fliggy Store Daily Key Data'!C1924</f>
        <v>17830</v>
      </c>
      <c r="D257" s="150">
        <f>'[1]Fliggy Store Daily Key Data'!G1924</f>
        <v>12520</v>
      </c>
      <c r="E257" s="150">
        <v>162</v>
      </c>
      <c r="F257" s="150">
        <f>'[1]Fliggy Store Daily Key Data'!K1924</f>
        <v>130594</v>
      </c>
      <c r="G257" s="150">
        <v>148</v>
      </c>
      <c r="H257" s="9">
        <f t="shared" si="6"/>
        <v>0.0608108108108108</v>
      </c>
      <c r="I257" s="15">
        <v>9</v>
      </c>
      <c r="J257" s="18">
        <f t="shared" si="7"/>
        <v>0.000504767246214246</v>
      </c>
      <c r="K257" s="5"/>
    </row>
    <row r="258" ht="13.85" spans="1:11">
      <c r="A258" s="149">
        <v>45366</v>
      </c>
      <c r="B258" s="150">
        <f>'[1]Fliggy Store Daily Key Data'!B1925</f>
        <v>27399</v>
      </c>
      <c r="C258" s="150">
        <f>'[1]Fliggy Store Daily Key Data'!C1925</f>
        <v>16560</v>
      </c>
      <c r="D258" s="150">
        <f>'[1]Fliggy Store Daily Key Data'!G1925</f>
        <v>10566</v>
      </c>
      <c r="E258" s="150">
        <v>109</v>
      </c>
      <c r="F258" s="150">
        <f>'[1]Fliggy Store Daily Key Data'!K1925</f>
        <v>476346</v>
      </c>
      <c r="G258" s="150">
        <v>129</v>
      </c>
      <c r="H258" s="9">
        <f t="shared" ref="H258:H321" si="8">I258/G258</f>
        <v>0.27906976744186</v>
      </c>
      <c r="I258" s="15">
        <v>36</v>
      </c>
      <c r="J258" s="18">
        <f t="shared" si="7"/>
        <v>0.00217391304347826</v>
      </c>
      <c r="K258" s="5"/>
    </row>
    <row r="259" ht="13.85" spans="1:11">
      <c r="A259" s="149">
        <v>45367</v>
      </c>
      <c r="B259" s="150">
        <f>'[1]Fliggy Store Daily Key Data'!B1926</f>
        <v>41266</v>
      </c>
      <c r="C259" s="150">
        <f>'[1]Fliggy Store Daily Key Data'!C1926</f>
        <v>25975</v>
      </c>
      <c r="D259" s="150">
        <f>'[1]Fliggy Store Daily Key Data'!G1926</f>
        <v>21727</v>
      </c>
      <c r="E259" s="150">
        <v>94</v>
      </c>
      <c r="F259" s="150">
        <f>'[1]Fliggy Store Daily Key Data'!K1926</f>
        <v>222863</v>
      </c>
      <c r="G259" s="150">
        <v>138</v>
      </c>
      <c r="H259" s="9">
        <f t="shared" si="8"/>
        <v>0.0797101449275362</v>
      </c>
      <c r="I259" s="15">
        <v>11</v>
      </c>
      <c r="J259" s="18">
        <f t="shared" si="7"/>
        <v>0.000423484119345525</v>
      </c>
      <c r="K259" s="5"/>
    </row>
    <row r="260" ht="13.85" spans="1:11">
      <c r="A260" s="149">
        <v>45368</v>
      </c>
      <c r="B260" s="150">
        <f>'[1]Fliggy Store Daily Key Data'!B1927</f>
        <v>53063</v>
      </c>
      <c r="C260" s="150">
        <f>'[1]Fliggy Store Daily Key Data'!C1927</f>
        <v>31083</v>
      </c>
      <c r="D260" s="150">
        <f>'[1]Fliggy Store Daily Key Data'!G1927</f>
        <v>21126</v>
      </c>
      <c r="E260" s="150">
        <v>114</v>
      </c>
      <c r="F260" s="150">
        <f>'[1]Fliggy Store Daily Key Data'!K1927</f>
        <v>106732</v>
      </c>
      <c r="G260" s="150">
        <v>143</v>
      </c>
      <c r="H260" s="9">
        <f t="shared" si="8"/>
        <v>0.0629370629370629</v>
      </c>
      <c r="I260" s="15">
        <v>9</v>
      </c>
      <c r="J260" s="18">
        <f t="shared" si="7"/>
        <v>0.000289547340990252</v>
      </c>
      <c r="K260" s="5"/>
    </row>
    <row r="261" ht="13.85" spans="1:11">
      <c r="A261" s="149">
        <v>45369</v>
      </c>
      <c r="B261" s="150">
        <f>'[1]Fliggy Store Daily Key Data'!B1928</f>
        <v>74383</v>
      </c>
      <c r="C261" s="150">
        <f>'[1]Fliggy Store Daily Key Data'!C1928</f>
        <v>47343</v>
      </c>
      <c r="D261" s="150">
        <f>'[1]Fliggy Store Daily Key Data'!G1928</f>
        <v>22051</v>
      </c>
      <c r="E261" s="150">
        <v>109</v>
      </c>
      <c r="F261" s="150">
        <f>'[1]Fliggy Store Daily Key Data'!K1928</f>
        <v>192336</v>
      </c>
      <c r="G261" s="150">
        <v>178</v>
      </c>
      <c r="H261" s="9">
        <f t="shared" si="8"/>
        <v>0.0674157303370786</v>
      </c>
      <c r="I261" s="15">
        <v>12</v>
      </c>
      <c r="J261" s="18">
        <f t="shared" si="7"/>
        <v>0.000253469361890881</v>
      </c>
      <c r="K261" s="5"/>
    </row>
    <row r="262" ht="13.85" spans="1:11">
      <c r="A262" s="149">
        <v>45370</v>
      </c>
      <c r="B262" s="150">
        <f>'[1]Fliggy Store Daily Key Data'!B1929</f>
        <v>50286</v>
      </c>
      <c r="C262" s="150">
        <f>'[1]Fliggy Store Daily Key Data'!C1929</f>
        <v>31478</v>
      </c>
      <c r="D262" s="150">
        <f>'[1]Fliggy Store Daily Key Data'!G1929</f>
        <v>22636</v>
      </c>
      <c r="E262" s="150">
        <v>111</v>
      </c>
      <c r="F262" s="150">
        <f>'[1]Fliggy Store Daily Key Data'!K1929</f>
        <v>207503.84</v>
      </c>
      <c r="G262" s="150">
        <v>169</v>
      </c>
      <c r="H262" s="9">
        <f t="shared" si="8"/>
        <v>0.0828402366863905</v>
      </c>
      <c r="I262" s="15">
        <v>14</v>
      </c>
      <c r="J262" s="18">
        <f t="shared" si="7"/>
        <v>0.000444755067030942</v>
      </c>
      <c r="K262" s="5"/>
    </row>
    <row r="263" ht="13.85" spans="1:11">
      <c r="A263" s="149">
        <v>45371</v>
      </c>
      <c r="B263" s="150">
        <f>'[1]Fliggy Store Daily Key Data'!B1930</f>
        <v>110408</v>
      </c>
      <c r="C263" s="150">
        <f>'[1]Fliggy Store Daily Key Data'!C1930</f>
        <v>85901</v>
      </c>
      <c r="D263" s="150">
        <f>'[1]Fliggy Store Daily Key Data'!G1930</f>
        <v>24175</v>
      </c>
      <c r="E263" s="150">
        <v>195</v>
      </c>
      <c r="F263" s="150">
        <f>'[1]Fliggy Store Daily Key Data'!K1930</f>
        <v>521473</v>
      </c>
      <c r="G263" s="150">
        <v>185</v>
      </c>
      <c r="H263" s="9">
        <f t="shared" si="8"/>
        <v>0.118918918918919</v>
      </c>
      <c r="I263" s="15">
        <v>22</v>
      </c>
      <c r="J263" s="18">
        <f t="shared" si="7"/>
        <v>0.000256108776382114</v>
      </c>
      <c r="K263" s="5"/>
    </row>
    <row r="264" ht="13.85" spans="1:11">
      <c r="A264" s="149">
        <v>45372</v>
      </c>
      <c r="B264" s="150">
        <f>'[1]Fliggy Store Daily Key Data'!B1931</f>
        <v>40892</v>
      </c>
      <c r="C264" s="150">
        <f>'[1]Fliggy Store Daily Key Data'!C1931</f>
        <v>26293</v>
      </c>
      <c r="D264" s="150">
        <f>'[1]Fliggy Store Daily Key Data'!G1931</f>
        <v>23584</v>
      </c>
      <c r="E264" s="150">
        <v>74</v>
      </c>
      <c r="F264" s="150">
        <f>'[1]Fliggy Store Daily Key Data'!K1931</f>
        <v>208874</v>
      </c>
      <c r="G264" s="150">
        <v>150</v>
      </c>
      <c r="H264" s="9">
        <f t="shared" si="8"/>
        <v>0.0733333333333333</v>
      </c>
      <c r="I264" s="15">
        <v>11</v>
      </c>
      <c r="J264" s="18">
        <f t="shared" si="7"/>
        <v>0.000418362301753318</v>
      </c>
      <c r="K264" s="5"/>
    </row>
    <row r="265" ht="13.85" spans="1:11">
      <c r="A265" s="149">
        <v>45373</v>
      </c>
      <c r="B265" s="150">
        <f>'[1]Fliggy Store Daily Key Data'!B1932</f>
        <v>39801</v>
      </c>
      <c r="C265" s="150">
        <f>'[1]Fliggy Store Daily Key Data'!C1932</f>
        <v>24490</v>
      </c>
      <c r="D265" s="150">
        <f>'[1]Fliggy Store Daily Key Data'!G1932</f>
        <v>21925</v>
      </c>
      <c r="E265" s="150">
        <v>96</v>
      </c>
      <c r="F265" s="150">
        <f>'[1]Fliggy Store Daily Key Data'!K1932</f>
        <v>459620</v>
      </c>
      <c r="G265" s="150">
        <v>142</v>
      </c>
      <c r="H265" s="9">
        <f t="shared" si="8"/>
        <v>0.183098591549296</v>
      </c>
      <c r="I265" s="15">
        <v>26</v>
      </c>
      <c r="J265" s="18">
        <f t="shared" si="7"/>
        <v>0.00106165781951817</v>
      </c>
      <c r="K265" s="5"/>
    </row>
    <row r="266" ht="13.85" spans="1:11">
      <c r="A266" s="149">
        <v>45374</v>
      </c>
      <c r="B266" s="150">
        <f>'[1]Fliggy Store Daily Key Data'!B1933</f>
        <v>41391</v>
      </c>
      <c r="C266" s="150">
        <f>'[1]Fliggy Store Daily Key Data'!C1933</f>
        <v>25467</v>
      </c>
      <c r="D266" s="150">
        <f>'[1]Fliggy Store Daily Key Data'!G1933</f>
        <v>23568</v>
      </c>
      <c r="E266" s="150">
        <v>56</v>
      </c>
      <c r="F266" s="150">
        <f>'[1]Fliggy Store Daily Key Data'!K1933</f>
        <v>307368</v>
      </c>
      <c r="G266" s="150">
        <v>101</v>
      </c>
      <c r="H266" s="9">
        <f t="shared" si="8"/>
        <v>0.128712871287129</v>
      </c>
      <c r="I266" s="15">
        <v>13</v>
      </c>
      <c r="J266" s="18">
        <f t="shared" si="7"/>
        <v>0.000510464522715671</v>
      </c>
      <c r="K266" s="5"/>
    </row>
    <row r="267" ht="13.85" spans="1:11">
      <c r="A267" s="149">
        <v>45375</v>
      </c>
      <c r="B267" s="150">
        <f>'[1]Fliggy Store Daily Key Data'!B1934</f>
        <v>45403</v>
      </c>
      <c r="C267" s="150">
        <f>'[1]Fliggy Store Daily Key Data'!C1934</f>
        <v>26177</v>
      </c>
      <c r="D267" s="150">
        <f>'[1]Fliggy Store Daily Key Data'!G1934</f>
        <v>23427</v>
      </c>
      <c r="E267" s="150">
        <v>46</v>
      </c>
      <c r="F267" s="150">
        <f>'[1]Fliggy Store Daily Key Data'!K1934</f>
        <v>187237</v>
      </c>
      <c r="G267" s="150">
        <v>95</v>
      </c>
      <c r="H267" s="9">
        <f t="shared" si="8"/>
        <v>0.126315789473684</v>
      </c>
      <c r="I267" s="15">
        <v>12</v>
      </c>
      <c r="J267" s="18">
        <f t="shared" si="7"/>
        <v>0.000458417694923024</v>
      </c>
      <c r="K267" s="5"/>
    </row>
    <row r="268" ht="13.85" spans="1:11">
      <c r="A268" s="149">
        <v>45376</v>
      </c>
      <c r="B268" s="150">
        <f>'[1]Fliggy Store Daily Key Data'!B1935</f>
        <v>45047</v>
      </c>
      <c r="C268" s="150">
        <f>'[1]Fliggy Store Daily Key Data'!C1935</f>
        <v>25887</v>
      </c>
      <c r="D268" s="150">
        <f>'[1]Fliggy Store Daily Key Data'!G1935</f>
        <v>23630</v>
      </c>
      <c r="E268" s="150">
        <v>59</v>
      </c>
      <c r="F268" s="150">
        <f>'[1]Fliggy Store Daily Key Data'!K1935</f>
        <v>125823</v>
      </c>
      <c r="G268" s="150">
        <v>94</v>
      </c>
      <c r="H268" s="9">
        <f t="shared" si="8"/>
        <v>0.074468085106383</v>
      </c>
      <c r="I268" s="15">
        <v>7</v>
      </c>
      <c r="J268" s="18">
        <f t="shared" si="7"/>
        <v>0.00027040599528721</v>
      </c>
      <c r="K268" s="5"/>
    </row>
    <row r="269" ht="13.85" spans="1:11">
      <c r="A269" s="149">
        <v>45377</v>
      </c>
      <c r="B269" s="150">
        <f>'[1]Fliggy Store Daily Key Data'!B1936</f>
        <v>58360</v>
      </c>
      <c r="C269" s="150">
        <f>'[1]Fliggy Store Daily Key Data'!C1936</f>
        <v>37051</v>
      </c>
      <c r="D269" s="150">
        <f>'[1]Fliggy Store Daily Key Data'!G1936</f>
        <v>22465</v>
      </c>
      <c r="E269" s="150">
        <v>71</v>
      </c>
      <c r="F269" s="150">
        <f>'[1]Fliggy Store Daily Key Data'!K1936</f>
        <v>111429.76</v>
      </c>
      <c r="G269" s="150">
        <v>113</v>
      </c>
      <c r="H269" s="9">
        <f t="shared" si="8"/>
        <v>0.0707964601769911</v>
      </c>
      <c r="I269" s="15">
        <v>8</v>
      </c>
      <c r="J269" s="18">
        <f t="shared" si="7"/>
        <v>0.000215918598688295</v>
      </c>
      <c r="K269" s="5"/>
    </row>
    <row r="270" ht="13.85" spans="1:11">
      <c r="A270" s="149">
        <v>45378</v>
      </c>
      <c r="B270" s="150">
        <f>'[1]Fliggy Store Daily Key Data'!B1937</f>
        <v>46901</v>
      </c>
      <c r="C270" s="150">
        <f>'[1]Fliggy Store Daily Key Data'!C1937</f>
        <v>28897</v>
      </c>
      <c r="D270" s="150">
        <f>'[1]Fliggy Store Daily Key Data'!G1937</f>
        <v>19173</v>
      </c>
      <c r="E270" s="150">
        <v>64</v>
      </c>
      <c r="F270" s="150">
        <f>'[1]Fliggy Store Daily Key Data'!K1937</f>
        <v>76527</v>
      </c>
      <c r="G270" s="150">
        <v>111</v>
      </c>
      <c r="H270" s="9">
        <f t="shared" si="8"/>
        <v>0.036036036036036</v>
      </c>
      <c r="I270" s="15">
        <v>4</v>
      </c>
      <c r="J270" s="18">
        <f t="shared" si="7"/>
        <v>0.000138422673633941</v>
      </c>
      <c r="K270" s="5"/>
    </row>
    <row r="271" ht="13.85" spans="1:11">
      <c r="A271" s="149">
        <v>45379</v>
      </c>
      <c r="B271" s="150">
        <f>'[1]Fliggy Store Daily Key Data'!B1938</f>
        <v>41576</v>
      </c>
      <c r="C271" s="150">
        <f>'[1]Fliggy Store Daily Key Data'!C1938</f>
        <v>23642</v>
      </c>
      <c r="D271" s="150">
        <f>'[1]Fliggy Store Daily Key Data'!G1938</f>
        <v>18089</v>
      </c>
      <c r="E271" s="150">
        <v>67</v>
      </c>
      <c r="F271" s="150">
        <f>'[1]Fliggy Store Daily Key Data'!K1938</f>
        <v>184493</v>
      </c>
      <c r="G271" s="150">
        <v>81</v>
      </c>
      <c r="H271" s="9">
        <f t="shared" si="8"/>
        <v>0.148148148148148</v>
      </c>
      <c r="I271" s="15">
        <v>12</v>
      </c>
      <c r="J271" s="18">
        <f t="shared" si="7"/>
        <v>0.000507571271466035</v>
      </c>
      <c r="K271" s="5"/>
    </row>
    <row r="272" ht="13.85" spans="1:11">
      <c r="A272" s="149">
        <v>45380</v>
      </c>
      <c r="B272" s="150">
        <f>'[1]Fliggy Store Daily Key Data'!B1939</f>
        <v>42778</v>
      </c>
      <c r="C272" s="150">
        <f>'[1]Fliggy Store Daily Key Data'!C1939</f>
        <v>24459</v>
      </c>
      <c r="D272" s="150">
        <f>'[1]Fliggy Store Daily Key Data'!G1939</f>
        <v>21189</v>
      </c>
      <c r="E272" s="150">
        <v>46</v>
      </c>
      <c r="F272" s="150">
        <f>'[1]Fliggy Store Daily Key Data'!K1939</f>
        <v>152883</v>
      </c>
      <c r="G272" s="150">
        <v>92</v>
      </c>
      <c r="H272" s="9">
        <f t="shared" si="8"/>
        <v>0.108695652173913</v>
      </c>
      <c r="I272" s="15">
        <v>10</v>
      </c>
      <c r="J272" s="18">
        <f t="shared" si="7"/>
        <v>0.000408847459013042</v>
      </c>
      <c r="K272" s="5"/>
    </row>
    <row r="273" ht="13.85" spans="1:11">
      <c r="A273" s="149">
        <v>45381</v>
      </c>
      <c r="B273" s="150">
        <f>'[1]Fliggy Store Daily Key Data'!B1940</f>
        <v>25977</v>
      </c>
      <c r="C273" s="150">
        <f>'[1]Fliggy Store Daily Key Data'!C1940</f>
        <v>15576</v>
      </c>
      <c r="D273" s="150">
        <f>'[1]Fliggy Store Daily Key Data'!G1940</f>
        <v>10882</v>
      </c>
      <c r="E273" s="150">
        <v>51</v>
      </c>
      <c r="F273" s="150">
        <f>'[1]Fliggy Store Daily Key Data'!K1940</f>
        <v>154709</v>
      </c>
      <c r="G273" s="150">
        <v>84</v>
      </c>
      <c r="H273" s="9">
        <f t="shared" si="8"/>
        <v>0.0833333333333333</v>
      </c>
      <c r="I273" s="15">
        <v>7</v>
      </c>
      <c r="J273" s="18">
        <f t="shared" si="7"/>
        <v>0.000449409347714432</v>
      </c>
      <c r="K273" s="5"/>
    </row>
    <row r="274" ht="13.85" spans="1:11">
      <c r="A274" s="149">
        <v>45382</v>
      </c>
      <c r="B274" s="150">
        <f>'[1]Fliggy Store Daily Key Data'!B1941</f>
        <v>32661</v>
      </c>
      <c r="C274" s="150">
        <f>'[1]Fliggy Store Daily Key Data'!C1941</f>
        <v>18811</v>
      </c>
      <c r="D274" s="150">
        <f>'[1]Fliggy Store Daily Key Data'!G1941</f>
        <v>11146</v>
      </c>
      <c r="E274" s="150">
        <v>63</v>
      </c>
      <c r="F274" s="150">
        <f>'[1]Fliggy Store Daily Key Data'!K1941</f>
        <v>825992</v>
      </c>
      <c r="G274" s="150">
        <v>106</v>
      </c>
      <c r="H274" s="9">
        <f t="shared" si="8"/>
        <v>0.283018867924528</v>
      </c>
      <c r="I274" s="15">
        <v>30</v>
      </c>
      <c r="J274" s="18">
        <f t="shared" si="7"/>
        <v>0.0015948115464356</v>
      </c>
      <c r="K274" s="5"/>
    </row>
    <row r="275" ht="13.85" spans="1:11">
      <c r="A275" s="149">
        <v>45383</v>
      </c>
      <c r="B275" s="150">
        <f>'[1]Fliggy Store Daily Key Data'!B1942</f>
        <v>28172</v>
      </c>
      <c r="C275" s="150">
        <f>'[1]Fliggy Store Daily Key Data'!C1942</f>
        <v>14042</v>
      </c>
      <c r="D275" s="150">
        <f>'[1]Fliggy Store Daily Key Data'!G1942</f>
        <v>6909</v>
      </c>
      <c r="E275" s="150">
        <v>27</v>
      </c>
      <c r="F275" s="150">
        <f>'[1]Fliggy Store Daily Key Data'!K1942</f>
        <v>25186</v>
      </c>
      <c r="G275" s="150">
        <v>88</v>
      </c>
      <c r="H275" s="9">
        <f t="shared" si="8"/>
        <v>0.0113636363636364</v>
      </c>
      <c r="I275" s="15">
        <v>1</v>
      </c>
      <c r="J275" s="18">
        <f t="shared" si="7"/>
        <v>7.12149266486255e-5</v>
      </c>
      <c r="K275" s="5"/>
    </row>
    <row r="276" ht="13.85" spans="1:11">
      <c r="A276" s="149">
        <v>45384</v>
      </c>
      <c r="B276" s="150">
        <f>'[1]Fliggy Store Daily Key Data'!B1943</f>
        <v>54090</v>
      </c>
      <c r="C276" s="150">
        <f>'[1]Fliggy Store Daily Key Data'!C1943</f>
        <v>36927</v>
      </c>
      <c r="D276" s="150">
        <f>'[1]Fliggy Store Daily Key Data'!G1943</f>
        <v>6334</v>
      </c>
      <c r="E276" s="150">
        <v>50</v>
      </c>
      <c r="F276" s="150">
        <f>'[1]Fliggy Store Daily Key Data'!K1943</f>
        <v>35511</v>
      </c>
      <c r="G276" s="150">
        <v>89</v>
      </c>
      <c r="H276" s="9">
        <f t="shared" si="8"/>
        <v>0.0224719101123595</v>
      </c>
      <c r="I276" s="15">
        <v>2</v>
      </c>
      <c r="J276" s="18">
        <f t="shared" si="7"/>
        <v>5.41609120697593e-5</v>
      </c>
      <c r="K276" s="5"/>
    </row>
    <row r="277" ht="13.85" spans="1:11">
      <c r="A277" s="149">
        <v>45385</v>
      </c>
      <c r="B277" s="150">
        <f>'[1]Fliggy Store Daily Key Data'!B1944</f>
        <v>29952</v>
      </c>
      <c r="C277" s="150">
        <f>'[1]Fliggy Store Daily Key Data'!C1944</f>
        <v>20785</v>
      </c>
      <c r="D277" s="150">
        <f>'[1]Fliggy Store Daily Key Data'!G1944</f>
        <v>6696</v>
      </c>
      <c r="E277" s="150">
        <v>38</v>
      </c>
      <c r="F277" s="150">
        <f>'[1]Fliggy Store Daily Key Data'!K1944</f>
        <v>107598</v>
      </c>
      <c r="G277" s="150">
        <v>77</v>
      </c>
      <c r="H277" s="9">
        <f t="shared" si="8"/>
        <v>0.0649350649350649</v>
      </c>
      <c r="I277" s="15">
        <v>5</v>
      </c>
      <c r="J277" s="18">
        <f t="shared" si="7"/>
        <v>0.000240558094779889</v>
      </c>
      <c r="K277" s="5"/>
    </row>
    <row r="278" ht="13.85" spans="1:11">
      <c r="A278" s="149">
        <v>45386</v>
      </c>
      <c r="B278" s="150">
        <f>'[1]Fliggy Store Daily Key Data'!B1945</f>
        <v>26287</v>
      </c>
      <c r="C278" s="150">
        <f>'[1]Fliggy Store Daily Key Data'!C1945</f>
        <v>15401</v>
      </c>
      <c r="D278" s="150">
        <f>'[1]Fliggy Store Daily Key Data'!G1945</f>
        <v>7124</v>
      </c>
      <c r="E278" s="150">
        <v>25</v>
      </c>
      <c r="F278" s="150">
        <f>'[1]Fliggy Store Daily Key Data'!K1945</f>
        <v>8974</v>
      </c>
      <c r="G278" s="150">
        <v>60</v>
      </c>
      <c r="H278" s="9">
        <f t="shared" si="8"/>
        <v>0.0166666666666667</v>
      </c>
      <c r="I278" s="15">
        <v>1</v>
      </c>
      <c r="J278" s="18">
        <f t="shared" si="7"/>
        <v>6.49308486461918e-5</v>
      </c>
      <c r="K278" s="5"/>
    </row>
    <row r="279" ht="13.85" spans="1:11">
      <c r="A279" s="149">
        <v>45387</v>
      </c>
      <c r="B279" s="150">
        <f>'[1]Fliggy Store Daily Key Data'!B1946</f>
        <v>23945</v>
      </c>
      <c r="C279" s="150">
        <f>'[1]Fliggy Store Daily Key Data'!C1946</f>
        <v>13105</v>
      </c>
      <c r="D279" s="150">
        <f>'[1]Fliggy Store Daily Key Data'!G1946</f>
        <v>7289</v>
      </c>
      <c r="E279" s="150">
        <v>30</v>
      </c>
      <c r="F279" s="150">
        <f>'[1]Fliggy Store Daily Key Data'!K1946</f>
        <v>70070</v>
      </c>
      <c r="G279" s="150">
        <v>53</v>
      </c>
      <c r="H279" s="9">
        <f t="shared" si="8"/>
        <v>0.0566037735849057</v>
      </c>
      <c r="I279" s="15">
        <v>3</v>
      </c>
      <c r="J279" s="18">
        <f t="shared" si="7"/>
        <v>0.000228920259442961</v>
      </c>
      <c r="K279" s="5"/>
    </row>
    <row r="280" ht="13.85" spans="1:11">
      <c r="A280" s="149">
        <v>45388</v>
      </c>
      <c r="B280" s="150">
        <f>'[1]Fliggy Store Daily Key Data'!B1947</f>
        <v>22354</v>
      </c>
      <c r="C280" s="150">
        <f>'[1]Fliggy Store Daily Key Data'!C1947</f>
        <v>12047</v>
      </c>
      <c r="D280" s="150">
        <f>'[1]Fliggy Store Daily Key Data'!G1947</f>
        <v>7158</v>
      </c>
      <c r="E280" s="150">
        <v>47</v>
      </c>
      <c r="F280" s="150">
        <f>'[1]Fliggy Store Daily Key Data'!K1947</f>
        <v>30090</v>
      </c>
      <c r="G280" s="150">
        <v>69</v>
      </c>
      <c r="H280" s="9">
        <f t="shared" si="8"/>
        <v>0.0289855072463768</v>
      </c>
      <c r="I280" s="15">
        <v>2</v>
      </c>
      <c r="J280" s="18">
        <f t="shared" ref="J280:J343" si="9">I280/C280</f>
        <v>0.000166016435627127</v>
      </c>
      <c r="K280" s="5"/>
    </row>
    <row r="281" ht="13.85" spans="1:11">
      <c r="A281" s="149">
        <v>45389</v>
      </c>
      <c r="B281" s="150">
        <f>'[1]Fliggy Store Daily Key Data'!B1948</f>
        <v>18682</v>
      </c>
      <c r="C281" s="150">
        <f>'[1]Fliggy Store Daily Key Data'!C1948</f>
        <v>11527</v>
      </c>
      <c r="D281" s="150">
        <f>'[1]Fliggy Store Daily Key Data'!G1948</f>
        <v>7759</v>
      </c>
      <c r="E281" s="150">
        <v>30</v>
      </c>
      <c r="F281" s="150">
        <f>'[1]Fliggy Store Daily Key Data'!K1948</f>
        <v>24859</v>
      </c>
      <c r="G281" s="150">
        <v>98</v>
      </c>
      <c r="H281" s="9">
        <f t="shared" si="8"/>
        <v>0.0204081632653061</v>
      </c>
      <c r="I281" s="15">
        <v>2</v>
      </c>
      <c r="J281" s="18">
        <f t="shared" si="9"/>
        <v>0.000173505682311096</v>
      </c>
      <c r="K281" s="5"/>
    </row>
    <row r="282" ht="13.85" spans="1:11">
      <c r="A282" s="149">
        <v>45390</v>
      </c>
      <c r="B282" s="150">
        <f>'[1]Fliggy Store Daily Key Data'!B1949</f>
        <v>19692</v>
      </c>
      <c r="C282" s="150">
        <f>'[1]Fliggy Store Daily Key Data'!C1949</f>
        <v>13054</v>
      </c>
      <c r="D282" s="150">
        <f>'[1]Fliggy Store Daily Key Data'!G1949</f>
        <v>8097</v>
      </c>
      <c r="E282" s="150">
        <v>36</v>
      </c>
      <c r="F282" s="150">
        <f>'[1]Fliggy Store Daily Key Data'!K1949</f>
        <v>13446</v>
      </c>
      <c r="G282" s="150">
        <v>115</v>
      </c>
      <c r="H282" s="9">
        <f t="shared" si="8"/>
        <v>0.00869565217391304</v>
      </c>
      <c r="I282" s="15">
        <v>1</v>
      </c>
      <c r="J282" s="18">
        <f t="shared" si="9"/>
        <v>7.66048720698636e-5</v>
      </c>
      <c r="K282" s="5"/>
    </row>
    <row r="283" ht="13.85" spans="1:11">
      <c r="A283" s="149">
        <v>45391</v>
      </c>
      <c r="B283" s="150">
        <f>'[1]Fliggy Store Daily Key Data'!B1950</f>
        <v>17865</v>
      </c>
      <c r="C283" s="150">
        <f>'[1]Fliggy Store Daily Key Data'!C1950</f>
        <v>11856</v>
      </c>
      <c r="D283" s="150">
        <f>'[1]Fliggy Store Daily Key Data'!G1950</f>
        <v>7704</v>
      </c>
      <c r="E283" s="150">
        <v>34</v>
      </c>
      <c r="F283" s="150">
        <f>'[1]Fliggy Store Daily Key Data'!K1950</f>
        <v>18594</v>
      </c>
      <c r="G283" s="150">
        <v>74</v>
      </c>
      <c r="H283" s="9">
        <f t="shared" si="8"/>
        <v>0.0135135135135135</v>
      </c>
      <c r="I283" s="15">
        <v>1</v>
      </c>
      <c r="J283" s="18">
        <f t="shared" si="9"/>
        <v>8.43454790823212e-5</v>
      </c>
      <c r="K283" s="5"/>
    </row>
    <row r="284" ht="13.85" spans="1:11">
      <c r="A284" s="149">
        <v>45392</v>
      </c>
      <c r="B284" s="150">
        <f>'[1]Fliggy Store Daily Key Data'!B1951</f>
        <v>39790</v>
      </c>
      <c r="C284" s="150">
        <f>'[1]Fliggy Store Daily Key Data'!C1951</f>
        <v>27603</v>
      </c>
      <c r="D284" s="150">
        <f>'[1]Fliggy Store Daily Key Data'!G1951</f>
        <v>8913</v>
      </c>
      <c r="E284" s="150">
        <v>43</v>
      </c>
      <c r="F284" s="150">
        <f>'[1]Fliggy Store Daily Key Data'!K1951</f>
        <v>114846.6</v>
      </c>
      <c r="G284" s="150">
        <v>104</v>
      </c>
      <c r="H284" s="9">
        <f t="shared" si="8"/>
        <v>0.0673076923076923</v>
      </c>
      <c r="I284" s="15">
        <v>7</v>
      </c>
      <c r="J284" s="18">
        <f t="shared" si="9"/>
        <v>0.000253595623664095</v>
      </c>
      <c r="K284" s="5"/>
    </row>
    <row r="285" ht="13.85" spans="1:11">
      <c r="A285" s="149">
        <v>45393</v>
      </c>
      <c r="B285" s="150">
        <f>'[1]Fliggy Store Daily Key Data'!B1952</f>
        <v>27350</v>
      </c>
      <c r="C285" s="150">
        <f>'[1]Fliggy Store Daily Key Data'!C1952</f>
        <v>20470</v>
      </c>
      <c r="D285" s="150">
        <f>'[1]Fliggy Store Daily Key Data'!G1952</f>
        <v>9512</v>
      </c>
      <c r="E285" s="150">
        <v>40</v>
      </c>
      <c r="F285" s="150">
        <f>'[1]Fliggy Store Daily Key Data'!K1952</f>
        <v>1040.48</v>
      </c>
      <c r="G285" s="150">
        <v>89</v>
      </c>
      <c r="H285" s="9">
        <f t="shared" si="8"/>
        <v>0.0112359550561798</v>
      </c>
      <c r="I285" s="15">
        <v>1</v>
      </c>
      <c r="J285" s="18">
        <f t="shared" si="9"/>
        <v>4.88519785051295e-5</v>
      </c>
      <c r="K285" s="5"/>
    </row>
    <row r="286" ht="13.85" spans="1:11">
      <c r="A286" s="149">
        <v>45394</v>
      </c>
      <c r="B286" s="150">
        <f>'[1]Fliggy Store Daily Key Data'!B1953</f>
        <v>31705</v>
      </c>
      <c r="C286" s="150">
        <f>'[1]Fliggy Store Daily Key Data'!C1953</f>
        <v>21048</v>
      </c>
      <c r="D286" s="150">
        <f>'[1]Fliggy Store Daily Key Data'!G1953</f>
        <v>10215</v>
      </c>
      <c r="E286" s="150">
        <v>50</v>
      </c>
      <c r="F286" s="150">
        <f>'[1]Fliggy Store Daily Key Data'!K1953</f>
        <v>36395</v>
      </c>
      <c r="G286" s="150">
        <v>72</v>
      </c>
      <c r="H286" s="9">
        <f t="shared" si="8"/>
        <v>0.0277777777777778</v>
      </c>
      <c r="I286" s="15">
        <v>2</v>
      </c>
      <c r="J286" s="18">
        <f t="shared" si="9"/>
        <v>9.50209045990118e-5</v>
      </c>
      <c r="K286" s="5"/>
    </row>
    <row r="287" ht="13.85" spans="1:11">
      <c r="A287" s="149">
        <v>45395</v>
      </c>
      <c r="B287" s="150">
        <f>'[1]Fliggy Store Daily Key Data'!B1954</f>
        <v>33748</v>
      </c>
      <c r="C287" s="150">
        <f>'[1]Fliggy Store Daily Key Data'!C1954</f>
        <v>23439</v>
      </c>
      <c r="D287" s="150">
        <f>'[1]Fliggy Store Daily Key Data'!G1954</f>
        <v>10641</v>
      </c>
      <c r="E287" s="150">
        <v>29</v>
      </c>
      <c r="F287" s="150">
        <f>'[1]Fliggy Store Daily Key Data'!K1954</f>
        <v>2249.6</v>
      </c>
      <c r="G287" s="150">
        <v>81</v>
      </c>
      <c r="H287" s="9">
        <f t="shared" si="8"/>
        <v>0.0246913580246914</v>
      </c>
      <c r="I287" s="15">
        <v>2</v>
      </c>
      <c r="J287" s="18">
        <f t="shared" si="9"/>
        <v>8.5327872349503e-5</v>
      </c>
      <c r="K287" s="5"/>
    </row>
    <row r="288" ht="13.85" spans="1:11">
      <c r="A288" s="149">
        <v>45396</v>
      </c>
      <c r="B288" s="150">
        <f>'[1]Fliggy Store Daily Key Data'!B1955</f>
        <v>39485</v>
      </c>
      <c r="C288" s="150">
        <f>'[1]Fliggy Store Daily Key Data'!C1955</f>
        <v>27031</v>
      </c>
      <c r="D288" s="150">
        <f>'[1]Fliggy Store Daily Key Data'!G1955</f>
        <v>11222</v>
      </c>
      <c r="E288" s="150">
        <v>44</v>
      </c>
      <c r="F288" s="150">
        <f>'[1]Fliggy Store Daily Key Data'!K1955</f>
        <v>101186</v>
      </c>
      <c r="G288" s="150">
        <v>79</v>
      </c>
      <c r="H288" s="9">
        <f t="shared" si="8"/>
        <v>0.0759493670886076</v>
      </c>
      <c r="I288" s="15">
        <v>6</v>
      </c>
      <c r="J288" s="18">
        <f t="shared" si="9"/>
        <v>0.000221967370796493</v>
      </c>
      <c r="K288" s="5"/>
    </row>
    <row r="289" ht="13.85" spans="1:11">
      <c r="A289" s="149">
        <v>45397</v>
      </c>
      <c r="B289" s="150">
        <f>'[1]Fliggy Store Daily Key Data'!B1956</f>
        <v>53676</v>
      </c>
      <c r="C289" s="150">
        <f>'[1]Fliggy Store Daily Key Data'!C1956</f>
        <v>34073</v>
      </c>
      <c r="D289" s="150">
        <f>'[1]Fliggy Store Daily Key Data'!G1956</f>
        <v>8451</v>
      </c>
      <c r="E289" s="150">
        <v>61</v>
      </c>
      <c r="F289" s="150">
        <f>'[1]Fliggy Store Daily Key Data'!K1956</f>
        <v>36657.68</v>
      </c>
      <c r="G289" s="150">
        <v>140</v>
      </c>
      <c r="H289" s="9">
        <f t="shared" si="8"/>
        <v>0.0285714285714286</v>
      </c>
      <c r="I289" s="15">
        <v>4</v>
      </c>
      <c r="J289" s="18">
        <f t="shared" si="9"/>
        <v>0.000117395004842544</v>
      </c>
      <c r="K289" s="5"/>
    </row>
    <row r="290" ht="13.85" spans="1:11">
      <c r="A290" s="149">
        <v>45398</v>
      </c>
      <c r="B290" s="150">
        <f>'[1]Fliggy Store Daily Key Data'!B1957</f>
        <v>37964</v>
      </c>
      <c r="C290" s="150">
        <f>'[1]Fliggy Store Daily Key Data'!C1957</f>
        <v>23479</v>
      </c>
      <c r="D290" s="150">
        <f>'[1]Fliggy Store Daily Key Data'!G1957</f>
        <v>10379</v>
      </c>
      <c r="E290" s="150">
        <v>34</v>
      </c>
      <c r="F290" s="150">
        <f>'[1]Fliggy Store Daily Key Data'!K1957</f>
        <v>145208</v>
      </c>
      <c r="G290" s="150">
        <v>117</v>
      </c>
      <c r="H290" s="9">
        <f t="shared" si="8"/>
        <v>0.0427350427350427</v>
      </c>
      <c r="I290" s="15">
        <v>5</v>
      </c>
      <c r="J290" s="18">
        <f t="shared" si="9"/>
        <v>0.000212956258784446</v>
      </c>
      <c r="K290" s="5"/>
    </row>
    <row r="291" ht="13.85" spans="1:11">
      <c r="A291" s="149">
        <v>45399</v>
      </c>
      <c r="B291" s="150">
        <f>'[1]Fliggy Store Daily Key Data'!B1958</f>
        <v>67377</v>
      </c>
      <c r="C291" s="150">
        <f>'[1]Fliggy Store Daily Key Data'!C1958</f>
        <v>49373</v>
      </c>
      <c r="D291" s="150">
        <f>'[1]Fliggy Store Daily Key Data'!G1958</f>
        <v>10532</v>
      </c>
      <c r="E291" s="150">
        <v>66</v>
      </c>
      <c r="F291" s="150">
        <f>'[1]Fliggy Store Daily Key Data'!K1958</f>
        <v>80931</v>
      </c>
      <c r="G291" s="150">
        <v>116</v>
      </c>
      <c r="H291" s="9">
        <f t="shared" si="8"/>
        <v>0.0517241379310345</v>
      </c>
      <c r="I291" s="15">
        <v>6</v>
      </c>
      <c r="J291" s="18">
        <f t="shared" si="9"/>
        <v>0.000121523909829259</v>
      </c>
      <c r="K291" s="5"/>
    </row>
    <row r="292" ht="13.85" spans="1:11">
      <c r="A292" s="149">
        <v>45400</v>
      </c>
      <c r="B292" s="150">
        <f>'[1]Fliggy Store Daily Key Data'!B1959</f>
        <v>27984</v>
      </c>
      <c r="C292" s="150">
        <f>'[1]Fliggy Store Daily Key Data'!C1959</f>
        <v>18174</v>
      </c>
      <c r="D292" s="150">
        <f>'[1]Fliggy Store Daily Key Data'!G1959</f>
        <v>10277</v>
      </c>
      <c r="E292" s="150">
        <v>43</v>
      </c>
      <c r="F292" s="150">
        <f>'[1]Fliggy Store Daily Key Data'!K1959</f>
        <v>48336</v>
      </c>
      <c r="G292" s="150">
        <v>108</v>
      </c>
      <c r="H292" s="9">
        <f t="shared" si="8"/>
        <v>0.00925925925925926</v>
      </c>
      <c r="I292" s="15">
        <v>1</v>
      </c>
      <c r="J292" s="18">
        <f t="shared" si="9"/>
        <v>5.50236601738748e-5</v>
      </c>
      <c r="K292" s="5"/>
    </row>
    <row r="293" ht="13.85" spans="1:11">
      <c r="A293" s="149">
        <v>45401</v>
      </c>
      <c r="B293" s="150">
        <f>'[1]Fliggy Store Daily Key Data'!B1960</f>
        <v>38777</v>
      </c>
      <c r="C293" s="150">
        <f>'[1]Fliggy Store Daily Key Data'!C1960</f>
        <v>24639</v>
      </c>
      <c r="D293" s="150">
        <f>'[1]Fliggy Store Daily Key Data'!G1960</f>
        <v>11388</v>
      </c>
      <c r="E293" s="150">
        <v>40</v>
      </c>
      <c r="F293" s="150">
        <f>'[1]Fliggy Store Daily Key Data'!K1960</f>
        <v>67053.6</v>
      </c>
      <c r="G293" s="150">
        <v>103</v>
      </c>
      <c r="H293" s="9">
        <f t="shared" si="8"/>
        <v>0.058252427184466</v>
      </c>
      <c r="I293" s="15">
        <v>6</v>
      </c>
      <c r="J293" s="18">
        <f t="shared" si="9"/>
        <v>0.000243516376476318</v>
      </c>
      <c r="K293" s="5"/>
    </row>
    <row r="294" ht="13.85" spans="1:11">
      <c r="A294" s="149">
        <v>45402</v>
      </c>
      <c r="B294" s="150">
        <f>'[1]Fliggy Store Daily Key Data'!B1961</f>
        <v>39987</v>
      </c>
      <c r="C294" s="150">
        <f>'[1]Fliggy Store Daily Key Data'!C1961</f>
        <v>24738</v>
      </c>
      <c r="D294" s="150">
        <f>'[1]Fliggy Store Daily Key Data'!G1961</f>
        <v>10828</v>
      </c>
      <c r="E294" s="150">
        <v>41</v>
      </c>
      <c r="F294" s="150">
        <f>'[1]Fliggy Store Daily Key Data'!K1961</f>
        <v>61148.4</v>
      </c>
      <c r="G294" s="150">
        <v>80</v>
      </c>
      <c r="H294" s="9">
        <f t="shared" si="8"/>
        <v>0.05</v>
      </c>
      <c r="I294" s="15">
        <v>4</v>
      </c>
      <c r="J294" s="18">
        <f t="shared" si="9"/>
        <v>0.00016169455897809</v>
      </c>
      <c r="K294" s="5"/>
    </row>
    <row r="295" ht="13.85" spans="1:11">
      <c r="A295" s="149">
        <v>45403</v>
      </c>
      <c r="B295" s="150">
        <f>'[1]Fliggy Store Daily Key Data'!B1962</f>
        <v>32299</v>
      </c>
      <c r="C295" s="150">
        <f>'[1]Fliggy Store Daily Key Data'!C1962</f>
        <v>19674</v>
      </c>
      <c r="D295" s="150">
        <f>'[1]Fliggy Store Daily Key Data'!G1962</f>
        <v>10236</v>
      </c>
      <c r="E295" s="150">
        <v>29</v>
      </c>
      <c r="F295" s="150">
        <f>'[1]Fliggy Store Daily Key Data'!K1962</f>
        <v>63058</v>
      </c>
      <c r="G295" s="150">
        <v>102</v>
      </c>
      <c r="H295" s="9">
        <f t="shared" si="8"/>
        <v>0.0294117647058824</v>
      </c>
      <c r="I295" s="15">
        <v>3</v>
      </c>
      <c r="J295" s="18">
        <f t="shared" si="9"/>
        <v>0.000152485513876182</v>
      </c>
      <c r="K295" s="5"/>
    </row>
    <row r="296" ht="13.85" spans="1:11">
      <c r="A296" s="149">
        <v>45404</v>
      </c>
      <c r="B296" s="150">
        <f>'[1]Fliggy Store Daily Key Data'!B1963</f>
        <v>81161</v>
      </c>
      <c r="C296" s="150">
        <f>'[1]Fliggy Store Daily Key Data'!C1963</f>
        <v>62374</v>
      </c>
      <c r="D296" s="150">
        <f>'[1]Fliggy Store Daily Key Data'!G1963</f>
        <v>10402</v>
      </c>
      <c r="E296" s="150">
        <v>72</v>
      </c>
      <c r="F296" s="150">
        <f>'[1]Fliggy Store Daily Key Data'!K1963</f>
        <v>109487</v>
      </c>
      <c r="G296" s="150">
        <v>117</v>
      </c>
      <c r="H296" s="9">
        <f t="shared" si="8"/>
        <v>0.0598290598290598</v>
      </c>
      <c r="I296" s="15">
        <v>7</v>
      </c>
      <c r="J296" s="18">
        <f t="shared" si="9"/>
        <v>0.000112226248116202</v>
      </c>
      <c r="K296" s="5"/>
    </row>
    <row r="297" ht="13.85" spans="1:11">
      <c r="A297" s="149">
        <v>45405</v>
      </c>
      <c r="B297" s="150">
        <f>'[1]Fliggy Store Daily Key Data'!B1964</f>
        <v>53420</v>
      </c>
      <c r="C297" s="150">
        <f>'[1]Fliggy Store Daily Key Data'!C1964</f>
        <v>38361</v>
      </c>
      <c r="D297" s="150">
        <f>'[1]Fliggy Store Daily Key Data'!G1964</f>
        <v>10465</v>
      </c>
      <c r="E297" s="150">
        <v>54</v>
      </c>
      <c r="F297" s="150">
        <f>'[1]Fliggy Store Daily Key Data'!K1964</f>
        <v>64158.85</v>
      </c>
      <c r="G297" s="150">
        <v>102</v>
      </c>
      <c r="H297" s="9">
        <f t="shared" si="8"/>
        <v>0.0588235294117647</v>
      </c>
      <c r="I297" s="15">
        <v>6</v>
      </c>
      <c r="J297" s="18">
        <f t="shared" si="9"/>
        <v>0.000156408852741065</v>
      </c>
      <c r="K297" s="5"/>
    </row>
    <row r="298" ht="13.85" spans="1:11">
      <c r="A298" s="149">
        <v>45406</v>
      </c>
      <c r="B298" s="150">
        <f>'[1]Fliggy Store Daily Key Data'!B1965</f>
        <v>95424</v>
      </c>
      <c r="C298" s="150">
        <f>'[1]Fliggy Store Daily Key Data'!C1965</f>
        <v>61907</v>
      </c>
      <c r="D298" s="150">
        <f>'[1]Fliggy Store Daily Key Data'!G1965</f>
        <v>10724</v>
      </c>
      <c r="E298" s="150">
        <v>73</v>
      </c>
      <c r="F298" s="150">
        <f>'[1]Fliggy Store Daily Key Data'!K1965</f>
        <v>53333</v>
      </c>
      <c r="G298" s="150">
        <v>97</v>
      </c>
      <c r="H298" s="9">
        <f t="shared" si="8"/>
        <v>0.0515463917525773</v>
      </c>
      <c r="I298" s="15">
        <v>5</v>
      </c>
      <c r="J298" s="18">
        <f t="shared" si="9"/>
        <v>8.07663107564573e-5</v>
      </c>
      <c r="K298" s="5"/>
    </row>
    <row r="299" ht="13.85" spans="1:11">
      <c r="A299" s="149">
        <v>45407</v>
      </c>
      <c r="B299" s="150">
        <f>'[1]Fliggy Store Daily Key Data'!B1966</f>
        <v>54514</v>
      </c>
      <c r="C299" s="150">
        <f>'[1]Fliggy Store Daily Key Data'!C1966</f>
        <v>35218</v>
      </c>
      <c r="D299" s="150">
        <f>'[1]Fliggy Store Daily Key Data'!G1966</f>
        <v>9020</v>
      </c>
      <c r="E299" s="150">
        <v>49</v>
      </c>
      <c r="F299" s="150">
        <f>'[1]Fliggy Store Daily Key Data'!K1966</f>
        <v>67557.84</v>
      </c>
      <c r="G299" s="150">
        <v>116</v>
      </c>
      <c r="H299" s="9">
        <f t="shared" si="8"/>
        <v>0.0431034482758621</v>
      </c>
      <c r="I299" s="15">
        <v>5</v>
      </c>
      <c r="J299" s="18">
        <f t="shared" si="9"/>
        <v>0.000141972854790164</v>
      </c>
      <c r="K299" s="5"/>
    </row>
    <row r="300" ht="13.85" spans="1:11">
      <c r="A300" s="149">
        <v>45408</v>
      </c>
      <c r="B300" s="150">
        <f>'[1]Fliggy Store Daily Key Data'!B1967</f>
        <v>166424</v>
      </c>
      <c r="C300" s="150">
        <f>'[1]Fliggy Store Daily Key Data'!C1967</f>
        <v>104762</v>
      </c>
      <c r="D300" s="150">
        <f>'[1]Fliggy Store Daily Key Data'!G1967</f>
        <v>9299</v>
      </c>
      <c r="E300" s="150">
        <v>193</v>
      </c>
      <c r="F300" s="150">
        <f>'[1]Fliggy Store Daily Key Data'!K1967</f>
        <v>147505</v>
      </c>
      <c r="G300" s="150">
        <v>160</v>
      </c>
      <c r="H300" s="9">
        <f t="shared" si="8"/>
        <v>0.05625</v>
      </c>
      <c r="I300" s="15">
        <v>9</v>
      </c>
      <c r="J300" s="18">
        <f t="shared" si="9"/>
        <v>8.59090128099884e-5</v>
      </c>
      <c r="K300" s="5"/>
    </row>
    <row r="301" ht="13.85" spans="1:11">
      <c r="A301" s="149">
        <v>45409</v>
      </c>
      <c r="B301" s="150">
        <f>'[1]Fliggy Store Daily Key Data'!B1968</f>
        <v>31042</v>
      </c>
      <c r="C301" s="150">
        <f>'[1]Fliggy Store Daily Key Data'!C1968</f>
        <v>20898</v>
      </c>
      <c r="D301" s="150">
        <f>'[1]Fliggy Store Daily Key Data'!G1968</f>
        <v>9408</v>
      </c>
      <c r="E301" s="150">
        <v>69</v>
      </c>
      <c r="F301" s="150">
        <f>'[1]Fliggy Store Daily Key Data'!K1968</f>
        <v>33203</v>
      </c>
      <c r="G301" s="150">
        <v>134</v>
      </c>
      <c r="H301" s="9">
        <f t="shared" si="8"/>
        <v>0.0223880597014925</v>
      </c>
      <c r="I301" s="15">
        <v>3</v>
      </c>
      <c r="J301" s="18">
        <f t="shared" si="9"/>
        <v>0.000143554407120299</v>
      </c>
      <c r="K301" s="5"/>
    </row>
    <row r="302" ht="13.85" spans="1:11">
      <c r="A302" s="149">
        <v>45410</v>
      </c>
      <c r="B302" s="150">
        <v>41565</v>
      </c>
      <c r="C302" s="150">
        <v>23064</v>
      </c>
      <c r="D302" s="150">
        <f>'[1]Fliggy Store Daily Key Data'!G1969</f>
        <v>10413</v>
      </c>
      <c r="E302" s="150">
        <v>49</v>
      </c>
      <c r="F302" s="150">
        <f>'[1]Fliggy Store Daily Key Data'!K1969</f>
        <v>64196.8</v>
      </c>
      <c r="G302" s="150">
        <v>155</v>
      </c>
      <c r="H302" s="9">
        <f t="shared" si="8"/>
        <v>0.0387096774193548</v>
      </c>
      <c r="I302" s="15">
        <v>6</v>
      </c>
      <c r="J302" s="18">
        <f t="shared" si="9"/>
        <v>0.000260145681581686</v>
      </c>
      <c r="K302" s="5"/>
    </row>
    <row r="303" ht="13.85" spans="1:11">
      <c r="A303" s="149">
        <v>45411</v>
      </c>
      <c r="B303" s="150">
        <f>'[1]Fliggy Store Daily Key Data'!B1970</f>
        <v>32857</v>
      </c>
      <c r="C303" s="150">
        <f>'[1]Fliggy Store Daily Key Data'!C1970</f>
        <v>21868</v>
      </c>
      <c r="D303" s="150">
        <f>'[1]Fliggy Store Daily Key Data'!G1970</f>
        <v>10116</v>
      </c>
      <c r="E303" s="150">
        <v>59</v>
      </c>
      <c r="F303" s="150">
        <f>'[1]Fliggy Store Daily Key Data'!K1970</f>
        <v>41762</v>
      </c>
      <c r="G303" s="150">
        <v>136</v>
      </c>
      <c r="H303" s="9">
        <f t="shared" si="8"/>
        <v>0.0147058823529412</v>
      </c>
      <c r="I303" s="15">
        <v>2</v>
      </c>
      <c r="J303" s="18">
        <f t="shared" si="9"/>
        <v>9.14578379367112e-5</v>
      </c>
      <c r="K303" s="5"/>
    </row>
    <row r="304" ht="13.85" spans="1:11">
      <c r="A304" s="149">
        <v>45412</v>
      </c>
      <c r="B304" s="150">
        <f>'[1]Fliggy Store Daily Key Data'!B1971</f>
        <v>42623</v>
      </c>
      <c r="C304" s="150">
        <f>'[1]Fliggy Store Daily Key Data'!C1971</f>
        <v>26844</v>
      </c>
      <c r="D304" s="150">
        <f>'[1]Fliggy Store Daily Key Data'!G1971</f>
        <v>10940</v>
      </c>
      <c r="E304" s="150">
        <v>49</v>
      </c>
      <c r="F304" s="150">
        <f>'[1]Fliggy Store Daily Key Data'!K1971</f>
        <v>72676</v>
      </c>
      <c r="G304" s="150">
        <v>137</v>
      </c>
      <c r="H304" s="9">
        <f t="shared" si="8"/>
        <v>0.0218978102189781</v>
      </c>
      <c r="I304" s="15">
        <v>3</v>
      </c>
      <c r="J304" s="18">
        <f t="shared" si="9"/>
        <v>0.000111756817165847</v>
      </c>
      <c r="K304" s="5"/>
    </row>
    <row r="305" ht="13.85" spans="1:11">
      <c r="A305" s="149">
        <v>45413</v>
      </c>
      <c r="B305" s="150">
        <f>'[1]Fliggy Store Daily Key Data'!B1972</f>
        <v>35587</v>
      </c>
      <c r="C305" s="150">
        <f>'[1]Fliggy Store Daily Key Data'!C1972</f>
        <v>21499</v>
      </c>
      <c r="D305" s="150">
        <f>'[1]Fliggy Store Daily Key Data'!G1972</f>
        <v>11075</v>
      </c>
      <c r="E305" s="150">
        <v>75</v>
      </c>
      <c r="F305" s="150">
        <f>'[1]Fliggy Store Daily Key Data'!K1972</f>
        <v>27292</v>
      </c>
      <c r="G305" s="150">
        <v>109</v>
      </c>
      <c r="H305" s="9">
        <f t="shared" si="8"/>
        <v>0.018348623853211</v>
      </c>
      <c r="I305" s="15">
        <v>2</v>
      </c>
      <c r="J305" s="18">
        <f t="shared" si="9"/>
        <v>9.30275826782641e-5</v>
      </c>
      <c r="K305" s="5"/>
    </row>
    <row r="306" ht="13.85" spans="1:11">
      <c r="A306" s="149">
        <v>45414</v>
      </c>
      <c r="B306" s="150">
        <f>'[1]Fliggy Store Daily Key Data'!B1973</f>
        <v>47466</v>
      </c>
      <c r="C306" s="150">
        <f>'[1]Fliggy Store Daily Key Data'!C1973</f>
        <v>28967</v>
      </c>
      <c r="D306" s="150">
        <f>'[1]Fliggy Store Daily Key Data'!G1973</f>
        <v>11709</v>
      </c>
      <c r="E306" s="150">
        <v>118</v>
      </c>
      <c r="F306" s="150">
        <f>'[1]Fliggy Store Daily Key Data'!K1973</f>
        <v>129622</v>
      </c>
      <c r="G306" s="150">
        <v>113</v>
      </c>
      <c r="H306" s="9">
        <f t="shared" si="8"/>
        <v>0.0530973451327434</v>
      </c>
      <c r="I306" s="15">
        <v>6</v>
      </c>
      <c r="J306" s="18">
        <f t="shared" si="9"/>
        <v>0.000207132253944143</v>
      </c>
      <c r="K306" s="5"/>
    </row>
    <row r="307" ht="13.85" spans="1:11">
      <c r="A307" s="149">
        <v>45415</v>
      </c>
      <c r="B307" s="150">
        <f>'[1]Fliggy Store Daily Key Data'!B1974</f>
        <v>38704</v>
      </c>
      <c r="C307" s="150">
        <f>'[1]Fliggy Store Daily Key Data'!C1974</f>
        <v>23784</v>
      </c>
      <c r="D307" s="150">
        <f>'[1]Fliggy Store Daily Key Data'!G1974</f>
        <v>12057</v>
      </c>
      <c r="E307" s="150">
        <v>74</v>
      </c>
      <c r="F307" s="150">
        <f>'[1]Fliggy Store Daily Key Data'!K1974</f>
        <v>14354</v>
      </c>
      <c r="G307" s="150">
        <v>111</v>
      </c>
      <c r="H307" s="9">
        <f t="shared" si="8"/>
        <v>0.00900900900900901</v>
      </c>
      <c r="I307" s="15">
        <v>1</v>
      </c>
      <c r="J307" s="18">
        <f t="shared" si="9"/>
        <v>4.20450723175244e-5</v>
      </c>
      <c r="K307" s="5"/>
    </row>
    <row r="308" ht="13.85" spans="1:11">
      <c r="A308" s="149">
        <v>45416</v>
      </c>
      <c r="B308" s="150">
        <f>'[1]Fliggy Store Daily Key Data'!B1975</f>
        <v>61581</v>
      </c>
      <c r="C308" s="150">
        <f>'[1]Fliggy Store Daily Key Data'!C1975</f>
        <v>33195</v>
      </c>
      <c r="D308" s="150">
        <f>'[1]Fliggy Store Daily Key Data'!G1975</f>
        <v>12448</v>
      </c>
      <c r="E308" s="150">
        <v>71</v>
      </c>
      <c r="F308" s="150">
        <f>'[1]Fliggy Store Daily Key Data'!K1975</f>
        <v>95580</v>
      </c>
      <c r="G308" s="150">
        <v>123</v>
      </c>
      <c r="H308" s="9">
        <f t="shared" si="8"/>
        <v>0.0569105691056911</v>
      </c>
      <c r="I308" s="15">
        <v>7</v>
      </c>
      <c r="J308" s="18">
        <f t="shared" si="9"/>
        <v>0.000210875131796957</v>
      </c>
      <c r="K308" s="5"/>
    </row>
    <row r="309" ht="13.85" spans="1:11">
      <c r="A309" s="149">
        <v>45417</v>
      </c>
      <c r="B309" s="150">
        <f>'[1]Fliggy Store Daily Key Data'!B1976</f>
        <v>43677</v>
      </c>
      <c r="C309" s="150">
        <f>'[1]Fliggy Store Daily Key Data'!C1976</f>
        <v>26350</v>
      </c>
      <c r="D309" s="150">
        <f>'[1]Fliggy Store Daily Key Data'!G1976</f>
        <v>12010</v>
      </c>
      <c r="E309" s="150">
        <v>61</v>
      </c>
      <c r="F309" s="150">
        <f>'[1]Fliggy Store Daily Key Data'!K1976</f>
        <v>20972</v>
      </c>
      <c r="G309" s="150">
        <v>135</v>
      </c>
      <c r="H309" s="9">
        <f t="shared" si="8"/>
        <v>0.0148148148148148</v>
      </c>
      <c r="I309" s="15">
        <v>2</v>
      </c>
      <c r="J309" s="18">
        <f t="shared" si="9"/>
        <v>7.59013282732448e-5</v>
      </c>
      <c r="K309" s="5"/>
    </row>
    <row r="310" ht="13.85" spans="1:11">
      <c r="A310" s="149">
        <v>45418</v>
      </c>
      <c r="B310" s="150">
        <f>'[1]Fliggy Store Daily Key Data'!B1977</f>
        <v>79061</v>
      </c>
      <c r="C310" s="150">
        <f>'[1]Fliggy Store Daily Key Data'!C1977</f>
        <v>41121</v>
      </c>
      <c r="D310" s="150">
        <f>'[1]Fliggy Store Daily Key Data'!G1977</f>
        <v>12345</v>
      </c>
      <c r="E310" s="150">
        <v>104</v>
      </c>
      <c r="F310" s="150">
        <f>'[1]Fliggy Store Daily Key Data'!K1977</f>
        <v>186371.6</v>
      </c>
      <c r="G310" s="150">
        <v>177</v>
      </c>
      <c r="H310" s="151">
        <f t="shared" si="8"/>
        <v>0.0225988700564972</v>
      </c>
      <c r="I310" s="15">
        <v>4</v>
      </c>
      <c r="J310" s="18">
        <f t="shared" si="9"/>
        <v>9.72738989810559e-5</v>
      </c>
      <c r="K310" s="5"/>
    </row>
    <row r="311" ht="13.85" spans="1:11">
      <c r="A311" s="149">
        <v>45419</v>
      </c>
      <c r="B311" s="150">
        <f>'[1]Fliggy Store Daily Key Data'!B1978</f>
        <v>34693</v>
      </c>
      <c r="C311" s="150">
        <f>'[1]Fliggy Store Daily Key Data'!C1978</f>
        <v>18823</v>
      </c>
      <c r="D311" s="150">
        <f>'[1]Fliggy Store Daily Key Data'!G1978</f>
        <v>9363</v>
      </c>
      <c r="E311" s="150">
        <v>63</v>
      </c>
      <c r="F311" s="150">
        <f>'[1]Fliggy Store Daily Key Data'!K1978</f>
        <v>287939.01</v>
      </c>
      <c r="G311" s="150">
        <v>139</v>
      </c>
      <c r="H311" s="151">
        <f t="shared" si="8"/>
        <v>0.107913669064748</v>
      </c>
      <c r="I311" s="15">
        <v>15</v>
      </c>
      <c r="J311" s="18">
        <f t="shared" si="9"/>
        <v>0.000796897412739733</v>
      </c>
      <c r="K311" s="5"/>
    </row>
    <row r="312" ht="13.85" spans="1:11">
      <c r="A312" s="149">
        <v>45420</v>
      </c>
      <c r="B312" s="150">
        <f>'[1]Fliggy Store Daily Key Data'!B1979</f>
        <v>41693</v>
      </c>
      <c r="C312" s="150">
        <f>'[1]Fliggy Store Daily Key Data'!C1979</f>
        <v>30031</v>
      </c>
      <c r="D312" s="150">
        <f>'[1]Fliggy Store Daily Key Data'!G1979</f>
        <v>8733</v>
      </c>
      <c r="E312" s="150">
        <v>74</v>
      </c>
      <c r="F312" s="150">
        <f>'[1]Fliggy Store Daily Key Data'!K1979</f>
        <v>193536</v>
      </c>
      <c r="G312" s="150">
        <v>142</v>
      </c>
      <c r="H312" s="151">
        <f t="shared" si="8"/>
        <v>0.0845070422535211</v>
      </c>
      <c r="I312" s="15">
        <v>12</v>
      </c>
      <c r="J312" s="18">
        <f t="shared" si="9"/>
        <v>0.000399587093336885</v>
      </c>
      <c r="K312" s="5"/>
    </row>
    <row r="313" ht="13.85" spans="1:11">
      <c r="A313" s="149">
        <v>45421</v>
      </c>
      <c r="B313" s="150">
        <f>'[1]Fliggy Store Daily Key Data'!B1980</f>
        <v>71724</v>
      </c>
      <c r="C313" s="150">
        <f>'[1]Fliggy Store Daily Key Data'!C1980</f>
        <v>53416</v>
      </c>
      <c r="D313" s="150">
        <f>'[1]Fliggy Store Daily Key Data'!G1980</f>
        <v>29008</v>
      </c>
      <c r="E313" s="150">
        <v>75</v>
      </c>
      <c r="F313" s="150">
        <f>'[1]Fliggy Store Daily Key Data'!K1980</f>
        <v>37721.2</v>
      </c>
      <c r="G313" s="150">
        <v>133</v>
      </c>
      <c r="H313" s="151">
        <f t="shared" si="8"/>
        <v>0.0300751879699248</v>
      </c>
      <c r="I313" s="15">
        <v>4</v>
      </c>
      <c r="J313" s="18">
        <f t="shared" si="9"/>
        <v>7.48839299086416e-5</v>
      </c>
      <c r="K313" s="5"/>
    </row>
    <row r="314" ht="13.85" spans="1:11">
      <c r="A314" s="149">
        <v>45422</v>
      </c>
      <c r="B314" s="150">
        <f>'[1]Fliggy Store Daily Key Data'!B1981</f>
        <v>64313</v>
      </c>
      <c r="C314" s="150">
        <f>'[1]Fliggy Store Daily Key Data'!C1981</f>
        <v>46211</v>
      </c>
      <c r="D314" s="150">
        <f>'[1]Fliggy Store Daily Key Data'!G1981</f>
        <v>20944</v>
      </c>
      <c r="E314" s="150">
        <v>50</v>
      </c>
      <c r="F314" s="150">
        <f>'[1]Fliggy Store Daily Key Data'!K1981</f>
        <v>17058</v>
      </c>
      <c r="G314" s="150">
        <v>118</v>
      </c>
      <c r="H314" s="151">
        <f t="shared" si="8"/>
        <v>0.00847457627118644</v>
      </c>
      <c r="I314" s="15">
        <v>1</v>
      </c>
      <c r="J314" s="18">
        <f t="shared" si="9"/>
        <v>2.16398692951895e-5</v>
      </c>
      <c r="K314" s="5"/>
    </row>
    <row r="315" ht="13.85" spans="1:11">
      <c r="A315" s="149">
        <v>45423</v>
      </c>
      <c r="B315" s="150">
        <f>'[1]Fliggy Store Daily Key Data'!B1982</f>
        <v>29260</v>
      </c>
      <c r="C315" s="150">
        <f>'[1]Fliggy Store Daily Key Data'!C1982</f>
        <v>16788</v>
      </c>
      <c r="D315" s="150">
        <f>'[1]Fliggy Store Daily Key Data'!G1982</f>
        <v>8360</v>
      </c>
      <c r="E315" s="150">
        <v>45</v>
      </c>
      <c r="F315" s="150">
        <f>'[1]Fliggy Store Daily Key Data'!K1982</f>
        <v>14490</v>
      </c>
      <c r="G315" s="150">
        <v>96</v>
      </c>
      <c r="H315" s="151">
        <f t="shared" si="8"/>
        <v>0.0104166666666667</v>
      </c>
      <c r="I315" s="152">
        <v>1</v>
      </c>
      <c r="J315" s="18">
        <f t="shared" si="9"/>
        <v>5.95663569216107e-5</v>
      </c>
      <c r="K315" s="5"/>
    </row>
    <row r="316" ht="13.85" spans="1:11">
      <c r="A316" s="149">
        <v>45424</v>
      </c>
      <c r="B316" s="150">
        <f>'[1]Fliggy Store Daily Key Data'!B1983</f>
        <v>29926</v>
      </c>
      <c r="C316" s="150">
        <f>'[1]Fliggy Store Daily Key Data'!C1983</f>
        <v>17668</v>
      </c>
      <c r="D316" s="150">
        <f>'[1]Fliggy Store Daily Key Data'!G1983</f>
        <v>8924</v>
      </c>
      <c r="E316" s="150">
        <v>39</v>
      </c>
      <c r="F316" s="150">
        <f>'[1]Fliggy Store Daily Key Data'!K1983</f>
        <v>44840.6</v>
      </c>
      <c r="G316" s="150">
        <v>100</v>
      </c>
      <c r="H316" s="151">
        <f t="shared" si="8"/>
        <v>0.04</v>
      </c>
      <c r="I316" s="152">
        <v>4</v>
      </c>
      <c r="J316" s="18">
        <f t="shared" si="9"/>
        <v>0.000226398007697532</v>
      </c>
      <c r="K316" s="5"/>
    </row>
    <row r="317" ht="13.85" spans="1:11">
      <c r="A317" s="149">
        <v>45425</v>
      </c>
      <c r="B317" s="150">
        <f>'[1]Fliggy Store Daily Key Data'!B1984</f>
        <v>55756</v>
      </c>
      <c r="C317" s="150">
        <f>'[1]Fliggy Store Daily Key Data'!C1984</f>
        <v>41751</v>
      </c>
      <c r="D317" s="150">
        <f>'[1]Fliggy Store Daily Key Data'!G1984</f>
        <v>22722</v>
      </c>
      <c r="E317" s="150">
        <v>49</v>
      </c>
      <c r="F317" s="150">
        <f>'[1]Fliggy Store Daily Key Data'!K1984</f>
        <v>80767</v>
      </c>
      <c r="G317" s="150">
        <v>124</v>
      </c>
      <c r="H317" s="151">
        <f t="shared" si="8"/>
        <v>0.0564516129032258</v>
      </c>
      <c r="I317" s="152">
        <v>7</v>
      </c>
      <c r="J317" s="18">
        <f t="shared" si="9"/>
        <v>0.000167660654834615</v>
      </c>
      <c r="K317" s="5"/>
    </row>
    <row r="318" ht="13.85" spans="1:11">
      <c r="A318" s="149">
        <v>45426</v>
      </c>
      <c r="B318" s="150">
        <f>'[1]Fliggy Store Daily Key Data'!B1985</f>
        <v>95972</v>
      </c>
      <c r="C318" s="150">
        <f>'[1]Fliggy Store Daily Key Data'!C1985</f>
        <v>72133</v>
      </c>
      <c r="D318" s="150">
        <f>'[1]Fliggy Store Daily Key Data'!G1985</f>
        <v>17717</v>
      </c>
      <c r="E318" s="150">
        <v>219</v>
      </c>
      <c r="F318" s="150">
        <f>'[1]Fliggy Store Daily Key Data'!K1985</f>
        <v>1898.1</v>
      </c>
      <c r="G318" s="150">
        <v>225</v>
      </c>
      <c r="H318" s="151">
        <f t="shared" si="8"/>
        <v>0.00444444444444444</v>
      </c>
      <c r="I318" s="152">
        <v>1</v>
      </c>
      <c r="J318" s="18">
        <f t="shared" si="9"/>
        <v>1.38632803293915e-5</v>
      </c>
      <c r="K318" s="5"/>
    </row>
    <row r="319" ht="13.85" spans="1:11">
      <c r="A319" s="149">
        <v>45427</v>
      </c>
      <c r="B319" s="150">
        <f>'[1]Fliggy Store Daily Key Data'!B1986</f>
        <v>32807</v>
      </c>
      <c r="C319" s="150">
        <f>'[1]Fliggy Store Daily Key Data'!C1986</f>
        <v>23492</v>
      </c>
      <c r="D319" s="150">
        <f>'[1]Fliggy Store Daily Key Data'!G1986</f>
        <v>8311</v>
      </c>
      <c r="E319" s="150">
        <v>65</v>
      </c>
      <c r="F319" s="150">
        <f>'[1]Fliggy Store Daily Key Data'!K1986</f>
        <v>23994</v>
      </c>
      <c r="G319" s="150">
        <v>362</v>
      </c>
      <c r="H319" s="151">
        <f t="shared" si="8"/>
        <v>0.00552486187845304</v>
      </c>
      <c r="I319" s="152">
        <v>2</v>
      </c>
      <c r="J319" s="18">
        <f t="shared" si="9"/>
        <v>8.51353652307168e-5</v>
      </c>
      <c r="K319" s="5"/>
    </row>
    <row r="320" ht="13.85" spans="1:11">
      <c r="A320" s="149">
        <v>45428</v>
      </c>
      <c r="B320" s="150">
        <f>'[1]Fliggy Store Daily Key Data'!B1987</f>
        <v>45447</v>
      </c>
      <c r="C320" s="150">
        <f>'[1]Fliggy Store Daily Key Data'!C1987</f>
        <v>30238</v>
      </c>
      <c r="D320" s="150">
        <f>'[1]Fliggy Store Daily Key Data'!G1987</f>
        <v>7681</v>
      </c>
      <c r="E320" s="150">
        <v>70</v>
      </c>
      <c r="F320" s="150">
        <f>'[1]Fliggy Store Daily Key Data'!K1987</f>
        <v>636963</v>
      </c>
      <c r="G320" s="150">
        <v>210</v>
      </c>
      <c r="H320" s="151">
        <f t="shared" si="8"/>
        <v>0.276190476190476</v>
      </c>
      <c r="I320" s="152">
        <v>58</v>
      </c>
      <c r="J320" s="18">
        <f t="shared" si="9"/>
        <v>0.00191811627753158</v>
      </c>
      <c r="K320" s="5"/>
    </row>
    <row r="321" ht="13.85" spans="1:11">
      <c r="A321" s="149">
        <v>45429</v>
      </c>
      <c r="B321" s="150">
        <f>'[1]Fliggy Store Daily Key Data'!B1988</f>
        <v>30591</v>
      </c>
      <c r="C321" s="150">
        <f>'[1]Fliggy Store Daily Key Data'!C1988</f>
        <v>16954</v>
      </c>
      <c r="D321" s="150">
        <f>'[1]Fliggy Store Daily Key Data'!G1988</f>
        <v>6762</v>
      </c>
      <c r="E321" s="150">
        <v>40</v>
      </c>
      <c r="F321" s="150">
        <f>'[1]Fliggy Store Daily Key Data'!K1988</f>
        <v>111848</v>
      </c>
      <c r="G321" s="150">
        <v>186</v>
      </c>
      <c r="H321" s="151">
        <f t="shared" si="8"/>
        <v>0.0591397849462366</v>
      </c>
      <c r="I321" s="152">
        <v>11</v>
      </c>
      <c r="J321" s="18">
        <f t="shared" si="9"/>
        <v>0.000648814439070426</v>
      </c>
      <c r="K321" s="5"/>
    </row>
    <row r="322" ht="13.85" spans="1:11">
      <c r="A322" s="149">
        <v>45430</v>
      </c>
      <c r="B322" s="150">
        <f>'[1]Fliggy Store Daily Key Data'!B1989</f>
        <v>27508</v>
      </c>
      <c r="C322" s="150">
        <f>'[1]Fliggy Store Daily Key Data'!C1989</f>
        <v>15247</v>
      </c>
      <c r="D322" s="150">
        <f>'[1]Fliggy Store Daily Key Data'!G1989</f>
        <v>6543</v>
      </c>
      <c r="E322" s="150">
        <v>65</v>
      </c>
      <c r="F322" s="150">
        <f>'[1]Fliggy Store Daily Key Data'!K1989</f>
        <v>101372</v>
      </c>
      <c r="G322" s="150">
        <v>72</v>
      </c>
      <c r="H322" s="151">
        <f t="shared" ref="H322:H385" si="10">I322/G322</f>
        <v>0.0972222222222222</v>
      </c>
      <c r="I322" s="152">
        <v>7</v>
      </c>
      <c r="J322" s="18">
        <f t="shared" si="9"/>
        <v>0.000459106709516626</v>
      </c>
      <c r="K322" s="5"/>
    </row>
    <row r="323" ht="13.85" spans="1:11">
      <c r="A323" s="149">
        <v>45431</v>
      </c>
      <c r="B323" s="150">
        <f>'[1]Fliggy Store Daily Key Data'!B1990</f>
        <v>32179</v>
      </c>
      <c r="C323" s="150">
        <f>'[1]Fliggy Store Daily Key Data'!C1990</f>
        <v>17187</v>
      </c>
      <c r="D323" s="150">
        <f>'[1]Fliggy Store Daily Key Data'!G1990</f>
        <v>6231</v>
      </c>
      <c r="E323" s="150">
        <v>108</v>
      </c>
      <c r="F323" s="150">
        <f>'[1]Fliggy Store Daily Key Data'!K1990</f>
        <v>126989</v>
      </c>
      <c r="G323" s="150">
        <v>148</v>
      </c>
      <c r="H323" s="151">
        <f t="shared" si="10"/>
        <v>0.0810810810810811</v>
      </c>
      <c r="I323" s="152">
        <v>12</v>
      </c>
      <c r="J323" s="18">
        <f t="shared" si="9"/>
        <v>0.000698202129516495</v>
      </c>
      <c r="K323" s="5"/>
    </row>
    <row r="324" ht="13.85" spans="1:11">
      <c r="A324" s="149">
        <v>45432</v>
      </c>
      <c r="B324" s="150">
        <f>'[1]Fliggy Store Daily Key Data'!B1991</f>
        <v>30876</v>
      </c>
      <c r="C324" s="150">
        <f>'[1]Fliggy Store Daily Key Data'!C1991</f>
        <v>16392</v>
      </c>
      <c r="D324" s="150">
        <f>'[1]Fliggy Store Daily Key Data'!G1991</f>
        <v>5548</v>
      </c>
      <c r="E324" s="150">
        <v>127</v>
      </c>
      <c r="F324" s="150">
        <f>'[1]Fliggy Store Daily Key Data'!K1991</f>
        <v>238918.6</v>
      </c>
      <c r="G324" s="150">
        <v>190</v>
      </c>
      <c r="H324" s="151">
        <f t="shared" si="10"/>
        <v>0.0842105263157895</v>
      </c>
      <c r="I324" s="152">
        <v>16</v>
      </c>
      <c r="J324" s="18">
        <f t="shared" si="9"/>
        <v>0.000976085895558809</v>
      </c>
      <c r="K324" s="5"/>
    </row>
    <row r="325" ht="13.85" spans="1:11">
      <c r="A325" s="149">
        <v>45433</v>
      </c>
      <c r="B325" s="150">
        <f>'[1]Fliggy Store Daily Key Data'!B1992</f>
        <v>543746</v>
      </c>
      <c r="C325" s="150">
        <f>'[1]Fliggy Store Daily Key Data'!C1992</f>
        <v>267165</v>
      </c>
      <c r="D325" s="150">
        <f>'[1]Fliggy Store Daily Key Data'!G1992</f>
        <v>6792</v>
      </c>
      <c r="E325" s="150">
        <v>434</v>
      </c>
      <c r="F325" s="150">
        <f>'[1]Fliggy Store Daily Key Data'!K1992</f>
        <v>11639063</v>
      </c>
      <c r="G325" s="150">
        <v>538</v>
      </c>
      <c r="H325" s="151">
        <f t="shared" si="10"/>
        <v>1.92936802973978</v>
      </c>
      <c r="I325" s="152">
        <v>1038</v>
      </c>
      <c r="J325" s="18">
        <f t="shared" si="9"/>
        <v>0.00388523945876144</v>
      </c>
      <c r="K325" s="5"/>
    </row>
    <row r="326" ht="13.85" spans="1:11">
      <c r="A326" s="149">
        <v>45434</v>
      </c>
      <c r="B326" s="150">
        <f>'[1]Fliggy Store Daily Key Data'!B1993</f>
        <v>63549</v>
      </c>
      <c r="C326" s="150">
        <f>'[1]Fliggy Store Daily Key Data'!C1993</f>
        <v>29347</v>
      </c>
      <c r="D326" s="150">
        <f>'[1]Fliggy Store Daily Key Data'!G1993</f>
        <v>6941</v>
      </c>
      <c r="E326" s="150">
        <v>237</v>
      </c>
      <c r="F326" s="150">
        <f>'[1]Fliggy Store Daily Key Data'!K1993</f>
        <v>1782498</v>
      </c>
      <c r="G326" s="150">
        <v>309</v>
      </c>
      <c r="H326" s="151">
        <f t="shared" si="10"/>
        <v>0.572815533980582</v>
      </c>
      <c r="I326" s="73">
        <v>177</v>
      </c>
      <c r="J326" s="18">
        <f t="shared" si="9"/>
        <v>0.00603128088049886</v>
      </c>
      <c r="K326" s="5"/>
    </row>
    <row r="327" ht="13.85" spans="1:11">
      <c r="A327" s="149">
        <v>45435</v>
      </c>
      <c r="B327" s="150">
        <f>'[1]Fliggy Store Daily Key Data'!B1994</f>
        <v>28731</v>
      </c>
      <c r="C327" s="150">
        <f>'[1]Fliggy Store Daily Key Data'!C1994</f>
        <v>13201</v>
      </c>
      <c r="D327" s="150">
        <f>'[1]Fliggy Store Daily Key Data'!G1994</f>
        <v>6739</v>
      </c>
      <c r="E327" s="150">
        <v>128</v>
      </c>
      <c r="F327" s="150">
        <f>'[1]Fliggy Store Daily Key Data'!K1994</f>
        <v>264925</v>
      </c>
      <c r="G327" s="150">
        <v>208</v>
      </c>
      <c r="H327" s="151">
        <f t="shared" si="10"/>
        <v>0.120192307692308</v>
      </c>
      <c r="I327" s="73">
        <v>25</v>
      </c>
      <c r="J327" s="18">
        <f t="shared" si="9"/>
        <v>0.00189379592455117</v>
      </c>
      <c r="K327" s="5"/>
    </row>
    <row r="328" ht="13.85" spans="1:11">
      <c r="A328" s="149">
        <v>45436</v>
      </c>
      <c r="B328" s="150">
        <f>'[1]Fliggy Store Daily Key Data'!B1995</f>
        <v>24316</v>
      </c>
      <c r="C328" s="150">
        <f>'[1]Fliggy Store Daily Key Data'!C1995</f>
        <v>10770</v>
      </c>
      <c r="D328" s="150">
        <f>'[1]Fliggy Store Daily Key Data'!G1995</f>
        <v>4600</v>
      </c>
      <c r="E328" s="150">
        <v>63</v>
      </c>
      <c r="F328" s="150">
        <f>'[1]Fliggy Store Daily Key Data'!K1995</f>
        <v>167146</v>
      </c>
      <c r="G328" s="150">
        <v>200</v>
      </c>
      <c r="H328" s="151">
        <f t="shared" si="10"/>
        <v>0.06</v>
      </c>
      <c r="I328" s="73">
        <v>12</v>
      </c>
      <c r="J328" s="18">
        <f t="shared" si="9"/>
        <v>0.0011142061281337</v>
      </c>
      <c r="K328" s="5"/>
    </row>
    <row r="329" ht="13.85" spans="1:11">
      <c r="A329" s="149">
        <v>45437</v>
      </c>
      <c r="B329" s="150">
        <f>'[1]Fliggy Store Daily Key Data'!B1996</f>
        <v>24882</v>
      </c>
      <c r="C329" s="150">
        <f>'[1]Fliggy Store Daily Key Data'!C1996</f>
        <v>12157</v>
      </c>
      <c r="D329" s="150">
        <f>'[1]Fliggy Store Daily Key Data'!G1996</f>
        <v>6529</v>
      </c>
      <c r="E329" s="150">
        <v>65</v>
      </c>
      <c r="F329" s="150">
        <f>'[1]Fliggy Store Daily Key Data'!K1996</f>
        <v>136499</v>
      </c>
      <c r="G329" s="150">
        <v>160</v>
      </c>
      <c r="H329" s="151">
        <f t="shared" si="10"/>
        <v>0.0375</v>
      </c>
      <c r="I329" s="73">
        <v>6</v>
      </c>
      <c r="J329" s="18">
        <f t="shared" si="9"/>
        <v>0.000493542814839187</v>
      </c>
      <c r="K329" s="5"/>
    </row>
    <row r="330" ht="13.85" spans="1:11">
      <c r="A330" s="149">
        <v>45438</v>
      </c>
      <c r="B330" s="150">
        <f>'[1]Fliggy Store Daily Key Data'!B1997</f>
        <v>21770</v>
      </c>
      <c r="C330" s="150">
        <f>'[1]Fliggy Store Daily Key Data'!C1997</f>
        <v>9981</v>
      </c>
      <c r="D330" s="150">
        <f>'[1]Fliggy Store Daily Key Data'!G1997</f>
        <v>5221</v>
      </c>
      <c r="E330" s="150">
        <v>73</v>
      </c>
      <c r="F330" s="150">
        <f>'[1]Fliggy Store Daily Key Data'!K1997</f>
        <v>110996</v>
      </c>
      <c r="G330" s="150">
        <v>146</v>
      </c>
      <c r="H330" s="151">
        <f t="shared" si="10"/>
        <v>0.0684931506849315</v>
      </c>
      <c r="I330" s="73">
        <v>10</v>
      </c>
      <c r="J330" s="18">
        <f t="shared" si="9"/>
        <v>0.00100190361687206</v>
      </c>
      <c r="K330" s="5"/>
    </row>
    <row r="331" ht="13.85" spans="1:11">
      <c r="A331" s="149">
        <v>45439</v>
      </c>
      <c r="B331" s="150">
        <f>'[1]Fliggy Store Daily Key Data'!B1998</f>
        <v>25900</v>
      </c>
      <c r="C331" s="150">
        <f>'[1]Fliggy Store Daily Key Data'!C1998</f>
        <v>11036</v>
      </c>
      <c r="D331" s="150">
        <f>'[1]Fliggy Store Daily Key Data'!G1998</f>
        <v>4352</v>
      </c>
      <c r="E331" s="150">
        <v>88</v>
      </c>
      <c r="F331" s="150">
        <f>'[1]Fliggy Store Daily Key Data'!K1998</f>
        <v>115585</v>
      </c>
      <c r="G331" s="150">
        <v>80</v>
      </c>
      <c r="H331" s="151">
        <f t="shared" si="10"/>
        <v>0.125</v>
      </c>
      <c r="I331" s="73">
        <v>10</v>
      </c>
      <c r="J331" s="18">
        <f t="shared" si="9"/>
        <v>0.000906125407756433</v>
      </c>
      <c r="K331" s="5"/>
    </row>
    <row r="332" ht="13.85" spans="1:11">
      <c r="A332" s="149">
        <v>45440</v>
      </c>
      <c r="B332" s="150">
        <f>'[1]Fliggy Store Daily Key Data'!B1999</f>
        <v>29274</v>
      </c>
      <c r="C332" s="150">
        <f>'[1]Fliggy Store Daily Key Data'!C1999</f>
        <v>14414</v>
      </c>
      <c r="D332" s="150">
        <f>'[1]Fliggy Store Daily Key Data'!G1999</f>
        <v>6255</v>
      </c>
      <c r="E332" s="150">
        <v>87</v>
      </c>
      <c r="F332" s="150">
        <f>'[1]Fliggy Store Daily Key Data'!K1999</f>
        <v>90929.12</v>
      </c>
      <c r="G332" s="150">
        <v>178</v>
      </c>
      <c r="H332" s="151">
        <f t="shared" si="10"/>
        <v>0.0449438202247191</v>
      </c>
      <c r="I332" s="73">
        <v>8</v>
      </c>
      <c r="J332" s="18">
        <f t="shared" si="9"/>
        <v>0.000555015956708755</v>
      </c>
      <c r="K332" s="5"/>
    </row>
    <row r="333" ht="13.85" spans="1:11">
      <c r="A333" s="149">
        <v>45441</v>
      </c>
      <c r="B333" s="150">
        <f>'[1]Fliggy Store Daily Key Data'!B2000</f>
        <v>43120</v>
      </c>
      <c r="C333" s="150">
        <f>'[1]Fliggy Store Daily Key Data'!C2000</f>
        <v>19956</v>
      </c>
      <c r="D333" s="150">
        <f>'[1]Fliggy Store Daily Key Data'!G2000</f>
        <v>8549</v>
      </c>
      <c r="E333" s="150">
        <v>110</v>
      </c>
      <c r="F333" s="150">
        <f>'[1]Fliggy Store Daily Key Data'!K2000</f>
        <v>122345</v>
      </c>
      <c r="G333" s="150">
        <v>157</v>
      </c>
      <c r="H333" s="151">
        <f t="shared" si="10"/>
        <v>0.0636942675159236</v>
      </c>
      <c r="I333" s="152">
        <v>10</v>
      </c>
      <c r="J333" s="18">
        <f t="shared" si="9"/>
        <v>0.000501102425335739</v>
      </c>
      <c r="K333" s="5"/>
    </row>
    <row r="334" ht="13.85" spans="1:11">
      <c r="A334" s="149">
        <v>45442</v>
      </c>
      <c r="B334" s="150">
        <f>'[1]Fliggy Store Daily Key Data'!B2001</f>
        <v>65729</v>
      </c>
      <c r="C334" s="150">
        <f>'[1]Fliggy Store Daily Key Data'!C2001</f>
        <v>31463</v>
      </c>
      <c r="D334" s="150">
        <f>'[1]Fliggy Store Daily Key Data'!G2001</f>
        <v>6152</v>
      </c>
      <c r="E334" s="150">
        <v>89</v>
      </c>
      <c r="F334" s="150">
        <f>'[1]Fliggy Store Daily Key Data'!K2001</f>
        <v>559854</v>
      </c>
      <c r="G334" s="150">
        <v>194</v>
      </c>
      <c r="H334" s="151">
        <f t="shared" si="10"/>
        <v>0.262886597938144</v>
      </c>
      <c r="I334" s="152">
        <v>51</v>
      </c>
      <c r="J334" s="18">
        <f t="shared" si="9"/>
        <v>0.00162095159393573</v>
      </c>
      <c r="K334" s="5"/>
    </row>
    <row r="335" ht="13.85" spans="1:11">
      <c r="A335" s="149">
        <v>45443</v>
      </c>
      <c r="B335" s="150">
        <f>'[1]Fliggy Store Daily Key Data'!B2002</f>
        <v>37518</v>
      </c>
      <c r="C335" s="150">
        <f>'[1]Fliggy Store Daily Key Data'!C2002</f>
        <v>20573</v>
      </c>
      <c r="D335" s="150">
        <f>'[1]Fliggy Store Daily Key Data'!G2002</f>
        <v>9933</v>
      </c>
      <c r="E335" s="150">
        <v>74</v>
      </c>
      <c r="F335" s="150">
        <f>'[1]Fliggy Store Daily Key Data'!K2002</f>
        <v>261456</v>
      </c>
      <c r="G335" s="150">
        <v>162</v>
      </c>
      <c r="H335" s="151">
        <f t="shared" si="10"/>
        <v>0.135802469135802</v>
      </c>
      <c r="I335" s="152">
        <v>22</v>
      </c>
      <c r="J335" s="18">
        <f t="shared" si="9"/>
        <v>0.00106936275701162</v>
      </c>
      <c r="K335" s="5"/>
    </row>
    <row r="336" ht="13.85" spans="1:11">
      <c r="A336" s="149">
        <v>45444</v>
      </c>
      <c r="B336" s="150">
        <f>'[1]Fliggy Store Daily Key Data'!B2003</f>
        <v>33824</v>
      </c>
      <c r="C336" s="150">
        <f>'[1]Fliggy Store Daily Key Data'!C2003</f>
        <v>16051</v>
      </c>
      <c r="D336" s="150">
        <f>'[1]Fliggy Store Daily Key Data'!G2003</f>
        <v>7600</v>
      </c>
      <c r="E336" s="150">
        <v>91</v>
      </c>
      <c r="F336" s="150">
        <f>'[1]Fliggy Store Daily Key Data'!K2003</f>
        <v>374451.68</v>
      </c>
      <c r="G336" s="150">
        <v>159</v>
      </c>
      <c r="H336" s="151">
        <f t="shared" si="10"/>
        <v>0.150943396226415</v>
      </c>
      <c r="I336" s="152">
        <v>24</v>
      </c>
      <c r="J336" s="18">
        <f t="shared" si="9"/>
        <v>0.00149523394181048</v>
      </c>
      <c r="K336" s="5"/>
    </row>
    <row r="337" ht="13.85" spans="1:11">
      <c r="A337" s="149">
        <v>45445</v>
      </c>
      <c r="B337" s="150">
        <f>'[1]Fliggy Store Daily Key Data'!B2004</f>
        <v>29038</v>
      </c>
      <c r="C337" s="150">
        <f>'[1]Fliggy Store Daily Key Data'!C2004</f>
        <v>12684</v>
      </c>
      <c r="D337" s="150">
        <f>'[1]Fliggy Store Daily Key Data'!G2004</f>
        <v>7625</v>
      </c>
      <c r="E337" s="150">
        <v>104</v>
      </c>
      <c r="F337" s="150">
        <f>'[1]Fliggy Store Daily Key Data'!K2004</f>
        <v>361142</v>
      </c>
      <c r="G337" s="150">
        <v>170</v>
      </c>
      <c r="H337" s="151">
        <f t="shared" si="10"/>
        <v>0.147058823529412</v>
      </c>
      <c r="I337" s="152">
        <v>25</v>
      </c>
      <c r="J337" s="18">
        <f t="shared" si="9"/>
        <v>0.00197098707032482</v>
      </c>
      <c r="K337" s="5"/>
    </row>
    <row r="338" ht="13.85" spans="1:11">
      <c r="A338" s="149">
        <v>45446</v>
      </c>
      <c r="B338" s="150">
        <f>'[1]Fliggy Store Daily Key Data'!B2005</f>
        <v>40992</v>
      </c>
      <c r="C338" s="150">
        <f>'[1]Fliggy Store Daily Key Data'!C2005</f>
        <v>18403</v>
      </c>
      <c r="D338" s="150">
        <f>'[1]Fliggy Store Daily Key Data'!G2005</f>
        <v>9831</v>
      </c>
      <c r="E338" s="150">
        <v>100</v>
      </c>
      <c r="F338" s="150">
        <f>'[1]Fliggy Store Daily Key Data'!K2005</f>
        <v>359892</v>
      </c>
      <c r="G338" s="150">
        <v>200</v>
      </c>
      <c r="H338" s="151">
        <f t="shared" si="10"/>
        <v>0.15</v>
      </c>
      <c r="I338" s="152">
        <v>30</v>
      </c>
      <c r="J338" s="18">
        <f t="shared" si="9"/>
        <v>0.00163016899418573</v>
      </c>
      <c r="K338" s="5"/>
    </row>
    <row r="339" ht="13.85" spans="1:11">
      <c r="A339" s="149">
        <v>45447</v>
      </c>
      <c r="B339" s="150">
        <f>'[1]Fliggy Store Daily Key Data'!B2006</f>
        <v>41164</v>
      </c>
      <c r="C339" s="150">
        <f>'[1]Fliggy Store Daily Key Data'!C2006</f>
        <v>19926</v>
      </c>
      <c r="D339" s="150">
        <f>'[1]Fliggy Store Daily Key Data'!G2006</f>
        <v>15955</v>
      </c>
      <c r="E339" s="150">
        <v>122</v>
      </c>
      <c r="F339" s="150">
        <f>'[1]Fliggy Store Daily Key Data'!K2006</f>
        <v>455009.84</v>
      </c>
      <c r="G339" s="150">
        <v>215</v>
      </c>
      <c r="H339" s="151">
        <f t="shared" si="10"/>
        <v>0.0744186046511628</v>
      </c>
      <c r="I339" s="152">
        <v>16</v>
      </c>
      <c r="J339" s="18">
        <f t="shared" si="9"/>
        <v>0.00080297099267289</v>
      </c>
      <c r="K339" s="5"/>
    </row>
    <row r="340" ht="13.85" spans="1:11">
      <c r="A340" s="149">
        <v>45448</v>
      </c>
      <c r="B340" s="150">
        <f>'[1]Fliggy Store Daily Key Data'!B2007</f>
        <v>68818</v>
      </c>
      <c r="C340" s="150">
        <f>'[1]Fliggy Store Daily Key Data'!C2007</f>
        <v>36475</v>
      </c>
      <c r="D340" s="150">
        <f>'[1]Fliggy Store Daily Key Data'!G2007</f>
        <v>9188</v>
      </c>
      <c r="E340" s="150">
        <v>176</v>
      </c>
      <c r="F340" s="150">
        <f>'[1]Fliggy Store Daily Key Data'!K2007</f>
        <v>396816</v>
      </c>
      <c r="G340" s="150">
        <v>209</v>
      </c>
      <c r="H340" s="151">
        <f t="shared" si="10"/>
        <v>0.143540669856459</v>
      </c>
      <c r="I340" s="152">
        <v>30</v>
      </c>
      <c r="J340" s="18">
        <f t="shared" si="9"/>
        <v>0.000822481151473612</v>
      </c>
      <c r="K340" s="5"/>
    </row>
    <row r="341" ht="13.85" spans="1:11">
      <c r="A341" s="153">
        <v>45449</v>
      </c>
      <c r="B341" s="150">
        <f>'[1]Fliggy Store Daily Key Data'!B2008</f>
        <v>53645</v>
      </c>
      <c r="C341" s="150">
        <f>'[1]Fliggy Store Daily Key Data'!C2008</f>
        <v>30182</v>
      </c>
      <c r="D341" s="150">
        <f>'[1]Fliggy Store Daily Key Data'!G2008</f>
        <v>7103</v>
      </c>
      <c r="E341" s="154">
        <v>156</v>
      </c>
      <c r="F341" s="150">
        <f>'[1]Fliggy Store Daily Key Data'!K2008</f>
        <v>418362</v>
      </c>
      <c r="G341" s="154">
        <v>216</v>
      </c>
      <c r="H341" s="155">
        <f t="shared" si="10"/>
        <v>0.175925925925926</v>
      </c>
      <c r="I341" s="152">
        <v>38</v>
      </c>
      <c r="J341" s="18">
        <f t="shared" si="9"/>
        <v>0.00125902856006892</v>
      </c>
      <c r="K341" s="5"/>
    </row>
    <row r="342" ht="13.85" spans="1:11">
      <c r="A342" s="153">
        <v>45450</v>
      </c>
      <c r="B342" s="150">
        <f>'[1]Fliggy Store Daily Key Data'!B2009</f>
        <v>41170</v>
      </c>
      <c r="C342" s="150">
        <f>'[1]Fliggy Store Daily Key Data'!C2009</f>
        <v>24949</v>
      </c>
      <c r="D342" s="150">
        <f>'[1]Fliggy Store Daily Key Data'!G2009</f>
        <v>5061</v>
      </c>
      <c r="E342" s="150">
        <v>71</v>
      </c>
      <c r="F342" s="150">
        <f>'[1]Fliggy Store Daily Key Data'!K2009</f>
        <v>133227</v>
      </c>
      <c r="G342" s="150">
        <v>169</v>
      </c>
      <c r="H342" s="155">
        <f t="shared" si="10"/>
        <v>0.0828402366863905</v>
      </c>
      <c r="I342" s="73">
        <v>14</v>
      </c>
      <c r="J342" s="18">
        <f t="shared" si="9"/>
        <v>0.00056114473525993</v>
      </c>
      <c r="K342" s="5"/>
    </row>
    <row r="343" ht="13.85" spans="1:11">
      <c r="A343" s="153">
        <v>45451</v>
      </c>
      <c r="B343" s="150">
        <f>'[1]Fliggy Store Daily Key Data'!B2010</f>
        <v>52074</v>
      </c>
      <c r="C343" s="150">
        <f>'[1]Fliggy Store Daily Key Data'!C2010</f>
        <v>30256</v>
      </c>
      <c r="D343" s="150">
        <f>'[1]Fliggy Store Daily Key Data'!G2010</f>
        <v>6020</v>
      </c>
      <c r="E343" s="150">
        <v>80</v>
      </c>
      <c r="F343" s="150">
        <f>'[1]Fliggy Store Daily Key Data'!K2010</f>
        <v>227284</v>
      </c>
      <c r="G343" s="150">
        <v>175</v>
      </c>
      <c r="H343" s="155">
        <f t="shared" si="10"/>
        <v>0.108571428571429</v>
      </c>
      <c r="I343" s="73">
        <v>19</v>
      </c>
      <c r="J343" s="18">
        <f t="shared" si="9"/>
        <v>0.000627974616604971</v>
      </c>
      <c r="K343" s="5"/>
    </row>
    <row r="344" ht="13.85" spans="1:11">
      <c r="A344" s="153">
        <v>45452</v>
      </c>
      <c r="B344" s="150">
        <f>'[1]Fliggy Store Daily Key Data'!B2011</f>
        <v>54677</v>
      </c>
      <c r="C344" s="150">
        <f>'[1]Fliggy Store Daily Key Data'!C2011</f>
        <v>31760</v>
      </c>
      <c r="D344" s="150">
        <f>'[1]Fliggy Store Daily Key Data'!G2011</f>
        <v>6191</v>
      </c>
      <c r="E344" s="150">
        <v>61</v>
      </c>
      <c r="F344" s="150">
        <f>'[1]Fliggy Store Daily Key Data'!K2011</f>
        <v>234617</v>
      </c>
      <c r="G344" s="150">
        <v>153</v>
      </c>
      <c r="H344" s="155">
        <f t="shared" si="10"/>
        <v>0.104575163398693</v>
      </c>
      <c r="I344" s="73">
        <v>16</v>
      </c>
      <c r="J344" s="18">
        <f t="shared" ref="J344:J407" si="11">I344/C344</f>
        <v>0.000503778337531486</v>
      </c>
      <c r="K344" s="5"/>
    </row>
    <row r="345" ht="13.85" spans="1:11">
      <c r="A345" s="153">
        <v>45453</v>
      </c>
      <c r="B345" s="150">
        <f>'[1]Fliggy Store Daily Key Data'!B2012</f>
        <v>55013</v>
      </c>
      <c r="C345" s="150">
        <f>'[1]Fliggy Store Daily Key Data'!C2012</f>
        <v>31188</v>
      </c>
      <c r="D345" s="150">
        <f>'[1]Fliggy Store Daily Key Data'!G2012</f>
        <v>6626</v>
      </c>
      <c r="E345" s="150">
        <v>90</v>
      </c>
      <c r="F345" s="150">
        <f>'[1]Fliggy Store Daily Key Data'!K2012</f>
        <v>201719</v>
      </c>
      <c r="G345" s="150">
        <v>170</v>
      </c>
      <c r="H345" s="155">
        <f t="shared" si="10"/>
        <v>0.0941176470588235</v>
      </c>
      <c r="I345" s="73">
        <v>16</v>
      </c>
      <c r="J345" s="18">
        <f t="shared" si="11"/>
        <v>0.000513017827369501</v>
      </c>
      <c r="K345" s="5"/>
    </row>
    <row r="346" ht="13.85" spans="1:11">
      <c r="A346" s="153">
        <v>45454</v>
      </c>
      <c r="B346" s="150">
        <f>'[1]Fliggy Store Daily Key Data'!B2013</f>
        <v>61329</v>
      </c>
      <c r="C346" s="150">
        <f>'[1]Fliggy Store Daily Key Data'!C2013</f>
        <v>38226</v>
      </c>
      <c r="D346" s="150">
        <f>'[1]Fliggy Store Daily Key Data'!G2013</f>
        <v>6054</v>
      </c>
      <c r="E346" s="150">
        <v>125</v>
      </c>
      <c r="F346" s="150">
        <f>'[1]Fliggy Store Daily Key Data'!K2013</f>
        <v>321631</v>
      </c>
      <c r="G346" s="150">
        <v>194</v>
      </c>
      <c r="H346" s="155">
        <f t="shared" si="10"/>
        <v>0.118556701030928</v>
      </c>
      <c r="I346" s="152">
        <v>23</v>
      </c>
      <c r="J346" s="18">
        <f t="shared" si="11"/>
        <v>0.000601684717208183</v>
      </c>
      <c r="K346" s="5"/>
    </row>
    <row r="347" ht="13.85" spans="1:11">
      <c r="A347" s="153">
        <v>45455</v>
      </c>
      <c r="B347" s="150">
        <f>'[1]Fliggy Store Daily Key Data'!B2014</f>
        <v>64224</v>
      </c>
      <c r="C347" s="150">
        <f>'[1]Fliggy Store Daily Key Data'!C2014</f>
        <v>38404</v>
      </c>
      <c r="D347" s="150">
        <f>'[1]Fliggy Store Daily Key Data'!G2014</f>
        <v>8296</v>
      </c>
      <c r="E347" s="150">
        <v>154</v>
      </c>
      <c r="F347" s="150">
        <f>'[1]Fliggy Store Daily Key Data'!K2014</f>
        <v>258902</v>
      </c>
      <c r="G347" s="150">
        <v>208</v>
      </c>
      <c r="H347" s="155">
        <f t="shared" si="10"/>
        <v>0.125</v>
      </c>
      <c r="I347" s="73">
        <f>24+2</f>
        <v>26</v>
      </c>
      <c r="J347" s="18">
        <f t="shared" si="11"/>
        <v>0.000677012811165504</v>
      </c>
      <c r="K347" s="5"/>
    </row>
    <row r="348" ht="13.85" spans="1:11">
      <c r="A348" s="153">
        <v>45456</v>
      </c>
      <c r="B348" s="150">
        <f>'[1]Fliggy Store Daily Key Data'!B2015</f>
        <v>53449</v>
      </c>
      <c r="C348" s="150">
        <f>'[1]Fliggy Store Daily Key Data'!C2015</f>
        <v>29742</v>
      </c>
      <c r="D348" s="150">
        <f>'[1]Fliggy Store Daily Key Data'!G2015</f>
        <v>6485</v>
      </c>
      <c r="E348" s="150">
        <v>131</v>
      </c>
      <c r="F348" s="150">
        <f>'[1]Fliggy Store Daily Key Data'!K2015</f>
        <v>232843</v>
      </c>
      <c r="G348" s="150">
        <v>175</v>
      </c>
      <c r="H348" s="155">
        <f t="shared" si="10"/>
        <v>0.114285714285714</v>
      </c>
      <c r="I348" s="73">
        <f>13+7</f>
        <v>20</v>
      </c>
      <c r="J348" s="18">
        <f t="shared" si="11"/>
        <v>0.000672449734382355</v>
      </c>
      <c r="K348" s="5"/>
    </row>
    <row r="349" ht="13.85" spans="1:11">
      <c r="A349" s="153">
        <v>45457</v>
      </c>
      <c r="B349" s="150">
        <f>'[1]Fliggy Store Daily Key Data'!B2016</f>
        <v>35487</v>
      </c>
      <c r="C349" s="150">
        <f>'[1]Fliggy Store Daily Key Data'!C2016</f>
        <v>18871</v>
      </c>
      <c r="D349" s="150">
        <f>'[1]Fliggy Store Daily Key Data'!G2016</f>
        <v>5787</v>
      </c>
      <c r="E349" s="150">
        <v>80</v>
      </c>
      <c r="F349" s="150">
        <f>'[1]Fliggy Store Daily Key Data'!K2016</f>
        <v>129842.8</v>
      </c>
      <c r="G349" s="150">
        <v>163</v>
      </c>
      <c r="H349" s="155">
        <f t="shared" si="10"/>
        <v>0.0674846625766871</v>
      </c>
      <c r="I349" s="73">
        <f>6+5</f>
        <v>11</v>
      </c>
      <c r="J349" s="18">
        <f t="shared" si="11"/>
        <v>0.000582904986487203</v>
      </c>
      <c r="K349" s="5"/>
    </row>
    <row r="350" ht="13.85" spans="1:11">
      <c r="A350" s="153">
        <v>45458</v>
      </c>
      <c r="B350" s="150">
        <f>'[1]Fliggy Store Daily Key Data'!B2017</f>
        <v>32646</v>
      </c>
      <c r="C350" s="150">
        <f>'[1]Fliggy Store Daily Key Data'!C2017</f>
        <v>14940</v>
      </c>
      <c r="D350" s="150">
        <f>'[1]Fliggy Store Daily Key Data'!G2017</f>
        <v>6315</v>
      </c>
      <c r="E350" s="150">
        <v>74</v>
      </c>
      <c r="F350" s="150">
        <f>'[1]Fliggy Store Daily Key Data'!K2017</f>
        <v>271582</v>
      </c>
      <c r="G350" s="150">
        <v>171</v>
      </c>
      <c r="H350" s="155">
        <f t="shared" si="10"/>
        <v>0.12280701754386</v>
      </c>
      <c r="I350" s="73">
        <f>18+3</f>
        <v>21</v>
      </c>
      <c r="J350" s="18">
        <f t="shared" si="11"/>
        <v>0.00140562248995984</v>
      </c>
      <c r="K350" s="5"/>
    </row>
    <row r="351" ht="13.85" spans="1:11">
      <c r="A351" s="153">
        <v>45459</v>
      </c>
      <c r="B351" s="150">
        <f>'[1]Fliggy Store Daily Key Data'!B2018</f>
        <v>30074</v>
      </c>
      <c r="C351" s="150">
        <f>'[1]Fliggy Store Daily Key Data'!C2018</f>
        <v>13951</v>
      </c>
      <c r="D351" s="150">
        <f>'[1]Fliggy Store Daily Key Data'!G2018</f>
        <v>6686</v>
      </c>
      <c r="E351" s="150">
        <v>63</v>
      </c>
      <c r="F351" s="150">
        <f>'[1]Fliggy Store Daily Key Data'!K2018</f>
        <v>339684.8</v>
      </c>
      <c r="G351" s="150">
        <v>162</v>
      </c>
      <c r="H351" s="155">
        <f t="shared" si="10"/>
        <v>0.197530864197531</v>
      </c>
      <c r="I351" s="73">
        <f>26+6</f>
        <v>32</v>
      </c>
      <c r="J351" s="18">
        <f t="shared" si="11"/>
        <v>0.00229374238405849</v>
      </c>
      <c r="K351" s="5"/>
    </row>
    <row r="352" ht="13.85" spans="1:11">
      <c r="A352" s="153">
        <v>45460</v>
      </c>
      <c r="B352" s="150">
        <f>'[1]Fliggy Store Daily Key Data'!B2019</f>
        <v>42345</v>
      </c>
      <c r="C352" s="150">
        <f>'[1]Fliggy Store Daily Key Data'!C2019</f>
        <v>21907</v>
      </c>
      <c r="D352" s="150">
        <f>'[1]Fliggy Store Daily Key Data'!G2019</f>
        <v>7618</v>
      </c>
      <c r="E352" s="150">
        <v>79</v>
      </c>
      <c r="F352" s="150">
        <f>'[1]Fliggy Store Daily Key Data'!K2019</f>
        <v>150766.76</v>
      </c>
      <c r="G352" s="150">
        <v>181</v>
      </c>
      <c r="H352" s="155">
        <f t="shared" si="10"/>
        <v>0.0607734806629834</v>
      </c>
      <c r="I352" s="73">
        <f>6+5</f>
        <v>11</v>
      </c>
      <c r="J352" s="18">
        <f t="shared" si="11"/>
        <v>0.000502122609211667</v>
      </c>
      <c r="K352" s="5"/>
    </row>
    <row r="353" ht="13.85" spans="1:11">
      <c r="A353" s="153">
        <v>45461</v>
      </c>
      <c r="B353" s="150">
        <f>'[1]Fliggy Store Daily Key Data'!B2020</f>
        <v>46717</v>
      </c>
      <c r="C353" s="150">
        <f>'[1]Fliggy Store Daily Key Data'!C2020</f>
        <v>23640</v>
      </c>
      <c r="D353" s="150">
        <f>'[1]Fliggy Store Daily Key Data'!G2020</f>
        <v>11288</v>
      </c>
      <c r="E353" s="150">
        <v>122</v>
      </c>
      <c r="F353" s="150">
        <f>'[1]Fliggy Store Daily Key Data'!K2020</f>
        <v>418272.01</v>
      </c>
      <c r="G353" s="150">
        <v>255</v>
      </c>
      <c r="H353" s="155">
        <f t="shared" si="10"/>
        <v>0.125490196078431</v>
      </c>
      <c r="I353" s="152">
        <v>32</v>
      </c>
      <c r="J353" s="18">
        <f t="shared" si="11"/>
        <v>0.00135363790186125</v>
      </c>
      <c r="K353" s="5"/>
    </row>
    <row r="354" ht="13.85" spans="1:11">
      <c r="A354" s="153">
        <v>45462</v>
      </c>
      <c r="B354" s="150">
        <f>'[1]Fliggy Store Daily Key Data'!B2021</f>
        <v>22645</v>
      </c>
      <c r="C354" s="150">
        <f>'[1]Fliggy Store Daily Key Data'!C2021</f>
        <v>9352</v>
      </c>
      <c r="D354" s="150">
        <f>'[1]Fliggy Store Daily Key Data'!G2021</f>
        <v>5565</v>
      </c>
      <c r="E354" s="150">
        <v>80</v>
      </c>
      <c r="F354" s="150">
        <f>'[1]Fliggy Store Daily Key Data'!K2021</f>
        <v>225666</v>
      </c>
      <c r="G354" s="150">
        <v>239</v>
      </c>
      <c r="H354" s="155">
        <f t="shared" si="10"/>
        <v>0.0920502092050209</v>
      </c>
      <c r="I354" s="73">
        <f>18+4</f>
        <v>22</v>
      </c>
      <c r="J354" s="18">
        <f t="shared" si="11"/>
        <v>0.0023524379811805</v>
      </c>
      <c r="K354" s="5"/>
    </row>
    <row r="355" ht="13.85" spans="1:11">
      <c r="A355" s="153">
        <v>45463</v>
      </c>
      <c r="B355" s="150">
        <f>'[1]Fliggy Store Daily Key Data'!B2022</f>
        <v>20142</v>
      </c>
      <c r="C355" s="150">
        <f>'[1]Fliggy Store Daily Key Data'!C2022</f>
        <v>7378</v>
      </c>
      <c r="D355" s="150">
        <f>'[1]Fliggy Store Daily Key Data'!G2022</f>
        <v>6596</v>
      </c>
      <c r="E355" s="150">
        <v>83</v>
      </c>
      <c r="F355" s="150">
        <f>'[1]Fliggy Store Daily Key Data'!K2022</f>
        <v>308984.8</v>
      </c>
      <c r="G355" s="150">
        <v>196</v>
      </c>
      <c r="H355" s="155">
        <f t="shared" si="10"/>
        <v>0.168367346938776</v>
      </c>
      <c r="I355" s="73">
        <f>25+8</f>
        <v>33</v>
      </c>
      <c r="J355" s="18">
        <f t="shared" si="11"/>
        <v>0.00447275684467335</v>
      </c>
      <c r="K355" s="5"/>
    </row>
    <row r="356" ht="13.85" spans="1:11">
      <c r="A356" s="153">
        <v>45464</v>
      </c>
      <c r="B356" s="150">
        <f>'[1]Fliggy Store Daily Key Data'!B2023</f>
        <v>17379</v>
      </c>
      <c r="C356" s="150">
        <f>'[1]Fliggy Store Daily Key Data'!C2023</f>
        <v>7559</v>
      </c>
      <c r="D356" s="150">
        <f>'[1]Fliggy Store Daily Key Data'!G2023</f>
        <v>7659</v>
      </c>
      <c r="E356" s="150">
        <v>27</v>
      </c>
      <c r="F356" s="150">
        <f>'[1]Fliggy Store Daily Key Data'!K2023</f>
        <v>31008</v>
      </c>
      <c r="G356" s="150">
        <v>147</v>
      </c>
      <c r="H356" s="155">
        <f t="shared" si="10"/>
        <v>0.00680272108843537</v>
      </c>
      <c r="I356" s="73">
        <v>1</v>
      </c>
      <c r="J356" s="18">
        <f t="shared" si="11"/>
        <v>0.000132292631300437</v>
      </c>
      <c r="K356" s="5"/>
    </row>
    <row r="357" ht="13.85" spans="1:11">
      <c r="A357" s="153">
        <v>45465</v>
      </c>
      <c r="B357" s="150">
        <f>'[1]Fliggy Store Daily Key Data'!B2024</f>
        <v>15962</v>
      </c>
      <c r="C357" s="150">
        <f>'[1]Fliggy Store Daily Key Data'!C2024</f>
        <v>7029</v>
      </c>
      <c r="D357" s="150">
        <f>'[1]Fliggy Store Daily Key Data'!G2024</f>
        <v>6550</v>
      </c>
      <c r="E357" s="150">
        <v>26</v>
      </c>
      <c r="F357" s="150">
        <f>'[1]Fliggy Store Daily Key Data'!K2024</f>
        <v>77373</v>
      </c>
      <c r="G357" s="150">
        <v>121</v>
      </c>
      <c r="H357" s="155">
        <f t="shared" si="10"/>
        <v>0.0413223140495868</v>
      </c>
      <c r="I357" s="73">
        <v>5</v>
      </c>
      <c r="J357" s="18">
        <f t="shared" si="11"/>
        <v>0.000711338739507754</v>
      </c>
      <c r="K357" s="5"/>
    </row>
    <row r="358" ht="13.85" spans="1:11">
      <c r="A358" s="153">
        <v>45466</v>
      </c>
      <c r="B358" s="150">
        <f>'[1]Fliggy Store Daily Key Data'!B2025</f>
        <v>17669</v>
      </c>
      <c r="C358" s="150">
        <f>'[1]Fliggy Store Daily Key Data'!C2025</f>
        <v>7858</v>
      </c>
      <c r="D358" s="150">
        <f>'[1]Fliggy Store Daily Key Data'!G2025</f>
        <v>6634</v>
      </c>
      <c r="E358" s="150">
        <v>36</v>
      </c>
      <c r="F358" s="150">
        <f>'[1]Fliggy Store Daily Key Data'!K2025</f>
        <v>220661</v>
      </c>
      <c r="G358" s="150">
        <v>141</v>
      </c>
      <c r="H358" s="155">
        <f t="shared" si="10"/>
        <v>0.049645390070922</v>
      </c>
      <c r="I358" s="73">
        <v>7</v>
      </c>
      <c r="J358" s="18">
        <f t="shared" si="11"/>
        <v>0.000890811911427844</v>
      </c>
      <c r="K358" s="5"/>
    </row>
    <row r="359" ht="13.85" spans="1:11">
      <c r="A359" s="153">
        <v>45467</v>
      </c>
      <c r="B359" s="150">
        <f>'[1]Fliggy Store Daily Key Data'!B2026</f>
        <v>23041</v>
      </c>
      <c r="C359" s="150">
        <f>'[1]Fliggy Store Daily Key Data'!C2026</f>
        <v>10339</v>
      </c>
      <c r="D359" s="150">
        <f>'[1]Fliggy Store Daily Key Data'!G2026</f>
        <v>8887</v>
      </c>
      <c r="E359" s="150">
        <v>29</v>
      </c>
      <c r="F359" s="150">
        <f>'[1]Fliggy Store Daily Key Data'!K2026</f>
        <v>7434</v>
      </c>
      <c r="G359" s="150">
        <v>141</v>
      </c>
      <c r="H359" s="155">
        <f t="shared" si="10"/>
        <v>0.00709219858156028</v>
      </c>
      <c r="I359" s="73">
        <v>1</v>
      </c>
      <c r="J359" s="18">
        <f t="shared" si="11"/>
        <v>9.67211529161428e-5</v>
      </c>
      <c r="K359" s="5"/>
    </row>
    <row r="360" ht="13.85" spans="1:11">
      <c r="A360" s="153">
        <v>45468</v>
      </c>
      <c r="B360" s="150">
        <f>'[1]Fliggy Store Daily Key Data'!B2027</f>
        <v>37342</v>
      </c>
      <c r="C360" s="150">
        <f>'[1]Fliggy Store Daily Key Data'!C2027</f>
        <v>20888</v>
      </c>
      <c r="D360" s="150">
        <f>'[1]Fliggy Store Daily Key Data'!G2027</f>
        <v>10436</v>
      </c>
      <c r="E360" s="150">
        <v>37</v>
      </c>
      <c r="F360" s="150">
        <f>'[1]Fliggy Store Daily Key Data'!K2027</f>
        <v>78703</v>
      </c>
      <c r="G360" s="150">
        <v>139</v>
      </c>
      <c r="H360" s="155">
        <f t="shared" si="10"/>
        <v>0.0287769784172662</v>
      </c>
      <c r="I360" s="73">
        <v>4</v>
      </c>
      <c r="J360" s="18">
        <f t="shared" si="11"/>
        <v>0.000191497510532363</v>
      </c>
      <c r="K360" s="5"/>
    </row>
    <row r="361" ht="13.85" spans="1:11">
      <c r="A361" s="153">
        <v>45469</v>
      </c>
      <c r="B361" s="150">
        <f>'[1]Fliggy Store Daily Key Data'!B2028</f>
        <v>40759</v>
      </c>
      <c r="C361" s="150">
        <f>'[1]Fliggy Store Daily Key Data'!C2028</f>
        <v>20677</v>
      </c>
      <c r="D361" s="150">
        <f>'[1]Fliggy Store Daily Key Data'!G2028</f>
        <v>12247</v>
      </c>
      <c r="E361" s="150">
        <v>41</v>
      </c>
      <c r="F361" s="150">
        <f>'[1]Fliggy Store Daily Key Data'!K2028</f>
        <v>25048</v>
      </c>
      <c r="G361" s="150">
        <v>115</v>
      </c>
      <c r="H361" s="155">
        <f t="shared" si="10"/>
        <v>0.0173913043478261</v>
      </c>
      <c r="I361" s="73">
        <v>2</v>
      </c>
      <c r="J361" s="18">
        <f t="shared" si="11"/>
        <v>9.67258306330706e-5</v>
      </c>
      <c r="K361" s="5"/>
    </row>
    <row r="362" ht="13.85" spans="1:11">
      <c r="A362" s="153">
        <v>45470</v>
      </c>
      <c r="B362" s="150">
        <f>'[1]Fliggy Store Daily Key Data'!B2029</f>
        <v>40333</v>
      </c>
      <c r="C362" s="150">
        <f>'[1]Fliggy Store Daily Key Data'!C2029</f>
        <v>21028</v>
      </c>
      <c r="D362" s="150">
        <f>'[1]Fliggy Store Daily Key Data'!G2029</f>
        <v>10508</v>
      </c>
      <c r="E362" s="150">
        <v>28</v>
      </c>
      <c r="F362" s="150">
        <f>'[1]Fliggy Store Daily Key Data'!K2029</f>
        <v>30016</v>
      </c>
      <c r="G362" s="150">
        <v>125</v>
      </c>
      <c r="H362" s="155">
        <f t="shared" si="10"/>
        <v>0.008</v>
      </c>
      <c r="I362" s="73">
        <v>1</v>
      </c>
      <c r="J362" s="18">
        <f t="shared" si="11"/>
        <v>4.75556400989157e-5</v>
      </c>
      <c r="K362" s="5"/>
    </row>
    <row r="363" ht="13.85" spans="1:11">
      <c r="A363" s="153">
        <v>45471</v>
      </c>
      <c r="B363" s="150">
        <f>'[1]Fliggy Store Daily Key Data'!B2030</f>
        <v>42478</v>
      </c>
      <c r="C363" s="150">
        <f>'[1]Fliggy Store Daily Key Data'!C2030</f>
        <v>24275</v>
      </c>
      <c r="D363" s="150">
        <f>'[1]Fliggy Store Daily Key Data'!G2030</f>
        <v>12293</v>
      </c>
      <c r="E363" s="150">
        <v>41</v>
      </c>
      <c r="F363" s="150">
        <f>'[1]Fliggy Store Daily Key Data'!K2030</f>
        <v>0</v>
      </c>
      <c r="G363" s="150">
        <v>118</v>
      </c>
      <c r="H363" s="155">
        <f t="shared" si="10"/>
        <v>0</v>
      </c>
      <c r="I363" s="73">
        <v>0</v>
      </c>
      <c r="J363" s="18">
        <f t="shared" si="11"/>
        <v>0</v>
      </c>
      <c r="K363" s="5"/>
    </row>
    <row r="364" ht="13.85" spans="1:11">
      <c r="A364" s="153">
        <v>45472</v>
      </c>
      <c r="B364" s="150">
        <f>'[1]Fliggy Store Daily Key Data'!B2031</f>
        <v>44691</v>
      </c>
      <c r="C364" s="150">
        <f>'[1]Fliggy Store Daily Key Data'!C2031</f>
        <v>25042</v>
      </c>
      <c r="D364" s="150">
        <f>'[1]Fliggy Store Daily Key Data'!G2031</f>
        <v>12715</v>
      </c>
      <c r="E364" s="150">
        <v>48</v>
      </c>
      <c r="F364" s="150">
        <f>'[1]Fliggy Store Daily Key Data'!K2031</f>
        <v>112335.68</v>
      </c>
      <c r="G364" s="150">
        <v>98</v>
      </c>
      <c r="H364" s="155">
        <f t="shared" si="10"/>
        <v>0.0408163265306122</v>
      </c>
      <c r="I364" s="73">
        <v>4</v>
      </c>
      <c r="J364" s="18">
        <f t="shared" si="11"/>
        <v>0.000159731650826611</v>
      </c>
      <c r="K364" s="5"/>
    </row>
    <row r="365" ht="13.85" spans="1:11">
      <c r="A365" s="153">
        <v>45473</v>
      </c>
      <c r="B365" s="150">
        <f>'[1]Fliggy Store Daily Key Data'!B2032</f>
        <v>44063</v>
      </c>
      <c r="C365" s="150">
        <f>'[1]Fliggy Store Daily Key Data'!C2032</f>
        <v>23871</v>
      </c>
      <c r="D365" s="150">
        <f>'[1]Fliggy Store Daily Key Data'!G2032</f>
        <v>13179</v>
      </c>
      <c r="E365" s="150">
        <v>55</v>
      </c>
      <c r="F365" s="150">
        <f>'[1]Fliggy Store Daily Key Data'!K2032</f>
        <v>25651.84</v>
      </c>
      <c r="G365" s="150">
        <v>134</v>
      </c>
      <c r="H365" s="155">
        <f t="shared" si="10"/>
        <v>0.0149253731343284</v>
      </c>
      <c r="I365" s="73">
        <v>2</v>
      </c>
      <c r="J365" s="18">
        <f t="shared" si="11"/>
        <v>8.37836705626073e-5</v>
      </c>
      <c r="K365" s="5"/>
    </row>
    <row r="366" ht="13.85" spans="1:11">
      <c r="A366" s="153">
        <v>45474</v>
      </c>
      <c r="B366" s="150">
        <f>'[1]Fliggy Store Daily Key Data'!B2033</f>
        <v>40674</v>
      </c>
      <c r="C366" s="150">
        <f>'[1]Fliggy Store Daily Key Data'!C2033</f>
        <v>21795</v>
      </c>
      <c r="D366" s="150">
        <f>'[1]Fliggy Store Daily Key Data'!G2033</f>
        <v>11006</v>
      </c>
      <c r="E366" s="150">
        <v>46</v>
      </c>
      <c r="F366" s="150">
        <f>'[1]Fliggy Store Daily Key Data'!K2033</f>
        <v>45628</v>
      </c>
      <c r="G366" s="150">
        <v>152</v>
      </c>
      <c r="H366" s="155">
        <f t="shared" si="10"/>
        <v>0.0131578947368421</v>
      </c>
      <c r="I366" s="73">
        <v>2</v>
      </c>
      <c r="J366" s="18">
        <f t="shared" si="11"/>
        <v>9.17641660931406e-5</v>
      </c>
      <c r="K366" s="5"/>
    </row>
    <row r="367" ht="13.85" spans="1:11">
      <c r="A367" s="153">
        <v>45475</v>
      </c>
      <c r="B367" s="150">
        <f>'[1]Fliggy Store Daily Key Data'!B2034</f>
        <v>33449</v>
      </c>
      <c r="C367" s="150">
        <f>'[1]Fliggy Store Daily Key Data'!C2034</f>
        <v>17658</v>
      </c>
      <c r="D367" s="150">
        <f>'[1]Fliggy Store Daily Key Data'!G2034</f>
        <v>10533</v>
      </c>
      <c r="E367" s="150">
        <v>47</v>
      </c>
      <c r="F367" s="150">
        <f>'[1]Fliggy Store Daily Key Data'!K2034</f>
        <v>45145</v>
      </c>
      <c r="G367" s="150">
        <v>132</v>
      </c>
      <c r="H367" s="155">
        <f t="shared" si="10"/>
        <v>0.0151515151515152</v>
      </c>
      <c r="I367" s="73">
        <v>2</v>
      </c>
      <c r="J367" s="18">
        <f t="shared" si="11"/>
        <v>0.000113263110205006</v>
      </c>
      <c r="K367" s="5"/>
    </row>
    <row r="368" ht="13.85" spans="1:11">
      <c r="A368" s="153">
        <v>45476</v>
      </c>
      <c r="B368" s="150">
        <f>'[1]Fliggy Store Daily Key Data'!B2035</f>
        <v>40775</v>
      </c>
      <c r="C368" s="150">
        <f>'[1]Fliggy Store Daily Key Data'!C2035</f>
        <v>23148</v>
      </c>
      <c r="D368" s="150">
        <f>'[1]Fliggy Store Daily Key Data'!G2035</f>
        <v>11144</v>
      </c>
      <c r="E368" s="150">
        <v>57</v>
      </c>
      <c r="F368" s="150">
        <f>'[1]Fliggy Store Daily Key Data'!K2035</f>
        <v>71033</v>
      </c>
      <c r="G368" s="150">
        <v>140</v>
      </c>
      <c r="H368" s="155">
        <f t="shared" si="10"/>
        <v>0.0357142857142857</v>
      </c>
      <c r="I368" s="73">
        <v>5</v>
      </c>
      <c r="J368" s="18">
        <f t="shared" si="11"/>
        <v>0.000216001382408847</v>
      </c>
      <c r="K368" s="5"/>
    </row>
    <row r="369" ht="13.85" spans="1:11">
      <c r="A369" s="153">
        <v>45477</v>
      </c>
      <c r="B369" s="150">
        <f>'[1]Fliggy Store Daily Key Data'!B2036</f>
        <v>27863</v>
      </c>
      <c r="C369" s="150">
        <f>'[1]Fliggy Store Daily Key Data'!C2036</f>
        <v>15015</v>
      </c>
      <c r="D369" s="150">
        <f>'[1]Fliggy Store Daily Key Data'!G2036</f>
        <v>7771</v>
      </c>
      <c r="E369" s="150">
        <v>39</v>
      </c>
      <c r="F369" s="150">
        <f>'[1]Fliggy Store Daily Key Data'!K2036</f>
        <v>26320</v>
      </c>
      <c r="G369" s="150">
        <v>96</v>
      </c>
      <c r="H369" s="155">
        <f t="shared" si="10"/>
        <v>0.0208333333333333</v>
      </c>
      <c r="I369" s="73">
        <v>2</v>
      </c>
      <c r="J369" s="18">
        <f t="shared" si="11"/>
        <v>0.000133200133200133</v>
      </c>
      <c r="K369" s="5"/>
    </row>
    <row r="370" ht="13.85" spans="1:11">
      <c r="A370" s="153">
        <v>45478</v>
      </c>
      <c r="B370" s="150">
        <f>'[1]Fliggy Store Daily Key Data'!B2037</f>
        <v>29232</v>
      </c>
      <c r="C370" s="150">
        <f>'[1]Fliggy Store Daily Key Data'!C2037</f>
        <v>16085</v>
      </c>
      <c r="D370" s="150">
        <f>'[1]Fliggy Store Daily Key Data'!G2037</f>
        <v>7857</v>
      </c>
      <c r="E370" s="150">
        <v>34</v>
      </c>
      <c r="F370" s="150">
        <f>'[1]Fliggy Store Daily Key Data'!K2037</f>
        <v>12388</v>
      </c>
      <c r="G370" s="150">
        <v>105</v>
      </c>
      <c r="H370" s="155">
        <f t="shared" si="10"/>
        <v>0.00952380952380952</v>
      </c>
      <c r="I370" s="73">
        <v>1</v>
      </c>
      <c r="J370" s="18">
        <f t="shared" si="11"/>
        <v>6.21697233447311e-5</v>
      </c>
      <c r="K370" s="5"/>
    </row>
    <row r="371" ht="13.85" spans="1:11">
      <c r="A371" s="153">
        <v>45479</v>
      </c>
      <c r="B371" s="150">
        <f>'[1]Fliggy Store Daily Key Data'!B2038</f>
        <v>36325</v>
      </c>
      <c r="C371" s="150">
        <f>'[1]Fliggy Store Daily Key Data'!C2038</f>
        <v>19892</v>
      </c>
      <c r="D371" s="150">
        <f>'[1]Fliggy Store Daily Key Data'!G2038</f>
        <v>8316</v>
      </c>
      <c r="E371" s="150">
        <v>37</v>
      </c>
      <c r="F371" s="150">
        <f>'[1]Fliggy Store Daily Key Data'!K2038</f>
        <v>38968</v>
      </c>
      <c r="G371" s="150">
        <v>107</v>
      </c>
      <c r="H371" s="155">
        <f t="shared" si="10"/>
        <v>0.0186915887850467</v>
      </c>
      <c r="I371" s="73">
        <v>2</v>
      </c>
      <c r="J371" s="18">
        <f t="shared" si="11"/>
        <v>0.000100542931831892</v>
      </c>
      <c r="K371" s="5"/>
    </row>
    <row r="372" ht="13.85" spans="1:11">
      <c r="A372" s="153">
        <v>45480</v>
      </c>
      <c r="B372" s="150">
        <f>'[1]Fliggy Store Daily Key Data'!B2039</f>
        <v>41038</v>
      </c>
      <c r="C372" s="150">
        <f>'[1]Fliggy Store Daily Key Data'!C2039</f>
        <v>22516</v>
      </c>
      <c r="D372" s="150">
        <f>'[1]Fliggy Store Daily Key Data'!G2039</f>
        <v>8130</v>
      </c>
      <c r="E372" s="150">
        <v>37</v>
      </c>
      <c r="F372" s="150">
        <f>'[1]Fliggy Store Daily Key Data'!K2039</f>
        <v>142148</v>
      </c>
      <c r="G372" s="150">
        <v>110</v>
      </c>
      <c r="H372" s="155">
        <f t="shared" si="10"/>
        <v>0.0636363636363636</v>
      </c>
      <c r="I372" s="73">
        <v>7</v>
      </c>
      <c r="J372" s="18">
        <f t="shared" si="11"/>
        <v>0.000310890033753775</v>
      </c>
      <c r="K372" s="5"/>
    </row>
    <row r="373" ht="13.85" spans="1:11">
      <c r="A373" s="153">
        <v>45481</v>
      </c>
      <c r="B373" s="150">
        <f>'[1]Fliggy Store Daily Key Data'!B2040</f>
        <v>28299</v>
      </c>
      <c r="C373" s="150">
        <f>'[1]Fliggy Store Daily Key Data'!C2040</f>
        <v>15756</v>
      </c>
      <c r="D373" s="150">
        <f>'[1]Fliggy Store Daily Key Data'!G2040</f>
        <v>7487</v>
      </c>
      <c r="E373" s="150">
        <v>37</v>
      </c>
      <c r="F373" s="150">
        <f>'[1]Fliggy Store Daily Key Data'!K2040</f>
        <v>130567.6</v>
      </c>
      <c r="G373" s="150">
        <v>176</v>
      </c>
      <c r="H373" s="155">
        <f t="shared" si="10"/>
        <v>0.0340909090909091</v>
      </c>
      <c r="I373" s="73">
        <v>6</v>
      </c>
      <c r="J373" s="18">
        <f t="shared" si="11"/>
        <v>0.000380807311500381</v>
      </c>
      <c r="K373" s="5"/>
    </row>
    <row r="374" ht="13.85" spans="1:11">
      <c r="A374" s="153">
        <v>45482</v>
      </c>
      <c r="B374" s="150">
        <f>'[1]Fliggy Store Daily Key Data'!B2041</f>
        <v>30149</v>
      </c>
      <c r="C374" s="150">
        <f>'[1]Fliggy Store Daily Key Data'!C2041</f>
        <v>15762</v>
      </c>
      <c r="D374" s="150">
        <f>'[1]Fliggy Store Daily Key Data'!G2041</f>
        <v>7296</v>
      </c>
      <c r="E374" s="150">
        <v>41</v>
      </c>
      <c r="F374" s="150">
        <f>'[1]Fliggy Store Daily Key Data'!K2041</f>
        <v>47058</v>
      </c>
      <c r="G374" s="150">
        <v>173</v>
      </c>
      <c r="H374" s="155">
        <f t="shared" si="10"/>
        <v>0</v>
      </c>
      <c r="I374" s="152">
        <v>0</v>
      </c>
      <c r="J374" s="18">
        <f t="shared" si="11"/>
        <v>0</v>
      </c>
      <c r="K374" s="5"/>
    </row>
    <row r="375" ht="13.85" spans="1:11">
      <c r="A375" s="153">
        <v>45483</v>
      </c>
      <c r="B375" s="150">
        <f>'[1]Fliggy Store Daily Key Data'!B2042</f>
        <v>27334</v>
      </c>
      <c r="C375" s="150">
        <f>'[1]Fliggy Store Daily Key Data'!C2042</f>
        <v>14887</v>
      </c>
      <c r="D375" s="150">
        <f>'[1]Fliggy Store Daily Key Data'!G2042</f>
        <v>7198</v>
      </c>
      <c r="E375" s="150">
        <v>50</v>
      </c>
      <c r="F375" s="150">
        <f>'[1]Fliggy Store Daily Key Data'!K2042</f>
        <v>16838</v>
      </c>
      <c r="G375" s="150">
        <v>149</v>
      </c>
      <c r="H375" s="155">
        <f t="shared" si="10"/>
        <v>0.00671140939597315</v>
      </c>
      <c r="I375" s="152">
        <v>1</v>
      </c>
      <c r="J375" s="18">
        <f t="shared" si="11"/>
        <v>6.71727010143078e-5</v>
      </c>
      <c r="K375" s="5"/>
    </row>
    <row r="376" ht="13.85" spans="1:11">
      <c r="A376" s="153">
        <v>45484</v>
      </c>
      <c r="B376" s="150">
        <f>'[1]Fliggy Store Daily Key Data'!B2043</f>
        <v>20907</v>
      </c>
      <c r="C376" s="150">
        <f>'[1]Fliggy Store Daily Key Data'!C2043</f>
        <v>10351</v>
      </c>
      <c r="D376" s="150">
        <f>'[1]Fliggy Store Daily Key Data'!G2043</f>
        <v>6852</v>
      </c>
      <c r="E376" s="150">
        <v>39</v>
      </c>
      <c r="F376" s="150">
        <f>'[1]Fliggy Store Daily Key Data'!K2043</f>
        <v>21324</v>
      </c>
      <c r="G376" s="150">
        <v>131</v>
      </c>
      <c r="H376" s="155">
        <f t="shared" si="10"/>
        <v>0.0152671755725191</v>
      </c>
      <c r="I376" s="152">
        <v>2</v>
      </c>
      <c r="J376" s="18">
        <f t="shared" si="11"/>
        <v>0.000193218046565549</v>
      </c>
      <c r="K376" s="5"/>
    </row>
    <row r="377" ht="13.85" spans="1:11">
      <c r="A377" s="153">
        <v>45485</v>
      </c>
      <c r="B377" s="150">
        <f>'[1]Fliggy Store Daily Key Data'!B2044</f>
        <v>25305</v>
      </c>
      <c r="C377" s="150">
        <f>'[1]Fliggy Store Daily Key Data'!C2044</f>
        <v>13334</v>
      </c>
      <c r="D377" s="150">
        <f>'[1]Fliggy Store Daily Key Data'!G2044</f>
        <v>7409</v>
      </c>
      <c r="E377" s="150">
        <v>49</v>
      </c>
      <c r="F377" s="150">
        <f>'[1]Fliggy Store Daily Key Data'!K2044</f>
        <v>52778</v>
      </c>
      <c r="G377" s="150">
        <v>135</v>
      </c>
      <c r="H377" s="155">
        <f t="shared" si="10"/>
        <v>0.0222222222222222</v>
      </c>
      <c r="I377" s="73">
        <v>3</v>
      </c>
      <c r="J377" s="18">
        <f t="shared" si="11"/>
        <v>0.000224988750562472</v>
      </c>
      <c r="K377" s="5"/>
    </row>
    <row r="378" ht="13.85" spans="1:11">
      <c r="A378" s="153">
        <v>45486</v>
      </c>
      <c r="B378" s="150">
        <f>'[1]Fliggy Store Daily Key Data'!B2045</f>
        <v>26714</v>
      </c>
      <c r="C378" s="150">
        <f>'[1]Fliggy Store Daily Key Data'!C2045</f>
        <v>14008</v>
      </c>
      <c r="D378" s="150">
        <f>'[1]Fliggy Store Daily Key Data'!G2045</f>
        <v>8812</v>
      </c>
      <c r="E378" s="150">
        <v>64</v>
      </c>
      <c r="F378" s="150">
        <f>'[1]Fliggy Store Daily Key Data'!K2045</f>
        <v>30708</v>
      </c>
      <c r="G378" s="150">
        <v>126</v>
      </c>
      <c r="H378" s="155">
        <f t="shared" si="10"/>
        <v>0.00793650793650794</v>
      </c>
      <c r="I378" s="73">
        <v>1</v>
      </c>
      <c r="J378" s="18">
        <f t="shared" si="11"/>
        <v>7.13877784123358e-5</v>
      </c>
      <c r="K378" s="5"/>
    </row>
    <row r="379" ht="13.85" spans="1:11">
      <c r="A379" s="153">
        <v>45487</v>
      </c>
      <c r="B379" s="150">
        <f>'[1]Fliggy Store Daily Key Data'!B2046</f>
        <v>25148</v>
      </c>
      <c r="C379" s="150">
        <f>'[1]Fliggy Store Daily Key Data'!C2046</f>
        <v>13009</v>
      </c>
      <c r="D379" s="150">
        <f>'[1]Fliggy Store Daily Key Data'!G2046</f>
        <v>8714</v>
      </c>
      <c r="E379" s="150">
        <v>61</v>
      </c>
      <c r="F379" s="150">
        <f>'[1]Fliggy Store Daily Key Data'!K2046</f>
        <v>54379.2</v>
      </c>
      <c r="G379" s="150">
        <v>155</v>
      </c>
      <c r="H379" s="155">
        <f t="shared" si="10"/>
        <v>0.0193548387096774</v>
      </c>
      <c r="I379" s="73">
        <v>3</v>
      </c>
      <c r="J379" s="18">
        <f t="shared" si="11"/>
        <v>0.000230609577984472</v>
      </c>
      <c r="K379" s="5"/>
    </row>
    <row r="380" ht="13.85" spans="1:11">
      <c r="A380" s="153">
        <v>45488</v>
      </c>
      <c r="B380" s="150">
        <f>'[1]Fliggy Store Daily Key Data'!B2047</f>
        <v>26659</v>
      </c>
      <c r="C380" s="150">
        <f>'[1]Fliggy Store Daily Key Data'!C2047</f>
        <v>14022</v>
      </c>
      <c r="D380" s="150">
        <f>'[1]Fliggy Store Daily Key Data'!G2047</f>
        <v>7646</v>
      </c>
      <c r="E380" s="150">
        <v>62</v>
      </c>
      <c r="F380" s="150">
        <f>'[1]Fliggy Store Daily Key Data'!K2047</f>
        <v>44010.2</v>
      </c>
      <c r="G380" s="150">
        <v>173</v>
      </c>
      <c r="H380" s="155">
        <f t="shared" si="10"/>
        <v>0</v>
      </c>
      <c r="I380" s="73">
        <v>0</v>
      </c>
      <c r="J380" s="18">
        <f t="shared" si="11"/>
        <v>0</v>
      </c>
      <c r="K380" s="5"/>
    </row>
    <row r="381" ht="13.85" spans="1:11">
      <c r="A381" s="153">
        <v>45489</v>
      </c>
      <c r="B381" s="150">
        <f>'[1]Fliggy Store Daily Key Data'!B2048</f>
        <v>29009</v>
      </c>
      <c r="C381" s="150">
        <f>'[1]Fliggy Store Daily Key Data'!C2048</f>
        <v>15401</v>
      </c>
      <c r="D381" s="150">
        <f>'[1]Fliggy Store Daily Key Data'!G2048</f>
        <v>5490</v>
      </c>
      <c r="E381" s="150">
        <v>39</v>
      </c>
      <c r="F381" s="150">
        <f>'[1]Fliggy Store Daily Key Data'!K2048</f>
        <v>16212</v>
      </c>
      <c r="G381" s="150">
        <v>173</v>
      </c>
      <c r="H381" s="155">
        <f t="shared" si="10"/>
        <v>0.00578034682080925</v>
      </c>
      <c r="I381" s="152">
        <v>1</v>
      </c>
      <c r="J381" s="18">
        <f t="shared" si="11"/>
        <v>6.49308486461918e-5</v>
      </c>
      <c r="K381" s="5"/>
    </row>
    <row r="382" ht="13.85" spans="1:11">
      <c r="A382" s="153">
        <v>45490</v>
      </c>
      <c r="B382" s="150">
        <f>'[1]Fliggy Store Daily Key Data'!B2049</f>
        <v>22028</v>
      </c>
      <c r="C382" s="150">
        <f>'[1]Fliggy Store Daily Key Data'!C2049</f>
        <v>10442</v>
      </c>
      <c r="D382" s="150">
        <f>'[1]Fliggy Store Daily Key Data'!G2049</f>
        <v>5145</v>
      </c>
      <c r="E382" s="150">
        <v>55</v>
      </c>
      <c r="F382" s="150">
        <f>'[1]Fliggy Store Daily Key Data'!K2049</f>
        <v>0</v>
      </c>
      <c r="G382" s="150">
        <v>153</v>
      </c>
      <c r="H382" s="155">
        <f t="shared" si="10"/>
        <v>0</v>
      </c>
      <c r="I382" s="152">
        <v>0</v>
      </c>
      <c r="J382" s="18">
        <f t="shared" si="11"/>
        <v>0</v>
      </c>
      <c r="K382" s="5"/>
    </row>
    <row r="383" ht="13.85" spans="1:11">
      <c r="A383" s="153">
        <v>45491</v>
      </c>
      <c r="B383" s="150">
        <f>'[1]Fliggy Store Daily Key Data'!B2050</f>
        <v>23608</v>
      </c>
      <c r="C383" s="150">
        <f>'[1]Fliggy Store Daily Key Data'!C2050</f>
        <v>12272</v>
      </c>
      <c r="D383" s="150">
        <f>'[1]Fliggy Store Daily Key Data'!G2050</f>
        <v>4174</v>
      </c>
      <c r="E383" s="150">
        <v>48</v>
      </c>
      <c r="F383" s="150">
        <f>'[1]Fliggy Store Daily Key Data'!K2050</f>
        <v>31319</v>
      </c>
      <c r="G383" s="150">
        <v>170</v>
      </c>
      <c r="H383" s="155">
        <f t="shared" si="10"/>
        <v>0.0117647058823529</v>
      </c>
      <c r="I383" s="152">
        <v>2</v>
      </c>
      <c r="J383" s="18">
        <f t="shared" si="11"/>
        <v>0.000162972620599739</v>
      </c>
      <c r="K383" s="5"/>
    </row>
    <row r="384" ht="13.85" spans="1:11">
      <c r="A384" s="153">
        <v>45492</v>
      </c>
      <c r="B384" s="150">
        <f>'[1]Fliggy Store Daily Key Data'!B2051</f>
        <v>29967</v>
      </c>
      <c r="C384" s="150">
        <f>'[1]Fliggy Store Daily Key Data'!C2051</f>
        <v>15648</v>
      </c>
      <c r="D384" s="150">
        <f>'[1]Fliggy Store Daily Key Data'!G2051</f>
        <v>4581</v>
      </c>
      <c r="E384" s="150">
        <v>53</v>
      </c>
      <c r="F384" s="150">
        <f>'[1]Fliggy Store Daily Key Data'!K2051</f>
        <v>62235</v>
      </c>
      <c r="G384" s="150">
        <v>140</v>
      </c>
      <c r="H384" s="155">
        <f t="shared" si="10"/>
        <v>0.0214285714285714</v>
      </c>
      <c r="I384" s="73">
        <v>3</v>
      </c>
      <c r="J384" s="18">
        <f t="shared" si="11"/>
        <v>0.000191717791411043</v>
      </c>
      <c r="K384" s="5"/>
    </row>
    <row r="385" ht="13.85" spans="1:11">
      <c r="A385" s="153">
        <v>45493</v>
      </c>
      <c r="B385" s="150">
        <f>'[1]Fliggy Store Daily Key Data'!B2052</f>
        <v>34134</v>
      </c>
      <c r="C385" s="150">
        <f>'[1]Fliggy Store Daily Key Data'!C2052</f>
        <v>18450</v>
      </c>
      <c r="D385" s="150">
        <f>'[1]Fliggy Store Daily Key Data'!G2052</f>
        <v>4667</v>
      </c>
      <c r="E385" s="150">
        <v>36</v>
      </c>
      <c r="F385" s="150">
        <f>'[1]Fliggy Store Daily Key Data'!K2052</f>
        <v>92949.56</v>
      </c>
      <c r="G385" s="150">
        <v>139</v>
      </c>
      <c r="H385" s="155">
        <f t="shared" si="10"/>
        <v>0.0359712230215827</v>
      </c>
      <c r="I385" s="73">
        <v>5</v>
      </c>
      <c r="J385" s="18">
        <f t="shared" si="11"/>
        <v>0.0002710027100271</v>
      </c>
      <c r="K385" s="5"/>
    </row>
    <row r="386" ht="13.85" spans="1:11">
      <c r="A386" s="153">
        <v>45494</v>
      </c>
      <c r="B386" s="150">
        <f>'[1]Fliggy Store Daily Key Data'!B2053</f>
        <v>300805</v>
      </c>
      <c r="C386" s="150">
        <f>'[1]Fliggy Store Daily Key Data'!C2053</f>
        <v>137772</v>
      </c>
      <c r="D386" s="150">
        <f>'[1]Fliggy Store Daily Key Data'!G2053</f>
        <v>6682</v>
      </c>
      <c r="E386" s="150">
        <v>275</v>
      </c>
      <c r="F386" s="150">
        <f>'[1]Fliggy Store Daily Key Data'!K2053</f>
        <v>7437004.5</v>
      </c>
      <c r="G386" s="150">
        <v>569</v>
      </c>
      <c r="H386" s="155">
        <f t="shared" ref="H386:H449" si="12">I386/G386</f>
        <v>1.29701230228471</v>
      </c>
      <c r="I386" s="73">
        <f>736+2</f>
        <v>738</v>
      </c>
      <c r="J386" s="18">
        <f t="shared" si="11"/>
        <v>0.00535667624771361</v>
      </c>
      <c r="K386" s="5"/>
    </row>
    <row r="387" ht="13.85" spans="1:11">
      <c r="A387" s="153">
        <v>45495</v>
      </c>
      <c r="B387" s="150">
        <f>'[1]Fliggy Store Daily Key Data'!B2054</f>
        <v>78255</v>
      </c>
      <c r="C387" s="150">
        <f>'[1]Fliggy Store Daily Key Data'!C2054</f>
        <v>38087</v>
      </c>
      <c r="D387" s="150">
        <f>'[1]Fliggy Store Daily Key Data'!G2054</f>
        <v>5923</v>
      </c>
      <c r="E387" s="150">
        <v>120</v>
      </c>
      <c r="F387" s="150">
        <f>'[1]Fliggy Store Daily Key Data'!K2054</f>
        <v>1392136.76</v>
      </c>
      <c r="G387" s="150">
        <v>596</v>
      </c>
      <c r="H387" s="155">
        <f t="shared" si="12"/>
        <v>0.236577181208054</v>
      </c>
      <c r="I387" s="152">
        <v>141</v>
      </c>
      <c r="J387" s="18">
        <f t="shared" si="11"/>
        <v>0.00370205056843542</v>
      </c>
      <c r="K387" s="5"/>
    </row>
    <row r="388" ht="13.85" spans="1:11">
      <c r="A388" s="153">
        <v>45496</v>
      </c>
      <c r="B388" s="150">
        <f>'[1]Fliggy Store Daily Key Data'!B2055</f>
        <v>48499</v>
      </c>
      <c r="C388" s="150">
        <f>'[1]Fliggy Store Daily Key Data'!C2055</f>
        <v>25628</v>
      </c>
      <c r="D388" s="150">
        <f>'[1]Fliggy Store Daily Key Data'!G2055</f>
        <v>4773</v>
      </c>
      <c r="E388" s="150">
        <v>66</v>
      </c>
      <c r="F388" s="150">
        <f>'[1]Fliggy Store Daily Key Data'!K2055</f>
        <v>69890</v>
      </c>
      <c r="G388" s="150">
        <v>222</v>
      </c>
      <c r="H388" s="155">
        <f t="shared" si="12"/>
        <v>0.0225225225225225</v>
      </c>
      <c r="I388" s="152">
        <v>5</v>
      </c>
      <c r="J388" s="18">
        <f t="shared" si="11"/>
        <v>0.000195099110348057</v>
      </c>
      <c r="K388" s="5"/>
    </row>
    <row r="389" ht="13.85" spans="1:11">
      <c r="A389" s="153">
        <v>45497</v>
      </c>
      <c r="B389" s="150">
        <f>'[1]Fliggy Store Daily Key Data'!B2056</f>
        <v>34989</v>
      </c>
      <c r="C389" s="150">
        <f>'[1]Fliggy Store Daily Key Data'!C2056</f>
        <v>18344</v>
      </c>
      <c r="D389" s="150">
        <f>'[1]Fliggy Store Daily Key Data'!G2056</f>
        <v>4538</v>
      </c>
      <c r="E389" s="150">
        <v>55</v>
      </c>
      <c r="F389" s="150">
        <f>'[1]Fliggy Store Daily Key Data'!K2056</f>
        <v>43248</v>
      </c>
      <c r="G389" s="150">
        <v>172</v>
      </c>
      <c r="H389" s="155">
        <f t="shared" si="12"/>
        <v>0.0116279069767442</v>
      </c>
      <c r="I389" s="152">
        <v>2</v>
      </c>
      <c r="J389" s="18">
        <f t="shared" si="11"/>
        <v>0.000109027474923681</v>
      </c>
      <c r="K389" s="5"/>
    </row>
    <row r="390" ht="13.85" spans="1:11">
      <c r="A390" s="153">
        <v>45498</v>
      </c>
      <c r="B390" s="150">
        <f>'[1]Fliggy Store Daily Key Data'!B2057</f>
        <v>34926</v>
      </c>
      <c r="C390" s="150">
        <f>'[1]Fliggy Store Daily Key Data'!C2057</f>
        <v>17686</v>
      </c>
      <c r="D390" s="150">
        <f>'[1]Fliggy Store Daily Key Data'!G2057</f>
        <v>4798</v>
      </c>
      <c r="E390" s="150">
        <v>66</v>
      </c>
      <c r="F390" s="150">
        <f>'[1]Fliggy Store Daily Key Data'!K2057</f>
        <v>1999.68</v>
      </c>
      <c r="G390" s="150">
        <v>203</v>
      </c>
      <c r="H390" s="155">
        <f t="shared" si="12"/>
        <v>0</v>
      </c>
      <c r="I390" s="152">
        <v>0</v>
      </c>
      <c r="J390" s="18">
        <f t="shared" si="11"/>
        <v>0</v>
      </c>
      <c r="K390" s="5"/>
    </row>
    <row r="391" ht="13.85" spans="1:11">
      <c r="A391" s="153">
        <v>45499</v>
      </c>
      <c r="B391" s="150">
        <f>'[1]Fliggy Store Daily Key Data'!B2058</f>
        <v>28329</v>
      </c>
      <c r="C391" s="150">
        <f>'[1]Fliggy Store Daily Key Data'!C2058</f>
        <v>14225</v>
      </c>
      <c r="D391" s="150">
        <f>'[1]Fliggy Store Daily Key Data'!G2058</f>
        <v>4476</v>
      </c>
      <c r="E391" s="150">
        <v>35</v>
      </c>
      <c r="F391" s="150">
        <f>'[1]Fliggy Store Daily Key Data'!K2058</f>
        <v>21513</v>
      </c>
      <c r="G391" s="150">
        <v>155</v>
      </c>
      <c r="H391" s="155">
        <f t="shared" si="12"/>
        <v>0.00645161290322581</v>
      </c>
      <c r="I391" s="73">
        <v>1</v>
      </c>
      <c r="J391" s="18">
        <f t="shared" si="11"/>
        <v>7.0298769771529e-5</v>
      </c>
      <c r="K391" s="5"/>
    </row>
    <row r="392" ht="13.85" spans="1:11">
      <c r="A392" s="153">
        <v>45500</v>
      </c>
      <c r="B392" s="150">
        <f>'[1]Fliggy Store Daily Key Data'!B2059</f>
        <v>22492</v>
      </c>
      <c r="C392" s="150">
        <f>'[1]Fliggy Store Daily Key Data'!C2059</f>
        <v>10327</v>
      </c>
      <c r="D392" s="150">
        <f>'[1]Fliggy Store Daily Key Data'!G2059</f>
        <v>4257</v>
      </c>
      <c r="E392" s="150">
        <v>37</v>
      </c>
      <c r="F392" s="150">
        <f>'[1]Fliggy Store Daily Key Data'!K2059</f>
        <v>20421</v>
      </c>
      <c r="G392" s="150">
        <v>140</v>
      </c>
      <c r="H392" s="155">
        <f t="shared" si="12"/>
        <v>0.00714285714285714</v>
      </c>
      <c r="I392" s="73">
        <v>1</v>
      </c>
      <c r="J392" s="18">
        <f t="shared" si="11"/>
        <v>9.68335431393435e-5</v>
      </c>
      <c r="K392" s="5"/>
    </row>
    <row r="393" ht="13.85" spans="1:11">
      <c r="A393" s="153">
        <v>45501</v>
      </c>
      <c r="B393" s="150">
        <f>'[1]Fliggy Store Daily Key Data'!B2060</f>
        <v>22727</v>
      </c>
      <c r="C393" s="150">
        <f>'[1]Fliggy Store Daily Key Data'!C2060</f>
        <v>11288</v>
      </c>
      <c r="D393" s="150">
        <f>'[1]Fliggy Store Daily Key Data'!G2060</f>
        <v>4386</v>
      </c>
      <c r="E393" s="150">
        <v>51</v>
      </c>
      <c r="F393" s="150">
        <f>'[1]Fliggy Store Daily Key Data'!K2060</f>
        <v>8334</v>
      </c>
      <c r="G393" s="150">
        <v>152</v>
      </c>
      <c r="H393" s="155">
        <f t="shared" si="12"/>
        <v>0.00657894736842105</v>
      </c>
      <c r="I393" s="73">
        <v>1</v>
      </c>
      <c r="J393" s="18">
        <f t="shared" si="11"/>
        <v>8.85896527285613e-5</v>
      </c>
      <c r="K393" s="5"/>
    </row>
    <row r="394" ht="13.85" spans="1:11">
      <c r="A394" s="153">
        <v>45502</v>
      </c>
      <c r="B394" s="150">
        <f>'[1]Fliggy Store Daily Key Data'!B2061</f>
        <v>29857</v>
      </c>
      <c r="C394" s="150">
        <f>'[1]Fliggy Store Daily Key Data'!C2061</f>
        <v>15598</v>
      </c>
      <c r="D394" s="150">
        <f>'[1]Fliggy Store Daily Key Data'!G2061</f>
        <v>4580</v>
      </c>
      <c r="E394" s="150">
        <v>44</v>
      </c>
      <c r="F394" s="150">
        <f>'[1]Fliggy Store Daily Key Data'!K2061</f>
        <v>105722.08</v>
      </c>
      <c r="G394" s="150">
        <v>178</v>
      </c>
      <c r="H394" s="155">
        <f t="shared" si="12"/>
        <v>0.0337078651685393</v>
      </c>
      <c r="I394" s="73">
        <v>6</v>
      </c>
      <c r="J394" s="18">
        <f t="shared" si="11"/>
        <v>0.000384664700602641</v>
      </c>
      <c r="K394" s="5"/>
    </row>
    <row r="395" ht="13.85" spans="1:11">
      <c r="A395" s="153">
        <v>45503</v>
      </c>
      <c r="B395" s="150">
        <f>'[1]Fliggy Store Daily Key Data'!B2062</f>
        <v>23598</v>
      </c>
      <c r="C395" s="150">
        <f>'[1]Fliggy Store Daily Key Data'!C2062</f>
        <v>11408</v>
      </c>
      <c r="D395" s="150">
        <f>'[1]Fliggy Store Daily Key Data'!G2062</f>
        <v>3231</v>
      </c>
      <c r="E395" s="150">
        <v>37</v>
      </c>
      <c r="F395" s="150">
        <f>'[1]Fliggy Store Daily Key Data'!K2062</f>
        <v>103576</v>
      </c>
      <c r="G395" s="150">
        <v>159</v>
      </c>
      <c r="H395" s="155">
        <f t="shared" si="12"/>
        <v>0.0251572327044025</v>
      </c>
      <c r="I395" s="152">
        <v>4</v>
      </c>
      <c r="J395" s="18">
        <f t="shared" si="11"/>
        <v>0.000350631136044881</v>
      </c>
      <c r="K395" s="5"/>
    </row>
    <row r="396" ht="13.85" spans="1:11">
      <c r="A396" s="153">
        <v>45504</v>
      </c>
      <c r="B396" s="150">
        <f>'[1]Fliggy Store Daily Key Data'!B2063</f>
        <v>29453</v>
      </c>
      <c r="C396" s="150">
        <f>'[1]Fliggy Store Daily Key Data'!C2063</f>
        <v>16611</v>
      </c>
      <c r="D396" s="150">
        <f>'[1]Fliggy Store Daily Key Data'!G2063</f>
        <v>3055</v>
      </c>
      <c r="E396" s="150">
        <v>50</v>
      </c>
      <c r="F396" s="150">
        <f>'[1]Fliggy Store Daily Key Data'!K2063</f>
        <v>59235</v>
      </c>
      <c r="G396" s="150">
        <v>185</v>
      </c>
      <c r="H396" s="155">
        <f t="shared" si="12"/>
        <v>0.0324324324324324</v>
      </c>
      <c r="I396" s="152">
        <v>6</v>
      </c>
      <c r="J396" s="18">
        <f t="shared" si="11"/>
        <v>0.000361206429474445</v>
      </c>
      <c r="K396" s="5"/>
    </row>
    <row r="397" ht="13.85" spans="1:11">
      <c r="A397" s="153">
        <v>45505</v>
      </c>
      <c r="B397" s="150">
        <f>'[1]Fliggy Store Daily Key Data'!B2064</f>
        <v>20781</v>
      </c>
      <c r="C397" s="150">
        <f>'[1]Fliggy Store Daily Key Data'!C2064</f>
        <v>9636</v>
      </c>
      <c r="D397" s="150">
        <f>'[1]Fliggy Store Daily Key Data'!G2064</f>
        <v>3803</v>
      </c>
      <c r="E397" s="150">
        <v>33</v>
      </c>
      <c r="F397" s="150">
        <f>'[1]Fliggy Store Daily Key Data'!K2064</f>
        <v>86355.2</v>
      </c>
      <c r="G397" s="150">
        <v>141</v>
      </c>
      <c r="H397" s="155">
        <f t="shared" si="12"/>
        <v>0.0354609929078014</v>
      </c>
      <c r="I397" s="152">
        <v>5</v>
      </c>
      <c r="J397" s="18">
        <f t="shared" si="11"/>
        <v>0.000518887505188875</v>
      </c>
      <c r="K397" s="5"/>
    </row>
    <row r="398" ht="13.85" spans="1:11">
      <c r="A398" s="153">
        <v>45506</v>
      </c>
      <c r="B398" s="150">
        <f>'[1]Fliggy Store Daily Key Data'!B2065</f>
        <v>24207</v>
      </c>
      <c r="C398" s="150">
        <f>'[1]Fliggy Store Daily Key Data'!C2065</f>
        <v>10562</v>
      </c>
      <c r="D398" s="150">
        <f>'[1]Fliggy Store Daily Key Data'!G2065</f>
        <v>3768</v>
      </c>
      <c r="E398" s="150">
        <v>32</v>
      </c>
      <c r="F398" s="150">
        <f>'[1]Fliggy Store Daily Key Data'!K2065</f>
        <v>82102</v>
      </c>
      <c r="G398" s="150">
        <v>152</v>
      </c>
      <c r="H398" s="155">
        <f t="shared" si="12"/>
        <v>0.0328947368421053</v>
      </c>
      <c r="I398" s="73">
        <v>5</v>
      </c>
      <c r="J398" s="18">
        <f t="shared" si="11"/>
        <v>0.000473395190304867</v>
      </c>
      <c r="K398" s="5"/>
    </row>
    <row r="399" ht="13.85" spans="1:11">
      <c r="A399" s="153">
        <v>45507</v>
      </c>
      <c r="B399" s="150">
        <f>'[1]Fliggy Store Daily Key Data'!B2066</f>
        <v>28522</v>
      </c>
      <c r="C399" s="150">
        <f>'[1]Fliggy Store Daily Key Data'!C2066</f>
        <v>12697</v>
      </c>
      <c r="D399" s="150">
        <f>'[1]Fliggy Store Daily Key Data'!G2066</f>
        <v>4423</v>
      </c>
      <c r="E399" s="150">
        <v>30</v>
      </c>
      <c r="F399" s="150">
        <f>'[1]Fliggy Store Daily Key Data'!K2066</f>
        <v>132065.6</v>
      </c>
      <c r="G399" s="150">
        <v>101</v>
      </c>
      <c r="H399" s="155">
        <f t="shared" si="12"/>
        <v>0.0099009900990099</v>
      </c>
      <c r="I399" s="73">
        <v>1</v>
      </c>
      <c r="J399" s="18">
        <f t="shared" si="11"/>
        <v>7.87587619122627e-5</v>
      </c>
      <c r="K399" s="5"/>
    </row>
    <row r="400" ht="13.85" spans="1:11">
      <c r="A400" s="153">
        <v>45508</v>
      </c>
      <c r="B400" s="150">
        <f>'[1]Fliggy Store Daily Key Data'!B2067</f>
        <v>33108</v>
      </c>
      <c r="C400" s="150">
        <f>'[1]Fliggy Store Daily Key Data'!C2067</f>
        <v>15133</v>
      </c>
      <c r="D400" s="150">
        <f>'[1]Fliggy Store Daily Key Data'!G2067</f>
        <v>4638</v>
      </c>
      <c r="E400" s="150">
        <v>31</v>
      </c>
      <c r="F400" s="150">
        <f>'[1]Fliggy Store Daily Key Data'!K2067</f>
        <v>24920</v>
      </c>
      <c r="G400" s="150">
        <v>104</v>
      </c>
      <c r="H400" s="155">
        <f t="shared" si="12"/>
        <v>0.00961538461538462</v>
      </c>
      <c r="I400" s="73">
        <v>1</v>
      </c>
      <c r="J400" s="18">
        <f t="shared" si="11"/>
        <v>6.60807506773277e-5</v>
      </c>
      <c r="K400" s="5"/>
    </row>
    <row r="401" ht="13.85" spans="1:11">
      <c r="A401" s="153">
        <v>45509</v>
      </c>
      <c r="B401" s="150">
        <f>'[1]Fliggy Store Daily Key Data'!B2068</f>
        <v>31432</v>
      </c>
      <c r="C401" s="150">
        <f>'[1]Fliggy Store Daily Key Data'!C2068</f>
        <v>15189</v>
      </c>
      <c r="D401" s="150">
        <f>'[1]Fliggy Store Daily Key Data'!G2068</f>
        <v>4970</v>
      </c>
      <c r="E401" s="150">
        <v>53</v>
      </c>
      <c r="F401" s="150">
        <f>'[1]Fliggy Store Daily Key Data'!K2068</f>
        <v>48755</v>
      </c>
      <c r="G401" s="150">
        <v>162</v>
      </c>
      <c r="H401" s="155">
        <f t="shared" si="12"/>
        <v>0.0185185185185185</v>
      </c>
      <c r="I401" s="152">
        <v>3</v>
      </c>
      <c r="J401" s="18">
        <f t="shared" si="11"/>
        <v>0.000197511356903022</v>
      </c>
      <c r="K401" s="5"/>
    </row>
    <row r="402" ht="13.85" spans="1:11">
      <c r="A402" s="153">
        <v>45510</v>
      </c>
      <c r="B402" s="150">
        <f>'[1]Fliggy Store Daily Key Data'!B2069</f>
        <v>26917</v>
      </c>
      <c r="C402" s="150">
        <f>'[1]Fliggy Store Daily Key Data'!C2069</f>
        <v>12334</v>
      </c>
      <c r="D402" s="150">
        <f>'[1]Fliggy Store Daily Key Data'!G2069</f>
        <v>3849</v>
      </c>
      <c r="E402" s="150">
        <v>37</v>
      </c>
      <c r="F402" s="150">
        <f>'[1]Fliggy Store Daily Key Data'!K2069</f>
        <v>44390.72</v>
      </c>
      <c r="G402" s="150">
        <v>159</v>
      </c>
      <c r="H402" s="155">
        <f t="shared" si="12"/>
        <v>0.0188679245283019</v>
      </c>
      <c r="I402" s="152">
        <v>3</v>
      </c>
      <c r="J402" s="18">
        <f t="shared" si="11"/>
        <v>0.000243230095670504</v>
      </c>
      <c r="K402" s="5"/>
    </row>
    <row r="403" ht="13.85" spans="1:11">
      <c r="A403" s="153">
        <v>45511</v>
      </c>
      <c r="B403" s="150">
        <f>'[1]Fliggy Store Daily Key Data'!B2070</f>
        <v>22359</v>
      </c>
      <c r="C403" s="150">
        <f>'[1]Fliggy Store Daily Key Data'!C2070</f>
        <v>10118</v>
      </c>
      <c r="D403" s="150">
        <f>'[1]Fliggy Store Daily Key Data'!G2070</f>
        <v>3439</v>
      </c>
      <c r="E403" s="150">
        <v>36</v>
      </c>
      <c r="F403" s="150">
        <f>'[1]Fliggy Store Daily Key Data'!K2070</f>
        <v>43367</v>
      </c>
      <c r="G403" s="150">
        <v>131</v>
      </c>
      <c r="H403" s="155">
        <f t="shared" si="12"/>
        <v>0.0152671755725191</v>
      </c>
      <c r="I403" s="152">
        <v>2</v>
      </c>
      <c r="J403" s="18">
        <f t="shared" si="11"/>
        <v>0.000197667523225934</v>
      </c>
      <c r="K403" s="5"/>
    </row>
    <row r="404" ht="13.85" spans="1:11">
      <c r="A404" s="153">
        <v>45512</v>
      </c>
      <c r="B404" s="150">
        <f>'[1]Fliggy Store Daily Key Data'!B2071</f>
        <v>20046</v>
      </c>
      <c r="C404" s="150">
        <f>'[1]Fliggy Store Daily Key Data'!C2071</f>
        <v>9102</v>
      </c>
      <c r="D404" s="150">
        <f>'[1]Fliggy Store Daily Key Data'!G2071</f>
        <v>3361</v>
      </c>
      <c r="E404" s="150">
        <v>44</v>
      </c>
      <c r="F404" s="150">
        <f>'[1]Fliggy Store Daily Key Data'!K2071</f>
        <v>22128</v>
      </c>
      <c r="G404" s="150">
        <v>126</v>
      </c>
      <c r="H404" s="155">
        <f t="shared" si="12"/>
        <v>0.0158730158730159</v>
      </c>
      <c r="I404" s="152">
        <v>2</v>
      </c>
      <c r="J404" s="18">
        <f t="shared" si="11"/>
        <v>0.000219731927049</v>
      </c>
      <c r="K404" s="5"/>
    </row>
    <row r="405" ht="13.85" spans="1:11">
      <c r="A405" s="153">
        <v>45513</v>
      </c>
      <c r="B405" s="150">
        <f>'[1]Fliggy Store Daily Key Data'!B2072</f>
        <v>22544</v>
      </c>
      <c r="C405" s="150">
        <f>'[1]Fliggy Store Daily Key Data'!C2072</f>
        <v>11147</v>
      </c>
      <c r="D405" s="150">
        <f>'[1]Fliggy Store Daily Key Data'!G2072</f>
        <v>3232</v>
      </c>
      <c r="E405" s="150">
        <v>39</v>
      </c>
      <c r="F405" s="150">
        <f>'[1]Fliggy Store Daily Key Data'!K2072</f>
        <v>50827.74</v>
      </c>
      <c r="G405" s="150">
        <v>134</v>
      </c>
      <c r="H405" s="155">
        <f t="shared" si="12"/>
        <v>0.0149253731343284</v>
      </c>
      <c r="I405" s="73">
        <v>2</v>
      </c>
      <c r="J405" s="18">
        <f t="shared" si="11"/>
        <v>0.000179420471875841</v>
      </c>
      <c r="K405" s="5"/>
    </row>
    <row r="406" ht="13.85" spans="1:11">
      <c r="A406" s="153">
        <v>45514</v>
      </c>
      <c r="B406" s="150">
        <f>'[1]Fliggy Store Daily Key Data'!B2073</f>
        <v>23182</v>
      </c>
      <c r="C406" s="150">
        <f>'[1]Fliggy Store Daily Key Data'!C2073</f>
        <v>12203</v>
      </c>
      <c r="D406" s="150">
        <f>'[1]Fliggy Store Daily Key Data'!G2073</f>
        <v>3845</v>
      </c>
      <c r="E406" s="150">
        <v>34</v>
      </c>
      <c r="F406" s="150">
        <f>'[1]Fliggy Store Daily Key Data'!K2073</f>
        <v>37782</v>
      </c>
      <c r="G406" s="150">
        <v>129</v>
      </c>
      <c r="H406" s="155">
        <f t="shared" si="12"/>
        <v>0.0232558139534884</v>
      </c>
      <c r="I406" s="73">
        <v>3</v>
      </c>
      <c r="J406" s="18">
        <f t="shared" si="11"/>
        <v>0.000245841186593461</v>
      </c>
      <c r="K406" s="5"/>
    </row>
    <row r="407" ht="13.85" spans="1:11">
      <c r="A407" s="153">
        <v>45515</v>
      </c>
      <c r="B407" s="150">
        <f>'[1]Fliggy Store Daily Key Data'!B2074</f>
        <v>31385</v>
      </c>
      <c r="C407" s="150">
        <f>'[1]Fliggy Store Daily Key Data'!C2074</f>
        <v>15120</v>
      </c>
      <c r="D407" s="150">
        <f>'[1]Fliggy Store Daily Key Data'!G2074</f>
        <v>4461</v>
      </c>
      <c r="E407" s="150">
        <v>38</v>
      </c>
      <c r="F407" s="150">
        <f>'[1]Fliggy Store Daily Key Data'!K2074</f>
        <v>44127.2</v>
      </c>
      <c r="G407" s="150">
        <v>118</v>
      </c>
      <c r="H407" s="155">
        <f t="shared" si="12"/>
        <v>0.0254237288135593</v>
      </c>
      <c r="I407" s="73">
        <v>3</v>
      </c>
      <c r="J407" s="18">
        <f t="shared" si="11"/>
        <v>0.000198412698412698</v>
      </c>
      <c r="K407" s="5"/>
    </row>
    <row r="408" ht="13.85" spans="1:11">
      <c r="A408" s="153">
        <v>45516</v>
      </c>
      <c r="B408" s="150">
        <f>'[1]Fliggy Store Daily Key Data'!B2075</f>
        <v>27244</v>
      </c>
      <c r="C408" s="150">
        <f>'[1]Fliggy Store Daily Key Data'!C2075</f>
        <v>13059</v>
      </c>
      <c r="D408" s="150">
        <f>'[1]Fliggy Store Daily Key Data'!G2075</f>
        <v>4348</v>
      </c>
      <c r="E408" s="150">
        <v>37</v>
      </c>
      <c r="F408" s="150">
        <f>'[1]Fliggy Store Daily Key Data'!K2075</f>
        <v>144533</v>
      </c>
      <c r="G408" s="150">
        <v>145</v>
      </c>
      <c r="H408" s="155">
        <f t="shared" si="12"/>
        <v>0.0689655172413793</v>
      </c>
      <c r="I408" s="152">
        <v>10</v>
      </c>
      <c r="J408" s="18">
        <f t="shared" ref="J408:J471" si="13">I408/C408</f>
        <v>0.00076575541771958</v>
      </c>
      <c r="K408" s="5"/>
    </row>
    <row r="409" ht="13.85" spans="1:11">
      <c r="A409" s="153">
        <v>45517</v>
      </c>
      <c r="B409" s="150">
        <f>'[1]Fliggy Store Daily Key Data'!B2076</f>
        <v>34837</v>
      </c>
      <c r="C409" s="150">
        <f>'[1]Fliggy Store Daily Key Data'!C2076</f>
        <v>15941</v>
      </c>
      <c r="D409" s="150">
        <f>'[1]Fliggy Store Daily Key Data'!G2076</f>
        <v>5280</v>
      </c>
      <c r="E409" s="150">
        <v>41</v>
      </c>
      <c r="F409" s="150">
        <f>'[1]Fliggy Store Daily Key Data'!K2076</f>
        <v>71815</v>
      </c>
      <c r="G409" s="150">
        <v>138</v>
      </c>
      <c r="H409" s="155">
        <f t="shared" si="12"/>
        <v>0.0217391304347826</v>
      </c>
      <c r="I409" s="152">
        <v>3</v>
      </c>
      <c r="J409" s="18">
        <f t="shared" si="13"/>
        <v>0.000188193965246848</v>
      </c>
      <c r="K409" s="5"/>
    </row>
    <row r="410" ht="13.85" spans="1:11">
      <c r="A410" s="153">
        <v>45518</v>
      </c>
      <c r="B410" s="150">
        <f>'[1]Fliggy Store Daily Key Data'!B2077</f>
        <v>40238</v>
      </c>
      <c r="C410" s="150">
        <f>'[1]Fliggy Store Daily Key Data'!C2077</f>
        <v>21394</v>
      </c>
      <c r="D410" s="150">
        <f>'[1]Fliggy Store Daily Key Data'!G2077</f>
        <v>6242</v>
      </c>
      <c r="E410" s="150">
        <v>58</v>
      </c>
      <c r="F410" s="150">
        <f>'[1]Fliggy Store Daily Key Data'!K2077</f>
        <v>15610.84</v>
      </c>
      <c r="G410" s="150">
        <v>144</v>
      </c>
      <c r="H410" s="155">
        <f t="shared" si="12"/>
        <v>0.00694444444444444</v>
      </c>
      <c r="I410" s="152">
        <v>1</v>
      </c>
      <c r="J410" s="18">
        <f t="shared" si="13"/>
        <v>4.67420772179116e-5</v>
      </c>
      <c r="K410" s="5"/>
    </row>
    <row r="411" ht="13.85" spans="1:11">
      <c r="A411" s="153">
        <v>45519</v>
      </c>
      <c r="B411" s="150">
        <f>'[1]Fliggy Store Daily Key Data'!B2078</f>
        <v>33874</v>
      </c>
      <c r="C411" s="150">
        <f>'[1]Fliggy Store Daily Key Data'!C2078</f>
        <v>16602</v>
      </c>
      <c r="D411" s="150">
        <f>'[1]Fliggy Store Daily Key Data'!G2078</f>
        <v>5224</v>
      </c>
      <c r="E411" s="150">
        <v>42</v>
      </c>
      <c r="F411" s="150">
        <f>'[1]Fliggy Store Daily Key Data'!K2078</f>
        <v>34761</v>
      </c>
      <c r="G411" s="150">
        <v>136</v>
      </c>
      <c r="H411" s="155">
        <f t="shared" si="12"/>
        <v>0.0147058823529412</v>
      </c>
      <c r="I411" s="152">
        <v>2</v>
      </c>
      <c r="J411" s="18">
        <f t="shared" si="13"/>
        <v>0.000120467413564631</v>
      </c>
      <c r="K411" s="5"/>
    </row>
    <row r="412" ht="13.85" spans="1:11">
      <c r="A412" s="156">
        <v>45520</v>
      </c>
      <c r="B412" s="150">
        <f>'[1]Fliggy Store Daily Key Data'!B2079</f>
        <v>38335</v>
      </c>
      <c r="C412" s="150">
        <f>'[1]Fliggy Store Daily Key Data'!C2079</f>
        <v>19328</v>
      </c>
      <c r="D412" s="150">
        <f>'[1]Fliggy Store Daily Key Data'!G2079</f>
        <v>5490</v>
      </c>
      <c r="E412" s="150">
        <v>30</v>
      </c>
      <c r="F412" s="150">
        <f>'[1]Fliggy Store Daily Key Data'!K2079</f>
        <v>8100</v>
      </c>
      <c r="G412" s="150">
        <v>123</v>
      </c>
      <c r="H412" s="155">
        <f t="shared" si="12"/>
        <v>0.00813008130081301</v>
      </c>
      <c r="I412" s="73">
        <v>1</v>
      </c>
      <c r="J412" s="18">
        <f t="shared" si="13"/>
        <v>5.17384105960265e-5</v>
      </c>
      <c r="K412" s="5"/>
    </row>
    <row r="413" ht="13.85" spans="1:11">
      <c r="A413" s="156">
        <v>45521</v>
      </c>
      <c r="B413" s="150">
        <f>'[1]Fliggy Store Daily Key Data'!B2080</f>
        <v>29072</v>
      </c>
      <c r="C413" s="150">
        <f>'[1]Fliggy Store Daily Key Data'!C2080</f>
        <v>14215</v>
      </c>
      <c r="D413" s="150">
        <f>'[1]Fliggy Store Daily Key Data'!G2080</f>
        <v>5740</v>
      </c>
      <c r="E413" s="150">
        <v>32</v>
      </c>
      <c r="F413" s="150">
        <f>'[1]Fliggy Store Daily Key Data'!K2080</f>
        <v>12010</v>
      </c>
      <c r="G413" s="150">
        <v>92</v>
      </c>
      <c r="H413" s="155">
        <f t="shared" si="12"/>
        <v>0.0108695652173913</v>
      </c>
      <c r="I413" s="73">
        <v>1</v>
      </c>
      <c r="J413" s="18">
        <f t="shared" si="13"/>
        <v>7.03482237073514e-5</v>
      </c>
      <c r="K413" s="5"/>
    </row>
    <row r="414" ht="13.85" spans="1:11">
      <c r="A414" s="156">
        <v>45522</v>
      </c>
      <c r="B414" s="150">
        <f>'[1]Fliggy Store Daily Key Data'!B2081</f>
        <v>31153</v>
      </c>
      <c r="C414" s="150">
        <f>'[1]Fliggy Store Daily Key Data'!C2081</f>
        <v>16035</v>
      </c>
      <c r="D414" s="150">
        <f>'[1]Fliggy Store Daily Key Data'!G2081</f>
        <v>5744</v>
      </c>
      <c r="E414" s="150">
        <v>40</v>
      </c>
      <c r="F414" s="150">
        <f>'[1]Fliggy Store Daily Key Data'!K2081</f>
        <v>81087</v>
      </c>
      <c r="G414" s="150">
        <v>94</v>
      </c>
      <c r="H414" s="155">
        <f t="shared" si="12"/>
        <v>0.0425531914893617</v>
      </c>
      <c r="I414" s="73">
        <v>4</v>
      </c>
      <c r="J414" s="18">
        <f t="shared" si="13"/>
        <v>0.000249454318677892</v>
      </c>
      <c r="K414" s="5"/>
    </row>
    <row r="415" ht="13.85" spans="1:11">
      <c r="A415" s="156">
        <v>45523</v>
      </c>
      <c r="B415" s="150">
        <f>'[1]Fliggy Store Daily Key Data'!B2082</f>
        <v>33050</v>
      </c>
      <c r="C415" s="150">
        <f>'[1]Fliggy Store Daily Key Data'!C2082</f>
        <v>17241</v>
      </c>
      <c r="D415" s="150">
        <f>'[1]Fliggy Store Daily Key Data'!G2082</f>
        <v>5396</v>
      </c>
      <c r="E415" s="150">
        <v>43</v>
      </c>
      <c r="F415" s="150">
        <f>'[1]Fliggy Store Daily Key Data'!K2082</f>
        <v>43616</v>
      </c>
      <c r="G415" s="150">
        <v>145</v>
      </c>
      <c r="H415" s="155">
        <f t="shared" si="12"/>
        <v>0.0275862068965517</v>
      </c>
      <c r="I415" s="73">
        <v>4</v>
      </c>
      <c r="J415" s="18">
        <f t="shared" si="13"/>
        <v>0.00023200510411229</v>
      </c>
      <c r="K415" s="5"/>
    </row>
    <row r="416" ht="13.85" spans="1:11">
      <c r="A416" s="156">
        <v>45524</v>
      </c>
      <c r="B416" s="150">
        <f>'[1]Fliggy Store Daily Key Data'!B2083</f>
        <v>32129</v>
      </c>
      <c r="C416" s="150">
        <f>'[1]Fliggy Store Daily Key Data'!C2083</f>
        <v>16415</v>
      </c>
      <c r="D416" s="150">
        <f>'[1]Fliggy Store Daily Key Data'!G2083</f>
        <v>5074</v>
      </c>
      <c r="E416" s="150">
        <v>36</v>
      </c>
      <c r="F416" s="150">
        <f>'[1]Fliggy Store Daily Key Data'!K2083</f>
        <v>27860.76</v>
      </c>
      <c r="G416" s="150">
        <v>133</v>
      </c>
      <c r="H416" s="155">
        <f t="shared" si="12"/>
        <v>0.0150375939849624</v>
      </c>
      <c r="I416" s="73">
        <v>2</v>
      </c>
      <c r="J416" s="18">
        <f t="shared" si="13"/>
        <v>0.000121839780688395</v>
      </c>
      <c r="K416" s="5"/>
    </row>
    <row r="417" ht="13.85" spans="1:11">
      <c r="A417" s="156">
        <v>45525</v>
      </c>
      <c r="B417" s="150">
        <f>'[1]Fliggy Store Daily Key Data'!B2084</f>
        <v>30796</v>
      </c>
      <c r="C417" s="150">
        <f>'[1]Fliggy Store Daily Key Data'!C2084</f>
        <v>16201</v>
      </c>
      <c r="D417" s="150">
        <f>'[1]Fliggy Store Daily Key Data'!G2084</f>
        <v>5354</v>
      </c>
      <c r="E417" s="150">
        <v>41</v>
      </c>
      <c r="F417" s="150">
        <f>'[1]Fliggy Store Daily Key Data'!K2084</f>
        <v>124100</v>
      </c>
      <c r="G417" s="150">
        <v>119</v>
      </c>
      <c r="H417" s="155">
        <f t="shared" si="12"/>
        <v>0.0588235294117647</v>
      </c>
      <c r="I417" s="73">
        <v>7</v>
      </c>
      <c r="J417" s="18">
        <f t="shared" si="13"/>
        <v>0.000432072094315166</v>
      </c>
      <c r="K417" s="5"/>
    </row>
    <row r="418" ht="13.85" spans="1:11">
      <c r="A418" s="156">
        <v>45526</v>
      </c>
      <c r="B418" s="150">
        <f>'[1]Fliggy Store Daily Key Data'!B2085</f>
        <v>29924</v>
      </c>
      <c r="C418" s="150">
        <f>'[1]Fliggy Store Daily Key Data'!C2085</f>
        <v>15266</v>
      </c>
      <c r="D418" s="150">
        <f>'[1]Fliggy Store Daily Key Data'!G2085</f>
        <v>5479</v>
      </c>
      <c r="E418" s="150">
        <v>37</v>
      </c>
      <c r="F418" s="150">
        <f>'[1]Fliggy Store Daily Key Data'!K2085</f>
        <v>11954</v>
      </c>
      <c r="G418" s="150">
        <v>123</v>
      </c>
      <c r="H418" s="155">
        <f t="shared" si="12"/>
        <v>0.00813008130081301</v>
      </c>
      <c r="I418" s="73">
        <v>1</v>
      </c>
      <c r="J418" s="18">
        <f t="shared" si="13"/>
        <v>6.55050438883794e-5</v>
      </c>
      <c r="K418" s="5"/>
    </row>
    <row r="419" ht="13.85" spans="1:11">
      <c r="A419" s="156">
        <v>45527</v>
      </c>
      <c r="B419" s="150">
        <f>'[1]Fliggy Store Daily Key Data'!B2086</f>
        <v>28844</v>
      </c>
      <c r="C419" s="150">
        <f>'[1]Fliggy Store Daily Key Data'!C2086</f>
        <v>14597</v>
      </c>
      <c r="D419" s="150">
        <f>'[1]Fliggy Store Daily Key Data'!G2086</f>
        <v>5256</v>
      </c>
      <c r="E419" s="150">
        <v>34</v>
      </c>
      <c r="F419" s="150">
        <f>'[1]Fliggy Store Daily Key Data'!K2086</f>
        <v>19496.32</v>
      </c>
      <c r="G419" s="150">
        <v>97</v>
      </c>
      <c r="H419" s="155">
        <f t="shared" si="12"/>
        <v>0.0103092783505155</v>
      </c>
      <c r="I419" s="73">
        <v>1</v>
      </c>
      <c r="J419" s="18">
        <f t="shared" si="13"/>
        <v>6.85072275125026e-5</v>
      </c>
      <c r="K419" s="5"/>
    </row>
    <row r="420" ht="13.85" spans="1:11">
      <c r="A420" s="156">
        <v>45528</v>
      </c>
      <c r="B420" s="150">
        <f>'[1]Fliggy Store Daily Key Data'!B2087</f>
        <v>142933</v>
      </c>
      <c r="C420" s="150">
        <f>'[1]Fliggy Store Daily Key Data'!C2087</f>
        <v>76577</v>
      </c>
      <c r="D420" s="150">
        <f>'[1]Fliggy Store Daily Key Data'!G2087</f>
        <v>6255</v>
      </c>
      <c r="E420" s="150">
        <v>148</v>
      </c>
      <c r="F420" s="150">
        <f>'[1]Fliggy Store Daily Key Data'!K2087</f>
        <v>1109269</v>
      </c>
      <c r="G420" s="150">
        <v>266</v>
      </c>
      <c r="H420" s="155">
        <f t="shared" si="12"/>
        <v>0.409774436090226</v>
      </c>
      <c r="I420" s="73">
        <f>2+4+103</f>
        <v>109</v>
      </c>
      <c r="J420" s="18">
        <f t="shared" si="13"/>
        <v>0.00142340389411964</v>
      </c>
      <c r="K420" s="5"/>
    </row>
    <row r="421" ht="13.85" spans="1:11">
      <c r="A421" s="156">
        <v>45529</v>
      </c>
      <c r="B421" s="150">
        <f>'[1]Fliggy Store Daily Key Data'!B2088</f>
        <v>44975</v>
      </c>
      <c r="C421" s="150">
        <f>'[1]Fliggy Store Daily Key Data'!C2088</f>
        <v>20962</v>
      </c>
      <c r="D421" s="150">
        <f>'[1]Fliggy Store Daily Key Data'!G2088</f>
        <v>5854</v>
      </c>
      <c r="E421" s="150">
        <v>56</v>
      </c>
      <c r="F421" s="150">
        <f>'[1]Fliggy Store Daily Key Data'!K2088</f>
        <v>257819.98</v>
      </c>
      <c r="G421" s="150">
        <v>198</v>
      </c>
      <c r="H421" s="155">
        <f t="shared" si="12"/>
        <v>0.111111111111111</v>
      </c>
      <c r="I421" s="73">
        <f>5+17</f>
        <v>22</v>
      </c>
      <c r="J421" s="18">
        <f t="shared" si="13"/>
        <v>0.00104951817574659</v>
      </c>
      <c r="K421" s="5"/>
    </row>
    <row r="422" ht="13.85" spans="1:11">
      <c r="A422" s="156">
        <v>45530</v>
      </c>
      <c r="B422" s="150">
        <f>'[1]Fliggy Store Daily Key Data'!B2089</f>
        <v>57624</v>
      </c>
      <c r="C422" s="150">
        <f>'[1]Fliggy Store Daily Key Data'!C2089</f>
        <v>31464</v>
      </c>
      <c r="D422" s="150">
        <f>'[1]Fliggy Store Daily Key Data'!G2089</f>
        <v>9382</v>
      </c>
      <c r="E422" s="150">
        <v>58</v>
      </c>
      <c r="F422" s="150">
        <f>'[1]Fliggy Store Daily Key Data'!K2089</f>
        <v>148425.18</v>
      </c>
      <c r="G422" s="150">
        <v>165</v>
      </c>
      <c r="H422" s="155">
        <f t="shared" si="12"/>
        <v>0.0848484848484849</v>
      </c>
      <c r="I422" s="73">
        <f>7+7</f>
        <v>14</v>
      </c>
      <c r="J422" s="18">
        <f t="shared" si="13"/>
        <v>0.000444952962115434</v>
      </c>
      <c r="K422" s="5"/>
    </row>
    <row r="423" ht="13.85" spans="1:11">
      <c r="A423" s="156">
        <v>45531</v>
      </c>
      <c r="B423" s="150">
        <f>'[1]Fliggy Store Daily Key Data'!B2090</f>
        <v>41605</v>
      </c>
      <c r="C423" s="150">
        <f>'[1]Fliggy Store Daily Key Data'!C2090</f>
        <v>21240</v>
      </c>
      <c r="D423" s="150">
        <f>'[1]Fliggy Store Daily Key Data'!G2090</f>
        <v>9733</v>
      </c>
      <c r="E423" s="150">
        <v>60</v>
      </c>
      <c r="F423" s="150">
        <f>'[1]Fliggy Store Daily Key Data'!K2090</f>
        <v>22950.8</v>
      </c>
      <c r="G423" s="150">
        <v>157</v>
      </c>
      <c r="H423" s="155">
        <f t="shared" si="12"/>
        <v>0.0127388535031847</v>
      </c>
      <c r="I423" s="73">
        <v>2</v>
      </c>
      <c r="J423" s="18">
        <f t="shared" si="13"/>
        <v>9.41619585687382e-5</v>
      </c>
      <c r="K423" s="5"/>
    </row>
    <row r="424" ht="13.85" spans="1:11">
      <c r="A424" s="156">
        <v>45532</v>
      </c>
      <c r="B424" s="150">
        <f>'[1]Fliggy Store Daily Key Data'!B2091</f>
        <v>40805</v>
      </c>
      <c r="C424" s="150">
        <f>'[1]Fliggy Store Daily Key Data'!C2091</f>
        <v>20881</v>
      </c>
      <c r="D424" s="150">
        <f>'[1]Fliggy Store Daily Key Data'!G2091</f>
        <v>9659</v>
      </c>
      <c r="E424" s="150">
        <v>74</v>
      </c>
      <c r="F424" s="150">
        <f>'[1]Fliggy Store Daily Key Data'!K2091</f>
        <v>137700.3</v>
      </c>
      <c r="G424" s="150">
        <v>186</v>
      </c>
      <c r="H424" s="155">
        <f t="shared" si="12"/>
        <v>0.0591397849462366</v>
      </c>
      <c r="I424" s="73">
        <v>11</v>
      </c>
      <c r="J424" s="18">
        <f t="shared" si="13"/>
        <v>0.000526794693740721</v>
      </c>
      <c r="K424" s="5"/>
    </row>
    <row r="425" ht="13.85" spans="1:11">
      <c r="A425" s="156">
        <v>45533</v>
      </c>
      <c r="B425" s="150">
        <f>'[1]Fliggy Store Daily Key Data'!B2092</f>
        <v>36284</v>
      </c>
      <c r="C425" s="150">
        <f>'[1]Fliggy Store Daily Key Data'!C2092</f>
        <v>16881</v>
      </c>
      <c r="D425" s="150">
        <f>'[1]Fliggy Store Daily Key Data'!G2092</f>
        <v>8148</v>
      </c>
      <c r="E425" s="150">
        <v>50</v>
      </c>
      <c r="F425" s="150">
        <f>'[1]Fliggy Store Daily Key Data'!K2092</f>
        <v>25274.2</v>
      </c>
      <c r="G425" s="150">
        <v>157</v>
      </c>
      <c r="H425" s="155">
        <f t="shared" si="12"/>
        <v>0.0764331210191083</v>
      </c>
      <c r="I425" s="73">
        <v>12</v>
      </c>
      <c r="J425" s="18">
        <f t="shared" si="13"/>
        <v>0.000710858361471477</v>
      </c>
      <c r="K425" s="5"/>
    </row>
    <row r="426" ht="13.85" spans="1:11">
      <c r="A426" s="156">
        <v>45534</v>
      </c>
      <c r="B426" s="150">
        <f>'[1]Fliggy Store Daily Key Data'!B2093</f>
        <v>31828</v>
      </c>
      <c r="C426" s="150">
        <f>'[1]Fliggy Store Daily Key Data'!C2093</f>
        <v>14976</v>
      </c>
      <c r="D426" s="150">
        <f>'[1]Fliggy Store Daily Key Data'!G2093</f>
        <v>6869</v>
      </c>
      <c r="E426" s="150">
        <v>45</v>
      </c>
      <c r="F426" s="150">
        <f>'[1]Fliggy Store Daily Key Data'!K2093</f>
        <v>37355.6</v>
      </c>
      <c r="G426" s="150">
        <v>129</v>
      </c>
      <c r="H426" s="155">
        <f t="shared" si="12"/>
        <v>0.0155038759689922</v>
      </c>
      <c r="I426" s="73">
        <v>2</v>
      </c>
      <c r="J426" s="18">
        <f t="shared" si="13"/>
        <v>0.000133547008547009</v>
      </c>
      <c r="K426" s="5"/>
    </row>
    <row r="427" ht="13.85" spans="1:11">
      <c r="A427" s="156">
        <v>45535</v>
      </c>
      <c r="B427" s="150">
        <f>'[1]Fliggy Store Daily Key Data'!B2094</f>
        <v>46200</v>
      </c>
      <c r="C427" s="150">
        <f>'[1]Fliggy Store Daily Key Data'!C2094</f>
        <v>22483</v>
      </c>
      <c r="D427" s="150">
        <f>'[1]Fliggy Store Daily Key Data'!G2094</f>
        <v>9205</v>
      </c>
      <c r="E427" s="150">
        <v>47</v>
      </c>
      <c r="F427" s="150">
        <f>'[1]Fliggy Store Daily Key Data'!K2094</f>
        <v>30217.3</v>
      </c>
      <c r="G427" s="150">
        <v>128</v>
      </c>
      <c r="H427" s="155">
        <f t="shared" si="12"/>
        <v>0.015625</v>
      </c>
      <c r="I427" s="73">
        <v>2</v>
      </c>
      <c r="J427" s="18">
        <f t="shared" si="13"/>
        <v>8.89561001645688e-5</v>
      </c>
      <c r="K427" s="5"/>
    </row>
    <row r="428" ht="13.85" spans="1:11">
      <c r="A428" s="156">
        <v>45536</v>
      </c>
      <c r="B428" s="150">
        <f>'[1]Fliggy Store Daily Key Data'!B2095</f>
        <v>41353</v>
      </c>
      <c r="C428" s="150">
        <f>'[1]Fliggy Store Daily Key Data'!C2095</f>
        <v>19548</v>
      </c>
      <c r="D428" s="150">
        <f>'[1]Fliggy Store Daily Key Data'!G2095</f>
        <v>9708</v>
      </c>
      <c r="E428" s="150">
        <v>52</v>
      </c>
      <c r="F428" s="150">
        <f>'[1]Fliggy Store Daily Key Data'!K2095</f>
        <v>31762.1</v>
      </c>
      <c r="G428" s="150">
        <v>134</v>
      </c>
      <c r="H428" s="155">
        <f t="shared" si="12"/>
        <v>0.0223880597014925</v>
      </c>
      <c r="I428" s="73">
        <v>3</v>
      </c>
      <c r="J428" s="18">
        <f t="shared" si="13"/>
        <v>0.000153468385512584</v>
      </c>
      <c r="K428" s="5"/>
    </row>
    <row r="429" ht="13.85" spans="1:11">
      <c r="A429" s="156">
        <v>45537</v>
      </c>
      <c r="B429" s="150">
        <f>'[1]Fliggy Store Daily Key Data'!B2096</f>
        <v>39130</v>
      </c>
      <c r="C429" s="150">
        <f>'[1]Fliggy Store Daily Key Data'!C2096</f>
        <v>18820</v>
      </c>
      <c r="D429" s="150">
        <f>'[1]Fliggy Store Daily Key Data'!G2096</f>
        <v>9771</v>
      </c>
      <c r="E429" s="150">
        <v>58</v>
      </c>
      <c r="F429" s="150">
        <f>'[1]Fliggy Store Daily Key Data'!K2096</f>
        <v>159061.6</v>
      </c>
      <c r="G429" s="150">
        <v>147</v>
      </c>
      <c r="H429" s="155">
        <f t="shared" si="12"/>
        <v>0.0340136054421769</v>
      </c>
      <c r="I429" s="73">
        <v>5</v>
      </c>
      <c r="J429" s="18">
        <f t="shared" si="13"/>
        <v>0.00026567481402763</v>
      </c>
      <c r="K429" s="5"/>
    </row>
    <row r="430" ht="13.85" spans="1:11">
      <c r="A430" s="156">
        <v>45538</v>
      </c>
      <c r="B430" s="150">
        <f>'[1]Fliggy Store Daily Key Data'!B2097</f>
        <v>43621</v>
      </c>
      <c r="C430" s="150">
        <f>'[1]Fliggy Store Daily Key Data'!C2097</f>
        <v>21403</v>
      </c>
      <c r="D430" s="150">
        <f>'[1]Fliggy Store Daily Key Data'!G2097</f>
        <v>11204</v>
      </c>
      <c r="E430" s="150">
        <v>58</v>
      </c>
      <c r="F430" s="150">
        <f>'[1]Fliggy Store Daily Key Data'!K2097</f>
        <v>77945.1</v>
      </c>
      <c r="G430" s="150">
        <v>153</v>
      </c>
      <c r="H430" s="155">
        <f t="shared" si="12"/>
        <v>0.0392156862745098</v>
      </c>
      <c r="I430" s="73">
        <v>6</v>
      </c>
      <c r="J430" s="18">
        <f t="shared" si="13"/>
        <v>0.000280334532542167</v>
      </c>
      <c r="K430" s="5"/>
    </row>
    <row r="431" ht="13.85" spans="1:11">
      <c r="A431" s="156">
        <v>45539</v>
      </c>
      <c r="B431" s="150">
        <f>'[1]Fliggy Store Daily Key Data'!B2098</f>
        <v>35383</v>
      </c>
      <c r="C431" s="150">
        <f>'[1]Fliggy Store Daily Key Data'!C2098</f>
        <v>16097</v>
      </c>
      <c r="D431" s="150">
        <f>'[1]Fliggy Store Daily Key Data'!G2098</f>
        <v>10725</v>
      </c>
      <c r="E431" s="150">
        <v>51</v>
      </c>
      <c r="F431" s="150">
        <f>'[1]Fliggy Store Daily Key Data'!K2098</f>
        <v>60347.36</v>
      </c>
      <c r="G431" s="150">
        <v>152</v>
      </c>
      <c r="H431" s="155">
        <f t="shared" si="12"/>
        <v>0.0394736842105263</v>
      </c>
      <c r="I431" s="73">
        <v>6</v>
      </c>
      <c r="J431" s="18">
        <f t="shared" si="13"/>
        <v>0.000372740262160651</v>
      </c>
      <c r="K431" s="5"/>
    </row>
    <row r="432" ht="13.85" spans="1:11">
      <c r="A432" s="156">
        <v>45540</v>
      </c>
      <c r="B432" s="150">
        <f>'[1]Fliggy Store Daily Key Data'!B2099</f>
        <v>32519</v>
      </c>
      <c r="C432" s="150">
        <f>'[1]Fliggy Store Daily Key Data'!C2099</f>
        <v>14117</v>
      </c>
      <c r="D432" s="150">
        <f>'[1]Fliggy Store Daily Key Data'!G2099</f>
        <v>8224</v>
      </c>
      <c r="E432" s="150">
        <v>40</v>
      </c>
      <c r="F432" s="150">
        <f>'[1]Fliggy Store Daily Key Data'!K2099</f>
        <v>33079.1</v>
      </c>
      <c r="G432" s="150">
        <v>150</v>
      </c>
      <c r="H432" s="155">
        <f t="shared" si="12"/>
        <v>0.00666666666666667</v>
      </c>
      <c r="I432" s="73">
        <v>1</v>
      </c>
      <c r="J432" s="18">
        <f t="shared" si="13"/>
        <v>7.08365800099171e-5</v>
      </c>
      <c r="K432" s="5"/>
    </row>
    <row r="433" ht="13.85" spans="1:11">
      <c r="A433" s="156">
        <v>45541</v>
      </c>
      <c r="B433" s="150">
        <f>'[1]Fliggy Store Daily Key Data'!B2100</f>
        <v>32885</v>
      </c>
      <c r="C433" s="150">
        <f>'[1]Fliggy Store Daily Key Data'!C2100</f>
        <v>14994</v>
      </c>
      <c r="D433" s="150">
        <f>'[1]Fliggy Store Daily Key Data'!G2100</f>
        <v>8626</v>
      </c>
      <c r="E433" s="150">
        <v>98</v>
      </c>
      <c r="F433" s="150">
        <f>'[1]Fliggy Store Daily Key Data'!K2100</f>
        <v>48071.7</v>
      </c>
      <c r="G433" s="150">
        <v>143</v>
      </c>
      <c r="H433" s="155">
        <f t="shared" si="12"/>
        <v>0.020979020979021</v>
      </c>
      <c r="I433" s="73">
        <v>3</v>
      </c>
      <c r="J433" s="18">
        <f t="shared" si="13"/>
        <v>0.000200080032012805</v>
      </c>
      <c r="K433" s="5"/>
    </row>
    <row r="434" ht="13.85" spans="1:11">
      <c r="A434" s="156">
        <v>45542</v>
      </c>
      <c r="B434" s="150">
        <f>'[1]Fliggy Store Daily Key Data'!B2101</f>
        <v>44699</v>
      </c>
      <c r="C434" s="150">
        <f>'[1]Fliggy Store Daily Key Data'!C2101</f>
        <v>19919</v>
      </c>
      <c r="D434" s="150">
        <f>'[1]Fliggy Store Daily Key Data'!G2101</f>
        <v>8859</v>
      </c>
      <c r="E434" s="150">
        <v>36</v>
      </c>
      <c r="F434" s="150">
        <f>'[1]Fliggy Store Daily Key Data'!K2101</f>
        <v>10373.4</v>
      </c>
      <c r="G434" s="150">
        <v>125</v>
      </c>
      <c r="H434" s="155">
        <f t="shared" si="12"/>
        <v>0.008</v>
      </c>
      <c r="I434" s="73">
        <v>1</v>
      </c>
      <c r="J434" s="18">
        <f t="shared" si="13"/>
        <v>5.02033234600131e-5</v>
      </c>
      <c r="K434" s="5"/>
    </row>
    <row r="435" ht="13.85" spans="1:11">
      <c r="A435" s="156">
        <v>45543</v>
      </c>
      <c r="B435" s="150">
        <f>'[1]Fliggy Store Daily Key Data'!B2102</f>
        <v>31426</v>
      </c>
      <c r="C435" s="150">
        <f>'[1]Fliggy Store Daily Key Data'!C2102</f>
        <v>14672</v>
      </c>
      <c r="D435" s="150">
        <f>'[1]Fliggy Store Daily Key Data'!G2102</f>
        <v>5147</v>
      </c>
      <c r="E435" s="150">
        <v>35</v>
      </c>
      <c r="F435" s="150">
        <f>'[1]Fliggy Store Daily Key Data'!K2102</f>
        <v>95699.94</v>
      </c>
      <c r="G435" s="150">
        <v>113</v>
      </c>
      <c r="H435" s="155">
        <f t="shared" si="12"/>
        <v>0.0619469026548673</v>
      </c>
      <c r="I435" s="73">
        <v>7</v>
      </c>
      <c r="J435" s="18">
        <f t="shared" si="13"/>
        <v>0.000477099236641221</v>
      </c>
      <c r="K435" s="5"/>
    </row>
    <row r="436" ht="13.85" spans="1:11">
      <c r="A436" s="156">
        <v>45544</v>
      </c>
      <c r="B436" s="150">
        <f>'[1]Fliggy Store Daily Key Data'!B2103</f>
        <v>28586</v>
      </c>
      <c r="C436" s="150">
        <f>'[1]Fliggy Store Daily Key Data'!C2103</f>
        <v>13194</v>
      </c>
      <c r="D436" s="150">
        <f>'[1]Fliggy Store Daily Key Data'!G2103</f>
        <v>6572</v>
      </c>
      <c r="E436" s="150">
        <v>37</v>
      </c>
      <c r="F436" s="150">
        <f>'[1]Fliggy Store Daily Key Data'!K2103</f>
        <v>34569.6</v>
      </c>
      <c r="G436" s="150">
        <v>123</v>
      </c>
      <c r="H436" s="155">
        <f t="shared" si="12"/>
        <v>0.024390243902439</v>
      </c>
      <c r="I436" s="73">
        <v>3</v>
      </c>
      <c r="J436" s="18">
        <f t="shared" si="13"/>
        <v>0.00022737608003638</v>
      </c>
      <c r="K436" s="5"/>
    </row>
    <row r="437" ht="13.85" spans="1:11">
      <c r="A437" s="156">
        <v>45545</v>
      </c>
      <c r="B437" s="150">
        <f>'[1]Fliggy Store Daily Key Data'!B2104</f>
        <v>34012</v>
      </c>
      <c r="C437" s="150">
        <f>'[1]Fliggy Store Daily Key Data'!C2104</f>
        <v>14058</v>
      </c>
      <c r="D437" s="150">
        <f>'[1]Fliggy Store Daily Key Data'!G2104</f>
        <v>6824</v>
      </c>
      <c r="E437" s="150">
        <v>37</v>
      </c>
      <c r="F437" s="150">
        <f>'[1]Fliggy Store Daily Key Data'!K2104</f>
        <v>34673.9</v>
      </c>
      <c r="G437" s="150">
        <v>156</v>
      </c>
      <c r="H437" s="155">
        <f t="shared" si="12"/>
        <v>0.0192307692307692</v>
      </c>
      <c r="I437" s="73">
        <v>3</v>
      </c>
      <c r="J437" s="18">
        <f t="shared" si="13"/>
        <v>0.000213401621852326</v>
      </c>
      <c r="K437" s="5"/>
    </row>
    <row r="438" ht="13.85" spans="1:11">
      <c r="A438" s="156">
        <v>45546</v>
      </c>
      <c r="B438" s="150">
        <f>'[1]Fliggy Store Daily Key Data'!B2105</f>
        <v>35252</v>
      </c>
      <c r="C438" s="150">
        <f>'[1]Fliggy Store Daily Key Data'!C2105</f>
        <v>15685</v>
      </c>
      <c r="D438" s="150">
        <f>'[1]Fliggy Store Daily Key Data'!G2105</f>
        <v>7361</v>
      </c>
      <c r="E438" s="150">
        <v>32</v>
      </c>
      <c r="F438" s="150">
        <f>'[1]Fliggy Store Daily Key Data'!K2105</f>
        <v>170899.7</v>
      </c>
      <c r="G438" s="150">
        <v>158</v>
      </c>
      <c r="H438" s="155">
        <f t="shared" si="12"/>
        <v>0.0759493670886076</v>
      </c>
      <c r="I438" s="73">
        <v>12</v>
      </c>
      <c r="J438" s="18">
        <f t="shared" si="13"/>
        <v>0.000765062161300606</v>
      </c>
      <c r="K438" s="5"/>
    </row>
    <row r="439" ht="13.85" spans="1:11">
      <c r="A439" s="156">
        <v>45547</v>
      </c>
      <c r="B439" s="150">
        <f>'[1]Fliggy Store Daily Key Data'!B2106</f>
        <v>39191</v>
      </c>
      <c r="C439" s="150">
        <f>'[1]Fliggy Store Daily Key Data'!C2106</f>
        <v>17571</v>
      </c>
      <c r="D439" s="150">
        <f>'[1]Fliggy Store Daily Key Data'!G2106</f>
        <v>9552</v>
      </c>
      <c r="E439" s="150">
        <v>54</v>
      </c>
      <c r="F439" s="150">
        <f>'[1]Fliggy Store Daily Key Data'!K2106</f>
        <v>49212.4</v>
      </c>
      <c r="G439" s="150">
        <v>164</v>
      </c>
      <c r="H439" s="155">
        <f t="shared" si="12"/>
        <v>0.024390243902439</v>
      </c>
      <c r="I439" s="73">
        <v>4</v>
      </c>
      <c r="J439" s="18">
        <f t="shared" si="13"/>
        <v>0.000227647828808833</v>
      </c>
      <c r="K439" s="5"/>
    </row>
    <row r="440" ht="13.85" spans="1:11">
      <c r="A440" s="156">
        <v>45548</v>
      </c>
      <c r="B440" s="150">
        <f>'[1]Fliggy Store Daily Key Data'!B2107</f>
        <v>43104</v>
      </c>
      <c r="C440" s="150">
        <f>'[1]Fliggy Store Daily Key Data'!C2107</f>
        <v>20245</v>
      </c>
      <c r="D440" s="150">
        <f>'[1]Fliggy Store Daily Key Data'!G2107</f>
        <v>7884</v>
      </c>
      <c r="E440" s="150">
        <v>28</v>
      </c>
      <c r="F440" s="150">
        <f>'[1]Fliggy Store Daily Key Data'!K2107</f>
        <v>25307</v>
      </c>
      <c r="G440" s="150">
        <v>132</v>
      </c>
      <c r="H440" s="155">
        <f t="shared" si="12"/>
        <v>0.0227272727272727</v>
      </c>
      <c r="I440" s="73">
        <v>3</v>
      </c>
      <c r="J440" s="18">
        <f t="shared" si="13"/>
        <v>0.000148184736972092</v>
      </c>
      <c r="K440" s="5"/>
    </row>
    <row r="441" ht="13.85" spans="1:11">
      <c r="A441" s="156">
        <v>45549</v>
      </c>
      <c r="B441" s="150">
        <f>'[1]Fliggy Store Daily Key Data'!B2108</f>
        <v>46463</v>
      </c>
      <c r="C441" s="150">
        <f>'[1]Fliggy Store Daily Key Data'!C2108</f>
        <v>21842</v>
      </c>
      <c r="D441" s="150">
        <f>'[1]Fliggy Store Daily Key Data'!G2108</f>
        <v>7322</v>
      </c>
      <c r="E441" s="150">
        <v>51</v>
      </c>
      <c r="F441" s="150">
        <f>'[1]Fliggy Store Daily Key Data'!K2108</f>
        <v>71344</v>
      </c>
      <c r="G441" s="150">
        <v>136</v>
      </c>
      <c r="H441" s="155">
        <f t="shared" si="12"/>
        <v>0.0294117647058824</v>
      </c>
      <c r="I441" s="73">
        <v>4</v>
      </c>
      <c r="J441" s="18">
        <f t="shared" si="13"/>
        <v>0.000183133412691146</v>
      </c>
      <c r="K441" s="5"/>
    </row>
    <row r="442" ht="13.85" spans="1:11">
      <c r="A442" s="156">
        <v>45550</v>
      </c>
      <c r="B442" s="150">
        <f>'[1]Fliggy Store Daily Key Data'!B2109</f>
        <v>60370</v>
      </c>
      <c r="C442" s="150">
        <f>'[1]Fliggy Store Daily Key Data'!C2109</f>
        <v>29471</v>
      </c>
      <c r="D442" s="150">
        <f>'[1]Fliggy Store Daily Key Data'!G2109</f>
        <v>7846</v>
      </c>
      <c r="E442" s="150">
        <v>21</v>
      </c>
      <c r="F442" s="150">
        <f>'[1]Fliggy Store Daily Key Data'!K2109</f>
        <v>10734</v>
      </c>
      <c r="G442" s="150">
        <v>136</v>
      </c>
      <c r="H442" s="155">
        <f t="shared" si="12"/>
        <v>0.00735294117647059</v>
      </c>
      <c r="I442" s="73">
        <v>1</v>
      </c>
      <c r="J442" s="18">
        <f t="shared" si="13"/>
        <v>3.39316616334702e-5</v>
      </c>
      <c r="K442" s="5"/>
    </row>
    <row r="443" ht="13.85" spans="1:11">
      <c r="A443" s="156">
        <v>45551</v>
      </c>
      <c r="B443" s="150">
        <f>'[1]Fliggy Store Daily Key Data'!B2110</f>
        <v>43867</v>
      </c>
      <c r="C443" s="150">
        <f>'[1]Fliggy Store Daily Key Data'!C2110</f>
        <v>21890</v>
      </c>
      <c r="D443" s="150">
        <f>'[1]Fliggy Store Daily Key Data'!G2110</f>
        <v>8077</v>
      </c>
      <c r="E443" s="150">
        <v>28</v>
      </c>
      <c r="F443" s="150">
        <f>'[1]Fliggy Store Daily Key Data'!K2110</f>
        <v>9867</v>
      </c>
      <c r="G443" s="150">
        <v>88</v>
      </c>
      <c r="H443" s="155">
        <f t="shared" si="12"/>
        <v>0.0113636363636364</v>
      </c>
      <c r="I443" s="73">
        <v>1</v>
      </c>
      <c r="J443" s="18">
        <f t="shared" si="13"/>
        <v>4.56829602558246e-5</v>
      </c>
      <c r="K443" s="5"/>
    </row>
    <row r="444" ht="13.85" spans="1:11">
      <c r="A444" s="156">
        <v>45552</v>
      </c>
      <c r="B444" s="150">
        <f>'[1]Fliggy Store Daily Key Data'!B2111</f>
        <v>39581</v>
      </c>
      <c r="C444" s="150">
        <f>'[1]Fliggy Store Daily Key Data'!C2111</f>
        <v>19666</v>
      </c>
      <c r="D444" s="150">
        <f>'[1]Fliggy Store Daily Key Data'!G2111</f>
        <v>7650</v>
      </c>
      <c r="E444" s="150">
        <v>33</v>
      </c>
      <c r="F444" s="150">
        <f>'[1]Fliggy Store Daily Key Data'!K2111</f>
        <v>36269</v>
      </c>
      <c r="G444" s="150">
        <v>100</v>
      </c>
      <c r="H444" s="155">
        <f t="shared" si="12"/>
        <v>0.03</v>
      </c>
      <c r="I444" s="73">
        <v>3</v>
      </c>
      <c r="J444" s="18">
        <f t="shared" si="13"/>
        <v>0.000152547543984542</v>
      </c>
      <c r="K444" s="5"/>
    </row>
    <row r="445" ht="13.85" spans="1:11">
      <c r="A445" s="156">
        <v>45553</v>
      </c>
      <c r="B445" s="150">
        <f>'[1]Fliggy Store Daily Key Data'!B2112</f>
        <v>45026</v>
      </c>
      <c r="C445" s="150">
        <f>'[1]Fliggy Store Daily Key Data'!C2112</f>
        <v>20900</v>
      </c>
      <c r="D445" s="150">
        <f>'[1]Fliggy Store Daily Key Data'!G2112</f>
        <v>7947</v>
      </c>
      <c r="E445" s="150">
        <v>29</v>
      </c>
      <c r="F445" s="150">
        <f>'[1]Fliggy Store Daily Key Data'!K2112</f>
        <v>17517.76</v>
      </c>
      <c r="G445" s="150">
        <v>150</v>
      </c>
      <c r="H445" s="155">
        <f t="shared" si="12"/>
        <v>0.0133333333333333</v>
      </c>
      <c r="I445" s="73">
        <v>2</v>
      </c>
      <c r="J445" s="18">
        <f t="shared" si="13"/>
        <v>9.56937799043062e-5</v>
      </c>
      <c r="K445" s="5"/>
    </row>
    <row r="446" ht="13.85" spans="1:11">
      <c r="A446" s="156">
        <v>45554</v>
      </c>
      <c r="B446" s="150">
        <f>'[1]Fliggy Store Daily Key Data'!B2113</f>
        <v>41747</v>
      </c>
      <c r="C446" s="150">
        <f>'[1]Fliggy Store Daily Key Data'!C2113</f>
        <v>17001</v>
      </c>
      <c r="D446" s="150">
        <f>'[1]Fliggy Store Daily Key Data'!G2113</f>
        <v>7252</v>
      </c>
      <c r="E446" s="150">
        <v>30</v>
      </c>
      <c r="F446" s="150">
        <f>'[1]Fliggy Store Daily Key Data'!K2113</f>
        <v>47851</v>
      </c>
      <c r="G446" s="150">
        <v>149</v>
      </c>
      <c r="H446" s="155">
        <f t="shared" si="12"/>
        <v>0.0335570469798658</v>
      </c>
      <c r="I446" s="73">
        <v>5</v>
      </c>
      <c r="J446" s="18">
        <f t="shared" si="13"/>
        <v>0.00029410034703841</v>
      </c>
      <c r="K446" s="5"/>
    </row>
    <row r="447" ht="13.85" spans="1:11">
      <c r="A447" s="156">
        <v>45555</v>
      </c>
      <c r="B447" s="150">
        <f>'[1]Fliggy Store Daily Key Data'!B2114</f>
        <v>37589</v>
      </c>
      <c r="C447" s="150">
        <f>'[1]Fliggy Store Daily Key Data'!C2114</f>
        <v>14187</v>
      </c>
      <c r="D447" s="150">
        <f>'[1]Fliggy Store Daily Key Data'!G2114</f>
        <v>6997</v>
      </c>
      <c r="E447" s="150">
        <v>34</v>
      </c>
      <c r="F447" s="150">
        <f>'[1]Fliggy Store Daily Key Data'!K2114</f>
        <v>14256</v>
      </c>
      <c r="G447" s="150">
        <v>106</v>
      </c>
      <c r="H447" s="155">
        <f t="shared" si="12"/>
        <v>0.00943396226415094</v>
      </c>
      <c r="I447" s="73">
        <v>1</v>
      </c>
      <c r="J447" s="18">
        <f t="shared" si="13"/>
        <v>7.04870656234581e-5</v>
      </c>
      <c r="K447" s="5"/>
    </row>
    <row r="448" ht="13.85" spans="1:11">
      <c r="A448" s="156">
        <v>45556</v>
      </c>
      <c r="B448" s="150">
        <f>'[1]Fliggy Store Daily Key Data'!B2115</f>
        <v>35237</v>
      </c>
      <c r="C448" s="150">
        <f>'[1]Fliggy Store Daily Key Data'!C2115</f>
        <v>14113</v>
      </c>
      <c r="D448" s="150">
        <f>'[1]Fliggy Store Daily Key Data'!G2115</f>
        <v>6850</v>
      </c>
      <c r="E448" s="150">
        <v>29</v>
      </c>
      <c r="F448" s="150">
        <f>'[1]Fliggy Store Daily Key Data'!K2115</f>
        <v>52390.6</v>
      </c>
      <c r="G448" s="150">
        <v>138</v>
      </c>
      <c r="H448" s="155">
        <f t="shared" si="12"/>
        <v>0.0289855072463768</v>
      </c>
      <c r="I448" s="73">
        <v>4</v>
      </c>
      <c r="J448" s="18">
        <f t="shared" si="13"/>
        <v>0.000283426627931694</v>
      </c>
      <c r="K448" s="5"/>
    </row>
    <row r="449" ht="13.85" spans="1:11">
      <c r="A449" s="156">
        <v>45557</v>
      </c>
      <c r="B449" s="150">
        <f>'[1]Fliggy Store Daily Key Data'!B2116</f>
        <v>22937</v>
      </c>
      <c r="C449" s="150">
        <f>'[1]Fliggy Store Daily Key Data'!C2116</f>
        <v>9341</v>
      </c>
      <c r="D449" s="150">
        <f>'[1]Fliggy Store Daily Key Data'!G2116</f>
        <v>4177</v>
      </c>
      <c r="E449" s="150">
        <v>25</v>
      </c>
      <c r="F449" s="150">
        <f>'[1]Fliggy Store Daily Key Data'!K2116</f>
        <v>48454</v>
      </c>
      <c r="G449" s="150">
        <v>112</v>
      </c>
      <c r="H449" s="155">
        <f t="shared" si="12"/>
        <v>0.0357142857142857</v>
      </c>
      <c r="I449" s="73">
        <v>4</v>
      </c>
      <c r="J449" s="18">
        <f t="shared" si="13"/>
        <v>0.000428219676694144</v>
      </c>
      <c r="K449" s="5"/>
    </row>
    <row r="450" ht="13.85" spans="1:11">
      <c r="A450" s="156">
        <v>45558</v>
      </c>
      <c r="B450" s="150">
        <f>'[1]Fliggy Store Daily Key Data'!B2117</f>
        <v>22674</v>
      </c>
      <c r="C450" s="150">
        <f>'[1]Fliggy Store Daily Key Data'!C2117</f>
        <v>9302</v>
      </c>
      <c r="D450" s="150">
        <f>'[1]Fliggy Store Daily Key Data'!G2117</f>
        <v>3849</v>
      </c>
      <c r="E450" s="150">
        <v>25</v>
      </c>
      <c r="F450" s="150">
        <f>'[1]Fliggy Store Daily Key Data'!K2117</f>
        <v>21803</v>
      </c>
      <c r="G450" s="150">
        <v>142</v>
      </c>
      <c r="H450" s="155">
        <f t="shared" ref="H450:H513" si="14">I450/G450</f>
        <v>0.0140845070422535</v>
      </c>
      <c r="I450" s="73">
        <v>2</v>
      </c>
      <c r="J450" s="18">
        <f t="shared" si="13"/>
        <v>0.000215007525263384</v>
      </c>
      <c r="K450" s="5"/>
    </row>
    <row r="451" ht="13.85" spans="1:11">
      <c r="A451" s="156">
        <v>45559</v>
      </c>
      <c r="B451" s="150">
        <f>'[1]Fliggy Store Daily Key Data'!B2118</f>
        <v>22453</v>
      </c>
      <c r="C451" s="150">
        <f>'[1]Fliggy Store Daily Key Data'!C2118</f>
        <v>8971</v>
      </c>
      <c r="D451" s="150">
        <f>'[1]Fliggy Store Daily Key Data'!G2118</f>
        <v>3606</v>
      </c>
      <c r="E451" s="150">
        <v>22</v>
      </c>
      <c r="F451" s="150">
        <f>'[1]Fliggy Store Daily Key Data'!K2118</f>
        <v>25068</v>
      </c>
      <c r="G451" s="150">
        <v>105</v>
      </c>
      <c r="H451" s="155">
        <f t="shared" si="14"/>
        <v>0.019047619047619</v>
      </c>
      <c r="I451" s="73">
        <v>2</v>
      </c>
      <c r="J451" s="18">
        <f t="shared" si="13"/>
        <v>0.000222940586333742</v>
      </c>
      <c r="K451" s="5">
        <v>38000</v>
      </c>
    </row>
    <row r="452" ht="13.85" spans="1:11">
      <c r="A452" s="156">
        <v>45560</v>
      </c>
      <c r="B452" s="150">
        <f>'[1]Fliggy Store Daily Key Data'!B2119</f>
        <v>19336</v>
      </c>
      <c r="C452" s="150">
        <f>'[1]Fliggy Store Daily Key Data'!C2119</f>
        <v>7082</v>
      </c>
      <c r="D452" s="150">
        <f>'[1]Fliggy Store Daily Key Data'!G2119</f>
        <v>3258</v>
      </c>
      <c r="E452" s="150">
        <v>18</v>
      </c>
      <c r="F452" s="150">
        <f>'[1]Fliggy Store Daily Key Data'!K2119</f>
        <v>46013</v>
      </c>
      <c r="G452" s="150">
        <v>121</v>
      </c>
      <c r="H452" s="155">
        <f t="shared" si="14"/>
        <v>0.0413223140495868</v>
      </c>
      <c r="I452" s="73">
        <v>5</v>
      </c>
      <c r="J452" s="18">
        <f t="shared" si="13"/>
        <v>0.000706015249929399</v>
      </c>
      <c r="K452" s="5"/>
    </row>
    <row r="453" ht="13.85" spans="1:11">
      <c r="A453" s="156">
        <v>45561</v>
      </c>
      <c r="B453" s="150">
        <f>'[1]Fliggy Store Daily Key Data'!B2120</f>
        <v>32024</v>
      </c>
      <c r="C453" s="150">
        <f>'[1]Fliggy Store Daily Key Data'!C2120</f>
        <v>15619</v>
      </c>
      <c r="D453" s="150">
        <f>'[1]Fliggy Store Daily Key Data'!G2120</f>
        <v>3078</v>
      </c>
      <c r="E453" s="150">
        <v>1163</v>
      </c>
      <c r="F453" s="150">
        <f>'[1]Fliggy Store Daily Key Data'!K2120</f>
        <v>33469</v>
      </c>
      <c r="G453" s="150">
        <v>162</v>
      </c>
      <c r="H453" s="155">
        <f t="shared" si="14"/>
        <v>0.0246913580246914</v>
      </c>
      <c r="I453" s="73">
        <v>4</v>
      </c>
      <c r="J453" s="18">
        <f t="shared" si="13"/>
        <v>0.000256098341763237</v>
      </c>
      <c r="K453" s="5"/>
    </row>
    <row r="454" ht="13.85" spans="1:11">
      <c r="A454" s="156">
        <v>45562</v>
      </c>
      <c r="B454" s="150">
        <f>'[1]Fliggy Store Daily Key Data'!B2121</f>
        <v>19689</v>
      </c>
      <c r="C454" s="150">
        <f>'[1]Fliggy Store Daily Key Data'!C2121</f>
        <v>6644</v>
      </c>
      <c r="D454" s="150">
        <f>'[1]Fliggy Store Daily Key Data'!G2121</f>
        <v>3098</v>
      </c>
      <c r="E454" s="150">
        <v>32</v>
      </c>
      <c r="F454" s="150">
        <f>'[1]Fliggy Store Daily Key Data'!K2121</f>
        <v>52421</v>
      </c>
      <c r="G454" s="150">
        <v>131</v>
      </c>
      <c r="H454" s="155">
        <f t="shared" si="14"/>
        <v>0.0381679389312977</v>
      </c>
      <c r="I454" s="73">
        <v>5</v>
      </c>
      <c r="J454" s="18">
        <f t="shared" si="13"/>
        <v>0.000752558699578567</v>
      </c>
      <c r="K454" s="5"/>
    </row>
    <row r="455" ht="13.85" spans="1:11">
      <c r="A455" s="156">
        <v>45563</v>
      </c>
      <c r="B455" s="150">
        <f>'[1]Fliggy Store Daily Key Data'!B2122</f>
        <v>21438</v>
      </c>
      <c r="C455" s="150">
        <f>'[1]Fliggy Store Daily Key Data'!C2122</f>
        <v>8571</v>
      </c>
      <c r="D455" s="150">
        <f>'[1]Fliggy Store Daily Key Data'!G2122</f>
        <v>3114</v>
      </c>
      <c r="E455" s="150">
        <v>30</v>
      </c>
      <c r="F455" s="150">
        <f>'[1]Fliggy Store Daily Key Data'!K2122</f>
        <v>53829.76</v>
      </c>
      <c r="G455" s="150">
        <v>117</v>
      </c>
      <c r="H455" s="155">
        <f t="shared" si="14"/>
        <v>0.0170940170940171</v>
      </c>
      <c r="I455" s="73">
        <v>2</v>
      </c>
      <c r="J455" s="18">
        <f t="shared" si="13"/>
        <v>0.000233345000583362</v>
      </c>
      <c r="K455" s="5"/>
    </row>
    <row r="456" ht="13.85" spans="1:11">
      <c r="A456" s="156">
        <v>45564</v>
      </c>
      <c r="B456" s="150">
        <f>'[1]Fliggy Store Daily Key Data'!B2123</f>
        <v>22828</v>
      </c>
      <c r="C456" s="150">
        <f>'[1]Fliggy Store Daily Key Data'!C2123</f>
        <v>8469</v>
      </c>
      <c r="D456" s="150">
        <f>'[1]Fliggy Store Daily Key Data'!G2123</f>
        <v>3372</v>
      </c>
      <c r="E456" s="150">
        <v>27</v>
      </c>
      <c r="F456" s="150">
        <f>'[1]Fliggy Store Daily Key Data'!K2123</f>
        <v>123083</v>
      </c>
      <c r="G456" s="150">
        <v>121</v>
      </c>
      <c r="H456" s="155">
        <f t="shared" si="14"/>
        <v>0.0661157024793388</v>
      </c>
      <c r="I456" s="73">
        <v>8</v>
      </c>
      <c r="J456" s="18">
        <f t="shared" si="13"/>
        <v>0.00094462156098713</v>
      </c>
      <c r="K456" s="5"/>
    </row>
    <row r="457" ht="13.85" spans="1:11">
      <c r="A457" s="156">
        <v>45565</v>
      </c>
      <c r="B457" s="150">
        <f>'[1]Fliggy Store Daily Key Data'!B2124</f>
        <v>17287</v>
      </c>
      <c r="C457" s="150">
        <f>'[1]Fliggy Store Daily Key Data'!C2124</f>
        <v>6325</v>
      </c>
      <c r="D457" s="150">
        <f>'[1]Fliggy Store Daily Key Data'!G2124</f>
        <v>2900</v>
      </c>
      <c r="E457" s="150">
        <v>19</v>
      </c>
      <c r="F457" s="150">
        <f>'[1]Fliggy Store Daily Key Data'!K2124</f>
        <v>65768</v>
      </c>
      <c r="G457" s="150">
        <v>119</v>
      </c>
      <c r="H457" s="155">
        <f t="shared" si="14"/>
        <v>0.0336134453781513</v>
      </c>
      <c r="I457" s="73">
        <v>4</v>
      </c>
      <c r="J457" s="18">
        <f t="shared" si="13"/>
        <v>0.000632411067193676</v>
      </c>
      <c r="K457" s="5"/>
    </row>
    <row r="458" ht="13.85" spans="1:11">
      <c r="A458" s="156">
        <v>45566</v>
      </c>
      <c r="B458" s="150">
        <f>'[1]Fliggy Store Daily Key Data'!B2125</f>
        <v>22845</v>
      </c>
      <c r="C458" s="150">
        <f>'[1]Fliggy Store Daily Key Data'!C2125</f>
        <v>9413</v>
      </c>
      <c r="D458" s="150">
        <f>'[1]Fliggy Store Daily Key Data'!G2125</f>
        <v>3244</v>
      </c>
      <c r="E458" s="150">
        <v>23</v>
      </c>
      <c r="F458" s="150">
        <f>'[1]Fliggy Store Daily Key Data'!K2125</f>
        <v>15562</v>
      </c>
      <c r="G458" s="150">
        <v>101</v>
      </c>
      <c r="H458" s="155">
        <f t="shared" si="14"/>
        <v>0.0099009900990099</v>
      </c>
      <c r="I458" s="73">
        <v>1</v>
      </c>
      <c r="J458" s="18">
        <f t="shared" si="13"/>
        <v>0.000106236056517582</v>
      </c>
      <c r="K458" s="5"/>
    </row>
    <row r="459" ht="13.85" spans="1:11">
      <c r="A459" s="156">
        <v>45567</v>
      </c>
      <c r="B459" s="150">
        <f>'[1]Fliggy Store Daily Key Data'!B2126</f>
        <v>20043</v>
      </c>
      <c r="C459" s="150">
        <f>'[1]Fliggy Store Daily Key Data'!C2126</f>
        <v>7291</v>
      </c>
      <c r="D459" s="150">
        <f>'[1]Fliggy Store Daily Key Data'!G2126</f>
        <v>3150</v>
      </c>
      <c r="E459" s="150">
        <v>22</v>
      </c>
      <c r="F459" s="150">
        <f>'[1]Fliggy Store Daily Key Data'!K2126</f>
        <v>11069</v>
      </c>
      <c r="G459" s="150">
        <v>91</v>
      </c>
      <c r="H459" s="155">
        <f t="shared" si="14"/>
        <v>0.010989010989011</v>
      </c>
      <c r="I459" s="73">
        <v>1</v>
      </c>
      <c r="J459" s="18">
        <f t="shared" si="13"/>
        <v>0.000137155397064874</v>
      </c>
      <c r="K459" s="5"/>
    </row>
    <row r="460" ht="13.85" spans="1:11">
      <c r="A460" s="156">
        <v>45568</v>
      </c>
      <c r="B460" s="150">
        <f>'[1]Fliggy Store Daily Key Data'!B2127</f>
        <v>23312</v>
      </c>
      <c r="C460" s="150">
        <f>'[1]Fliggy Store Daily Key Data'!C2127</f>
        <v>8417</v>
      </c>
      <c r="D460" s="150">
        <f>'[1]Fliggy Store Daily Key Data'!G2127</f>
        <v>3227</v>
      </c>
      <c r="E460" s="150">
        <v>20</v>
      </c>
      <c r="F460" s="150">
        <f>'[1]Fliggy Store Daily Key Data'!K2127</f>
        <v>65605</v>
      </c>
      <c r="G460" s="150">
        <v>91</v>
      </c>
      <c r="H460" s="155">
        <f t="shared" si="14"/>
        <v>0.043956043956044</v>
      </c>
      <c r="I460" s="73">
        <v>4</v>
      </c>
      <c r="J460" s="18">
        <f t="shared" si="13"/>
        <v>0.00047522870381371</v>
      </c>
      <c r="K460" s="5"/>
    </row>
    <row r="461" ht="13.85" spans="1:11">
      <c r="A461" s="156">
        <v>45569</v>
      </c>
      <c r="B461" s="150">
        <f>'[1]Fliggy Store Daily Key Data'!B2128</f>
        <v>92003</v>
      </c>
      <c r="C461" s="150">
        <f>'[1]Fliggy Store Daily Key Data'!C2128</f>
        <v>41548</v>
      </c>
      <c r="D461" s="150">
        <f>'[1]Fliggy Store Daily Key Data'!G2128</f>
        <v>3698</v>
      </c>
      <c r="E461" s="150">
        <v>51</v>
      </c>
      <c r="F461" s="150">
        <f>'[1]Fliggy Store Daily Key Data'!K2128</f>
        <v>14012</v>
      </c>
      <c r="G461" s="150">
        <v>164</v>
      </c>
      <c r="H461" s="155">
        <f t="shared" si="14"/>
        <v>0.00609756097560976</v>
      </c>
      <c r="I461" s="73">
        <v>1</v>
      </c>
      <c r="J461" s="18">
        <f t="shared" si="13"/>
        <v>2.40685472224896e-5</v>
      </c>
      <c r="K461" s="5"/>
    </row>
    <row r="462" ht="13.85" spans="1:11">
      <c r="A462" s="156">
        <v>45570</v>
      </c>
      <c r="B462" s="150">
        <f>'[1]Fliggy Store Daily Key Data'!B2129</f>
        <v>170074</v>
      </c>
      <c r="C462" s="150">
        <f>'[1]Fliggy Store Daily Key Data'!C2129</f>
        <v>74829</v>
      </c>
      <c r="D462" s="150">
        <f>'[1]Fliggy Store Daily Key Data'!G2129</f>
        <v>3363</v>
      </c>
      <c r="E462" s="150">
        <v>80</v>
      </c>
      <c r="F462" s="150">
        <f>'[1]Fliggy Store Daily Key Data'!K2129</f>
        <v>6352</v>
      </c>
      <c r="G462" s="150">
        <v>280</v>
      </c>
      <c r="H462" s="155">
        <f t="shared" si="14"/>
        <v>0.00357142857142857</v>
      </c>
      <c r="I462" s="73">
        <v>1</v>
      </c>
      <c r="J462" s="18">
        <f t="shared" si="13"/>
        <v>1.33638028037258e-5</v>
      </c>
      <c r="K462" s="5"/>
    </row>
    <row r="463" ht="13.85" spans="1:11">
      <c r="A463" s="156">
        <v>45571</v>
      </c>
      <c r="B463" s="150">
        <f>'[1]Fliggy Store Daily Key Data'!B2130</f>
        <v>61915</v>
      </c>
      <c r="C463" s="150">
        <f>'[1]Fliggy Store Daily Key Data'!C2130</f>
        <v>23290</v>
      </c>
      <c r="D463" s="150">
        <f>'[1]Fliggy Store Daily Key Data'!G2130</f>
        <v>3201</v>
      </c>
      <c r="E463" s="150">
        <v>51</v>
      </c>
      <c r="F463" s="150">
        <f>'[1]Fliggy Store Daily Key Data'!K2130</f>
        <v>21590</v>
      </c>
      <c r="G463" s="150">
        <v>211</v>
      </c>
      <c r="H463" s="155">
        <f t="shared" si="14"/>
        <v>0.00947867298578199</v>
      </c>
      <c r="I463" s="73">
        <v>2</v>
      </c>
      <c r="J463" s="18">
        <f t="shared" si="13"/>
        <v>8.587376556462e-5</v>
      </c>
      <c r="K463" s="5"/>
    </row>
    <row r="464" ht="13.85" spans="1:11">
      <c r="A464" s="156">
        <v>45572</v>
      </c>
      <c r="B464" s="150">
        <f>'[1]Fliggy Store Daily Key Data'!B2131</f>
        <v>37261</v>
      </c>
      <c r="C464" s="150">
        <f>'[1]Fliggy Store Daily Key Data'!C2131</f>
        <v>12531</v>
      </c>
      <c r="D464" s="150">
        <f>'[1]Fliggy Store Daily Key Data'!G2131</f>
        <v>3530</v>
      </c>
      <c r="E464" s="150">
        <v>45</v>
      </c>
      <c r="F464" s="150">
        <f>'[1]Fliggy Store Daily Key Data'!K2131</f>
        <v>65718</v>
      </c>
      <c r="G464" s="150">
        <v>184</v>
      </c>
      <c r="H464" s="155">
        <f t="shared" si="14"/>
        <v>0.0326086956521739</v>
      </c>
      <c r="I464" s="73">
        <v>6</v>
      </c>
      <c r="J464" s="18">
        <f t="shared" si="13"/>
        <v>0.000478812544888676</v>
      </c>
      <c r="K464" s="5"/>
    </row>
    <row r="465" ht="13.85" spans="1:11">
      <c r="A465" s="156">
        <v>45573</v>
      </c>
      <c r="B465" s="150">
        <f>'[1]Fliggy Store Daily Key Data'!B2132</f>
        <v>49953</v>
      </c>
      <c r="C465" s="150">
        <f>'[1]Fliggy Store Daily Key Data'!C2132</f>
        <v>18990</v>
      </c>
      <c r="D465" s="150">
        <f>'[1]Fliggy Store Daily Key Data'!G2132</f>
        <v>3079</v>
      </c>
      <c r="E465" s="150">
        <v>50</v>
      </c>
      <c r="F465" s="150">
        <f>'[1]Fliggy Store Daily Key Data'!K2132</f>
        <v>34549</v>
      </c>
      <c r="G465" s="150">
        <v>221</v>
      </c>
      <c r="H465" s="155">
        <f t="shared" si="14"/>
        <v>0.0180995475113122</v>
      </c>
      <c r="I465" s="73">
        <v>4</v>
      </c>
      <c r="J465" s="18">
        <f t="shared" si="13"/>
        <v>0.000210637177461822</v>
      </c>
      <c r="K465" s="5"/>
    </row>
    <row r="466" ht="13.85" spans="1:11">
      <c r="A466" s="156">
        <v>45574</v>
      </c>
      <c r="B466" s="150">
        <f>'[1]Fliggy Store Daily Key Data'!B2133</f>
        <v>30122</v>
      </c>
      <c r="C466" s="150">
        <f>'[1]Fliggy Store Daily Key Data'!C2133</f>
        <v>9557</v>
      </c>
      <c r="D466" s="150">
        <f>'[1]Fliggy Store Daily Key Data'!G2133</f>
        <v>2906</v>
      </c>
      <c r="E466" s="150">
        <v>35</v>
      </c>
      <c r="F466" s="150">
        <f>'[1]Fliggy Store Daily Key Data'!K2133</f>
        <v>65011.96</v>
      </c>
      <c r="G466" s="150">
        <v>201</v>
      </c>
      <c r="H466" s="155">
        <f t="shared" si="14"/>
        <v>0.0199004975124378</v>
      </c>
      <c r="I466" s="73">
        <v>4</v>
      </c>
      <c r="J466" s="18">
        <f t="shared" si="13"/>
        <v>0.000418541383279272</v>
      </c>
      <c r="K466" s="5"/>
    </row>
    <row r="467" ht="13.85" spans="1:11">
      <c r="A467" s="156">
        <v>45575</v>
      </c>
      <c r="B467" s="150">
        <f>'[1]Fliggy Store Daily Key Data'!B2134</f>
        <v>25904</v>
      </c>
      <c r="C467" s="150">
        <f>'[1]Fliggy Store Daily Key Data'!C2134</f>
        <v>8027</v>
      </c>
      <c r="D467" s="150">
        <f>'[1]Fliggy Store Daily Key Data'!G2134</f>
        <v>3424</v>
      </c>
      <c r="E467" s="150">
        <v>46</v>
      </c>
      <c r="F467" s="150">
        <f>'[1]Fliggy Store Daily Key Data'!K2134</f>
        <v>66700</v>
      </c>
      <c r="G467" s="150">
        <v>174</v>
      </c>
      <c r="H467" s="155">
        <f t="shared" si="14"/>
        <v>0.0229885057471264</v>
      </c>
      <c r="I467" s="73">
        <v>4</v>
      </c>
      <c r="J467" s="18">
        <f t="shared" si="13"/>
        <v>0.000498318176155475</v>
      </c>
      <c r="K467" s="5"/>
    </row>
    <row r="468" ht="13.85" spans="1:11">
      <c r="A468" s="156">
        <v>45576</v>
      </c>
      <c r="B468" s="150">
        <f>'[1]Fliggy Store Daily Key Data'!B2135</f>
        <v>28483</v>
      </c>
      <c r="C468" s="150">
        <f>'[1]Fliggy Store Daily Key Data'!C2135</f>
        <v>8688</v>
      </c>
      <c r="D468" s="150">
        <f>'[1]Fliggy Store Daily Key Data'!G2135</f>
        <v>3313</v>
      </c>
      <c r="E468" s="150">
        <v>44</v>
      </c>
      <c r="F468" s="150">
        <f>'[1]Fliggy Store Daily Key Data'!K2135</f>
        <v>34611.52</v>
      </c>
      <c r="G468" s="150">
        <v>157</v>
      </c>
      <c r="H468" s="155">
        <f t="shared" si="14"/>
        <v>0.0191082802547771</v>
      </c>
      <c r="I468" s="73">
        <v>3</v>
      </c>
      <c r="J468" s="18">
        <f t="shared" si="13"/>
        <v>0.000345303867403315</v>
      </c>
      <c r="K468" s="5"/>
    </row>
    <row r="469" ht="13.85" spans="1:11">
      <c r="A469" s="156">
        <v>45577</v>
      </c>
      <c r="B469" s="150">
        <f>'[1]Fliggy Store Daily Key Data'!B2136</f>
        <v>89553</v>
      </c>
      <c r="C469" s="150">
        <f>'[1]Fliggy Store Daily Key Data'!C2136</f>
        <v>22371</v>
      </c>
      <c r="D469" s="150">
        <f>'[1]Fliggy Store Daily Key Data'!G2136</f>
        <v>3251</v>
      </c>
      <c r="E469" s="150">
        <v>55</v>
      </c>
      <c r="F469" s="150">
        <f>'[1]Fliggy Store Daily Key Data'!K2136</f>
        <v>24485</v>
      </c>
      <c r="G469" s="150">
        <v>200</v>
      </c>
      <c r="H469" s="155">
        <f t="shared" si="14"/>
        <v>0.01</v>
      </c>
      <c r="I469" s="73">
        <v>2</v>
      </c>
      <c r="J469" s="18">
        <f t="shared" si="13"/>
        <v>8.94014572437531e-5</v>
      </c>
      <c r="K469" s="5"/>
    </row>
    <row r="470" ht="13.85" spans="1:11">
      <c r="A470" s="156">
        <v>45578</v>
      </c>
      <c r="B470" s="150">
        <f>'[1]Fliggy Store Daily Key Data'!B2137</f>
        <v>52320</v>
      </c>
      <c r="C470" s="150">
        <f>'[1]Fliggy Store Daily Key Data'!C2137</f>
        <v>14528</v>
      </c>
      <c r="D470" s="150">
        <f>'[1]Fliggy Store Daily Key Data'!G2137</f>
        <v>3796</v>
      </c>
      <c r="E470" s="150">
        <v>50</v>
      </c>
      <c r="F470" s="150">
        <f>'[1]Fliggy Store Daily Key Data'!K2137</f>
        <v>75707.68</v>
      </c>
      <c r="G470" s="150">
        <v>167</v>
      </c>
      <c r="H470" s="155">
        <f t="shared" si="14"/>
        <v>0.0419161676646707</v>
      </c>
      <c r="I470" s="73">
        <v>7</v>
      </c>
      <c r="J470" s="18">
        <f t="shared" si="13"/>
        <v>0.000481828193832599</v>
      </c>
      <c r="K470" s="5"/>
    </row>
    <row r="471" ht="13.85" spans="1:11">
      <c r="A471" s="156">
        <v>45579</v>
      </c>
      <c r="B471" s="150">
        <f>'[1]Fliggy Store Daily Key Data'!B2138</f>
        <v>87838</v>
      </c>
      <c r="C471" s="150">
        <f>'[1]Fliggy Store Daily Key Data'!C2138</f>
        <v>15088</v>
      </c>
      <c r="D471" s="150">
        <f>'[1]Fliggy Store Daily Key Data'!G2138</f>
        <v>6302</v>
      </c>
      <c r="E471" s="150">
        <v>85</v>
      </c>
      <c r="F471" s="150">
        <f>'[1]Fliggy Store Daily Key Data'!K2138</f>
        <v>32147.76</v>
      </c>
      <c r="G471" s="150">
        <v>266</v>
      </c>
      <c r="H471" s="155">
        <f t="shared" si="14"/>
        <v>0.0075187969924812</v>
      </c>
      <c r="I471" s="73">
        <v>2</v>
      </c>
      <c r="J471" s="18">
        <f t="shared" si="13"/>
        <v>0.000132555673382821</v>
      </c>
      <c r="K471" s="5"/>
    </row>
    <row r="472" ht="13.85" spans="1:11">
      <c r="A472" s="156">
        <v>45580</v>
      </c>
      <c r="B472" s="150">
        <f>'[1]Fliggy Store Daily Key Data'!B2139</f>
        <v>2975287</v>
      </c>
      <c r="C472" s="150">
        <f>'[1]Fliggy Store Daily Key Data'!C2139</f>
        <v>370431</v>
      </c>
      <c r="D472" s="150">
        <f>'[1]Fliggy Store Daily Key Data'!G2139</f>
        <v>12582</v>
      </c>
      <c r="E472" s="150">
        <v>446</v>
      </c>
      <c r="F472" s="150">
        <f>'[1]Fliggy Store Daily Key Data'!K2139</f>
        <v>18183273</v>
      </c>
      <c r="G472" s="150">
        <v>1945</v>
      </c>
      <c r="H472" s="155">
        <f t="shared" si="14"/>
        <v>1.00719794344473</v>
      </c>
      <c r="I472" s="73">
        <v>1959</v>
      </c>
      <c r="J472" s="18">
        <f t="shared" ref="J472:J535" si="15">I472/C472</f>
        <v>0.00528843428330782</v>
      </c>
      <c r="K472" s="5"/>
    </row>
    <row r="473" ht="13.85" spans="1:11">
      <c r="A473" s="156">
        <v>45581</v>
      </c>
      <c r="B473" s="150">
        <f>'[1]Fliggy Store Daily Key Data'!B2140</f>
        <v>280098</v>
      </c>
      <c r="C473" s="150">
        <f>'[1]Fliggy Store Daily Key Data'!C2140</f>
        <v>61321</v>
      </c>
      <c r="D473" s="150">
        <f>'[1]Fliggy Store Daily Key Data'!G2140</f>
        <v>8031</v>
      </c>
      <c r="E473" s="150">
        <v>226</v>
      </c>
      <c r="F473" s="150">
        <f>'[1]Fliggy Store Daily Key Data'!K2140</f>
        <v>1166375.7</v>
      </c>
      <c r="G473" s="150">
        <v>615</v>
      </c>
      <c r="H473" s="155">
        <f t="shared" si="14"/>
        <v>0.203252032520325</v>
      </c>
      <c r="I473" s="73">
        <f>10+6+109</f>
        <v>125</v>
      </c>
      <c r="J473" s="18">
        <f t="shared" si="15"/>
        <v>0.002038453384648</v>
      </c>
      <c r="K473" s="5"/>
    </row>
    <row r="474" ht="13.85" spans="1:11">
      <c r="A474" s="156">
        <v>45582</v>
      </c>
      <c r="B474" s="150">
        <f>'[1]Fliggy Store Daily Key Data'!B2141</f>
        <v>51349</v>
      </c>
      <c r="C474" s="150">
        <f>'[1]Fliggy Store Daily Key Data'!C2141</f>
        <v>15224</v>
      </c>
      <c r="D474" s="150">
        <f>'[1]Fliggy Store Daily Key Data'!G2141</f>
        <v>4327</v>
      </c>
      <c r="E474" s="150">
        <v>183</v>
      </c>
      <c r="F474" s="150">
        <f>'[1]Fliggy Store Daily Key Data'!K2141</f>
        <v>26691.9</v>
      </c>
      <c r="G474" s="150">
        <v>260</v>
      </c>
      <c r="H474" s="155">
        <f t="shared" si="14"/>
        <v>0.0153846153846154</v>
      </c>
      <c r="I474" s="73">
        <v>4</v>
      </c>
      <c r="J474" s="18">
        <f t="shared" si="15"/>
        <v>0.000262743037309511</v>
      </c>
      <c r="K474" s="5"/>
    </row>
    <row r="475" ht="13.85" spans="1:11">
      <c r="A475" s="156">
        <v>45583</v>
      </c>
      <c r="B475" s="150">
        <f>'[1]Fliggy Store Daily Key Data'!B2142</f>
        <v>49945</v>
      </c>
      <c r="C475" s="150">
        <f>'[1]Fliggy Store Daily Key Data'!C2142</f>
        <v>17697</v>
      </c>
      <c r="D475" s="150">
        <f>'[1]Fliggy Store Daily Key Data'!G2142</f>
        <v>4894</v>
      </c>
      <c r="E475" s="150">
        <v>126</v>
      </c>
      <c r="F475" s="150">
        <f>'[1]Fliggy Store Daily Key Data'!K2142</f>
        <v>18460</v>
      </c>
      <c r="G475" s="150">
        <v>195</v>
      </c>
      <c r="H475" s="155">
        <f t="shared" si="14"/>
        <v>0.0102564102564103</v>
      </c>
      <c r="I475" s="73">
        <v>2</v>
      </c>
      <c r="J475" s="18">
        <f t="shared" si="15"/>
        <v>0.000113013505113861</v>
      </c>
      <c r="K475" s="5"/>
    </row>
    <row r="476" ht="13.85" spans="1:11">
      <c r="A476" s="156">
        <v>45584</v>
      </c>
      <c r="B476" s="150">
        <f>'[1]Fliggy Store Daily Key Data'!B2143</f>
        <v>54407</v>
      </c>
      <c r="C476" s="150">
        <f>'[1]Fliggy Store Daily Key Data'!C2143</f>
        <v>20667</v>
      </c>
      <c r="D476" s="150">
        <f>'[1]Fliggy Store Daily Key Data'!G2143</f>
        <v>4805</v>
      </c>
      <c r="E476" s="150">
        <v>116</v>
      </c>
      <c r="F476" s="150">
        <f>'[1]Fliggy Store Daily Key Data'!K2143</f>
        <v>99297</v>
      </c>
      <c r="G476" s="150">
        <v>184</v>
      </c>
      <c r="H476" s="155">
        <f t="shared" si="14"/>
        <v>0.0543478260869565</v>
      </c>
      <c r="I476" s="73">
        <v>10</v>
      </c>
      <c r="J476" s="18">
        <f t="shared" si="15"/>
        <v>0.000483863163497363</v>
      </c>
      <c r="K476" s="5"/>
    </row>
    <row r="477" ht="13.85" spans="1:11">
      <c r="A477" s="156">
        <v>45585</v>
      </c>
      <c r="B477" s="150">
        <f>'[1]Fliggy Store Daily Key Data'!B2144</f>
        <v>94162</v>
      </c>
      <c r="C477" s="150">
        <f>'[1]Fliggy Store Daily Key Data'!C2144</f>
        <v>28370</v>
      </c>
      <c r="D477" s="150">
        <f>'[1]Fliggy Store Daily Key Data'!G2144</f>
        <v>4631</v>
      </c>
      <c r="E477" s="150">
        <v>105</v>
      </c>
      <c r="F477" s="150">
        <f>'[1]Fliggy Store Daily Key Data'!K2144</f>
        <v>442917</v>
      </c>
      <c r="G477" s="150">
        <v>231</v>
      </c>
      <c r="H477" s="155">
        <f t="shared" si="14"/>
        <v>0.203463203463203</v>
      </c>
      <c r="I477" s="73">
        <v>47</v>
      </c>
      <c r="J477" s="18">
        <f t="shared" si="15"/>
        <v>0.00165667959111738</v>
      </c>
      <c r="K477" s="5"/>
    </row>
    <row r="478" ht="13.85" spans="1:11">
      <c r="A478" s="156">
        <v>45586</v>
      </c>
      <c r="B478" s="150">
        <f>'[1]Fliggy Store Daily Key Data'!B2145</f>
        <v>127317</v>
      </c>
      <c r="C478" s="150">
        <f>'[1]Fliggy Store Daily Key Data'!C2145</f>
        <v>30009</v>
      </c>
      <c r="D478" s="150">
        <f>'[1]Fliggy Store Daily Key Data'!G2145</f>
        <v>7341</v>
      </c>
      <c r="E478" s="150">
        <v>215</v>
      </c>
      <c r="F478" s="150">
        <f>'[1]Fliggy Store Daily Key Data'!K2145</f>
        <v>5133538.6</v>
      </c>
      <c r="G478" s="150">
        <v>493</v>
      </c>
      <c r="H478" s="155">
        <f t="shared" si="14"/>
        <v>1.04665314401623</v>
      </c>
      <c r="I478" s="73">
        <v>516</v>
      </c>
      <c r="J478" s="18">
        <f t="shared" si="15"/>
        <v>0.0171948415475357</v>
      </c>
      <c r="K478" s="5"/>
    </row>
    <row r="479" ht="13.85" spans="1:11">
      <c r="A479" s="156">
        <v>45587</v>
      </c>
      <c r="B479" s="150">
        <f>'[1]Fliggy Store Daily Key Data'!B2146</f>
        <v>94218</v>
      </c>
      <c r="C479" s="150">
        <f>'[1]Fliggy Store Daily Key Data'!C2146</f>
        <v>26914</v>
      </c>
      <c r="D479" s="150">
        <f>'[1]Fliggy Store Daily Key Data'!G2146</f>
        <v>10505</v>
      </c>
      <c r="E479" s="150">
        <v>177</v>
      </c>
      <c r="F479" s="150">
        <f>'[1]Fliggy Store Daily Key Data'!K2146</f>
        <v>1780081.68</v>
      </c>
      <c r="G479" s="150">
        <v>452</v>
      </c>
      <c r="H479" s="155">
        <f t="shared" si="14"/>
        <v>0.411504424778761</v>
      </c>
      <c r="I479" s="73">
        <f>6+180</f>
        <v>186</v>
      </c>
      <c r="J479" s="18">
        <f t="shared" si="15"/>
        <v>0.00691090138961136</v>
      </c>
      <c r="K479" s="5"/>
    </row>
    <row r="480" ht="13.85" spans="1:11">
      <c r="A480" s="156">
        <v>45588</v>
      </c>
      <c r="B480" s="150">
        <f>'[1]Fliggy Store Daily Key Data'!B2147</f>
        <v>105893</v>
      </c>
      <c r="C480" s="150">
        <f>'[1]Fliggy Store Daily Key Data'!C2147</f>
        <v>29467</v>
      </c>
      <c r="D480" s="150">
        <f>'[1]Fliggy Store Daily Key Data'!G2147</f>
        <v>11883</v>
      </c>
      <c r="E480" s="150">
        <v>152</v>
      </c>
      <c r="F480" s="150">
        <f>'[1]Fliggy Store Daily Key Data'!K2147</f>
        <v>1671037.56</v>
      </c>
      <c r="G480" s="150">
        <v>421</v>
      </c>
      <c r="H480" s="155">
        <f t="shared" si="14"/>
        <v>0.375296912114014</v>
      </c>
      <c r="I480" s="73">
        <f>5+153</f>
        <v>158</v>
      </c>
      <c r="J480" s="18">
        <f t="shared" si="15"/>
        <v>0.00536193029490617</v>
      </c>
      <c r="K480" s="5"/>
    </row>
    <row r="481" ht="13.85" spans="1:11">
      <c r="A481" s="156">
        <v>45589</v>
      </c>
      <c r="B481" s="150">
        <f>'[1]Fliggy Store Daily Key Data'!B2148</f>
        <v>68073</v>
      </c>
      <c r="C481" s="150">
        <f>'[1]Fliggy Store Daily Key Data'!C2148</f>
        <v>23620</v>
      </c>
      <c r="D481" s="150">
        <f>'[1]Fliggy Store Daily Key Data'!G2148</f>
        <v>13609</v>
      </c>
      <c r="E481" s="150">
        <v>106</v>
      </c>
      <c r="F481" s="150">
        <f>'[1]Fliggy Store Daily Key Data'!K2148</f>
        <v>537593.72</v>
      </c>
      <c r="G481" s="150">
        <v>277</v>
      </c>
      <c r="H481" s="155">
        <f t="shared" si="14"/>
        <v>0.212996389891697</v>
      </c>
      <c r="I481" s="73">
        <v>59</v>
      </c>
      <c r="J481" s="18">
        <f t="shared" si="15"/>
        <v>0.00249788314987299</v>
      </c>
      <c r="K481" s="5"/>
    </row>
    <row r="482" ht="13.85" spans="1:11">
      <c r="A482" s="156">
        <v>45590</v>
      </c>
      <c r="B482" s="150">
        <f>'[1]Fliggy Store Daily Key Data'!B2149</f>
        <v>79344</v>
      </c>
      <c r="C482" s="150">
        <f>'[1]Fliggy Store Daily Key Data'!C2149</f>
        <v>29141</v>
      </c>
      <c r="D482" s="150">
        <f>'[1]Fliggy Store Daily Key Data'!G2149</f>
        <v>13315</v>
      </c>
      <c r="E482" s="150">
        <v>89</v>
      </c>
      <c r="F482" s="150">
        <f>'[1]Fliggy Store Daily Key Data'!K2149</f>
        <v>484986.62</v>
      </c>
      <c r="G482" s="150">
        <v>246</v>
      </c>
      <c r="H482" s="155">
        <f t="shared" si="14"/>
        <v>0.223577235772358</v>
      </c>
      <c r="I482" s="73">
        <f>52+3</f>
        <v>55</v>
      </c>
      <c r="J482" s="18">
        <f t="shared" si="15"/>
        <v>0.00188737517586905</v>
      </c>
      <c r="K482" s="5"/>
    </row>
    <row r="483" ht="13.85" spans="1:11">
      <c r="A483" s="156">
        <v>45591</v>
      </c>
      <c r="B483" s="150">
        <f>'[1]Fliggy Store Daily Key Data'!B2150</f>
        <v>67813</v>
      </c>
      <c r="C483" s="150">
        <f>'[1]Fliggy Store Daily Key Data'!C2150</f>
        <v>28166</v>
      </c>
      <c r="D483" s="150">
        <f>'[1]Fliggy Store Daily Key Data'!G2150</f>
        <v>12563</v>
      </c>
      <c r="E483" s="150">
        <v>64</v>
      </c>
      <c r="F483" s="150">
        <f>'[1]Fliggy Store Daily Key Data'!K2150</f>
        <v>362347</v>
      </c>
      <c r="G483" s="150">
        <v>199</v>
      </c>
      <c r="H483" s="155">
        <f t="shared" si="14"/>
        <v>0.165829145728643</v>
      </c>
      <c r="I483" s="73">
        <f>9+24</f>
        <v>33</v>
      </c>
      <c r="J483" s="18">
        <f t="shared" si="15"/>
        <v>0.00117162536391394</v>
      </c>
      <c r="K483" s="5"/>
    </row>
    <row r="484" ht="13.85" spans="1:11">
      <c r="A484" s="156">
        <v>45592</v>
      </c>
      <c r="B484" s="150">
        <f>'[1]Fliggy Store Daily Key Data'!B2151</f>
        <v>64750</v>
      </c>
      <c r="C484" s="150">
        <f>'[1]Fliggy Store Daily Key Data'!C2151</f>
        <v>26643</v>
      </c>
      <c r="D484" s="150">
        <f>'[1]Fliggy Store Daily Key Data'!G2151</f>
        <v>12824</v>
      </c>
      <c r="E484" s="150">
        <v>88</v>
      </c>
      <c r="F484" s="150">
        <f>'[1]Fliggy Store Daily Key Data'!K2151</f>
        <v>365166.04</v>
      </c>
      <c r="G484" s="150">
        <v>175</v>
      </c>
      <c r="H484" s="155">
        <f t="shared" si="14"/>
        <v>0.194285714285714</v>
      </c>
      <c r="I484" s="73">
        <f>32+2</f>
        <v>34</v>
      </c>
      <c r="J484" s="18">
        <f t="shared" si="15"/>
        <v>0.00127613256765379</v>
      </c>
      <c r="K484" s="5"/>
    </row>
    <row r="485" ht="13.85" spans="1:11">
      <c r="A485" s="156">
        <v>45593</v>
      </c>
      <c r="B485" s="150">
        <f>'[1]Fliggy Store Daily Key Data'!B2152</f>
        <v>65348</v>
      </c>
      <c r="C485" s="150">
        <f>'[1]Fliggy Store Daily Key Data'!C2152</f>
        <v>25408</v>
      </c>
      <c r="D485" s="150">
        <f>'[1]Fliggy Store Daily Key Data'!G2152</f>
        <v>13343</v>
      </c>
      <c r="E485" s="150">
        <v>101</v>
      </c>
      <c r="F485" s="150">
        <f>'[1]Fliggy Store Daily Key Data'!K2152</f>
        <v>317071.44</v>
      </c>
      <c r="G485" s="150">
        <v>211</v>
      </c>
      <c r="H485" s="155">
        <f t="shared" si="14"/>
        <v>0.146919431279621</v>
      </c>
      <c r="I485" s="73">
        <v>31</v>
      </c>
      <c r="J485" s="18">
        <f t="shared" si="15"/>
        <v>0.00122008816120907</v>
      </c>
      <c r="K485" s="5"/>
    </row>
    <row r="486" ht="13.85" spans="1:11">
      <c r="A486" s="156">
        <v>45594</v>
      </c>
      <c r="B486" s="150">
        <f>'[1]Fliggy Store Daily Key Data'!B2153</f>
        <v>58289</v>
      </c>
      <c r="C486" s="150">
        <f>'[1]Fliggy Store Daily Key Data'!C2153</f>
        <v>18583</v>
      </c>
      <c r="D486" s="150">
        <f>'[1]Fliggy Store Daily Key Data'!G2153</f>
        <v>7295</v>
      </c>
      <c r="E486" s="150">
        <v>181</v>
      </c>
      <c r="F486" s="150">
        <f>'[1]Fliggy Store Daily Key Data'!K2153</f>
        <v>662847.8</v>
      </c>
      <c r="G486" s="150">
        <v>250</v>
      </c>
      <c r="H486" s="155">
        <f t="shared" si="14"/>
        <v>0.256</v>
      </c>
      <c r="I486" s="73">
        <f>9+55</f>
        <v>64</v>
      </c>
      <c r="J486" s="18">
        <f t="shared" si="15"/>
        <v>0.00344400796426842</v>
      </c>
      <c r="K486" s="5"/>
    </row>
    <row r="487" ht="13.85" spans="1:11">
      <c r="A487" s="156">
        <v>45595</v>
      </c>
      <c r="B487" s="150">
        <f>'[1]Fliggy Store Daily Key Data'!B2154</f>
        <v>66134</v>
      </c>
      <c r="C487" s="150">
        <f>'[1]Fliggy Store Daily Key Data'!C2154</f>
        <v>19989</v>
      </c>
      <c r="D487" s="150">
        <f>'[1]Fliggy Store Daily Key Data'!G2154</f>
        <v>7360</v>
      </c>
      <c r="E487" s="150">
        <v>106</v>
      </c>
      <c r="F487" s="150">
        <f>'[1]Fliggy Store Daily Key Data'!K2154</f>
        <v>435604.6</v>
      </c>
      <c r="G487" s="150">
        <v>214</v>
      </c>
      <c r="H487" s="155">
        <f t="shared" si="14"/>
        <v>0.172897196261682</v>
      </c>
      <c r="I487" s="73">
        <f>6+31</f>
        <v>37</v>
      </c>
      <c r="J487" s="18">
        <f t="shared" si="15"/>
        <v>0.00185101805993296</v>
      </c>
      <c r="K487" s="5"/>
    </row>
    <row r="488" ht="13.85" spans="1:11">
      <c r="A488" s="156">
        <v>45596</v>
      </c>
      <c r="B488" s="150">
        <f>'[1]Fliggy Store Daily Key Data'!B2155</f>
        <v>59216</v>
      </c>
      <c r="C488" s="150">
        <f>'[1]Fliggy Store Daily Key Data'!C2155</f>
        <v>17073</v>
      </c>
      <c r="D488" s="150">
        <f>'[1]Fliggy Store Daily Key Data'!G2155</f>
        <v>6851</v>
      </c>
      <c r="E488" s="150">
        <v>122</v>
      </c>
      <c r="F488" s="150">
        <f>'[1]Fliggy Store Daily Key Data'!K2155</f>
        <v>736645.44</v>
      </c>
      <c r="G488" s="150">
        <v>261</v>
      </c>
      <c r="H488" s="155">
        <f t="shared" si="14"/>
        <v>0.275862068965517</v>
      </c>
      <c r="I488" s="73">
        <f>5+67</f>
        <v>72</v>
      </c>
      <c r="J488" s="18">
        <f t="shared" si="15"/>
        <v>0.00421718502899315</v>
      </c>
      <c r="K488" s="5"/>
    </row>
    <row r="489" ht="13.85" spans="1:11">
      <c r="A489" s="156">
        <v>45597</v>
      </c>
      <c r="B489" s="150">
        <f>'[1]Fliggy Store Daily Key Data'!B2156</f>
        <v>959643</v>
      </c>
      <c r="C489" s="150">
        <f>'[1]Fliggy Store Daily Key Data'!C2156</f>
        <v>160127</v>
      </c>
      <c r="D489" s="150">
        <f>'[1]Fliggy Store Daily Key Data'!G2156</f>
        <v>12109</v>
      </c>
      <c r="E489" s="150">
        <v>246</v>
      </c>
      <c r="F489" s="150">
        <f>'[1]Fliggy Store Daily Key Data'!K2156</f>
        <v>4553384.08</v>
      </c>
      <c r="G489" s="150">
        <v>896</v>
      </c>
      <c r="H489" s="155">
        <f t="shared" si="14"/>
        <v>0.532366071428571</v>
      </c>
      <c r="I489" s="73">
        <f>10+12+455</f>
        <v>477</v>
      </c>
      <c r="J489" s="18">
        <f t="shared" si="15"/>
        <v>0.00297888550962673</v>
      </c>
      <c r="K489" s="5"/>
    </row>
    <row r="490" ht="13.85" spans="1:11">
      <c r="A490" s="156">
        <v>45598</v>
      </c>
      <c r="B490" s="150">
        <f>'[1]Fliggy Store Daily Key Data'!B2157</f>
        <v>165820</v>
      </c>
      <c r="C490" s="150">
        <f>'[1]Fliggy Store Daily Key Data'!C2157</f>
        <v>43110</v>
      </c>
      <c r="D490" s="150">
        <f>'[1]Fliggy Store Daily Key Data'!G2157</f>
        <v>10079</v>
      </c>
      <c r="E490" s="150">
        <v>116</v>
      </c>
      <c r="F490" s="150">
        <f>'[1]Fliggy Store Daily Key Data'!K2157</f>
        <v>1102245</v>
      </c>
      <c r="G490" s="150">
        <v>277</v>
      </c>
      <c r="H490" s="155">
        <f t="shared" si="14"/>
        <v>0.418772563176895</v>
      </c>
      <c r="I490" s="73">
        <f>2+114</f>
        <v>116</v>
      </c>
      <c r="J490" s="18">
        <f t="shared" si="15"/>
        <v>0.00269079099976804</v>
      </c>
      <c r="K490" s="5"/>
    </row>
    <row r="491" ht="13.85" spans="1:11">
      <c r="A491" s="156">
        <v>45599</v>
      </c>
      <c r="B491" s="150">
        <f>'[1]Fliggy Store Daily Key Data'!B2158</f>
        <v>77523</v>
      </c>
      <c r="C491" s="150">
        <f>'[1]Fliggy Store Daily Key Data'!C2158</f>
        <v>30796</v>
      </c>
      <c r="D491" s="150">
        <f>'[1]Fliggy Store Daily Key Data'!G2158</f>
        <v>12235</v>
      </c>
      <c r="E491" s="150">
        <v>112</v>
      </c>
      <c r="F491" s="150">
        <f>'[1]Fliggy Store Daily Key Data'!K2158</f>
        <v>437773</v>
      </c>
      <c r="G491" s="150">
        <v>217</v>
      </c>
      <c r="H491" s="155">
        <f t="shared" si="14"/>
        <v>0.211981566820276</v>
      </c>
      <c r="I491" s="73">
        <f>6+6+34</f>
        <v>46</v>
      </c>
      <c r="J491" s="18">
        <f t="shared" si="15"/>
        <v>0.00149370048058189</v>
      </c>
      <c r="K491" s="5"/>
    </row>
    <row r="492" ht="13.85" spans="1:11">
      <c r="A492" s="156">
        <v>45600</v>
      </c>
      <c r="B492" s="150">
        <f>'[1]Fliggy Store Daily Key Data'!B2159</f>
        <v>84022</v>
      </c>
      <c r="C492" s="150">
        <f>'[1]Fliggy Store Daily Key Data'!C2159</f>
        <v>35057</v>
      </c>
      <c r="D492" s="150">
        <f>'[1]Fliggy Store Daily Key Data'!G2159</f>
        <v>13944</v>
      </c>
      <c r="E492" s="150">
        <v>114</v>
      </c>
      <c r="F492" s="150">
        <f>'[1]Fliggy Store Daily Key Data'!K2159</f>
        <v>440515.52</v>
      </c>
      <c r="G492" s="150">
        <v>219</v>
      </c>
      <c r="H492" s="155">
        <f t="shared" si="14"/>
        <v>0.191780821917808</v>
      </c>
      <c r="I492" s="73">
        <v>42</v>
      </c>
      <c r="J492" s="18">
        <f t="shared" si="15"/>
        <v>0.00119804889180478</v>
      </c>
      <c r="K492" s="5"/>
    </row>
    <row r="493" ht="13.85" spans="1:11">
      <c r="A493" s="156">
        <v>45601</v>
      </c>
      <c r="B493" s="150">
        <f>'[1]Fliggy Store Daily Key Data'!B2160</f>
        <v>88507</v>
      </c>
      <c r="C493" s="150">
        <f>'[1]Fliggy Store Daily Key Data'!C2160</f>
        <v>41334</v>
      </c>
      <c r="D493" s="150">
        <f>'[1]Fliggy Store Daily Key Data'!G2160</f>
        <v>11495</v>
      </c>
      <c r="E493" s="150">
        <v>92</v>
      </c>
      <c r="F493" s="150">
        <f>'[1]Fliggy Store Daily Key Data'!K2160</f>
        <v>273239.12</v>
      </c>
      <c r="G493" s="150">
        <v>188</v>
      </c>
      <c r="H493" s="155">
        <f t="shared" si="14"/>
        <v>0.138297872340426</v>
      </c>
      <c r="I493" s="73">
        <f>'[1]Fliggy Store Daily Key Data'!I2160</f>
        <v>26</v>
      </c>
      <c r="J493" s="18">
        <f t="shared" si="15"/>
        <v>0.000629022112546572</v>
      </c>
      <c r="K493" s="5"/>
    </row>
    <row r="494" ht="13.85" spans="1:11">
      <c r="A494" s="156">
        <v>45602</v>
      </c>
      <c r="B494" s="150">
        <f>'[1]Fliggy Store Daily Key Data'!B2161</f>
        <v>91235</v>
      </c>
      <c r="C494" s="150">
        <f>'[1]Fliggy Store Daily Key Data'!C2161</f>
        <v>40105</v>
      </c>
      <c r="D494" s="150">
        <f>'[1]Fliggy Store Daily Key Data'!G2161</f>
        <v>13717</v>
      </c>
      <c r="E494" s="150">
        <v>107</v>
      </c>
      <c r="F494" s="150">
        <f>'[1]Fliggy Store Daily Key Data'!K2161</f>
        <v>307198.44</v>
      </c>
      <c r="G494" s="150">
        <v>190</v>
      </c>
      <c r="H494" s="155">
        <f t="shared" si="14"/>
        <v>0.157894736842105</v>
      </c>
      <c r="I494" s="73">
        <f>'[1]Fliggy Store Daily Key Data'!I2161</f>
        <v>30</v>
      </c>
      <c r="J494" s="18">
        <f t="shared" si="15"/>
        <v>0.000748036404438349</v>
      </c>
      <c r="K494" s="5"/>
    </row>
    <row r="495" ht="13.85" spans="1:11">
      <c r="A495" s="156">
        <v>45603</v>
      </c>
      <c r="B495" s="150">
        <f>'[1]Fliggy Store Daily Key Data'!B2162</f>
        <v>122772</v>
      </c>
      <c r="C495" s="150">
        <f>'[1]Fliggy Store Daily Key Data'!C2162</f>
        <v>45042</v>
      </c>
      <c r="D495" s="150">
        <f>'[1]Fliggy Store Daily Key Data'!G2162</f>
        <v>16846</v>
      </c>
      <c r="E495" s="150">
        <v>116</v>
      </c>
      <c r="F495" s="150">
        <f>'[1]Fliggy Store Daily Key Data'!K2162</f>
        <v>725027.5</v>
      </c>
      <c r="G495" s="150">
        <v>293</v>
      </c>
      <c r="H495" s="155">
        <f t="shared" si="14"/>
        <v>0.232081911262799</v>
      </c>
      <c r="I495" s="73">
        <f>'[1]Fliggy Store Daily Key Data'!I2162</f>
        <v>68</v>
      </c>
      <c r="J495" s="18">
        <f t="shared" si="15"/>
        <v>0.00150970205585898</v>
      </c>
      <c r="K495" s="5"/>
    </row>
    <row r="496" ht="13.85" spans="1:11">
      <c r="A496" s="156">
        <v>45604</v>
      </c>
      <c r="B496" s="150">
        <f>'[1]Fliggy Store Daily Key Data'!B2163</f>
        <v>97800</v>
      </c>
      <c r="C496" s="150">
        <f>'[1]Fliggy Store Daily Key Data'!C2163</f>
        <v>43841</v>
      </c>
      <c r="D496" s="150">
        <f>'[1]Fliggy Store Daily Key Data'!G2163</f>
        <v>17037</v>
      </c>
      <c r="E496" s="150">
        <v>103</v>
      </c>
      <c r="F496" s="150">
        <f>'[1]Fliggy Store Daily Key Data'!K2163</f>
        <v>470779.1</v>
      </c>
      <c r="G496" s="150">
        <v>207</v>
      </c>
      <c r="H496" s="155">
        <f t="shared" si="14"/>
        <v>0.21256038647343</v>
      </c>
      <c r="I496" s="73">
        <f>'[1]Fliggy Store Daily Key Data'!I2163</f>
        <v>44</v>
      </c>
      <c r="J496" s="18">
        <f t="shared" si="15"/>
        <v>0.00100362674209074</v>
      </c>
      <c r="K496" s="5"/>
    </row>
    <row r="497" ht="13.85" spans="1:11">
      <c r="A497" s="156">
        <v>45605</v>
      </c>
      <c r="B497" s="150">
        <f>'[1]Fliggy Store Daily Key Data'!B2164</f>
        <v>90949</v>
      </c>
      <c r="C497" s="150">
        <f>'[1]Fliggy Store Daily Key Data'!C2164</f>
        <v>40160</v>
      </c>
      <c r="D497" s="150">
        <f>'[1]Fliggy Store Daily Key Data'!G2164</f>
        <v>16176</v>
      </c>
      <c r="E497" s="150">
        <v>107</v>
      </c>
      <c r="F497" s="150">
        <f>'[1]Fliggy Store Daily Key Data'!K2164</f>
        <v>395817</v>
      </c>
      <c r="G497" s="150">
        <v>196</v>
      </c>
      <c r="H497" s="155">
        <f t="shared" si="14"/>
        <v>0.188775510204082</v>
      </c>
      <c r="I497" s="73">
        <f>'[1]Fliggy Store Daily Key Data'!I2164</f>
        <v>37</v>
      </c>
      <c r="J497" s="18">
        <f t="shared" si="15"/>
        <v>0.000921314741035857</v>
      </c>
      <c r="K497" s="5"/>
    </row>
    <row r="498" ht="13.85" spans="1:11">
      <c r="A498" s="156">
        <v>45606</v>
      </c>
      <c r="B498" s="150">
        <f>'[1]Fliggy Store Daily Key Data'!B2165</f>
        <v>242926</v>
      </c>
      <c r="C498" s="150">
        <f>'[1]Fliggy Store Daily Key Data'!C2165</f>
        <v>65487</v>
      </c>
      <c r="D498" s="150">
        <f>'[1]Fliggy Store Daily Key Data'!G2165</f>
        <v>15632</v>
      </c>
      <c r="E498" s="150">
        <v>162</v>
      </c>
      <c r="F498" s="150">
        <f>'[1]Fliggy Store Daily Key Data'!K2165</f>
        <v>1889656</v>
      </c>
      <c r="G498" s="150">
        <v>360</v>
      </c>
      <c r="H498" s="155">
        <f t="shared" si="14"/>
        <v>0.541666666666667</v>
      </c>
      <c r="I498" s="73">
        <f>'[1]Fliggy Store Daily Key Data'!I2165</f>
        <v>195</v>
      </c>
      <c r="J498" s="18">
        <f t="shared" si="15"/>
        <v>0.00297769022859499</v>
      </c>
      <c r="K498" s="5"/>
    </row>
    <row r="499" ht="13.85" spans="1:11">
      <c r="A499" s="156">
        <v>45607</v>
      </c>
      <c r="B499" s="150">
        <f>'[1]Fliggy Store Daily Key Data'!B2166</f>
        <v>140414</v>
      </c>
      <c r="C499" s="150">
        <f>'[1]Fliggy Store Daily Key Data'!C2166</f>
        <v>48494</v>
      </c>
      <c r="D499" s="150">
        <f>'[1]Fliggy Store Daily Key Data'!G2166</f>
        <v>16511</v>
      </c>
      <c r="E499" s="150">
        <v>178</v>
      </c>
      <c r="F499" s="150">
        <f>'[1]Fliggy Store Daily Key Data'!K2166</f>
        <v>3084480</v>
      </c>
      <c r="G499" s="150">
        <v>379</v>
      </c>
      <c r="H499" s="155">
        <f t="shared" si="14"/>
        <v>0.815303430079156</v>
      </c>
      <c r="I499" s="73">
        <f>'[1]Fliggy Store Daily Key Data'!I2166</f>
        <v>309</v>
      </c>
      <c r="J499" s="18">
        <f t="shared" si="15"/>
        <v>0.00637192229966594</v>
      </c>
      <c r="K499" s="5"/>
    </row>
    <row r="500" ht="13.85" spans="1:11">
      <c r="A500" s="156">
        <v>45608</v>
      </c>
      <c r="B500" s="150">
        <f>'[1]Fliggy Store Daily Key Data'!B2167</f>
        <v>46183</v>
      </c>
      <c r="C500" s="150">
        <f>'[1]Fliggy Store Daily Key Data'!C2167</f>
        <v>19772</v>
      </c>
      <c r="D500" s="150">
        <f>'[1]Fliggy Store Daily Key Data'!G2167</f>
        <v>6025</v>
      </c>
      <c r="E500" s="150">
        <v>77</v>
      </c>
      <c r="F500" s="150">
        <f>'[1]Fliggy Store Daily Key Data'!K2167</f>
        <v>222695</v>
      </c>
      <c r="G500" s="150">
        <v>184</v>
      </c>
      <c r="H500" s="155">
        <f t="shared" si="14"/>
        <v>0.119565217391304</v>
      </c>
      <c r="I500" s="73">
        <f>'[1]Fliggy Store Daily Key Data'!I2167</f>
        <v>22</v>
      </c>
      <c r="J500" s="18">
        <f t="shared" si="15"/>
        <v>0.0011126846044912</v>
      </c>
      <c r="K500" s="5"/>
    </row>
    <row r="501" ht="13.85" spans="1:11">
      <c r="A501" s="156">
        <v>45609</v>
      </c>
      <c r="B501" s="150">
        <f>'[1]Fliggy Store Daily Key Data'!B2168</f>
        <v>33840</v>
      </c>
      <c r="C501" s="150">
        <f>'[1]Fliggy Store Daily Key Data'!C2168</f>
        <v>14353</v>
      </c>
      <c r="D501" s="150">
        <f>'[1]Fliggy Store Daily Key Data'!G2168</f>
        <v>6101</v>
      </c>
      <c r="E501" s="150">
        <v>66</v>
      </c>
      <c r="F501" s="150">
        <f>'[1]Fliggy Store Daily Key Data'!K2168</f>
        <v>206947.2</v>
      </c>
      <c r="G501" s="150">
        <v>167</v>
      </c>
      <c r="H501" s="155">
        <f t="shared" si="14"/>
        <v>0.0958083832335329</v>
      </c>
      <c r="I501" s="73">
        <f>'[1]Fliggy Store Daily Key Data'!I2168</f>
        <v>16</v>
      </c>
      <c r="J501" s="18">
        <f t="shared" si="15"/>
        <v>0.00111474952971504</v>
      </c>
      <c r="K501" s="5"/>
    </row>
    <row r="502" ht="13.85" spans="1:11">
      <c r="A502" s="156">
        <v>45610</v>
      </c>
      <c r="B502" s="150">
        <f>'[1]Fliggy Store Daily Key Data'!B2169</f>
        <v>23586</v>
      </c>
      <c r="C502" s="150">
        <f>'[1]Fliggy Store Daily Key Data'!C2169</f>
        <v>10738</v>
      </c>
      <c r="D502" s="150">
        <f>'[1]Fliggy Store Daily Key Data'!G2169</f>
        <v>3601</v>
      </c>
      <c r="E502" s="150">
        <v>26</v>
      </c>
      <c r="F502" s="150">
        <f>'[1]Fliggy Store Daily Key Data'!K2169</f>
        <v>75977.1</v>
      </c>
      <c r="G502" s="150">
        <v>119</v>
      </c>
      <c r="H502" s="155">
        <f t="shared" si="14"/>
        <v>0.0504201680672269</v>
      </c>
      <c r="I502" s="73">
        <f>'[1]Fliggy Store Daily Key Data'!I2169</f>
        <v>6</v>
      </c>
      <c r="J502" s="18">
        <f t="shared" si="15"/>
        <v>0.000558763270627677</v>
      </c>
      <c r="K502" s="5"/>
    </row>
    <row r="503" ht="13.85" spans="1:11">
      <c r="A503" s="156">
        <v>45611</v>
      </c>
      <c r="B503" s="150">
        <f>'[1]Fliggy Store Daily Key Data'!B2170</f>
        <v>25376</v>
      </c>
      <c r="C503" s="150">
        <f>'[1]Fliggy Store Daily Key Data'!C2170</f>
        <v>11227</v>
      </c>
      <c r="D503" s="150">
        <f>'[1]Fliggy Store Daily Key Data'!G2170</f>
        <v>4579</v>
      </c>
      <c r="E503" s="150">
        <v>26</v>
      </c>
      <c r="F503" s="150">
        <f>'[1]Fliggy Store Daily Key Data'!K2170</f>
        <v>120981.82</v>
      </c>
      <c r="G503" s="150">
        <v>98</v>
      </c>
      <c r="H503" s="155">
        <f t="shared" si="14"/>
        <v>0.112244897959184</v>
      </c>
      <c r="I503" s="73">
        <f>'[1]Fliggy Store Daily Key Data'!I2170</f>
        <v>11</v>
      </c>
      <c r="J503" s="18">
        <f t="shared" si="15"/>
        <v>0.000979780885365636</v>
      </c>
      <c r="K503" s="5"/>
    </row>
    <row r="504" ht="13.85" spans="1:11">
      <c r="A504" s="156">
        <v>45612</v>
      </c>
      <c r="B504" s="150">
        <f>'[1]Fliggy Store Daily Key Data'!B2171</f>
        <v>30432</v>
      </c>
      <c r="C504" s="150">
        <f>'[1]Fliggy Store Daily Key Data'!C2171</f>
        <v>14002</v>
      </c>
      <c r="D504" s="150">
        <f>'[1]Fliggy Store Daily Key Data'!G2171</f>
        <v>4609</v>
      </c>
      <c r="E504" s="150">
        <v>31</v>
      </c>
      <c r="F504" s="150">
        <f>'[1]Fliggy Store Daily Key Data'!K2171</f>
        <v>15535</v>
      </c>
      <c r="G504" s="150">
        <v>109</v>
      </c>
      <c r="H504" s="155">
        <f t="shared" si="14"/>
        <v>0.00917431192660551</v>
      </c>
      <c r="I504" s="73">
        <f>'[1]Fliggy Store Daily Key Data'!I2171</f>
        <v>1</v>
      </c>
      <c r="J504" s="18">
        <f t="shared" si="15"/>
        <v>7.14183688044565e-5</v>
      </c>
      <c r="K504" s="5"/>
    </row>
    <row r="505" ht="13.85" spans="1:11">
      <c r="A505" s="156">
        <v>45613</v>
      </c>
      <c r="B505" s="150">
        <f>'[1]Fliggy Store Daily Key Data'!B2172</f>
        <v>29888</v>
      </c>
      <c r="C505" s="150">
        <f>'[1]Fliggy Store Daily Key Data'!C2172</f>
        <v>13163</v>
      </c>
      <c r="D505" s="150">
        <f>'[1]Fliggy Store Daily Key Data'!G2172</f>
        <v>4746</v>
      </c>
      <c r="E505" s="150">
        <v>42</v>
      </c>
      <c r="F505" s="150">
        <f>'[1]Fliggy Store Daily Key Data'!K2172</f>
        <v>28366</v>
      </c>
      <c r="G505" s="150">
        <v>89</v>
      </c>
      <c r="H505" s="155">
        <f t="shared" si="14"/>
        <v>0.0337078651685393</v>
      </c>
      <c r="I505" s="73">
        <f>'[1]Fliggy Store Daily Key Data'!I2172</f>
        <v>3</v>
      </c>
      <c r="J505" s="18">
        <f t="shared" si="15"/>
        <v>0.000227911570310719</v>
      </c>
      <c r="K505" s="5"/>
    </row>
    <row r="506" ht="13.85" spans="1:11">
      <c r="A506" s="156">
        <v>45614</v>
      </c>
      <c r="B506" s="150">
        <f>'[1]Fliggy Store Daily Key Data'!B2173</f>
        <v>24024</v>
      </c>
      <c r="C506" s="150">
        <f>'[1]Fliggy Store Daily Key Data'!C2173</f>
        <v>10436</v>
      </c>
      <c r="D506" s="150">
        <f>'[1]Fliggy Store Daily Key Data'!G2173</f>
        <v>5031</v>
      </c>
      <c r="E506" s="150">
        <v>38</v>
      </c>
      <c r="F506" s="150">
        <f>'[1]Fliggy Store Daily Key Data'!K2173</f>
        <v>248159.4</v>
      </c>
      <c r="G506" s="150">
        <v>93</v>
      </c>
      <c r="H506" s="155">
        <f t="shared" si="14"/>
        <v>0.182795698924731</v>
      </c>
      <c r="I506" s="73">
        <f>'[1]Fliggy Store Daily Key Data'!I2173</f>
        <v>17</v>
      </c>
      <c r="J506" s="18">
        <f t="shared" si="15"/>
        <v>0.0016289766193944</v>
      </c>
      <c r="K506" s="5"/>
    </row>
    <row r="507" ht="13.85" spans="1:11">
      <c r="A507" s="156">
        <v>45615</v>
      </c>
      <c r="B507" s="150">
        <f>'[1]Fliggy Store Daily Key Data'!B2174</f>
        <v>23216</v>
      </c>
      <c r="C507" s="150">
        <f>'[1]Fliggy Store Daily Key Data'!C2174</f>
        <v>9971</v>
      </c>
      <c r="D507" s="150">
        <f>'[1]Fliggy Store Daily Key Data'!G2174</f>
        <v>4585</v>
      </c>
      <c r="E507" s="150">
        <v>23</v>
      </c>
      <c r="F507" s="150">
        <f>'[1]Fliggy Store Daily Key Data'!K2174</f>
        <v>27772</v>
      </c>
      <c r="G507" s="150">
        <v>98</v>
      </c>
      <c r="H507" s="155">
        <f t="shared" si="14"/>
        <v>0.0102040816326531</v>
      </c>
      <c r="I507" s="73">
        <f>'[1]Fliggy Store Daily Key Data'!I2174</f>
        <v>1</v>
      </c>
      <c r="J507" s="18">
        <f t="shared" si="15"/>
        <v>0.000100290843445993</v>
      </c>
      <c r="K507" s="5"/>
    </row>
    <row r="508" ht="13.85" spans="1:11">
      <c r="A508" s="156">
        <v>45616</v>
      </c>
      <c r="B508" s="150">
        <f>'[1]Fliggy Store Daily Key Data'!B2175</f>
        <v>25531</v>
      </c>
      <c r="C508" s="150">
        <f>'[1]Fliggy Store Daily Key Data'!C2175</f>
        <v>11457</v>
      </c>
      <c r="D508" s="150">
        <f>'[1]Fliggy Store Daily Key Data'!G2175</f>
        <v>6494</v>
      </c>
      <c r="E508" s="150">
        <v>29</v>
      </c>
      <c r="F508" s="150">
        <f>'[1]Fliggy Store Daily Key Data'!K2175</f>
        <v>106893.48</v>
      </c>
      <c r="G508" s="150">
        <v>97</v>
      </c>
      <c r="H508" s="155">
        <f t="shared" si="14"/>
        <v>0.0309278350515464</v>
      </c>
      <c r="I508" s="73">
        <f>'[1]Fliggy Store Daily Key Data'!I2175</f>
        <v>3</v>
      </c>
      <c r="J508" s="18">
        <f t="shared" si="15"/>
        <v>0.000261848651479445</v>
      </c>
      <c r="K508" s="5"/>
    </row>
    <row r="509" ht="13.85" spans="1:11">
      <c r="A509" s="156">
        <v>45617</v>
      </c>
      <c r="B509" s="150">
        <f>'[1]Fliggy Store Daily Key Data'!B2176</f>
        <v>21705</v>
      </c>
      <c r="C509" s="150">
        <f>'[1]Fliggy Store Daily Key Data'!C2176</f>
        <v>9665</v>
      </c>
      <c r="D509" s="150">
        <f>'[1]Fliggy Store Daily Key Data'!G2176</f>
        <v>5434</v>
      </c>
      <c r="E509" s="150">
        <v>20</v>
      </c>
      <c r="F509" s="150">
        <f>'[1]Fliggy Store Daily Key Data'!K2176</f>
        <v>35492.64</v>
      </c>
      <c r="G509" s="150">
        <v>66</v>
      </c>
      <c r="H509" s="155">
        <f t="shared" si="14"/>
        <v>0.0303030303030303</v>
      </c>
      <c r="I509" s="73">
        <f>'[1]Fliggy Store Daily Key Data'!I2176</f>
        <v>2</v>
      </c>
      <c r="J509" s="18">
        <f t="shared" si="15"/>
        <v>0.000206932229694775</v>
      </c>
      <c r="K509" s="5"/>
    </row>
    <row r="510" ht="13.85" spans="1:11">
      <c r="A510" s="156">
        <v>45618</v>
      </c>
      <c r="B510" s="150">
        <f>'[1]Fliggy Store Daily Key Data'!B2177</f>
        <v>23062</v>
      </c>
      <c r="C510" s="150">
        <f>'[1]Fliggy Store Daily Key Data'!C2177</f>
        <v>10182</v>
      </c>
      <c r="D510" s="150">
        <f>'[1]Fliggy Store Daily Key Data'!G2177</f>
        <v>5979</v>
      </c>
      <c r="E510" s="150">
        <v>26</v>
      </c>
      <c r="F510" s="150">
        <f>'[1]Fliggy Store Daily Key Data'!K2177</f>
        <v>7883</v>
      </c>
      <c r="G510" s="150">
        <v>82</v>
      </c>
      <c r="H510" s="155">
        <f t="shared" si="14"/>
        <v>0.0121951219512195</v>
      </c>
      <c r="I510" s="73">
        <f>'[1]Fliggy Store Daily Key Data'!I2177</f>
        <v>1</v>
      </c>
      <c r="J510" s="18">
        <f t="shared" si="15"/>
        <v>9.82125319190729e-5</v>
      </c>
      <c r="K510" s="5"/>
    </row>
    <row r="511" ht="13.85" spans="1:11">
      <c r="A511" s="156">
        <v>45619</v>
      </c>
      <c r="B511" s="150">
        <f>'[1]Fliggy Store Daily Key Data'!B2178</f>
        <v>25319</v>
      </c>
      <c r="C511" s="150">
        <f>'[1]Fliggy Store Daily Key Data'!C2178</f>
        <v>11493</v>
      </c>
      <c r="D511" s="150">
        <f>'[1]Fliggy Store Daily Key Data'!G2178</f>
        <v>6238</v>
      </c>
      <c r="E511" s="150">
        <v>29</v>
      </c>
      <c r="F511" s="150">
        <f>'[1]Fliggy Store Daily Key Data'!K2178</f>
        <v>90837</v>
      </c>
      <c r="G511" s="150">
        <v>84</v>
      </c>
      <c r="H511" s="155">
        <f t="shared" si="14"/>
        <v>0.0714285714285714</v>
      </c>
      <c r="I511" s="73">
        <f>'[1]Fliggy Store Daily Key Data'!I2178</f>
        <v>6</v>
      </c>
      <c r="J511" s="18">
        <f t="shared" si="15"/>
        <v>0.000522056904202558</v>
      </c>
      <c r="K511" s="5"/>
    </row>
    <row r="512" ht="13.85" spans="1:11">
      <c r="A512" s="156">
        <v>45620</v>
      </c>
      <c r="B512" s="150">
        <f>'[1]Fliggy Store Daily Key Data'!B2179</f>
        <v>26900</v>
      </c>
      <c r="C512" s="150">
        <f>'[1]Fliggy Store Daily Key Data'!C2179</f>
        <v>12680</v>
      </c>
      <c r="D512" s="150">
        <f>'[1]Fliggy Store Daily Key Data'!G2179</f>
        <v>6138</v>
      </c>
      <c r="E512" s="150">
        <v>21</v>
      </c>
      <c r="F512" s="150">
        <f>'[1]Fliggy Store Daily Key Data'!K2179</f>
        <v>123898</v>
      </c>
      <c r="G512" s="150">
        <v>88</v>
      </c>
      <c r="H512" s="155">
        <f t="shared" si="14"/>
        <v>0.0454545454545455</v>
      </c>
      <c r="I512" s="73">
        <f>'[1]Fliggy Store Daily Key Data'!I2179</f>
        <v>4</v>
      </c>
      <c r="J512" s="18">
        <f t="shared" si="15"/>
        <v>0.000315457413249211</v>
      </c>
      <c r="K512" s="5"/>
    </row>
    <row r="513" ht="13.85" spans="1:11">
      <c r="A513" s="156">
        <v>45621</v>
      </c>
      <c r="B513" s="150">
        <f>'[1]Fliggy Store Daily Key Data'!B2180</f>
        <v>22898</v>
      </c>
      <c r="C513" s="150">
        <f>'[1]Fliggy Store Daily Key Data'!C2180</f>
        <v>9569</v>
      </c>
      <c r="D513" s="150">
        <f>'[1]Fliggy Store Daily Key Data'!G2180</f>
        <v>5379</v>
      </c>
      <c r="E513" s="150">
        <v>24</v>
      </c>
      <c r="F513" s="150">
        <f>'[1]Fliggy Store Daily Key Data'!K2180</f>
        <v>72186.92</v>
      </c>
      <c r="G513" s="150">
        <v>110</v>
      </c>
      <c r="H513" s="155">
        <f t="shared" si="14"/>
        <v>0.0454545454545455</v>
      </c>
      <c r="I513" s="73">
        <f>'[1]Fliggy Store Daily Key Data'!I2180</f>
        <v>5</v>
      </c>
      <c r="J513" s="18">
        <f t="shared" si="15"/>
        <v>0.000522520639565263</v>
      </c>
      <c r="K513" s="5"/>
    </row>
    <row r="514" ht="13.85" spans="1:11">
      <c r="A514" s="156">
        <v>45622</v>
      </c>
      <c r="B514" s="150">
        <f>'[1]Fliggy Store Daily Key Data'!B2181</f>
        <v>21673</v>
      </c>
      <c r="C514" s="150">
        <f>'[1]Fliggy Store Daily Key Data'!C2181</f>
        <v>9603</v>
      </c>
      <c r="D514" s="150">
        <f>'[1]Fliggy Store Daily Key Data'!G2181</f>
        <v>6922</v>
      </c>
      <c r="E514" s="150">
        <v>25</v>
      </c>
      <c r="F514" s="150">
        <f>'[1]Fliggy Store Daily Key Data'!K2181</f>
        <v>8888</v>
      </c>
      <c r="G514" s="150">
        <v>95</v>
      </c>
      <c r="H514" s="155">
        <f t="shared" ref="H514:H577" si="16">I514/G514</f>
        <v>0.0105263157894737</v>
      </c>
      <c r="I514" s="73">
        <f>'[1]Fliggy Store Daily Key Data'!I2181</f>
        <v>1</v>
      </c>
      <c r="J514" s="18">
        <f t="shared" si="15"/>
        <v>0.000104134124752681</v>
      </c>
      <c r="K514" s="5"/>
    </row>
    <row r="515" ht="13.85" spans="1:11">
      <c r="A515" s="156">
        <v>45623</v>
      </c>
      <c r="B515" s="150">
        <f>'[1]Fliggy Store Daily Key Data'!B2182</f>
        <v>27054</v>
      </c>
      <c r="C515" s="150">
        <f>'[1]Fliggy Store Daily Key Data'!C2182</f>
        <v>12493</v>
      </c>
      <c r="D515" s="150">
        <f>'[1]Fliggy Store Daily Key Data'!G2182</f>
        <v>6344</v>
      </c>
      <c r="E515" s="150">
        <v>31</v>
      </c>
      <c r="F515" s="150">
        <f>'[1]Fliggy Store Daily Key Data'!K2182</f>
        <v>51879.8</v>
      </c>
      <c r="G515" s="150">
        <v>72</v>
      </c>
      <c r="H515" s="155">
        <f t="shared" si="16"/>
        <v>0.0416666666666667</v>
      </c>
      <c r="I515" s="73">
        <f>'[1]Fliggy Store Daily Key Data'!I2182</f>
        <v>3</v>
      </c>
      <c r="J515" s="18">
        <f t="shared" si="15"/>
        <v>0.000240134475306171</v>
      </c>
      <c r="K515" s="5"/>
    </row>
    <row r="516" ht="13.85" spans="1:11">
      <c r="A516" s="156">
        <v>45624</v>
      </c>
      <c r="B516" s="150">
        <f>'[1]Fliggy Store Daily Key Data'!B2183</f>
        <v>23988</v>
      </c>
      <c r="C516" s="150">
        <f>'[1]Fliggy Store Daily Key Data'!C2183</f>
        <v>10693</v>
      </c>
      <c r="D516" s="150">
        <f>'[1]Fliggy Store Daily Key Data'!G2183</f>
        <v>4958</v>
      </c>
      <c r="E516" s="150">
        <v>31</v>
      </c>
      <c r="F516" s="150">
        <f>'[1]Fliggy Store Daily Key Data'!K2183</f>
        <v>3348</v>
      </c>
      <c r="G516" s="150">
        <v>111</v>
      </c>
      <c r="H516" s="155">
        <f t="shared" si="16"/>
        <v>0</v>
      </c>
      <c r="I516" s="73">
        <f>'[1]Fliggy Store Daily Key Data'!I2183</f>
        <v>0</v>
      </c>
      <c r="J516" s="18">
        <f t="shared" si="15"/>
        <v>0</v>
      </c>
      <c r="K516" s="5"/>
    </row>
    <row r="517" ht="13.85" spans="1:11">
      <c r="A517" s="156">
        <v>45625</v>
      </c>
      <c r="B517" s="150">
        <f>'[1]Fliggy Store Daily Key Data'!B2184</f>
        <v>25733</v>
      </c>
      <c r="C517" s="150">
        <f>'[1]Fliggy Store Daily Key Data'!C2184</f>
        <v>11861</v>
      </c>
      <c r="D517" s="150">
        <f>'[1]Fliggy Store Daily Key Data'!G2184</f>
        <v>5464</v>
      </c>
      <c r="E517" s="150">
        <v>28</v>
      </c>
      <c r="F517" s="150">
        <f>'[1]Fliggy Store Daily Key Data'!K2184</f>
        <v>30214</v>
      </c>
      <c r="G517" s="150">
        <v>67</v>
      </c>
      <c r="H517" s="155">
        <f t="shared" si="16"/>
        <v>0.0447761194029851</v>
      </c>
      <c r="I517" s="73">
        <f>'[1]Fliggy Store Daily Key Data'!I2184</f>
        <v>3</v>
      </c>
      <c r="J517" s="18">
        <f t="shared" si="15"/>
        <v>0.000252929769833909</v>
      </c>
      <c r="K517" s="5"/>
    </row>
    <row r="518" ht="13.85" spans="1:11">
      <c r="A518" s="156">
        <v>45626</v>
      </c>
      <c r="B518" s="150">
        <f>'[1]Fliggy Store Daily Key Data'!B2185</f>
        <v>29605</v>
      </c>
      <c r="C518" s="150">
        <f>'[1]Fliggy Store Daily Key Data'!C2185</f>
        <v>15162</v>
      </c>
      <c r="D518" s="150">
        <f>'[1]Fliggy Store Daily Key Data'!G2185</f>
        <v>4808</v>
      </c>
      <c r="E518" s="150">
        <v>40</v>
      </c>
      <c r="F518" s="150">
        <f>'[1]Fliggy Store Daily Key Data'!K2185</f>
        <v>33210</v>
      </c>
      <c r="G518" s="150">
        <v>95</v>
      </c>
      <c r="H518" s="155">
        <f t="shared" si="16"/>
        <v>0.0315789473684211</v>
      </c>
      <c r="I518" s="73">
        <f>'[1]Fliggy Store Daily Key Data'!I2185</f>
        <v>3</v>
      </c>
      <c r="J518" s="18">
        <f t="shared" si="15"/>
        <v>0.000197863078749505</v>
      </c>
      <c r="K518" s="5"/>
    </row>
    <row r="519" ht="13.85" spans="1:11">
      <c r="A519" s="156">
        <v>45627</v>
      </c>
      <c r="B519" s="150">
        <f>'[1]Fliggy Store Daily Key Data'!B2186</f>
        <v>33549</v>
      </c>
      <c r="C519" s="150">
        <f>'[1]Fliggy Store Daily Key Data'!C2186</f>
        <v>16516</v>
      </c>
      <c r="D519" s="150">
        <f>'[1]Fliggy Store Daily Key Data'!G2186</f>
        <v>5300</v>
      </c>
      <c r="E519" s="150">
        <v>46</v>
      </c>
      <c r="F519" s="150">
        <f>'[1]Fliggy Store Daily Key Data'!K2186</f>
        <v>10124</v>
      </c>
      <c r="G519" s="150">
        <v>94</v>
      </c>
      <c r="H519" s="155">
        <f t="shared" si="16"/>
        <v>0.0106382978723404</v>
      </c>
      <c r="I519" s="73">
        <f>'[1]Fliggy Store Daily Key Data'!I2186</f>
        <v>1</v>
      </c>
      <c r="J519" s="18">
        <f t="shared" si="15"/>
        <v>6.05473480261565e-5</v>
      </c>
      <c r="K519" s="5"/>
    </row>
    <row r="520" ht="13.85" spans="1:11">
      <c r="A520" s="156">
        <v>45628</v>
      </c>
      <c r="B520" s="150">
        <f>'[1]Fliggy Store Daily Key Data'!B2187</f>
        <v>30456</v>
      </c>
      <c r="C520" s="150">
        <f>'[1]Fliggy Store Daily Key Data'!C2187</f>
        <v>15719</v>
      </c>
      <c r="D520" s="150">
        <f>'[1]Fliggy Store Daily Key Data'!G2187</f>
        <v>4416</v>
      </c>
      <c r="E520" s="150">
        <v>46</v>
      </c>
      <c r="F520" s="150">
        <f>'[1]Fliggy Store Daily Key Data'!K2187</f>
        <v>53713</v>
      </c>
      <c r="G520" s="150">
        <v>108</v>
      </c>
      <c r="H520" s="155">
        <f t="shared" si="16"/>
        <v>0.0462962962962963</v>
      </c>
      <c r="I520" s="73">
        <f>'[1]Fliggy Store Daily Key Data'!I2187</f>
        <v>5</v>
      </c>
      <c r="J520" s="18">
        <f t="shared" si="15"/>
        <v>0.000318086392264139</v>
      </c>
      <c r="K520" s="5"/>
    </row>
    <row r="521" ht="13.85" spans="1:11">
      <c r="A521" s="156">
        <v>45629</v>
      </c>
      <c r="B521" s="150">
        <f>'[1]Fliggy Store Daily Key Data'!B2188</f>
        <v>29931</v>
      </c>
      <c r="C521" s="150">
        <f>'[1]Fliggy Store Daily Key Data'!C2188</f>
        <v>15452</v>
      </c>
      <c r="D521" s="150">
        <f>'[1]Fliggy Store Daily Key Data'!G2188</f>
        <v>4750</v>
      </c>
      <c r="E521" s="150">
        <v>42</v>
      </c>
      <c r="F521" s="150">
        <f>'[1]Fliggy Store Daily Key Data'!K2188</f>
        <v>0</v>
      </c>
      <c r="G521" s="150">
        <v>173</v>
      </c>
      <c r="H521" s="155">
        <f t="shared" si="16"/>
        <v>0</v>
      </c>
      <c r="I521" s="73">
        <f>'[1]Fliggy Store Daily Key Data'!I2188</f>
        <v>0</v>
      </c>
      <c r="J521" s="18">
        <f t="shared" si="15"/>
        <v>0</v>
      </c>
      <c r="K521" s="5"/>
    </row>
    <row r="522" ht="13.85" spans="1:11">
      <c r="A522" s="156">
        <v>45630</v>
      </c>
      <c r="B522" s="150">
        <f>'[1]Fliggy Store Daily Key Data'!B2189</f>
        <v>54984</v>
      </c>
      <c r="C522" s="150">
        <f>'[1]Fliggy Store Daily Key Data'!C2189</f>
        <v>29592</v>
      </c>
      <c r="D522" s="150">
        <f>'[1]Fliggy Store Daily Key Data'!G2189</f>
        <v>5588</v>
      </c>
      <c r="E522" s="150">
        <v>46</v>
      </c>
      <c r="F522" s="150">
        <f>'[1]Fliggy Store Daily Key Data'!K2189</f>
        <v>38535</v>
      </c>
      <c r="G522" s="150">
        <v>105</v>
      </c>
      <c r="H522" s="155">
        <f t="shared" si="16"/>
        <v>0.0285714285714286</v>
      </c>
      <c r="I522" s="73">
        <f>'[1]Fliggy Store Daily Key Data'!I2189</f>
        <v>3</v>
      </c>
      <c r="J522" s="18">
        <f t="shared" si="15"/>
        <v>0.000101378751013788</v>
      </c>
      <c r="K522" s="5"/>
    </row>
    <row r="523" ht="13.85" spans="1:11">
      <c r="A523" s="156">
        <v>45631</v>
      </c>
      <c r="B523" s="150">
        <f>'[1]Fliggy Store Daily Key Data'!B2190</f>
        <v>28880</v>
      </c>
      <c r="C523" s="150">
        <f>'[1]Fliggy Store Daily Key Data'!C2190</f>
        <v>9611</v>
      </c>
      <c r="D523" s="150">
        <f>'[1]Fliggy Store Daily Key Data'!G2190</f>
        <v>4857</v>
      </c>
      <c r="E523" s="150">
        <v>32</v>
      </c>
      <c r="F523" s="150">
        <f>'[1]Fliggy Store Daily Key Data'!K2190</f>
        <v>54254</v>
      </c>
      <c r="G523" s="150">
        <v>97</v>
      </c>
      <c r="H523" s="155">
        <f t="shared" si="16"/>
        <v>0.0515463917525773</v>
      </c>
      <c r="I523" s="73">
        <f>'[1]Fliggy Store Daily Key Data'!I2190</f>
        <v>5</v>
      </c>
      <c r="J523" s="18">
        <f t="shared" si="15"/>
        <v>0.000520237228176048</v>
      </c>
      <c r="K523" s="5"/>
    </row>
    <row r="524" ht="13.85" spans="1:11">
      <c r="A524" s="156">
        <v>45632</v>
      </c>
      <c r="B524" s="150">
        <f>'[1]Fliggy Store Daily Key Data'!B2191</f>
        <v>25560</v>
      </c>
      <c r="C524" s="150">
        <f>'[1]Fliggy Store Daily Key Data'!C2191</f>
        <v>8243</v>
      </c>
      <c r="D524" s="150">
        <f>'[1]Fliggy Store Daily Key Data'!G2191</f>
        <v>4845</v>
      </c>
      <c r="E524" s="150">
        <v>59</v>
      </c>
      <c r="F524" s="150">
        <f>'[1]Fliggy Store Daily Key Data'!K2191</f>
        <v>59268</v>
      </c>
      <c r="G524" s="150">
        <v>104</v>
      </c>
      <c r="H524" s="155">
        <f t="shared" si="16"/>
        <v>0.0576923076923077</v>
      </c>
      <c r="I524" s="73">
        <f>'[1]Fliggy Store Daily Key Data'!I2191</f>
        <v>6</v>
      </c>
      <c r="J524" s="18">
        <f t="shared" si="15"/>
        <v>0.000727890331190101</v>
      </c>
      <c r="K524" s="5"/>
    </row>
    <row r="525" ht="13.85" spans="1:11">
      <c r="A525" s="156">
        <v>45633</v>
      </c>
      <c r="B525" s="150">
        <f>'[1]Fliggy Store Daily Key Data'!B2192</f>
        <v>48870</v>
      </c>
      <c r="C525" s="150">
        <f>'[1]Fliggy Store Daily Key Data'!C2192</f>
        <v>15461</v>
      </c>
      <c r="D525" s="150">
        <f>'[1]Fliggy Store Daily Key Data'!G2192</f>
        <v>4174</v>
      </c>
      <c r="E525" s="150">
        <v>139</v>
      </c>
      <c r="F525" s="150">
        <f>'[1]Fliggy Store Daily Key Data'!K2192</f>
        <v>5998</v>
      </c>
      <c r="G525" s="150">
        <v>146</v>
      </c>
      <c r="H525" s="155">
        <f t="shared" si="16"/>
        <v>0.00684931506849315</v>
      </c>
      <c r="I525" s="73">
        <f>'[1]Fliggy Store Daily Key Data'!I2192</f>
        <v>1</v>
      </c>
      <c r="J525" s="18">
        <f t="shared" si="15"/>
        <v>6.46788694133627e-5</v>
      </c>
      <c r="K525" s="5"/>
    </row>
    <row r="526" ht="13.85" spans="1:11">
      <c r="A526" s="156">
        <v>45634</v>
      </c>
      <c r="B526" s="150">
        <f>'[1]Fliggy Store Daily Key Data'!B2193</f>
        <v>26099</v>
      </c>
      <c r="C526" s="150">
        <f>'[1]Fliggy Store Daily Key Data'!C2193</f>
        <v>8231</v>
      </c>
      <c r="D526" s="150">
        <f>'[1]Fliggy Store Daily Key Data'!G2193</f>
        <v>4302</v>
      </c>
      <c r="E526" s="150">
        <v>71</v>
      </c>
      <c r="F526" s="150">
        <f>'[1]Fliggy Store Daily Key Data'!K2193</f>
        <v>53658</v>
      </c>
      <c r="G526" s="150">
        <v>111</v>
      </c>
      <c r="H526" s="155">
        <f t="shared" si="16"/>
        <v>0.036036036036036</v>
      </c>
      <c r="I526" s="73">
        <f>'[1]Fliggy Store Daily Key Data'!I2193</f>
        <v>4</v>
      </c>
      <c r="J526" s="18">
        <f t="shared" si="15"/>
        <v>0.000485967683149071</v>
      </c>
      <c r="K526" s="5"/>
    </row>
    <row r="527" ht="13.85" spans="1:11">
      <c r="A527" s="156">
        <v>45635</v>
      </c>
      <c r="B527" s="150">
        <f>'[1]Fliggy Store Daily Key Data'!B2194</f>
        <v>101012</v>
      </c>
      <c r="C527" s="150">
        <f>'[1]Fliggy Store Daily Key Data'!C2194</f>
        <v>20274</v>
      </c>
      <c r="D527" s="150">
        <f>'[1]Fliggy Store Daily Key Data'!G2194</f>
        <v>3535</v>
      </c>
      <c r="E527" s="150">
        <v>73</v>
      </c>
      <c r="F527" s="150">
        <f>'[1]Fliggy Store Daily Key Data'!K2194</f>
        <v>348201</v>
      </c>
      <c r="G527" s="150">
        <v>217</v>
      </c>
      <c r="H527" s="155">
        <f t="shared" si="16"/>
        <v>0.179723502304147</v>
      </c>
      <c r="I527" s="73">
        <f>'[1]Fliggy Store Daily Key Data'!I2194</f>
        <v>39</v>
      </c>
      <c r="J527" s="18">
        <f t="shared" si="15"/>
        <v>0.00192364604912696</v>
      </c>
      <c r="K527" s="5"/>
    </row>
    <row r="528" ht="13.85" spans="1:11">
      <c r="A528" s="156">
        <v>45636</v>
      </c>
      <c r="B528" s="150">
        <f>'[1]Fliggy Store Daily Key Data'!B2195</f>
        <v>49712</v>
      </c>
      <c r="C528" s="150">
        <f>'[1]Fliggy Store Daily Key Data'!C2195</f>
        <v>13987</v>
      </c>
      <c r="D528" s="150">
        <f>'[1]Fliggy Store Daily Key Data'!G2195</f>
        <v>5220</v>
      </c>
      <c r="E528" s="150">
        <v>75</v>
      </c>
      <c r="F528" s="150">
        <f>'[1]Fliggy Store Daily Key Data'!K2195</f>
        <v>281147.66</v>
      </c>
      <c r="G528" s="150">
        <v>140</v>
      </c>
      <c r="H528" s="155">
        <f t="shared" si="16"/>
        <v>0.164285714285714</v>
      </c>
      <c r="I528" s="73">
        <f>'[1]Fliggy Store Daily Key Data'!I2195</f>
        <v>23</v>
      </c>
      <c r="J528" s="18">
        <f t="shared" si="15"/>
        <v>0.001644384070923</v>
      </c>
      <c r="K528" s="5"/>
    </row>
    <row r="529" ht="13.85" spans="1:11">
      <c r="A529" s="156">
        <v>45637</v>
      </c>
      <c r="B529" s="150">
        <f>'[1]Fliggy Store Daily Key Data'!B2196</f>
        <v>269984</v>
      </c>
      <c r="C529" s="150">
        <f>'[1]Fliggy Store Daily Key Data'!C2196</f>
        <v>57184</v>
      </c>
      <c r="D529" s="150">
        <f>'[1]Fliggy Store Daily Key Data'!G2196</f>
        <v>3743</v>
      </c>
      <c r="E529" s="150">
        <v>103</v>
      </c>
      <c r="F529" s="150">
        <f>'[1]Fliggy Store Daily Key Data'!K2196</f>
        <v>1399254</v>
      </c>
      <c r="G529" s="150">
        <v>436</v>
      </c>
      <c r="H529" s="155">
        <f t="shared" si="16"/>
        <v>0.353211009174312</v>
      </c>
      <c r="I529" s="73">
        <f>'[1]Fliggy Store Daily Key Data'!I2196</f>
        <v>154</v>
      </c>
      <c r="J529" s="18">
        <f t="shared" si="15"/>
        <v>0.00269306099608282</v>
      </c>
      <c r="K529" s="5"/>
    </row>
    <row r="530" ht="13.85" spans="1:11">
      <c r="A530" s="156">
        <v>45638</v>
      </c>
      <c r="B530" s="150">
        <f>'[1]Fliggy Store Daily Key Data'!B2197</f>
        <v>123012</v>
      </c>
      <c r="C530" s="150">
        <f>'[1]Fliggy Store Daily Key Data'!C2197</f>
        <v>35206</v>
      </c>
      <c r="D530" s="150">
        <f>'[1]Fliggy Store Daily Key Data'!G2197</f>
        <v>5338</v>
      </c>
      <c r="E530" s="150">
        <v>54</v>
      </c>
      <c r="F530" s="150">
        <f>'[1]Fliggy Store Daily Key Data'!K2197</f>
        <v>1007082</v>
      </c>
      <c r="G530" s="150">
        <v>291</v>
      </c>
      <c r="H530" s="155">
        <f t="shared" si="16"/>
        <v>0.391752577319588</v>
      </c>
      <c r="I530" s="73">
        <f>'[1]Fliggy Store Daily Key Data'!I2197</f>
        <v>114</v>
      </c>
      <c r="J530" s="18">
        <f t="shared" si="15"/>
        <v>0.00323808441742885</v>
      </c>
      <c r="K530" s="5"/>
    </row>
    <row r="531" ht="13.85" spans="1:11">
      <c r="A531" s="156">
        <v>45639</v>
      </c>
      <c r="B531" s="150">
        <f>'[1]Fliggy Store Daily Key Data'!B2198</f>
        <v>30216</v>
      </c>
      <c r="C531" s="150">
        <f>'[1]Fliggy Store Daily Key Data'!C2198</f>
        <v>8595</v>
      </c>
      <c r="D531" s="150">
        <f>'[1]Fliggy Store Daily Key Data'!G2198</f>
        <v>2415</v>
      </c>
      <c r="E531" s="150">
        <v>64</v>
      </c>
      <c r="F531" s="150">
        <f>'[1]Fliggy Store Daily Key Data'!K2198</f>
        <v>99541</v>
      </c>
      <c r="G531" s="150">
        <v>134</v>
      </c>
      <c r="H531" s="155">
        <f t="shared" si="16"/>
        <v>0.0746268656716418</v>
      </c>
      <c r="I531" s="73">
        <f>'[1]Fliggy Store Daily Key Data'!I2198</f>
        <v>10</v>
      </c>
      <c r="J531" s="18">
        <f t="shared" si="15"/>
        <v>0.00116346713205352</v>
      </c>
      <c r="K531" s="5"/>
    </row>
    <row r="532" ht="13.85" spans="1:11">
      <c r="A532" s="156">
        <v>45640</v>
      </c>
      <c r="B532" s="150">
        <f>'[1]Fliggy Store Daily Key Data'!B2199</f>
        <v>22184</v>
      </c>
      <c r="C532" s="150">
        <f>'[1]Fliggy Store Daily Key Data'!C2199</f>
        <v>6854</v>
      </c>
      <c r="D532" s="150">
        <f>'[1]Fliggy Store Daily Key Data'!G2199</f>
        <v>2875</v>
      </c>
      <c r="E532" s="150">
        <v>31</v>
      </c>
      <c r="F532" s="150">
        <f>'[1]Fliggy Store Daily Key Data'!K2199</f>
        <v>126389</v>
      </c>
      <c r="G532" s="150">
        <v>138</v>
      </c>
      <c r="H532" s="155">
        <f t="shared" si="16"/>
        <v>0.0652173913043478</v>
      </c>
      <c r="I532" s="73">
        <f>'[1]Fliggy Store Daily Key Data'!I2199</f>
        <v>9</v>
      </c>
      <c r="J532" s="18">
        <f t="shared" si="15"/>
        <v>0.00131310183834257</v>
      </c>
      <c r="K532" s="5"/>
    </row>
    <row r="533" ht="13.85" spans="1:11">
      <c r="A533" s="156">
        <v>45641</v>
      </c>
      <c r="B533" s="150">
        <f>'[1]Fliggy Store Daily Key Data'!B2200</f>
        <v>33547</v>
      </c>
      <c r="C533" s="150">
        <f>'[1]Fliggy Store Daily Key Data'!C2200</f>
        <v>16545</v>
      </c>
      <c r="D533" s="150">
        <f>'[1]Fliggy Store Daily Key Data'!G2200</f>
        <v>2840</v>
      </c>
      <c r="E533" s="150">
        <v>36</v>
      </c>
      <c r="F533" s="150">
        <f>'[1]Fliggy Store Daily Key Data'!K2200</f>
        <v>96016</v>
      </c>
      <c r="G533" s="150">
        <v>120</v>
      </c>
      <c r="H533" s="155">
        <f t="shared" si="16"/>
        <v>0.075</v>
      </c>
      <c r="I533" s="73">
        <f>'[1]Fliggy Store Daily Key Data'!I2200</f>
        <v>9</v>
      </c>
      <c r="J533" s="18">
        <f t="shared" si="15"/>
        <v>0.000543970988213962</v>
      </c>
      <c r="K533" s="5"/>
    </row>
    <row r="534" ht="13.85" spans="1:11">
      <c r="A534" s="156">
        <v>45642</v>
      </c>
      <c r="B534" s="150">
        <f>'[1]Fliggy Store Daily Key Data'!B2201</f>
        <v>25904</v>
      </c>
      <c r="C534" s="150">
        <f>'[1]Fliggy Store Daily Key Data'!C2201</f>
        <v>8139</v>
      </c>
      <c r="D534" s="150">
        <f>'[1]Fliggy Store Daily Key Data'!G2201</f>
        <v>2798</v>
      </c>
      <c r="E534" s="150">
        <v>41</v>
      </c>
      <c r="F534" s="150">
        <f>'[1]Fliggy Store Daily Key Data'!K2201</f>
        <v>152424</v>
      </c>
      <c r="G534" s="150">
        <v>135</v>
      </c>
      <c r="H534" s="155">
        <f t="shared" si="16"/>
        <v>0.0888888888888889</v>
      </c>
      <c r="I534" s="73">
        <f>'[1]Fliggy Store Daily Key Data'!I2201</f>
        <v>12</v>
      </c>
      <c r="J534" s="18">
        <f t="shared" si="15"/>
        <v>0.00147438260228529</v>
      </c>
      <c r="K534" s="5"/>
    </row>
    <row r="535" ht="13.85" spans="1:11">
      <c r="A535" s="156">
        <v>45643</v>
      </c>
      <c r="B535" s="150">
        <f>'[1]Fliggy Store Daily Key Data'!B2202</f>
        <v>16409</v>
      </c>
      <c r="C535" s="150">
        <f>'[1]Fliggy Store Daily Key Data'!C2202</f>
        <v>4643</v>
      </c>
      <c r="D535" s="150">
        <f>'[1]Fliggy Store Daily Key Data'!G2202</f>
        <v>2654</v>
      </c>
      <c r="E535" s="150">
        <v>41</v>
      </c>
      <c r="F535" s="150">
        <f>'[1]Fliggy Store Daily Key Data'!K2202</f>
        <v>44235</v>
      </c>
      <c r="G535" s="150">
        <v>104</v>
      </c>
      <c r="H535" s="155">
        <f t="shared" si="16"/>
        <v>0.0480769230769231</v>
      </c>
      <c r="I535" s="73">
        <f>'[1]Fliggy Store Daily Key Data'!I2202</f>
        <v>5</v>
      </c>
      <c r="J535" s="18">
        <f t="shared" si="15"/>
        <v>0.00107688994184794</v>
      </c>
      <c r="K535" s="5"/>
    </row>
    <row r="536" ht="13.85" spans="1:11">
      <c r="A536" s="156">
        <v>45644</v>
      </c>
      <c r="B536" s="150">
        <f>'[1]Fliggy Store Daily Key Data'!B2203</f>
        <v>18008</v>
      </c>
      <c r="C536" s="150">
        <f>'[1]Fliggy Store Daily Key Data'!C2203</f>
        <v>5681</v>
      </c>
      <c r="D536" s="150">
        <f>'[1]Fliggy Store Daily Key Data'!G2203</f>
        <v>2450</v>
      </c>
      <c r="E536" s="150">
        <v>29</v>
      </c>
      <c r="F536" s="150">
        <f>'[1]Fliggy Store Daily Key Data'!K2203</f>
        <v>267216</v>
      </c>
      <c r="G536" s="150">
        <v>125</v>
      </c>
      <c r="H536" s="155">
        <f t="shared" si="16"/>
        <v>0.184</v>
      </c>
      <c r="I536" s="73">
        <f>'[1]Fliggy Store Daily Key Data'!I2203</f>
        <v>23</v>
      </c>
      <c r="J536" s="18">
        <f t="shared" ref="J536:J599" si="17">I536/C536</f>
        <v>0.00404858299595142</v>
      </c>
      <c r="K536" s="5"/>
    </row>
    <row r="537" ht="13.85" spans="1:11">
      <c r="A537" s="156">
        <v>45645</v>
      </c>
      <c r="B537" s="150">
        <f>'[1]Fliggy Store Daily Key Data'!B2204</f>
        <v>17069</v>
      </c>
      <c r="C537" s="150">
        <f>'[1]Fliggy Store Daily Key Data'!C2204</f>
        <v>5139</v>
      </c>
      <c r="D537" s="150">
        <f>'[1]Fliggy Store Daily Key Data'!G2204</f>
        <v>1560</v>
      </c>
      <c r="E537" s="150">
        <v>27</v>
      </c>
      <c r="F537" s="150">
        <f>'[1]Fliggy Store Daily Key Data'!K2204</f>
        <v>35772</v>
      </c>
      <c r="G537" s="150">
        <v>95</v>
      </c>
      <c r="H537" s="155">
        <f t="shared" si="16"/>
        <v>0.0315789473684211</v>
      </c>
      <c r="I537" s="73">
        <f>'[1]Fliggy Store Daily Key Data'!I2204</f>
        <v>3</v>
      </c>
      <c r="J537" s="18">
        <f t="shared" si="17"/>
        <v>0.000583771161704612</v>
      </c>
      <c r="K537" s="5"/>
    </row>
    <row r="538" ht="13.85" spans="1:11">
      <c r="A538" s="156">
        <v>45646</v>
      </c>
      <c r="B538" s="150">
        <f>'[1]Fliggy Store Daily Key Data'!B2205</f>
        <v>11837</v>
      </c>
      <c r="C538" s="150">
        <f>'[1]Fliggy Store Daily Key Data'!C2205</f>
        <v>3178</v>
      </c>
      <c r="D538" s="150">
        <f>'[1]Fliggy Store Daily Key Data'!G2205</f>
        <v>1538</v>
      </c>
      <c r="E538" s="150">
        <v>16</v>
      </c>
      <c r="F538" s="150">
        <f>'[1]Fliggy Store Daily Key Data'!K2205</f>
        <v>70322</v>
      </c>
      <c r="G538" s="150">
        <v>91</v>
      </c>
      <c r="H538" s="155">
        <f t="shared" si="16"/>
        <v>0.0659340659340659</v>
      </c>
      <c r="I538" s="73">
        <f>'[1]Fliggy Store Daily Key Data'!I2205</f>
        <v>6</v>
      </c>
      <c r="J538" s="18">
        <f t="shared" si="17"/>
        <v>0.00188797986154814</v>
      </c>
      <c r="K538" s="5"/>
    </row>
    <row r="539" ht="13.85" spans="1:11">
      <c r="A539" s="156">
        <v>45647</v>
      </c>
      <c r="B539" s="150">
        <f>'[1]Fliggy Store Daily Key Data'!B2206</f>
        <v>16347</v>
      </c>
      <c r="C539" s="150">
        <f>'[1]Fliggy Store Daily Key Data'!C2206</f>
        <v>5739</v>
      </c>
      <c r="D539" s="150">
        <f>'[1]Fliggy Store Daily Key Data'!G2206</f>
        <v>1834</v>
      </c>
      <c r="E539" s="150">
        <v>19</v>
      </c>
      <c r="F539" s="150">
        <f>'[1]Fliggy Store Daily Key Data'!K2206</f>
        <v>28815</v>
      </c>
      <c r="G539" s="150">
        <v>61</v>
      </c>
      <c r="H539" s="155">
        <f t="shared" si="16"/>
        <v>0.0491803278688525</v>
      </c>
      <c r="I539" s="73">
        <f>'[1]Fliggy Store Daily Key Data'!I2206</f>
        <v>3</v>
      </c>
      <c r="J539" s="18">
        <f t="shared" si="17"/>
        <v>0.000522739153162572</v>
      </c>
      <c r="K539" s="5"/>
    </row>
    <row r="540" ht="13.85" spans="1:11">
      <c r="A540" s="156">
        <v>45648</v>
      </c>
      <c r="B540" s="150">
        <f>'[1]Fliggy Store Daily Key Data'!B2207</f>
        <v>22952</v>
      </c>
      <c r="C540" s="150">
        <f>'[1]Fliggy Store Daily Key Data'!C2207</f>
        <v>10294</v>
      </c>
      <c r="D540" s="150">
        <f>'[1]Fliggy Store Daily Key Data'!G2207</f>
        <v>4055</v>
      </c>
      <c r="E540" s="150">
        <v>36</v>
      </c>
      <c r="F540" s="150">
        <f>'[1]Fliggy Store Daily Key Data'!K2207</f>
        <v>105038.98</v>
      </c>
      <c r="G540" s="150">
        <v>83</v>
      </c>
      <c r="H540" s="155">
        <f t="shared" si="16"/>
        <v>0.0843373493975904</v>
      </c>
      <c r="I540" s="73">
        <f>'[1]Fliggy Store Daily Key Data'!I2207</f>
        <v>7</v>
      </c>
      <c r="J540" s="18">
        <f t="shared" si="17"/>
        <v>0.000680007771517389</v>
      </c>
      <c r="K540" s="5"/>
    </row>
    <row r="541" ht="13.85" spans="1:11">
      <c r="A541" s="156">
        <v>45649</v>
      </c>
      <c r="B541" s="150">
        <f>'[1]Fliggy Store Daily Key Data'!B2208</f>
        <v>20470</v>
      </c>
      <c r="C541" s="150">
        <f>'[1]Fliggy Store Daily Key Data'!C2208</f>
        <v>8095</v>
      </c>
      <c r="D541" s="150">
        <f>'[1]Fliggy Store Daily Key Data'!G2208</f>
        <v>3741</v>
      </c>
      <c r="E541" s="150">
        <v>24</v>
      </c>
      <c r="F541" s="150">
        <f>'[1]Fliggy Store Daily Key Data'!K2208</f>
        <v>113608.98</v>
      </c>
      <c r="G541" s="150">
        <v>110</v>
      </c>
      <c r="H541" s="155">
        <f t="shared" si="16"/>
        <v>0.0818181818181818</v>
      </c>
      <c r="I541" s="73">
        <f>'[1]Fliggy Store Daily Key Data'!I2208</f>
        <v>9</v>
      </c>
      <c r="J541" s="18">
        <f t="shared" si="17"/>
        <v>0.00111179740580605</v>
      </c>
      <c r="K541" s="5"/>
    </row>
    <row r="542" ht="13.85" spans="1:11">
      <c r="A542" s="156">
        <v>45650</v>
      </c>
      <c r="B542" s="150">
        <f>'[1]Fliggy Store Daily Key Data'!B2209</f>
        <v>17999</v>
      </c>
      <c r="C542" s="150">
        <f>'[1]Fliggy Store Daily Key Data'!C2209</f>
        <v>6980</v>
      </c>
      <c r="D542" s="150">
        <f>'[1]Fliggy Store Daily Key Data'!G2209</f>
        <v>2642</v>
      </c>
      <c r="E542" s="150">
        <v>27</v>
      </c>
      <c r="F542" s="150">
        <f>'[1]Fliggy Store Daily Key Data'!K2209</f>
        <v>39836.4</v>
      </c>
      <c r="G542" s="150">
        <v>107</v>
      </c>
      <c r="H542" s="155">
        <f t="shared" si="16"/>
        <v>0.0280373831775701</v>
      </c>
      <c r="I542" s="73">
        <f>'[1]Fliggy Store Daily Key Data'!I2209</f>
        <v>3</v>
      </c>
      <c r="J542" s="18">
        <f t="shared" si="17"/>
        <v>0.000429799426934097</v>
      </c>
      <c r="K542" s="5"/>
    </row>
    <row r="543" ht="13.85" spans="1:11">
      <c r="A543" s="156">
        <v>45651</v>
      </c>
      <c r="B543" s="150">
        <f>'[1]Fliggy Store Daily Key Data'!B2210</f>
        <v>21154</v>
      </c>
      <c r="C543" s="150">
        <f>'[1]Fliggy Store Daily Key Data'!C2210</f>
        <v>7604</v>
      </c>
      <c r="D543" s="150">
        <f>'[1]Fliggy Store Daily Key Data'!G2210</f>
        <v>4436</v>
      </c>
      <c r="E543" s="150">
        <v>23</v>
      </c>
      <c r="F543" s="150">
        <f>'[1]Fliggy Store Daily Key Data'!K2210</f>
        <v>85624</v>
      </c>
      <c r="G543" s="150">
        <v>99</v>
      </c>
      <c r="H543" s="155">
        <f t="shared" si="16"/>
        <v>0.0707070707070707</v>
      </c>
      <c r="I543" s="73">
        <f>'[1]Fliggy Store Daily Key Data'!I2210</f>
        <v>7</v>
      </c>
      <c r="J543" s="18">
        <f t="shared" si="17"/>
        <v>0.000920568122041031</v>
      </c>
      <c r="K543" s="5"/>
    </row>
    <row r="544" ht="13.85" spans="1:11">
      <c r="A544" s="156">
        <v>45652</v>
      </c>
      <c r="B544" s="150">
        <f>'[1]Fliggy Store Daily Key Data'!B2211</f>
        <v>20098</v>
      </c>
      <c r="C544" s="150">
        <f>'[1]Fliggy Store Daily Key Data'!C2211</f>
        <v>7491</v>
      </c>
      <c r="D544" s="150">
        <f>'[1]Fliggy Store Daily Key Data'!G2211</f>
        <v>4596</v>
      </c>
      <c r="E544" s="150">
        <v>25</v>
      </c>
      <c r="F544" s="150">
        <f>'[1]Fliggy Store Daily Key Data'!K2211</f>
        <v>55600</v>
      </c>
      <c r="G544" s="150">
        <v>99</v>
      </c>
      <c r="H544" s="155">
        <f t="shared" si="16"/>
        <v>0.0404040404040404</v>
      </c>
      <c r="I544" s="73">
        <f>'[1]Fliggy Store Daily Key Data'!I2211</f>
        <v>4</v>
      </c>
      <c r="J544" s="18">
        <f t="shared" si="17"/>
        <v>0.000533974102256041</v>
      </c>
      <c r="K544" s="5"/>
    </row>
    <row r="545" ht="13.85" spans="1:11">
      <c r="A545" s="156">
        <v>45653</v>
      </c>
      <c r="B545" s="150">
        <f>'[1]Fliggy Store Daily Key Data'!B2212</f>
        <v>18490</v>
      </c>
      <c r="C545" s="150">
        <f>'[1]Fliggy Store Daily Key Data'!C2212</f>
        <v>7087</v>
      </c>
      <c r="D545" s="150">
        <f>'[1]Fliggy Store Daily Key Data'!G2212</f>
        <v>5042</v>
      </c>
      <c r="E545" s="150">
        <v>26</v>
      </c>
      <c r="F545" s="150">
        <f>'[1]Fliggy Store Daily Key Data'!K2212</f>
        <v>6000</v>
      </c>
      <c r="G545" s="150">
        <v>94</v>
      </c>
      <c r="H545" s="155">
        <f t="shared" si="16"/>
        <v>0.0212765957446809</v>
      </c>
      <c r="I545" s="73">
        <f>'[1]Fliggy Store Daily Key Data'!I2212</f>
        <v>2</v>
      </c>
      <c r="J545" s="18">
        <f t="shared" si="17"/>
        <v>0.00028220685762664</v>
      </c>
      <c r="K545" s="5"/>
    </row>
    <row r="546" ht="13.85" spans="1:11">
      <c r="A546" s="156">
        <v>45654</v>
      </c>
      <c r="B546" s="150">
        <f>'[1]Fliggy Store Daily Key Data'!B2213</f>
        <v>21083</v>
      </c>
      <c r="C546" s="150">
        <f>'[1]Fliggy Store Daily Key Data'!C2213</f>
        <v>8013</v>
      </c>
      <c r="D546" s="150">
        <f>'[1]Fliggy Store Daily Key Data'!G2213</f>
        <v>5068</v>
      </c>
      <c r="E546" s="150">
        <v>25</v>
      </c>
      <c r="F546" s="150">
        <f>'[1]Fliggy Store Daily Key Data'!K2213</f>
        <v>98187.08</v>
      </c>
      <c r="G546" s="150">
        <v>73</v>
      </c>
      <c r="H546" s="155">
        <f t="shared" si="16"/>
        <v>0.123287671232877</v>
      </c>
      <c r="I546" s="73">
        <f>'[1]Fliggy Store Daily Key Data'!I2213</f>
        <v>9</v>
      </c>
      <c r="J546" s="18">
        <f t="shared" si="17"/>
        <v>0.00112317484088356</v>
      </c>
      <c r="K546" s="5"/>
    </row>
    <row r="547" ht="13.85" spans="1:11">
      <c r="A547" s="156">
        <v>45655</v>
      </c>
      <c r="B547" s="150">
        <f>'[1]Fliggy Store Daily Key Data'!B2214</f>
        <v>20308</v>
      </c>
      <c r="C547" s="150">
        <f>'[1]Fliggy Store Daily Key Data'!C2214</f>
        <v>7890</v>
      </c>
      <c r="D547" s="150">
        <f>'[1]Fliggy Store Daily Key Data'!G2214</f>
        <v>5415</v>
      </c>
      <c r="E547" s="150">
        <v>24</v>
      </c>
      <c r="F547" s="150">
        <f>'[1]Fliggy Store Daily Key Data'!K2214</f>
        <v>73066</v>
      </c>
      <c r="G547" s="150">
        <v>105</v>
      </c>
      <c r="H547" s="155">
        <f t="shared" si="16"/>
        <v>0.0666666666666667</v>
      </c>
      <c r="I547" s="73">
        <f>'[1]Fliggy Store Daily Key Data'!I2214</f>
        <v>7</v>
      </c>
      <c r="J547" s="18">
        <f t="shared" si="17"/>
        <v>0.000887198986058302</v>
      </c>
      <c r="K547" s="5"/>
    </row>
    <row r="548" ht="13.85" spans="1:11">
      <c r="A548" s="156">
        <v>45656</v>
      </c>
      <c r="B548" s="150">
        <f>'[1]Fliggy Store Daily Key Data'!B2215</f>
        <v>17903</v>
      </c>
      <c r="C548" s="150">
        <f>'[1]Fliggy Store Daily Key Data'!C2215</f>
        <v>5870</v>
      </c>
      <c r="D548" s="150">
        <f>'[1]Fliggy Store Daily Key Data'!G2215</f>
        <v>4635</v>
      </c>
      <c r="E548" s="150">
        <v>24</v>
      </c>
      <c r="F548" s="150">
        <f>'[1]Fliggy Store Daily Key Data'!K2215</f>
        <v>149147</v>
      </c>
      <c r="G548" s="150">
        <v>128</v>
      </c>
      <c r="H548" s="155">
        <f t="shared" si="16"/>
        <v>0.1015625</v>
      </c>
      <c r="I548" s="73">
        <f>'[1]Fliggy Store Daily Key Data'!I2215</f>
        <v>13</v>
      </c>
      <c r="J548" s="18">
        <f t="shared" si="17"/>
        <v>0.00221465076660988</v>
      </c>
      <c r="K548" s="5"/>
    </row>
    <row r="549" ht="13.85" spans="1:11">
      <c r="A549" s="156">
        <v>45657</v>
      </c>
      <c r="B549" s="150">
        <f>'[1]Fliggy Store Daily Key Data'!B2216</f>
        <v>19539</v>
      </c>
      <c r="C549" s="150">
        <f>'[1]Fliggy Store Daily Key Data'!C2216</f>
        <v>7810</v>
      </c>
      <c r="D549" s="150">
        <f>'[1]Fliggy Store Daily Key Data'!G2216</f>
        <v>5732</v>
      </c>
      <c r="E549" s="150">
        <v>15</v>
      </c>
      <c r="F549" s="150">
        <f>'[1]Fliggy Store Daily Key Data'!K2216</f>
        <v>68236.98</v>
      </c>
      <c r="G549" s="150">
        <v>121</v>
      </c>
      <c r="H549" s="155">
        <f t="shared" si="16"/>
        <v>0.0495867768595041</v>
      </c>
      <c r="I549" s="73">
        <f>'[1]Fliggy Store Daily Key Data'!I2216</f>
        <v>6</v>
      </c>
      <c r="J549" s="18">
        <f t="shared" si="17"/>
        <v>0.000768245838668374</v>
      </c>
      <c r="K549" s="5"/>
    </row>
    <row r="550" ht="13.85" spans="1:11">
      <c r="A550" s="156">
        <v>45658</v>
      </c>
      <c r="B550" s="150">
        <f>'[1]Fliggy Store Daily Key Data'!B2217</f>
        <v>19896</v>
      </c>
      <c r="C550" s="150">
        <f>'[1]Fliggy Store Daily Key Data'!C2217</f>
        <v>8661</v>
      </c>
      <c r="D550" s="150">
        <f>'[1]Fliggy Store Daily Key Data'!G2217</f>
        <v>2620</v>
      </c>
      <c r="E550" s="150">
        <v>12</v>
      </c>
      <c r="F550" s="150">
        <f>'[1]Fliggy Store Daily Key Data'!K2217</f>
        <v>114504.04</v>
      </c>
      <c r="G550" s="150">
        <v>109</v>
      </c>
      <c r="H550" s="155">
        <f t="shared" si="16"/>
        <v>0.0917431192660551</v>
      </c>
      <c r="I550" s="73">
        <f>'[1]Fliggy Store Daily Key Data'!I2217</f>
        <v>10</v>
      </c>
      <c r="J550" s="18">
        <f t="shared" si="17"/>
        <v>0.00115460108532502</v>
      </c>
      <c r="K550" s="5"/>
    </row>
    <row r="551" ht="13.85" spans="1:11">
      <c r="A551" s="156">
        <v>45659</v>
      </c>
      <c r="B551" s="150">
        <f>'[1]Fliggy Store Daily Key Data'!B2218</f>
        <v>24534</v>
      </c>
      <c r="C551" s="150">
        <f>'[1]Fliggy Store Daily Key Data'!C2218</f>
        <v>8962</v>
      </c>
      <c r="D551" s="150">
        <f>'[1]Fliggy Store Daily Key Data'!G2218</f>
        <v>2957</v>
      </c>
      <c r="E551" s="150">
        <v>26</v>
      </c>
      <c r="F551" s="150">
        <f>'[1]Fliggy Store Daily Key Data'!K2218</f>
        <v>28541.64</v>
      </c>
      <c r="G551" s="150">
        <v>119</v>
      </c>
      <c r="H551" s="155">
        <f t="shared" si="16"/>
        <v>0.0252100840336134</v>
      </c>
      <c r="I551" s="73">
        <f>'[1]Fliggy Store Daily Key Data'!I2218</f>
        <v>3</v>
      </c>
      <c r="J551" s="18">
        <f t="shared" si="17"/>
        <v>0.000334746708324035</v>
      </c>
      <c r="K551" s="5"/>
    </row>
    <row r="552" ht="13.85" spans="1:11">
      <c r="A552" s="156">
        <v>45660</v>
      </c>
      <c r="B552" s="150">
        <f>'[1]Fliggy Store Daily Key Data'!B2219</f>
        <v>21936</v>
      </c>
      <c r="C552" s="150">
        <f>'[1]Fliggy Store Daily Key Data'!C2219</f>
        <v>9087</v>
      </c>
      <c r="D552" s="150">
        <f>'[1]Fliggy Store Daily Key Data'!G2219</f>
        <v>2594</v>
      </c>
      <c r="E552" s="150">
        <v>31</v>
      </c>
      <c r="F552" s="150">
        <f>'[1]Fliggy Store Daily Key Data'!K2219</f>
        <v>46364</v>
      </c>
      <c r="G552" s="150">
        <v>115</v>
      </c>
      <c r="H552" s="155">
        <f t="shared" si="16"/>
        <v>0.0434782608695652</v>
      </c>
      <c r="I552" s="73">
        <f>'[1]Fliggy Store Daily Key Data'!I2219</f>
        <v>5</v>
      </c>
      <c r="J552" s="18">
        <f t="shared" si="17"/>
        <v>0.000550236601738748</v>
      </c>
      <c r="K552" s="5"/>
    </row>
    <row r="553" ht="13.85" spans="1:11">
      <c r="A553" s="156">
        <v>45661</v>
      </c>
      <c r="B553" s="150">
        <f>'[1]Fliggy Store Daily Key Data'!B2220</f>
        <v>18464</v>
      </c>
      <c r="C553" s="150">
        <f>'[1]Fliggy Store Daily Key Data'!C2220</f>
        <v>7009</v>
      </c>
      <c r="D553" s="150">
        <f>'[1]Fliggy Store Daily Key Data'!G2220</f>
        <v>2332</v>
      </c>
      <c r="E553" s="150">
        <v>34</v>
      </c>
      <c r="F553" s="150">
        <f>'[1]Fliggy Store Daily Key Data'!K2220</f>
        <v>0</v>
      </c>
      <c r="G553" s="150">
        <v>100</v>
      </c>
      <c r="H553" s="155">
        <f t="shared" si="16"/>
        <v>0</v>
      </c>
      <c r="I553" s="73">
        <f>'[1]Fliggy Store Daily Key Data'!I2220</f>
        <v>0</v>
      </c>
      <c r="J553" s="18">
        <f t="shared" si="17"/>
        <v>0</v>
      </c>
      <c r="K553" s="5"/>
    </row>
    <row r="554" ht="13.85" spans="1:11">
      <c r="A554" s="156">
        <v>45662</v>
      </c>
      <c r="B554" s="150">
        <f>'[1]Fliggy Store Daily Key Data'!B2221</f>
        <v>18399</v>
      </c>
      <c r="C554" s="150">
        <f>'[1]Fliggy Store Daily Key Data'!C2221</f>
        <v>6006</v>
      </c>
      <c r="D554" s="150">
        <f>'[1]Fliggy Store Daily Key Data'!G2221</f>
        <v>2051</v>
      </c>
      <c r="E554" s="150">
        <v>27</v>
      </c>
      <c r="F554" s="150">
        <f>'[1]Fliggy Store Daily Key Data'!K2221</f>
        <v>97135.6</v>
      </c>
      <c r="G554" s="150">
        <v>123</v>
      </c>
      <c r="H554" s="155">
        <f t="shared" si="16"/>
        <v>0.0731707317073171</v>
      </c>
      <c r="I554" s="73">
        <f>'[1]Fliggy Store Daily Key Data'!I2221</f>
        <v>9</v>
      </c>
      <c r="J554" s="18">
        <f t="shared" si="17"/>
        <v>0.0014985014985015</v>
      </c>
      <c r="K554" s="5"/>
    </row>
    <row r="555" ht="13.85" spans="1:11">
      <c r="A555" s="156">
        <v>45663</v>
      </c>
      <c r="B555" s="150">
        <f>'[1]Fliggy Store Daily Key Data'!B2222</f>
        <v>15240</v>
      </c>
      <c r="C555" s="150">
        <f>'[1]Fliggy Store Daily Key Data'!C2222</f>
        <v>5409</v>
      </c>
      <c r="D555" s="150">
        <f>'[1]Fliggy Store Daily Key Data'!G2222</f>
        <v>2058</v>
      </c>
      <c r="E555" s="150">
        <v>34</v>
      </c>
      <c r="F555" s="150">
        <f>'[1]Fliggy Store Daily Key Data'!K2222</f>
        <v>26266</v>
      </c>
      <c r="G555" s="150">
        <v>106</v>
      </c>
      <c r="H555" s="155">
        <f t="shared" si="16"/>
        <v>0.0188679245283019</v>
      </c>
      <c r="I555" s="73">
        <f>'[1]Fliggy Store Daily Key Data'!I2222</f>
        <v>2</v>
      </c>
      <c r="J555" s="18">
        <f t="shared" si="17"/>
        <v>0.000369754113514513</v>
      </c>
      <c r="K555" s="5"/>
    </row>
    <row r="556" ht="13.85" spans="1:11">
      <c r="A556" s="156">
        <v>45664</v>
      </c>
      <c r="B556" s="150">
        <f>'[1]Fliggy Store Daily Key Data'!B2223</f>
        <v>17879</v>
      </c>
      <c r="C556" s="150">
        <f>'[1]Fliggy Store Daily Key Data'!C2223</f>
        <v>6258</v>
      </c>
      <c r="D556" s="150">
        <f>'[1]Fliggy Store Daily Key Data'!G2223</f>
        <v>2200</v>
      </c>
      <c r="E556" s="150">
        <v>24</v>
      </c>
      <c r="F556" s="150">
        <f>'[1]Fliggy Store Daily Key Data'!K2223</f>
        <v>42801.08</v>
      </c>
      <c r="G556" s="150">
        <v>122</v>
      </c>
      <c r="H556" s="155">
        <f t="shared" si="16"/>
        <v>0.0491803278688525</v>
      </c>
      <c r="I556" s="73">
        <f>'[1]Fliggy Store Daily Key Data'!I2223</f>
        <v>6</v>
      </c>
      <c r="J556" s="18">
        <f t="shared" si="17"/>
        <v>0.000958772770853308</v>
      </c>
      <c r="K556" s="5"/>
    </row>
    <row r="557" ht="13.85" spans="1:11">
      <c r="A557" s="156">
        <v>45665</v>
      </c>
      <c r="B557" s="150">
        <f>'[1]Fliggy Store Daily Key Data'!B2224</f>
        <v>16679</v>
      </c>
      <c r="C557" s="150">
        <f>'[1]Fliggy Store Daily Key Data'!C2224</f>
        <v>5791</v>
      </c>
      <c r="D557" s="150">
        <f>'[1]Fliggy Store Daily Key Data'!G2224</f>
        <v>2324</v>
      </c>
      <c r="E557" s="150">
        <v>31</v>
      </c>
      <c r="F557" s="150">
        <f>'[1]Fliggy Store Daily Key Data'!K2224</f>
        <v>42801.08</v>
      </c>
      <c r="G557" s="150">
        <v>84</v>
      </c>
      <c r="H557" s="155">
        <f t="shared" si="16"/>
        <v>0.0714285714285714</v>
      </c>
      <c r="I557" s="73">
        <f>'[1]Fliggy Store Daily Key Data'!I2224</f>
        <v>6</v>
      </c>
      <c r="J557" s="18">
        <f t="shared" si="17"/>
        <v>0.00103609048523571</v>
      </c>
      <c r="K557" s="5"/>
    </row>
    <row r="558" ht="13.85" spans="1:11">
      <c r="A558" s="156">
        <v>45666</v>
      </c>
      <c r="B558" s="150">
        <f>'[1]Fliggy Store Daily Key Data'!B2225</f>
        <v>15388</v>
      </c>
      <c r="C558" s="150">
        <f>'[1]Fliggy Store Daily Key Data'!C2225</f>
        <v>5105</v>
      </c>
      <c r="D558" s="150">
        <f>'[1]Fliggy Store Daily Key Data'!G2225</f>
        <v>1914</v>
      </c>
      <c r="E558" s="150">
        <v>26</v>
      </c>
      <c r="F558" s="150">
        <f>'[1]Fliggy Store Daily Key Data'!K2225</f>
        <v>60915</v>
      </c>
      <c r="G558" s="150">
        <v>106</v>
      </c>
      <c r="H558" s="155">
        <f t="shared" si="16"/>
        <v>0.0471698113207547</v>
      </c>
      <c r="I558" s="73">
        <f>'[1]Fliggy Store Daily Key Data'!I2225</f>
        <v>5</v>
      </c>
      <c r="J558" s="18">
        <f t="shared" si="17"/>
        <v>0.000979431929480901</v>
      </c>
      <c r="K558" s="5"/>
    </row>
    <row r="559" ht="13.85" spans="1:11">
      <c r="A559" s="156">
        <v>45667</v>
      </c>
      <c r="B559" s="150">
        <f>'[1]Fliggy Store Daily Key Data'!B2226</f>
        <v>16405</v>
      </c>
      <c r="C559" s="150">
        <f>'[1]Fliggy Store Daily Key Data'!C2226</f>
        <v>6490</v>
      </c>
      <c r="D559" s="150">
        <f>'[1]Fliggy Store Daily Key Data'!G2226</f>
        <v>2194</v>
      </c>
      <c r="E559" s="150">
        <v>20</v>
      </c>
      <c r="F559" s="150">
        <f>'[1]Fliggy Store Daily Key Data'!K2226</f>
        <v>57549</v>
      </c>
      <c r="G559" s="150">
        <v>90</v>
      </c>
      <c r="H559" s="155">
        <f t="shared" si="16"/>
        <v>0.0777777777777778</v>
      </c>
      <c r="I559" s="73">
        <f>'[1]Fliggy Store Daily Key Data'!I2226</f>
        <v>7</v>
      </c>
      <c r="J559" s="18">
        <f t="shared" si="17"/>
        <v>0.00107858243451464</v>
      </c>
      <c r="K559" s="5"/>
    </row>
    <row r="560" ht="13.85" spans="1:11">
      <c r="A560" s="156">
        <v>45668</v>
      </c>
      <c r="B560" s="150">
        <f>'[1]Fliggy Store Daily Key Data'!B2227</f>
        <v>24332</v>
      </c>
      <c r="C560" s="150">
        <f>'[1]Fliggy Store Daily Key Data'!C2227</f>
        <v>10132</v>
      </c>
      <c r="D560" s="150">
        <f>'[1]Fliggy Store Daily Key Data'!G2227</f>
        <v>3912</v>
      </c>
      <c r="E560" s="150">
        <v>29</v>
      </c>
      <c r="F560" s="150">
        <f>'[1]Fliggy Store Daily Key Data'!K2227</f>
        <v>93323.72</v>
      </c>
      <c r="G560" s="150">
        <v>95</v>
      </c>
      <c r="H560" s="155">
        <f t="shared" si="16"/>
        <v>0.0842105263157895</v>
      </c>
      <c r="I560" s="73">
        <f>'[1]Fliggy Store Daily Key Data'!I2227</f>
        <v>8</v>
      </c>
      <c r="J560" s="18">
        <f t="shared" si="17"/>
        <v>0.000789577575996842</v>
      </c>
      <c r="K560" s="5"/>
    </row>
    <row r="561" ht="13.85" spans="1:11">
      <c r="A561" s="156">
        <v>45669</v>
      </c>
      <c r="B561" s="150">
        <f>'[1]Fliggy Store Daily Key Data'!B2228</f>
        <v>21764</v>
      </c>
      <c r="C561" s="150">
        <f>'[1]Fliggy Store Daily Key Data'!C2228</f>
        <v>8455</v>
      </c>
      <c r="D561" s="150">
        <f>'[1]Fliggy Store Daily Key Data'!G2228</f>
        <v>3369</v>
      </c>
      <c r="E561" s="150">
        <v>29</v>
      </c>
      <c r="F561" s="150">
        <f>'[1]Fliggy Store Daily Key Data'!K2228</f>
        <v>39897.8</v>
      </c>
      <c r="G561" s="150">
        <v>110</v>
      </c>
      <c r="H561" s="155">
        <f t="shared" si="16"/>
        <v>0.0454545454545455</v>
      </c>
      <c r="I561" s="73">
        <f>'[1]Fliggy Store Daily Key Data'!I2228</f>
        <v>5</v>
      </c>
      <c r="J561" s="18">
        <f t="shared" si="17"/>
        <v>0.000591366055588409</v>
      </c>
      <c r="K561" s="5"/>
    </row>
    <row r="562" ht="13.85" spans="1:11">
      <c r="A562" s="156">
        <v>45670</v>
      </c>
      <c r="B562" s="150">
        <f>'[1]Fliggy Store Daily Key Data'!B2229</f>
        <v>42025</v>
      </c>
      <c r="C562" s="150">
        <f>'[1]Fliggy Store Daily Key Data'!C2229</f>
        <v>13694</v>
      </c>
      <c r="D562" s="150">
        <f>'[1]Fliggy Store Daily Key Data'!G2229</f>
        <v>4056</v>
      </c>
      <c r="E562" s="150">
        <v>41</v>
      </c>
      <c r="F562" s="150">
        <f>'[1]Fliggy Store Daily Key Data'!K2229</f>
        <v>291329</v>
      </c>
      <c r="G562" s="150">
        <v>155</v>
      </c>
      <c r="H562" s="155">
        <f t="shared" si="16"/>
        <v>0.174193548387097</v>
      </c>
      <c r="I562" s="73">
        <f>'[1]Fliggy Store Daily Key Data'!I2229</f>
        <v>27</v>
      </c>
      <c r="J562" s="18">
        <f t="shared" si="17"/>
        <v>0.00197166642325106</v>
      </c>
      <c r="K562" s="5"/>
    </row>
    <row r="563" ht="13.85" spans="1:11">
      <c r="A563" s="156">
        <v>45671</v>
      </c>
      <c r="B563" s="150">
        <f>'[1]Fliggy Store Daily Key Data'!B2230</f>
        <v>31595</v>
      </c>
      <c r="C563" s="150">
        <f>'[1]Fliggy Store Daily Key Data'!C2230</f>
        <v>11279</v>
      </c>
      <c r="D563" s="150">
        <f>'[1]Fliggy Store Daily Key Data'!G2230</f>
        <v>4141</v>
      </c>
      <c r="E563" s="150">
        <v>24</v>
      </c>
      <c r="F563" s="150">
        <f>'[1]Fliggy Store Daily Key Data'!K2230</f>
        <v>170949.32</v>
      </c>
      <c r="G563" s="150">
        <v>170</v>
      </c>
      <c r="H563" s="155">
        <f t="shared" si="16"/>
        <v>0.1</v>
      </c>
      <c r="I563" s="73">
        <f>'[1]Fliggy Store Daily Key Data'!I2230</f>
        <v>17</v>
      </c>
      <c r="J563" s="18">
        <f t="shared" si="17"/>
        <v>0.00150722581789166</v>
      </c>
      <c r="K563" s="5"/>
    </row>
    <row r="564" ht="13.85" spans="1:11">
      <c r="A564" s="156">
        <v>45672</v>
      </c>
      <c r="B564" s="150">
        <f>'[1]Fliggy Store Daily Key Data'!B2231</f>
        <v>26598</v>
      </c>
      <c r="C564" s="150">
        <f>'[1]Fliggy Store Daily Key Data'!C2231</f>
        <v>9667</v>
      </c>
      <c r="D564" s="150">
        <f>'[1]Fliggy Store Daily Key Data'!G2231</f>
        <v>4112</v>
      </c>
      <c r="E564" s="150">
        <v>43</v>
      </c>
      <c r="F564" s="150">
        <f>'[1]Fliggy Store Daily Key Data'!K2231</f>
        <v>208923</v>
      </c>
      <c r="G564" s="150">
        <v>164</v>
      </c>
      <c r="H564" s="155">
        <f t="shared" si="16"/>
        <v>0.109756097560976</v>
      </c>
      <c r="I564" s="73">
        <f>'[1]Fliggy Store Daily Key Data'!I2231</f>
        <v>18</v>
      </c>
      <c r="J564" s="18">
        <f t="shared" si="17"/>
        <v>0.00186200475845661</v>
      </c>
      <c r="K564" s="5"/>
    </row>
    <row r="565" ht="13.85" spans="1:11">
      <c r="A565" s="156">
        <v>45673</v>
      </c>
      <c r="B565" s="150">
        <f>'[1]Fliggy Store Daily Key Data'!B2232</f>
        <v>20425</v>
      </c>
      <c r="C565" s="150">
        <f>'[1]Fliggy Store Daily Key Data'!C2232</f>
        <v>6264</v>
      </c>
      <c r="D565" s="150">
        <f>'[1]Fliggy Store Daily Key Data'!G2232</f>
        <v>4939</v>
      </c>
      <c r="E565" s="150">
        <v>28</v>
      </c>
      <c r="F565" s="150">
        <f>'[1]Fliggy Store Daily Key Data'!K2232</f>
        <v>87419.32</v>
      </c>
      <c r="G565" s="150">
        <v>83</v>
      </c>
      <c r="H565" s="155">
        <f t="shared" si="16"/>
        <v>0.120481927710843</v>
      </c>
      <c r="I565" s="73">
        <f>'[1]Fliggy Store Daily Key Data'!I2232</f>
        <v>10</v>
      </c>
      <c r="J565" s="18">
        <f t="shared" si="17"/>
        <v>0.00159642401021711</v>
      </c>
      <c r="K565" s="5"/>
    </row>
    <row r="566" ht="13.85" spans="1:11">
      <c r="A566" s="156">
        <v>45674</v>
      </c>
      <c r="B566" s="150">
        <f>'[1]Fliggy Store Daily Key Data'!B2233</f>
        <v>24714</v>
      </c>
      <c r="C566" s="150">
        <f>'[1]Fliggy Store Daily Key Data'!C2233</f>
        <v>7324</v>
      </c>
      <c r="D566" s="150">
        <f>'[1]Fliggy Store Daily Key Data'!G2233</f>
        <v>5265</v>
      </c>
      <c r="E566" s="150">
        <v>31</v>
      </c>
      <c r="F566" s="150">
        <f>'[1]Fliggy Store Daily Key Data'!K2233</f>
        <v>109814</v>
      </c>
      <c r="G566" s="150">
        <v>87</v>
      </c>
      <c r="H566" s="155">
        <f t="shared" si="16"/>
        <v>0.126436781609195</v>
      </c>
      <c r="I566" s="73">
        <f>'[1]Fliggy Store Daily Key Data'!I2233</f>
        <v>11</v>
      </c>
      <c r="J566" s="18">
        <f t="shared" si="17"/>
        <v>0.00150191152375751</v>
      </c>
      <c r="K566" s="5"/>
    </row>
    <row r="567" ht="13.85" spans="1:11">
      <c r="A567" s="156">
        <v>45675</v>
      </c>
      <c r="B567" s="150">
        <f>'[1]Fliggy Store Daily Key Data'!B2234</f>
        <v>22663</v>
      </c>
      <c r="C567" s="150">
        <f>'[1]Fliggy Store Daily Key Data'!C2234</f>
        <v>8186</v>
      </c>
      <c r="D567" s="150">
        <f>'[1]Fliggy Store Daily Key Data'!G2234</f>
        <v>5210</v>
      </c>
      <c r="E567" s="150">
        <v>43</v>
      </c>
      <c r="F567" s="150">
        <f>'[1]Fliggy Store Daily Key Data'!K2234</f>
        <v>52948.22</v>
      </c>
      <c r="G567" s="150">
        <v>87</v>
      </c>
      <c r="H567" s="155">
        <f t="shared" si="16"/>
        <v>0.0689655172413793</v>
      </c>
      <c r="I567" s="73">
        <f>'[1]Fliggy Store Daily Key Data'!I2234</f>
        <v>6</v>
      </c>
      <c r="J567" s="18">
        <f t="shared" si="17"/>
        <v>0.00073295870999267</v>
      </c>
      <c r="K567" s="5"/>
    </row>
    <row r="568" ht="13.85" spans="1:11">
      <c r="A568" s="156">
        <v>45676</v>
      </c>
      <c r="B568" s="150">
        <f>'[1]Fliggy Store Daily Key Data'!B2235</f>
        <v>30872</v>
      </c>
      <c r="C568" s="150">
        <f>'[1]Fliggy Store Daily Key Data'!C2235</f>
        <v>11695</v>
      </c>
      <c r="D568" s="150">
        <f>'[1]Fliggy Store Daily Key Data'!G2235</f>
        <v>5088</v>
      </c>
      <c r="E568" s="150">
        <v>35</v>
      </c>
      <c r="F568" s="150">
        <f>'[1]Fliggy Store Daily Key Data'!K2235</f>
        <v>50893.6</v>
      </c>
      <c r="G568" s="150">
        <v>73</v>
      </c>
      <c r="H568" s="155">
        <f t="shared" si="16"/>
        <v>0.0958904109589041</v>
      </c>
      <c r="I568" s="73">
        <f>'[1]Fliggy Store Daily Key Data'!I2235</f>
        <v>7</v>
      </c>
      <c r="J568" s="18">
        <f t="shared" si="17"/>
        <v>0.000598546387345019</v>
      </c>
      <c r="K568" s="5"/>
    </row>
    <row r="569" ht="13.85" spans="1:11">
      <c r="A569" s="156">
        <v>45677</v>
      </c>
      <c r="B569" s="150">
        <f>'[1]Fliggy Store Daily Key Data'!B2236</f>
        <v>25994</v>
      </c>
      <c r="C569" s="150">
        <f>'[1]Fliggy Store Daily Key Data'!C2236</f>
        <v>8220</v>
      </c>
      <c r="D569" s="150">
        <f>'[1]Fliggy Store Daily Key Data'!G2236</f>
        <v>7002</v>
      </c>
      <c r="E569" s="150">
        <v>30</v>
      </c>
      <c r="F569" s="150">
        <f>'[1]Fliggy Store Daily Key Data'!K2236</f>
        <v>87635</v>
      </c>
      <c r="G569" s="150">
        <v>125</v>
      </c>
      <c r="H569" s="155">
        <f t="shared" si="16"/>
        <v>0.08</v>
      </c>
      <c r="I569" s="73">
        <f>'[1]Fliggy Store Daily Key Data'!I2236</f>
        <v>10</v>
      </c>
      <c r="J569" s="18">
        <f t="shared" si="17"/>
        <v>0.00121654501216545</v>
      </c>
      <c r="K569" s="5"/>
    </row>
    <row r="570" ht="13.85" spans="1:11">
      <c r="A570" s="156">
        <v>45678</v>
      </c>
      <c r="B570" s="150">
        <f>'[1]Fliggy Store Daily Key Data'!B2237</f>
        <v>26222</v>
      </c>
      <c r="C570" s="150">
        <f>'[1]Fliggy Store Daily Key Data'!C2237</f>
        <v>7311</v>
      </c>
      <c r="D570" s="150">
        <f>'[1]Fliggy Store Daily Key Data'!G2237</f>
        <v>6923</v>
      </c>
      <c r="E570" s="150">
        <v>32</v>
      </c>
      <c r="F570" s="150">
        <f>'[1]Fliggy Store Daily Key Data'!K2237</f>
        <v>78328</v>
      </c>
      <c r="G570" s="150">
        <v>129</v>
      </c>
      <c r="H570" s="155">
        <f t="shared" si="16"/>
        <v>0.0697674418604651</v>
      </c>
      <c r="I570" s="73">
        <f>'[1]Fliggy Store Daily Key Data'!I2237</f>
        <v>9</v>
      </c>
      <c r="J570" s="18">
        <f t="shared" si="17"/>
        <v>0.00123102174805088</v>
      </c>
      <c r="K570" s="5"/>
    </row>
    <row r="571" ht="13.85" spans="1:11">
      <c r="A571" s="156">
        <v>45679</v>
      </c>
      <c r="B571" s="150">
        <f>'[1]Fliggy Store Daily Key Data'!B2238</f>
        <v>25659</v>
      </c>
      <c r="C571" s="150">
        <f>'[1]Fliggy Store Daily Key Data'!C2238</f>
        <v>6951</v>
      </c>
      <c r="D571" s="150">
        <f>'[1]Fliggy Store Daily Key Data'!G2238</f>
        <v>7137</v>
      </c>
      <c r="E571" s="150">
        <v>26</v>
      </c>
      <c r="F571" s="150">
        <f>'[1]Fliggy Store Daily Key Data'!K2238</f>
        <v>66442</v>
      </c>
      <c r="G571" s="150">
        <v>102</v>
      </c>
      <c r="H571" s="155">
        <f t="shared" si="16"/>
        <v>0.0686274509803922</v>
      </c>
      <c r="I571" s="73">
        <f>'[1]Fliggy Store Daily Key Data'!I2238</f>
        <v>7</v>
      </c>
      <c r="J571" s="18">
        <f t="shared" si="17"/>
        <v>0.00100704934541793</v>
      </c>
      <c r="K571" s="5"/>
    </row>
    <row r="572" ht="13.85" spans="1:11">
      <c r="A572" s="156">
        <v>45680</v>
      </c>
      <c r="B572" s="150">
        <f>'[1]Fliggy Store Daily Key Data'!B2239</f>
        <v>21304</v>
      </c>
      <c r="C572" s="150">
        <f>'[1]Fliggy Store Daily Key Data'!C2239</f>
        <v>6192</v>
      </c>
      <c r="D572" s="150">
        <f>'[1]Fliggy Store Daily Key Data'!G2239</f>
        <v>6693</v>
      </c>
      <c r="E572" s="150">
        <v>24</v>
      </c>
      <c r="F572" s="150">
        <f>'[1]Fliggy Store Daily Key Data'!K2239</f>
        <v>49464</v>
      </c>
      <c r="G572" s="150">
        <v>101</v>
      </c>
      <c r="H572" s="155">
        <f t="shared" si="16"/>
        <v>0.0495049504950495</v>
      </c>
      <c r="I572" s="73">
        <f>'[1]Fliggy Store Daily Key Data'!I2239</f>
        <v>5</v>
      </c>
      <c r="J572" s="18">
        <f t="shared" si="17"/>
        <v>0.00080749354005168</v>
      </c>
      <c r="K572" s="5"/>
    </row>
    <row r="573" ht="13.85" spans="1:11">
      <c r="A573" s="156">
        <v>45681</v>
      </c>
      <c r="B573" s="150">
        <f>'[1]Fliggy Store Daily Key Data'!B2240</f>
        <v>24660</v>
      </c>
      <c r="C573" s="150">
        <f>'[1]Fliggy Store Daily Key Data'!C2240</f>
        <v>7278</v>
      </c>
      <c r="D573" s="150">
        <f>'[1]Fliggy Store Daily Key Data'!G2240</f>
        <v>5704</v>
      </c>
      <c r="E573" s="150">
        <v>59</v>
      </c>
      <c r="F573" s="150">
        <f>'[1]Fliggy Store Daily Key Data'!K2240</f>
        <v>45724.64</v>
      </c>
      <c r="G573" s="150">
        <v>133</v>
      </c>
      <c r="H573" s="155">
        <f t="shared" si="16"/>
        <v>0.037593984962406</v>
      </c>
      <c r="I573" s="73">
        <f>'[1]Fliggy Store Daily Key Data'!I2240</f>
        <v>5</v>
      </c>
      <c r="J573" s="18">
        <f t="shared" si="17"/>
        <v>0.000687001923605386</v>
      </c>
      <c r="K573" s="5"/>
    </row>
    <row r="574" ht="13.85" spans="1:11">
      <c r="A574" s="156">
        <v>45682</v>
      </c>
      <c r="B574" s="150">
        <f>'[1]Fliggy Store Daily Key Data'!B2241</f>
        <v>29842</v>
      </c>
      <c r="C574" s="150">
        <f>'[1]Fliggy Store Daily Key Data'!C2241</f>
        <v>8723</v>
      </c>
      <c r="D574" s="150">
        <f>'[1]Fliggy Store Daily Key Data'!G2241</f>
        <v>5464</v>
      </c>
      <c r="E574" s="150">
        <v>81</v>
      </c>
      <c r="F574" s="150">
        <f>'[1]Fliggy Store Daily Key Data'!K2241</f>
        <v>54456</v>
      </c>
      <c r="G574" s="150">
        <v>129</v>
      </c>
      <c r="H574" s="155">
        <f t="shared" si="16"/>
        <v>0.0465116279069767</v>
      </c>
      <c r="I574" s="73">
        <f>'[1]Fliggy Store Daily Key Data'!I2241</f>
        <v>6</v>
      </c>
      <c r="J574" s="18">
        <f t="shared" si="17"/>
        <v>0.000687836753410524</v>
      </c>
      <c r="K574" s="5"/>
    </row>
    <row r="575" ht="13.85" spans="1:11">
      <c r="A575" s="156">
        <v>45683</v>
      </c>
      <c r="B575" s="150">
        <f>'[1]Fliggy Store Daily Key Data'!B2242</f>
        <v>26844</v>
      </c>
      <c r="C575" s="150">
        <f>'[1]Fliggy Store Daily Key Data'!C2242</f>
        <v>8612</v>
      </c>
      <c r="D575" s="150">
        <f>'[1]Fliggy Store Daily Key Data'!G2242</f>
        <v>5806</v>
      </c>
      <c r="E575" s="150">
        <v>68</v>
      </c>
      <c r="F575" s="150">
        <f>'[1]Fliggy Store Daily Key Data'!K2242</f>
        <v>127743.04</v>
      </c>
      <c r="G575" s="150">
        <v>139</v>
      </c>
      <c r="H575" s="155">
        <f t="shared" si="16"/>
        <v>0.079136690647482</v>
      </c>
      <c r="I575" s="73">
        <f>'[1]Fliggy Store Daily Key Data'!I2242</f>
        <v>11</v>
      </c>
      <c r="J575" s="18">
        <f t="shared" si="17"/>
        <v>0.00127728750580585</v>
      </c>
      <c r="K575" s="5"/>
    </row>
    <row r="576" ht="13.85" spans="1:11">
      <c r="A576" s="156">
        <v>45684</v>
      </c>
      <c r="B576" s="150">
        <f>'[1]Fliggy Store Daily Key Data'!B2243</f>
        <v>28494</v>
      </c>
      <c r="C576" s="150">
        <f>'[1]Fliggy Store Daily Key Data'!C2243</f>
        <v>11431</v>
      </c>
      <c r="D576" s="150">
        <f>'[1]Fliggy Store Daily Key Data'!G2243</f>
        <v>5896</v>
      </c>
      <c r="E576" s="150">
        <v>55</v>
      </c>
      <c r="F576" s="150">
        <f>'[1]Fliggy Store Daily Key Data'!K2243</f>
        <v>78056.8</v>
      </c>
      <c r="G576" s="150">
        <v>90</v>
      </c>
      <c r="H576" s="155">
        <f t="shared" si="16"/>
        <v>0.1</v>
      </c>
      <c r="I576" s="73">
        <f>'[1]Fliggy Store Daily Key Data'!I2243</f>
        <v>9</v>
      </c>
      <c r="J576" s="18">
        <f t="shared" si="17"/>
        <v>0.000787332691802992</v>
      </c>
      <c r="K576" s="5"/>
    </row>
    <row r="577" ht="13.85" spans="1:11">
      <c r="A577" s="156">
        <v>45685</v>
      </c>
      <c r="B577" s="150">
        <f>'[1]Fliggy Store Daily Key Data'!B2244</f>
        <v>22086</v>
      </c>
      <c r="C577" s="150">
        <f>'[1]Fliggy Store Daily Key Data'!C2244</f>
        <v>7656</v>
      </c>
      <c r="D577" s="150">
        <f>'[1]Fliggy Store Daily Key Data'!G2244</f>
        <v>6565</v>
      </c>
      <c r="E577" s="150">
        <v>30</v>
      </c>
      <c r="F577" s="150">
        <f>'[1]Fliggy Store Daily Key Data'!K2244</f>
        <v>22251</v>
      </c>
      <c r="G577" s="150">
        <v>43</v>
      </c>
      <c r="H577" s="155">
        <f t="shared" si="16"/>
        <v>0.0465116279069767</v>
      </c>
      <c r="I577" s="73">
        <f>'[1]Fliggy Store Daily Key Data'!I2244</f>
        <v>2</v>
      </c>
      <c r="J577" s="18">
        <f t="shared" si="17"/>
        <v>0.00026123301985371</v>
      </c>
      <c r="K577" s="5"/>
    </row>
    <row r="578" ht="13.85" spans="1:11">
      <c r="A578" s="156">
        <v>45686</v>
      </c>
      <c r="B578" s="150">
        <f>'[1]Fliggy Store Daily Key Data'!B2245</f>
        <v>26356</v>
      </c>
      <c r="C578" s="150">
        <f>'[1]Fliggy Store Daily Key Data'!C2245</f>
        <v>9457</v>
      </c>
      <c r="D578" s="150">
        <f>'[1]Fliggy Store Daily Key Data'!G2245</f>
        <v>8659</v>
      </c>
      <c r="E578" s="150">
        <v>29</v>
      </c>
      <c r="F578" s="150">
        <f>'[1]Fliggy Store Daily Key Data'!K2245</f>
        <v>27997</v>
      </c>
      <c r="G578" s="150">
        <v>33</v>
      </c>
      <c r="H578" s="155">
        <f t="shared" ref="H578:H641" si="18">I578/G578</f>
        <v>0.0909090909090909</v>
      </c>
      <c r="I578" s="73">
        <f>'[1]Fliggy Store Daily Key Data'!I2245</f>
        <v>3</v>
      </c>
      <c r="J578" s="18">
        <f t="shared" si="17"/>
        <v>0.000317225335730147</v>
      </c>
      <c r="K578" s="5"/>
    </row>
    <row r="579" ht="13.85" spans="1:11">
      <c r="A579" s="156">
        <v>45687</v>
      </c>
      <c r="B579" s="150">
        <f>'[1]Fliggy Store Daily Key Data'!B2246</f>
        <v>26836</v>
      </c>
      <c r="C579" s="150">
        <f>'[1]Fliggy Store Daily Key Data'!C2246</f>
        <v>9417</v>
      </c>
      <c r="D579" s="150">
        <f>'[1]Fliggy Store Daily Key Data'!G2246</f>
        <v>8063</v>
      </c>
      <c r="E579" s="150">
        <v>39</v>
      </c>
      <c r="F579" s="150">
        <f>'[1]Fliggy Store Daily Key Data'!K2246</f>
        <v>86645.1</v>
      </c>
      <c r="G579" s="150">
        <v>51</v>
      </c>
      <c r="H579" s="155">
        <f t="shared" si="18"/>
        <v>0.0784313725490196</v>
      </c>
      <c r="I579" s="73">
        <f>'[1]Fliggy Store Daily Key Data'!I2246</f>
        <v>4</v>
      </c>
      <c r="J579" s="18">
        <f t="shared" si="17"/>
        <v>0.00042476372517787</v>
      </c>
      <c r="K579" s="5"/>
    </row>
    <row r="580" ht="13.85" spans="1:11">
      <c r="A580" s="156">
        <v>45688</v>
      </c>
      <c r="B580" s="150">
        <f>'[1]Fliggy Store Daily Key Data'!B2247</f>
        <v>26446</v>
      </c>
      <c r="C580" s="150">
        <f>'[1]Fliggy Store Daily Key Data'!C2247</f>
        <v>8300</v>
      </c>
      <c r="D580" s="150">
        <f>'[1]Fliggy Store Daily Key Data'!G2247</f>
        <v>6795</v>
      </c>
      <c r="E580" s="150">
        <v>44</v>
      </c>
      <c r="F580" s="150">
        <f>'[1]Fliggy Store Daily Key Data'!K2247</f>
        <v>13700.4</v>
      </c>
      <c r="G580" s="150">
        <v>62</v>
      </c>
      <c r="H580" s="155">
        <f t="shared" si="18"/>
        <v>0.032258064516129</v>
      </c>
      <c r="I580" s="73">
        <f>'[1]Fliggy Store Daily Key Data'!I2247</f>
        <v>2</v>
      </c>
      <c r="J580" s="18">
        <f t="shared" si="17"/>
        <v>0.000240963855421687</v>
      </c>
      <c r="K580" s="5"/>
    </row>
    <row r="581" ht="13.85" spans="1:11">
      <c r="A581" s="156">
        <v>45689</v>
      </c>
      <c r="B581" s="150">
        <f>'[1]Fliggy Store Daily Key Data'!B2248</f>
        <v>28112</v>
      </c>
      <c r="C581" s="150">
        <f>'[1]Fliggy Store Daily Key Data'!C2248</f>
        <v>8963</v>
      </c>
      <c r="D581" s="150">
        <f>'[1]Fliggy Store Daily Key Data'!G2248</f>
        <v>6244</v>
      </c>
      <c r="E581" s="150">
        <v>46</v>
      </c>
      <c r="F581" s="150">
        <f>'[1]Fliggy Store Daily Key Data'!K2248</f>
        <v>80843</v>
      </c>
      <c r="G581" s="150">
        <v>66</v>
      </c>
      <c r="H581" s="155">
        <f t="shared" si="18"/>
        <v>0.0757575757575758</v>
      </c>
      <c r="I581" s="73">
        <f>'[1]Fliggy Store Daily Key Data'!I2248</f>
        <v>5</v>
      </c>
      <c r="J581" s="18">
        <f t="shared" si="17"/>
        <v>0.000557848934508535</v>
      </c>
      <c r="K581" s="5"/>
    </row>
    <row r="582" ht="13.85" spans="1:11">
      <c r="A582" s="156">
        <v>45690</v>
      </c>
      <c r="B582" s="150">
        <f>'[1]Fliggy Store Daily Key Data'!B2249</f>
        <v>30342</v>
      </c>
      <c r="C582" s="150">
        <f>'[1]Fliggy Store Daily Key Data'!C2249</f>
        <v>9309</v>
      </c>
      <c r="D582" s="150">
        <f>'[1]Fliggy Store Daily Key Data'!G2249</f>
        <v>7519</v>
      </c>
      <c r="E582" s="150">
        <v>60</v>
      </c>
      <c r="F582" s="150">
        <f>'[1]Fliggy Store Daily Key Data'!K2249</f>
        <v>78305</v>
      </c>
      <c r="G582" s="150">
        <v>62</v>
      </c>
      <c r="H582" s="155">
        <f t="shared" si="18"/>
        <v>0.0967741935483871</v>
      </c>
      <c r="I582" s="73">
        <f>'[1]Fliggy Store Daily Key Data'!I2249</f>
        <v>6</v>
      </c>
      <c r="J582" s="18">
        <f t="shared" si="17"/>
        <v>0.000644537544311956</v>
      </c>
      <c r="K582" s="5"/>
    </row>
    <row r="583" ht="13.85" spans="1:11">
      <c r="A583" s="156">
        <v>45691</v>
      </c>
      <c r="B583" s="150">
        <f>'[1]Fliggy Store Daily Key Data'!B2250</f>
        <v>45192</v>
      </c>
      <c r="C583" s="150">
        <f>'[1]Fliggy Store Daily Key Data'!C2250</f>
        <v>14311</v>
      </c>
      <c r="D583" s="150">
        <f>'[1]Fliggy Store Daily Key Data'!G2250</f>
        <v>6134</v>
      </c>
      <c r="E583" s="150">
        <v>29</v>
      </c>
      <c r="F583" s="150">
        <f>'[1]Fliggy Store Daily Key Data'!K2250</f>
        <v>11294</v>
      </c>
      <c r="G583" s="150">
        <v>59</v>
      </c>
      <c r="H583" s="155">
        <f t="shared" si="18"/>
        <v>0.0338983050847458</v>
      </c>
      <c r="I583" s="73">
        <f>'[1]Fliggy Store Daily Key Data'!I2250</f>
        <v>2</v>
      </c>
      <c r="J583" s="18">
        <f t="shared" si="17"/>
        <v>0.000139752637831039</v>
      </c>
      <c r="K583" s="5"/>
    </row>
    <row r="584" ht="13.85" spans="1:11">
      <c r="A584" s="156">
        <v>45692</v>
      </c>
      <c r="B584" s="150">
        <f>'[1]Fliggy Store Daily Key Data'!B2251</f>
        <v>28331</v>
      </c>
      <c r="C584" s="150">
        <f>'[1]Fliggy Store Daily Key Data'!C2251</f>
        <v>7930</v>
      </c>
      <c r="D584" s="150">
        <f>'[1]Fliggy Store Daily Key Data'!G2251</f>
        <v>5885</v>
      </c>
      <c r="E584" s="150">
        <v>39</v>
      </c>
      <c r="F584" s="150">
        <f>'[1]Fliggy Store Daily Key Data'!K2251</f>
        <v>138202</v>
      </c>
      <c r="G584" s="150">
        <v>60</v>
      </c>
      <c r="H584" s="155">
        <f t="shared" si="18"/>
        <v>0.133333333333333</v>
      </c>
      <c r="I584" s="73">
        <f>'[1]Fliggy Store Daily Key Data'!I2251</f>
        <v>8</v>
      </c>
      <c r="J584" s="18">
        <f t="shared" si="17"/>
        <v>0.00100882723833544</v>
      </c>
      <c r="K584" s="5"/>
    </row>
    <row r="585" ht="13.85" spans="1:11">
      <c r="A585" s="156">
        <v>45693</v>
      </c>
      <c r="B585" s="150">
        <f>'[1]Fliggy Store Daily Key Data'!B2252</f>
        <v>23617</v>
      </c>
      <c r="C585" s="150">
        <f>'[1]Fliggy Store Daily Key Data'!C2252</f>
        <v>6318</v>
      </c>
      <c r="D585" s="150">
        <f>'[1]Fliggy Store Daily Key Data'!G2252</f>
        <v>3697</v>
      </c>
      <c r="E585" s="150">
        <v>39</v>
      </c>
      <c r="F585" s="150">
        <f>'[1]Fliggy Store Daily Key Data'!K2252</f>
        <v>39463.6</v>
      </c>
      <c r="G585" s="150">
        <v>272</v>
      </c>
      <c r="H585" s="155">
        <f t="shared" si="18"/>
        <v>0.0147058823529412</v>
      </c>
      <c r="I585" s="73">
        <f>'[1]Fliggy Store Daily Key Data'!I2252</f>
        <v>4</v>
      </c>
      <c r="J585" s="18">
        <f t="shared" si="17"/>
        <v>0.000633111744222855</v>
      </c>
      <c r="K585" s="5"/>
    </row>
    <row r="586" ht="13.85" spans="1:11">
      <c r="A586" s="156">
        <v>45694</v>
      </c>
      <c r="B586" s="150">
        <f>'[1]Fliggy Store Daily Key Data'!B2253</f>
        <v>22852</v>
      </c>
      <c r="C586" s="150">
        <f>'[1]Fliggy Store Daily Key Data'!C2253</f>
        <v>6494</v>
      </c>
      <c r="D586" s="150">
        <f>'[1]Fliggy Store Daily Key Data'!G2253</f>
        <v>3079</v>
      </c>
      <c r="E586" s="150">
        <v>38</v>
      </c>
      <c r="F586" s="150">
        <f>'[1]Fliggy Store Daily Key Data'!K2253</f>
        <v>45889</v>
      </c>
      <c r="G586" s="150">
        <v>193</v>
      </c>
      <c r="H586" s="155">
        <f t="shared" si="18"/>
        <v>0.0207253886010363</v>
      </c>
      <c r="I586" s="73">
        <f>'[1]Fliggy Store Daily Key Data'!I2253</f>
        <v>4</v>
      </c>
      <c r="J586" s="18">
        <f t="shared" si="17"/>
        <v>0.000615953187557746</v>
      </c>
      <c r="K586" s="5"/>
    </row>
    <row r="587" ht="13.85" spans="1:11">
      <c r="A587" s="156">
        <v>45695</v>
      </c>
      <c r="B587" s="150">
        <f>'[1]Fliggy Store Daily Key Data'!B2254</f>
        <v>21852</v>
      </c>
      <c r="C587" s="150">
        <f>'[1]Fliggy Store Daily Key Data'!C2254</f>
        <v>5729</v>
      </c>
      <c r="D587" s="150">
        <f>'[1]Fliggy Store Daily Key Data'!G2254</f>
        <v>3470</v>
      </c>
      <c r="E587" s="150">
        <v>51</v>
      </c>
      <c r="F587" s="150">
        <f>'[1]Fliggy Store Daily Key Data'!K2254</f>
        <v>77828.03</v>
      </c>
      <c r="G587" s="150">
        <v>196</v>
      </c>
      <c r="H587" s="155">
        <f t="shared" si="18"/>
        <v>0.0306122448979592</v>
      </c>
      <c r="I587" s="73">
        <f>'[1]Fliggy Store Daily Key Data'!I2254</f>
        <v>6</v>
      </c>
      <c r="J587" s="18">
        <f t="shared" si="17"/>
        <v>0.00104730319427474</v>
      </c>
      <c r="K587" s="5"/>
    </row>
    <row r="588" ht="13.85" spans="1:11">
      <c r="A588" s="156">
        <v>45696</v>
      </c>
      <c r="B588" s="150">
        <f>'[1]Fliggy Store Daily Key Data'!B2255</f>
        <v>23010</v>
      </c>
      <c r="C588" s="150">
        <f>'[1]Fliggy Store Daily Key Data'!C2255</f>
        <v>6211</v>
      </c>
      <c r="D588" s="150">
        <f>'[1]Fliggy Store Daily Key Data'!G2255</f>
        <v>2764</v>
      </c>
      <c r="E588" s="150">
        <v>52</v>
      </c>
      <c r="F588" s="150">
        <f>'[1]Fliggy Store Daily Key Data'!K2255</f>
        <v>168146.44</v>
      </c>
      <c r="G588" s="150">
        <v>197</v>
      </c>
      <c r="H588" s="155">
        <f t="shared" si="18"/>
        <v>0.0710659898477157</v>
      </c>
      <c r="I588" s="73">
        <f>'[1]Fliggy Store Daily Key Data'!I2255</f>
        <v>14</v>
      </c>
      <c r="J588" s="18">
        <f t="shared" si="17"/>
        <v>0.00225406536789567</v>
      </c>
      <c r="K588" s="5"/>
    </row>
    <row r="589" ht="13.85" spans="1:11">
      <c r="A589" s="156">
        <v>45697</v>
      </c>
      <c r="B589" s="150">
        <f>'[1]Fliggy Store Daily Key Data'!B2256</f>
        <v>21321</v>
      </c>
      <c r="C589" s="150">
        <f>'[1]Fliggy Store Daily Key Data'!C2256</f>
        <v>5833</v>
      </c>
      <c r="D589" s="150">
        <f>'[1]Fliggy Store Daily Key Data'!G2256</f>
        <v>2861</v>
      </c>
      <c r="E589" s="150">
        <v>47</v>
      </c>
      <c r="F589" s="150">
        <f>'[1]Fliggy Store Daily Key Data'!K2256</f>
        <v>148083.02</v>
      </c>
      <c r="G589" s="150">
        <v>186</v>
      </c>
      <c r="H589" s="155">
        <f t="shared" si="18"/>
        <v>0.0537634408602151</v>
      </c>
      <c r="I589" s="73">
        <f>'[1]Fliggy Store Daily Key Data'!I2256</f>
        <v>10</v>
      </c>
      <c r="J589" s="18">
        <f t="shared" si="17"/>
        <v>0.00171438367906738</v>
      </c>
      <c r="K589" s="5"/>
    </row>
    <row r="590" ht="13.85" spans="1:11">
      <c r="A590" s="156">
        <v>45698</v>
      </c>
      <c r="B590" s="150">
        <f>'[1]Fliggy Store Daily Key Data'!B2257</f>
        <v>22496</v>
      </c>
      <c r="C590" s="150">
        <f>'[1]Fliggy Store Daily Key Data'!C2257</f>
        <v>4774</v>
      </c>
      <c r="D590" s="150">
        <f>'[1]Fliggy Store Daily Key Data'!G2257</f>
        <v>2927</v>
      </c>
      <c r="E590" s="150">
        <v>51</v>
      </c>
      <c r="F590" s="150">
        <f>'[1]Fliggy Store Daily Key Data'!K2257</f>
        <v>122389.15</v>
      </c>
      <c r="G590" s="150">
        <v>183</v>
      </c>
      <c r="H590" s="155">
        <f t="shared" si="18"/>
        <v>0.0655737704918033</v>
      </c>
      <c r="I590" s="73">
        <f>'[1]Fliggy Store Daily Key Data'!I2257</f>
        <v>12</v>
      </c>
      <c r="J590" s="18">
        <f t="shared" si="17"/>
        <v>0.00251361541684122</v>
      </c>
      <c r="K590" s="5"/>
    </row>
    <row r="591" ht="13.85" spans="1:11">
      <c r="A591" s="156">
        <v>45699</v>
      </c>
      <c r="B591" s="150">
        <f>'[1]Fliggy Store Daily Key Data'!B2258</f>
        <v>23407</v>
      </c>
      <c r="C591" s="150">
        <f>'[1]Fliggy Store Daily Key Data'!C2258</f>
        <v>7977</v>
      </c>
      <c r="D591" s="150">
        <f>'[1]Fliggy Store Daily Key Data'!G2258</f>
        <v>2885</v>
      </c>
      <c r="E591" s="150">
        <v>42</v>
      </c>
      <c r="F591" s="150">
        <f>'[1]Fliggy Store Daily Key Data'!K2258</f>
        <v>69297.83</v>
      </c>
      <c r="G591" s="150">
        <v>173</v>
      </c>
      <c r="H591" s="155">
        <f t="shared" si="18"/>
        <v>0.0346820809248555</v>
      </c>
      <c r="I591" s="73">
        <f>'[1]Fliggy Store Daily Key Data'!I2258</f>
        <v>6</v>
      </c>
      <c r="J591" s="18">
        <f t="shared" si="17"/>
        <v>0.000752162467092892</v>
      </c>
      <c r="K591" s="5"/>
    </row>
    <row r="592" ht="13.85" spans="1:11">
      <c r="A592" s="156">
        <v>45700</v>
      </c>
      <c r="B592" s="150">
        <f>'[1]Fliggy Store Daily Key Data'!B2259</f>
        <v>22899</v>
      </c>
      <c r="C592" s="150">
        <f>'[1]Fliggy Store Daily Key Data'!C2259</f>
        <v>8928</v>
      </c>
      <c r="D592" s="150">
        <f>'[1]Fliggy Store Daily Key Data'!G2259</f>
        <v>2581</v>
      </c>
      <c r="E592" s="150">
        <v>43</v>
      </c>
      <c r="F592" s="150">
        <f>'[1]Fliggy Store Daily Key Data'!K2259</f>
        <v>95136.88</v>
      </c>
      <c r="G592" s="150">
        <v>130</v>
      </c>
      <c r="H592" s="155">
        <f t="shared" si="18"/>
        <v>0.0615384615384615</v>
      </c>
      <c r="I592" s="73">
        <f>'[1]Fliggy Store Daily Key Data'!I2259</f>
        <v>8</v>
      </c>
      <c r="J592" s="18">
        <f t="shared" si="17"/>
        <v>0.000896057347670251</v>
      </c>
      <c r="K592" s="5"/>
    </row>
    <row r="593" ht="13.85" spans="1:11">
      <c r="A593" s="156">
        <v>45701</v>
      </c>
      <c r="B593" s="150">
        <f>'[1]Fliggy Store Daily Key Data'!B2260</f>
        <v>25365</v>
      </c>
      <c r="C593" s="150">
        <f>'[1]Fliggy Store Daily Key Data'!C2260</f>
        <v>9746</v>
      </c>
      <c r="D593" s="150">
        <f>'[1]Fliggy Store Daily Key Data'!G2260</f>
        <v>3149</v>
      </c>
      <c r="E593" s="150">
        <v>45</v>
      </c>
      <c r="F593" s="150">
        <f>'[1]Fliggy Store Daily Key Data'!K2260</f>
        <v>15123</v>
      </c>
      <c r="G593" s="150">
        <v>149</v>
      </c>
      <c r="H593" s="155">
        <f t="shared" si="18"/>
        <v>0</v>
      </c>
      <c r="I593" s="73">
        <f>'[1]Fliggy Store Daily Key Data'!I2260</f>
        <v>0</v>
      </c>
      <c r="J593" s="18">
        <f t="shared" si="17"/>
        <v>0</v>
      </c>
      <c r="K593" s="5"/>
    </row>
    <row r="594" ht="13.85" spans="1:11">
      <c r="A594" s="156">
        <v>45702</v>
      </c>
      <c r="B594" s="150">
        <f>'[1]Fliggy Store Daily Key Data'!B2261</f>
        <v>24797</v>
      </c>
      <c r="C594" s="150">
        <f>'[1]Fliggy Store Daily Key Data'!C2261</f>
        <v>10065</v>
      </c>
      <c r="D594" s="150">
        <f>'[1]Fliggy Store Daily Key Data'!G2261</f>
        <v>3166</v>
      </c>
      <c r="E594" s="150">
        <v>53</v>
      </c>
      <c r="F594" s="150">
        <f>'[1]Fliggy Store Daily Key Data'!K2261</f>
        <v>49444.58</v>
      </c>
      <c r="G594" s="150">
        <v>136</v>
      </c>
      <c r="H594" s="155">
        <f t="shared" si="18"/>
        <v>0.0220588235294118</v>
      </c>
      <c r="I594" s="73">
        <f>'[1]Fliggy Store Daily Key Data'!I2261</f>
        <v>3</v>
      </c>
      <c r="J594" s="18">
        <f t="shared" si="17"/>
        <v>0.00029806259314456</v>
      </c>
      <c r="K594" s="5"/>
    </row>
    <row r="595" ht="13.85" spans="1:11">
      <c r="A595" s="156">
        <v>45703</v>
      </c>
      <c r="B595" s="150">
        <f>'[1]Fliggy Store Daily Key Data'!B2262</f>
        <v>25608</v>
      </c>
      <c r="C595" s="150">
        <f>'[1]Fliggy Store Daily Key Data'!C2262</f>
        <v>10215</v>
      </c>
      <c r="D595" s="150">
        <f>'[1]Fliggy Store Daily Key Data'!G2262</f>
        <v>3227</v>
      </c>
      <c r="E595" s="150">
        <v>73</v>
      </c>
      <c r="F595" s="150">
        <f>'[1]Fliggy Store Daily Key Data'!K2262</f>
        <v>71096</v>
      </c>
      <c r="G595" s="150">
        <v>126</v>
      </c>
      <c r="H595" s="155">
        <f t="shared" si="18"/>
        <v>0.0476190476190476</v>
      </c>
      <c r="I595" s="73">
        <f>'[1]Fliggy Store Daily Key Data'!I2262</f>
        <v>6</v>
      </c>
      <c r="J595" s="18">
        <f t="shared" si="17"/>
        <v>0.000587371512481645</v>
      </c>
      <c r="K595" s="5"/>
    </row>
    <row r="596" ht="13.85" spans="1:11">
      <c r="A596" s="156">
        <v>45704</v>
      </c>
      <c r="B596" s="150">
        <f>'[1]Fliggy Store Daily Key Data'!B2263</f>
        <v>28909</v>
      </c>
      <c r="C596" s="150">
        <f>'[1]Fliggy Store Daily Key Data'!C2263</f>
        <v>11896</v>
      </c>
      <c r="D596" s="150">
        <f>'[1]Fliggy Store Daily Key Data'!G2263</f>
        <v>4158</v>
      </c>
      <c r="E596" s="150">
        <v>43</v>
      </c>
      <c r="F596" s="150">
        <f>'[1]Fliggy Store Daily Key Data'!K2263</f>
        <v>51251.36</v>
      </c>
      <c r="G596" s="150">
        <v>121</v>
      </c>
      <c r="H596" s="155">
        <f t="shared" si="18"/>
        <v>0.0413223140495868</v>
      </c>
      <c r="I596" s="73">
        <f>'[1]Fliggy Store Daily Key Data'!I2263</f>
        <v>5</v>
      </c>
      <c r="J596" s="18">
        <f t="shared" si="17"/>
        <v>0.000420309347679892</v>
      </c>
      <c r="K596" s="5"/>
    </row>
    <row r="597" ht="13.85" spans="1:11">
      <c r="A597" s="156">
        <v>45705</v>
      </c>
      <c r="B597" s="150">
        <f>'[1]Fliggy Store Daily Key Data'!B2264</f>
        <v>31001</v>
      </c>
      <c r="C597" s="150">
        <f>'[1]Fliggy Store Daily Key Data'!C2264</f>
        <v>12360</v>
      </c>
      <c r="D597" s="150">
        <f>'[1]Fliggy Store Daily Key Data'!G2264</f>
        <v>3777</v>
      </c>
      <c r="E597" s="150">
        <v>67</v>
      </c>
      <c r="F597" s="150">
        <f>'[1]Fliggy Store Daily Key Data'!K2264</f>
        <v>174460.76</v>
      </c>
      <c r="G597" s="150">
        <v>169</v>
      </c>
      <c r="H597" s="155">
        <f t="shared" si="18"/>
        <v>0.0710059171597633</v>
      </c>
      <c r="I597" s="73">
        <f>'[1]Fliggy Store Daily Key Data'!I2264</f>
        <v>12</v>
      </c>
      <c r="J597" s="18">
        <f t="shared" si="17"/>
        <v>0.000970873786407767</v>
      </c>
      <c r="K597" s="5"/>
    </row>
    <row r="598" ht="13.85" spans="1:11">
      <c r="A598" s="156">
        <v>45706</v>
      </c>
      <c r="B598" s="150">
        <f>'[1]Fliggy Store Daily Key Data'!B2265</f>
        <v>30029</v>
      </c>
      <c r="C598" s="150">
        <f>'[1]Fliggy Store Daily Key Data'!C2265</f>
        <v>13039</v>
      </c>
      <c r="D598" s="150">
        <f>'[1]Fliggy Store Daily Key Data'!G2265</f>
        <v>2994</v>
      </c>
      <c r="E598" s="150">
        <v>53</v>
      </c>
      <c r="F598" s="150">
        <f>'[1]Fliggy Store Daily Key Data'!K2265</f>
        <v>98675.72</v>
      </c>
      <c r="G598" s="150">
        <v>143</v>
      </c>
      <c r="H598" s="155">
        <f t="shared" si="18"/>
        <v>0.048951048951049</v>
      </c>
      <c r="I598" s="73">
        <f>'[1]Fliggy Store Daily Key Data'!I2265</f>
        <v>7</v>
      </c>
      <c r="J598" s="18">
        <f t="shared" si="17"/>
        <v>0.000536850985505023</v>
      </c>
      <c r="K598" s="5"/>
    </row>
    <row r="599" ht="13.85" spans="1:11">
      <c r="A599" s="156">
        <v>45707</v>
      </c>
      <c r="B599" s="150">
        <f>'[1]Fliggy Store Daily Key Data'!B2266</f>
        <v>26338</v>
      </c>
      <c r="C599" s="150">
        <f>'[1]Fliggy Store Daily Key Data'!C2266</f>
        <v>11801</v>
      </c>
      <c r="D599" s="150">
        <f>'[1]Fliggy Store Daily Key Data'!G2266</f>
        <v>2354</v>
      </c>
      <c r="E599" s="150">
        <v>64</v>
      </c>
      <c r="F599" s="150">
        <f>'[1]Fliggy Store Daily Key Data'!K2266</f>
        <v>61846.05</v>
      </c>
      <c r="G599" s="150">
        <v>132</v>
      </c>
      <c r="H599" s="155">
        <f t="shared" si="18"/>
        <v>0.053030303030303</v>
      </c>
      <c r="I599" s="73">
        <f>'[1]Fliggy Store Daily Key Data'!I2266</f>
        <v>7</v>
      </c>
      <c r="J599" s="18">
        <f t="shared" si="17"/>
        <v>0.000593170070333023</v>
      </c>
      <c r="K599" s="5"/>
    </row>
    <row r="600" ht="13.85" spans="1:11">
      <c r="A600" s="156">
        <v>45708</v>
      </c>
      <c r="B600" s="150">
        <f>'[1]Fliggy Store Daily Key Data'!B2267</f>
        <v>22104</v>
      </c>
      <c r="C600" s="150">
        <f>'[1]Fliggy Store Daily Key Data'!C2267</f>
        <v>7367</v>
      </c>
      <c r="D600" s="150">
        <f>'[1]Fliggy Store Daily Key Data'!G2267</f>
        <v>2687</v>
      </c>
      <c r="E600" s="150">
        <v>78</v>
      </c>
      <c r="F600" s="150">
        <f>'[1]Fliggy Store Daily Key Data'!K2267</f>
        <v>146205.26</v>
      </c>
      <c r="G600" s="150">
        <v>145</v>
      </c>
      <c r="H600" s="155">
        <f t="shared" si="18"/>
        <v>0.0620689655172414</v>
      </c>
      <c r="I600" s="73">
        <f>'[1]Fliggy Store Daily Key Data'!I2267</f>
        <v>9</v>
      </c>
      <c r="J600" s="18">
        <f t="shared" ref="J600:J663" si="19">I600/C600</f>
        <v>0.00122166417809149</v>
      </c>
      <c r="K600" s="5"/>
    </row>
    <row r="601" ht="13.85" spans="1:11">
      <c r="A601" s="156">
        <v>45709</v>
      </c>
      <c r="B601" s="150">
        <f>'[1]Fliggy Store Daily Key Data'!B2268</f>
        <v>26914</v>
      </c>
      <c r="C601" s="150">
        <f>'[1]Fliggy Store Daily Key Data'!C2268</f>
        <v>8205</v>
      </c>
      <c r="D601" s="150">
        <f>'[1]Fliggy Store Daily Key Data'!G2268</f>
        <v>3745</v>
      </c>
      <c r="E601" s="150">
        <v>78</v>
      </c>
      <c r="F601" s="150">
        <f>'[1]Fliggy Store Daily Key Data'!K2268</f>
        <v>137321.04</v>
      </c>
      <c r="G601" s="150">
        <v>160</v>
      </c>
      <c r="H601" s="155">
        <f t="shared" si="18"/>
        <v>0.06875</v>
      </c>
      <c r="I601" s="73">
        <f>'[1]Fliggy Store Daily Key Data'!I2268</f>
        <v>11</v>
      </c>
      <c r="J601" s="18">
        <f t="shared" si="19"/>
        <v>0.00134064594759293</v>
      </c>
      <c r="K601" s="5"/>
    </row>
    <row r="602" ht="13.85" spans="1:11">
      <c r="A602" s="156">
        <v>45710</v>
      </c>
      <c r="B602" s="150">
        <f>'[1]Fliggy Store Daily Key Data'!B2269</f>
        <v>126912</v>
      </c>
      <c r="C602" s="150">
        <f>'[1]Fliggy Store Daily Key Data'!C2269</f>
        <v>30031</v>
      </c>
      <c r="D602" s="150">
        <f>'[1]Fliggy Store Daily Key Data'!G2269</f>
        <v>2430</v>
      </c>
      <c r="E602" s="150">
        <v>83</v>
      </c>
      <c r="F602" s="150">
        <f>'[1]Fliggy Store Daily Key Data'!K2269</f>
        <v>80095.48</v>
      </c>
      <c r="G602" s="150">
        <v>240</v>
      </c>
      <c r="H602" s="155">
        <f t="shared" si="18"/>
        <v>0.025</v>
      </c>
      <c r="I602" s="73">
        <f>'[1]Fliggy Store Daily Key Data'!I2269</f>
        <v>6</v>
      </c>
      <c r="J602" s="18">
        <f t="shared" si="19"/>
        <v>0.000199793546668443</v>
      </c>
      <c r="K602" s="5"/>
    </row>
    <row r="603" ht="13.85" spans="1:11">
      <c r="A603" s="156">
        <v>45711</v>
      </c>
      <c r="B603" s="150">
        <f>'[1]Fliggy Store Daily Key Data'!B2270</f>
        <v>40075</v>
      </c>
      <c r="C603" s="150">
        <f>'[1]Fliggy Store Daily Key Data'!C2270</f>
        <v>10402</v>
      </c>
      <c r="D603" s="150">
        <f>'[1]Fliggy Store Daily Key Data'!G2270</f>
        <v>2595</v>
      </c>
      <c r="E603" s="150">
        <v>47</v>
      </c>
      <c r="F603" s="150">
        <f>'[1]Fliggy Store Daily Key Data'!K2270</f>
        <v>71933.72</v>
      </c>
      <c r="G603" s="150">
        <v>196</v>
      </c>
      <c r="H603" s="155">
        <f t="shared" si="18"/>
        <v>0.0255102040816327</v>
      </c>
      <c r="I603" s="73">
        <f>'[1]Fliggy Store Daily Key Data'!I2270</f>
        <v>5</v>
      </c>
      <c r="J603" s="18">
        <f t="shared" si="19"/>
        <v>0.000480676792924438</v>
      </c>
      <c r="K603" s="5"/>
    </row>
    <row r="604" ht="13.85" spans="1:11">
      <c r="A604" s="156">
        <v>45712</v>
      </c>
      <c r="B604" s="150">
        <f>'[1]Fliggy Store Daily Key Data'!B2271</f>
        <v>62184</v>
      </c>
      <c r="C604" s="150">
        <f>'[1]Fliggy Store Daily Key Data'!C2271</f>
        <v>15277</v>
      </c>
      <c r="D604" s="150">
        <f>'[1]Fliggy Store Daily Key Data'!G2271</f>
        <v>2936</v>
      </c>
      <c r="E604" s="150">
        <v>62</v>
      </c>
      <c r="F604" s="150">
        <f>'[1]Fliggy Store Daily Key Data'!K2271</f>
        <v>594424.74</v>
      </c>
      <c r="G604" s="150">
        <v>323</v>
      </c>
      <c r="H604" s="155">
        <f t="shared" si="18"/>
        <v>0.204334365325077</v>
      </c>
      <c r="I604" s="73">
        <f>'[1]Fliggy Store Daily Key Data'!I2271</f>
        <v>66</v>
      </c>
      <c r="J604" s="18">
        <f t="shared" si="19"/>
        <v>0.00432021993846959</v>
      </c>
      <c r="K604" s="5"/>
    </row>
    <row r="605" ht="13.85" spans="1:11">
      <c r="A605" s="156">
        <v>45713</v>
      </c>
      <c r="B605" s="150">
        <f>'[1]Fliggy Store Daily Key Data'!B2272</f>
        <v>60022</v>
      </c>
      <c r="C605" s="150">
        <f>'[1]Fliggy Store Daily Key Data'!C2272</f>
        <v>15261</v>
      </c>
      <c r="D605" s="150">
        <f>'[1]Fliggy Store Daily Key Data'!G2272</f>
        <v>2756</v>
      </c>
      <c r="E605" s="150">
        <v>41</v>
      </c>
      <c r="F605" s="150">
        <f>'[1]Fliggy Store Daily Key Data'!K2272</f>
        <v>280815.08</v>
      </c>
      <c r="G605" s="150">
        <v>314</v>
      </c>
      <c r="H605" s="155">
        <f t="shared" si="18"/>
        <v>0.0923566878980892</v>
      </c>
      <c r="I605" s="73">
        <f>'[1]Fliggy Store Daily Key Data'!I2272</f>
        <v>29</v>
      </c>
      <c r="J605" s="18">
        <f t="shared" si="19"/>
        <v>0.00190026865867243</v>
      </c>
      <c r="K605" s="5"/>
    </row>
    <row r="606" ht="13.85" spans="1:11">
      <c r="A606" s="156">
        <v>45714</v>
      </c>
      <c r="B606" s="150">
        <f>'[1]Fliggy Store Daily Key Data'!B2273</f>
        <v>39534</v>
      </c>
      <c r="C606" s="150">
        <f>'[1]Fliggy Store Daily Key Data'!C2273</f>
        <v>11140</v>
      </c>
      <c r="D606" s="150">
        <f>'[1]Fliggy Store Daily Key Data'!G2273</f>
        <v>2954</v>
      </c>
      <c r="E606" s="150">
        <v>58</v>
      </c>
      <c r="F606" s="150">
        <f>'[1]Fliggy Store Daily Key Data'!K2273</f>
        <v>103385.92</v>
      </c>
      <c r="G606" s="150">
        <v>290</v>
      </c>
      <c r="H606" s="155">
        <f t="shared" si="18"/>
        <v>0.0344827586206897</v>
      </c>
      <c r="I606" s="73">
        <f>'[1]Fliggy Store Daily Key Data'!I2273</f>
        <v>10</v>
      </c>
      <c r="J606" s="18">
        <f t="shared" si="19"/>
        <v>0.000897666068222621</v>
      </c>
      <c r="K606" s="5"/>
    </row>
    <row r="607" ht="13.85" spans="1:11">
      <c r="A607" s="156">
        <v>45715</v>
      </c>
      <c r="B607" s="150">
        <f>'[1]Fliggy Store Daily Key Data'!B2274</f>
        <v>41476</v>
      </c>
      <c r="C607" s="150">
        <f>'[1]Fliggy Store Daily Key Data'!C2274</f>
        <v>8815</v>
      </c>
      <c r="D607" s="150">
        <f>'[1]Fliggy Store Daily Key Data'!G2274</f>
        <v>2903</v>
      </c>
      <c r="E607" s="150">
        <v>61</v>
      </c>
      <c r="F607" s="150">
        <f>'[1]Fliggy Store Daily Key Data'!K2274</f>
        <v>290066.04</v>
      </c>
      <c r="G607" s="150">
        <v>326</v>
      </c>
      <c r="H607" s="155">
        <f t="shared" si="18"/>
        <v>0.0858895705521472</v>
      </c>
      <c r="I607" s="73">
        <f>'[1]Fliggy Store Daily Key Data'!I2274</f>
        <v>28</v>
      </c>
      <c r="J607" s="18">
        <f t="shared" si="19"/>
        <v>0.00317640385706183</v>
      </c>
      <c r="K607" s="5"/>
    </row>
    <row r="608" ht="13.85" spans="1:11">
      <c r="A608" s="156">
        <v>45716</v>
      </c>
      <c r="B608" s="150">
        <f>'[1]Fliggy Store Daily Key Data'!B2275</f>
        <v>290927</v>
      </c>
      <c r="C608" s="150">
        <f>'[1]Fliggy Store Daily Key Data'!C2275</f>
        <v>56789</v>
      </c>
      <c r="D608" s="150">
        <f>'[1]Fliggy Store Daily Key Data'!G2275</f>
        <v>2849</v>
      </c>
      <c r="E608" s="150">
        <v>79</v>
      </c>
      <c r="F608" s="150">
        <f>'[1]Fliggy Store Daily Key Data'!K2275</f>
        <v>1852892</v>
      </c>
      <c r="G608" s="150">
        <v>718</v>
      </c>
      <c r="H608" s="155">
        <f t="shared" si="18"/>
        <v>0.323119777158774</v>
      </c>
      <c r="I608" s="73">
        <f>'[1]Fliggy Store Daily Key Data'!I2275</f>
        <v>232</v>
      </c>
      <c r="J608" s="18">
        <f t="shared" si="19"/>
        <v>0.00408529820916022</v>
      </c>
      <c r="K608" s="5"/>
    </row>
    <row r="609" ht="13.85" spans="1:11">
      <c r="A609" s="156">
        <v>45717</v>
      </c>
      <c r="B609" s="150">
        <f>'[1]Fliggy Store Daily Key Data'!B2276</f>
        <v>45526</v>
      </c>
      <c r="C609" s="150">
        <f>'[1]Fliggy Store Daily Key Data'!C2276</f>
        <v>10362</v>
      </c>
      <c r="D609" s="150">
        <f>'[1]Fliggy Store Daily Key Data'!G2276</f>
        <v>2616</v>
      </c>
      <c r="E609" s="150">
        <v>31</v>
      </c>
      <c r="F609" s="150">
        <f>'[1]Fliggy Store Daily Key Data'!K2276</f>
        <v>355814</v>
      </c>
      <c r="G609" s="150">
        <v>230</v>
      </c>
      <c r="H609" s="155">
        <f t="shared" si="18"/>
        <v>0.195652173913043</v>
      </c>
      <c r="I609" s="73">
        <f>'[1]Fliggy Store Daily Key Data'!I2276</f>
        <v>45</v>
      </c>
      <c r="J609" s="18">
        <f t="shared" si="19"/>
        <v>0.00434279096699479</v>
      </c>
      <c r="K609" s="5"/>
    </row>
    <row r="610" ht="13.85" spans="1:11">
      <c r="A610" s="156">
        <v>45718</v>
      </c>
      <c r="B610" s="150">
        <f>'[1]Fliggy Store Daily Key Data'!B2277</f>
        <v>27261</v>
      </c>
      <c r="C610" s="150">
        <f>'[1]Fliggy Store Daily Key Data'!C2277</f>
        <v>6594</v>
      </c>
      <c r="D610" s="150">
        <f>'[1]Fliggy Store Daily Key Data'!G2277</f>
        <v>2826</v>
      </c>
      <c r="E610" s="150">
        <v>42</v>
      </c>
      <c r="F610" s="150">
        <f>'[1]Fliggy Store Daily Key Data'!K2277</f>
        <v>183203</v>
      </c>
      <c r="G610" s="150">
        <v>210</v>
      </c>
      <c r="H610" s="155">
        <f t="shared" si="18"/>
        <v>0.0952380952380952</v>
      </c>
      <c r="I610" s="73">
        <f>'[1]Fliggy Store Daily Key Data'!I2277</f>
        <v>20</v>
      </c>
      <c r="J610" s="18">
        <f t="shared" si="19"/>
        <v>0.00303306035790112</v>
      </c>
      <c r="K610" s="5"/>
    </row>
    <row r="611" ht="13.85" spans="1:11">
      <c r="A611" s="156">
        <v>45719</v>
      </c>
      <c r="B611" s="150">
        <f>'[1]Fliggy Store Daily Key Data'!B2278</f>
        <v>46865</v>
      </c>
      <c r="C611" s="150">
        <f>'[1]Fliggy Store Daily Key Data'!C2278</f>
        <v>10950</v>
      </c>
      <c r="D611" s="150">
        <f>'[1]Fliggy Store Daily Key Data'!G2278</f>
        <v>2761</v>
      </c>
      <c r="E611" s="150">
        <v>51</v>
      </c>
      <c r="F611" s="150">
        <f>'[1]Fliggy Store Daily Key Data'!K2278</f>
        <v>271371</v>
      </c>
      <c r="G611" s="150">
        <v>313</v>
      </c>
      <c r="H611" s="155">
        <f t="shared" si="18"/>
        <v>0.0223642172523962</v>
      </c>
      <c r="I611" s="73">
        <f>'[1]Fliggy Store Daily Key Data'!I2278</f>
        <v>7</v>
      </c>
      <c r="J611" s="18">
        <f t="shared" si="19"/>
        <v>0.000639269406392694</v>
      </c>
      <c r="K611" s="5"/>
    </row>
    <row r="612" ht="13.85" spans="1:11">
      <c r="A612" s="156">
        <v>45720</v>
      </c>
      <c r="B612" s="150">
        <f>'[1]Fliggy Store Daily Key Data'!B2279</f>
        <v>35209</v>
      </c>
      <c r="C612" s="150">
        <f>'[1]Fliggy Store Daily Key Data'!C2279</f>
        <v>9458</v>
      </c>
      <c r="D612" s="150">
        <f>'[1]Fliggy Store Daily Key Data'!G2279</f>
        <v>3525</v>
      </c>
      <c r="E612" s="150">
        <v>40</v>
      </c>
      <c r="F612" s="150">
        <f>'[1]Fliggy Store Daily Key Data'!K2279</f>
        <v>212419</v>
      </c>
      <c r="G612" s="150">
        <v>271</v>
      </c>
      <c r="H612" s="155">
        <f t="shared" si="18"/>
        <v>0.0885608856088561</v>
      </c>
      <c r="I612" s="73">
        <f>'[1]Fliggy Store Daily Key Data'!I2279</f>
        <v>24</v>
      </c>
      <c r="J612" s="18">
        <f t="shared" si="19"/>
        <v>0.00253753436244449</v>
      </c>
      <c r="K612" s="5"/>
    </row>
    <row r="613" ht="13.85" spans="1:11">
      <c r="A613" s="156">
        <v>45721</v>
      </c>
      <c r="B613" s="150">
        <f>'[1]Fliggy Store Daily Key Data'!B2280</f>
        <v>41530</v>
      </c>
      <c r="C613" s="150">
        <f>'[1]Fliggy Store Daily Key Data'!C2280</f>
        <v>11189</v>
      </c>
      <c r="D613" s="150">
        <f>'[1]Fliggy Store Daily Key Data'!G2280</f>
        <v>3084</v>
      </c>
      <c r="E613" s="150">
        <v>52</v>
      </c>
      <c r="F613" s="150">
        <f>'[1]Fliggy Store Daily Key Data'!K2280</f>
        <v>399780.02</v>
      </c>
      <c r="G613" s="150">
        <v>306</v>
      </c>
      <c r="H613" s="155">
        <f t="shared" si="18"/>
        <v>0.137254901960784</v>
      </c>
      <c r="I613" s="73">
        <f>'[1]Fliggy Store Daily Key Data'!I2280</f>
        <v>42</v>
      </c>
      <c r="J613" s="18">
        <f t="shared" si="19"/>
        <v>0.00375368665653767</v>
      </c>
      <c r="K613" s="5"/>
    </row>
    <row r="614" ht="13.85" spans="1:11">
      <c r="A614" s="156">
        <v>45722</v>
      </c>
      <c r="B614" s="150">
        <f>'[1]Fliggy Store Daily Key Data'!B2281</f>
        <v>26629</v>
      </c>
      <c r="C614" s="150">
        <f>'[1]Fliggy Store Daily Key Data'!C2281</f>
        <v>6791</v>
      </c>
      <c r="D614" s="150">
        <f>'[1]Fliggy Store Daily Key Data'!G2281</f>
        <v>3061</v>
      </c>
      <c r="E614" s="150">
        <v>44</v>
      </c>
      <c r="F614" s="150">
        <f>'[1]Fliggy Store Daily Key Data'!K2281</f>
        <v>176627</v>
      </c>
      <c r="G614" s="150">
        <v>239</v>
      </c>
      <c r="H614" s="155">
        <f t="shared" si="18"/>
        <v>0.0920502092050209</v>
      </c>
      <c r="I614" s="73">
        <f>'[1]Fliggy Store Daily Key Data'!I2281</f>
        <v>22</v>
      </c>
      <c r="J614" s="18">
        <f t="shared" si="19"/>
        <v>0.00323958179944044</v>
      </c>
      <c r="K614" s="5"/>
    </row>
    <row r="615" ht="13.85" spans="1:11">
      <c r="A615" s="156">
        <v>45723</v>
      </c>
      <c r="B615" s="150">
        <f>'[1]Fliggy Store Daily Key Data'!B2282</f>
        <v>107010</v>
      </c>
      <c r="C615" s="150">
        <f>'[1]Fliggy Store Daily Key Data'!C2282</f>
        <v>25135</v>
      </c>
      <c r="D615" s="150">
        <f>'[1]Fliggy Store Daily Key Data'!G2282</f>
        <v>3387</v>
      </c>
      <c r="E615" s="150">
        <v>62</v>
      </c>
      <c r="F615" s="150">
        <f>'[1]Fliggy Store Daily Key Data'!K2282</f>
        <v>679435</v>
      </c>
      <c r="G615" s="150">
        <v>382</v>
      </c>
      <c r="H615" s="155">
        <f t="shared" si="18"/>
        <v>0.193717277486911</v>
      </c>
      <c r="I615" s="73">
        <f>'[1]Fliggy Store Daily Key Data'!I2282</f>
        <v>74</v>
      </c>
      <c r="J615" s="18">
        <f t="shared" si="19"/>
        <v>0.00294410185000995</v>
      </c>
      <c r="K615" s="5"/>
    </row>
    <row r="616" ht="13.85" spans="1:11">
      <c r="A616" s="156">
        <v>45724</v>
      </c>
      <c r="B616" s="150">
        <f>'[1]Fliggy Store Daily Key Data'!B2283</f>
        <v>36006</v>
      </c>
      <c r="C616" s="150">
        <f>'[1]Fliggy Store Daily Key Data'!C2283</f>
        <v>8314</v>
      </c>
      <c r="D616" s="150">
        <f>'[1]Fliggy Store Daily Key Data'!G2283</f>
        <v>2917</v>
      </c>
      <c r="E616" s="150">
        <v>49</v>
      </c>
      <c r="F616" s="150">
        <f>'[1]Fliggy Store Daily Key Data'!K2283</f>
        <v>288210</v>
      </c>
      <c r="G616" s="150">
        <v>229</v>
      </c>
      <c r="H616" s="155">
        <f t="shared" si="18"/>
        <v>0.122270742358079</v>
      </c>
      <c r="I616" s="73">
        <f>'[1]Fliggy Store Daily Key Data'!I2283</f>
        <v>28</v>
      </c>
      <c r="J616" s="18">
        <f t="shared" si="19"/>
        <v>0.00336781332691845</v>
      </c>
      <c r="K616" s="5"/>
    </row>
    <row r="617" ht="13.85" spans="1:11">
      <c r="A617" s="156">
        <v>45725</v>
      </c>
      <c r="B617" s="150">
        <f>'[1]Fliggy Store Daily Key Data'!B2284</f>
        <v>34288</v>
      </c>
      <c r="C617" s="150">
        <f>'[1]Fliggy Store Daily Key Data'!C2284</f>
        <v>7747</v>
      </c>
      <c r="D617" s="150">
        <f>'[1]Fliggy Store Daily Key Data'!G2284</f>
        <v>3672</v>
      </c>
      <c r="E617" s="150">
        <v>52</v>
      </c>
      <c r="F617" s="150">
        <f>'[1]Fliggy Store Daily Key Data'!K2284</f>
        <v>169516.1</v>
      </c>
      <c r="G617" s="150">
        <v>244</v>
      </c>
      <c r="H617" s="155">
        <f t="shared" si="18"/>
        <v>0.0778688524590164</v>
      </c>
      <c r="I617" s="73">
        <f>'[1]Fliggy Store Daily Key Data'!I2284</f>
        <v>19</v>
      </c>
      <c r="J617" s="18">
        <f t="shared" si="19"/>
        <v>0.00245256228217374</v>
      </c>
      <c r="K617" s="5"/>
    </row>
    <row r="618" ht="13.85" spans="1:11">
      <c r="A618" s="156">
        <v>45726</v>
      </c>
      <c r="B618" s="150">
        <f>'[1]Fliggy Store Daily Key Data'!B2285</f>
        <v>31662</v>
      </c>
      <c r="C618" s="150">
        <f>'[1]Fliggy Store Daily Key Data'!C2285</f>
        <v>7411</v>
      </c>
      <c r="D618" s="150">
        <f>'[1]Fliggy Store Daily Key Data'!G2285</f>
        <v>3595</v>
      </c>
      <c r="E618" s="150">
        <v>51</v>
      </c>
      <c r="F618" s="150">
        <f>'[1]Fliggy Store Daily Key Data'!K2285</f>
        <v>248878.5</v>
      </c>
      <c r="G618" s="150">
        <v>274</v>
      </c>
      <c r="H618" s="155">
        <f t="shared" si="18"/>
        <v>0.0693430656934307</v>
      </c>
      <c r="I618" s="73">
        <f>'[1]Fliggy Store Daily Key Data'!I2285</f>
        <v>19</v>
      </c>
      <c r="J618" s="18">
        <f t="shared" si="19"/>
        <v>0.00256375657805964</v>
      </c>
      <c r="K618" s="5"/>
    </row>
    <row r="619" ht="13.85" spans="1:11">
      <c r="A619" s="156">
        <v>45727</v>
      </c>
      <c r="B619" s="150">
        <f>'[1]Fliggy Store Daily Key Data'!B2286</f>
        <v>32218</v>
      </c>
      <c r="C619" s="150">
        <f>'[1]Fliggy Store Daily Key Data'!C2286</f>
        <v>7321</v>
      </c>
      <c r="D619" s="150">
        <f>'[1]Fliggy Store Daily Key Data'!G2286</f>
        <v>3506</v>
      </c>
      <c r="E619" s="150">
        <v>55</v>
      </c>
      <c r="F619" s="150">
        <f>'[1]Fliggy Store Daily Key Data'!K2286</f>
        <v>156421.94</v>
      </c>
      <c r="G619" s="150">
        <v>249</v>
      </c>
      <c r="H619" s="155">
        <f t="shared" si="18"/>
        <v>0.0522088353413655</v>
      </c>
      <c r="I619" s="73">
        <f>'[1]Fliggy Store Daily Key Data'!I2286</f>
        <v>13</v>
      </c>
      <c r="J619" s="18">
        <f t="shared" si="19"/>
        <v>0.00177571370031416</v>
      </c>
      <c r="K619" s="5"/>
    </row>
    <row r="620" ht="13.85" spans="1:11">
      <c r="A620" s="156">
        <v>45728</v>
      </c>
      <c r="B620" s="150">
        <f>'[1]Fliggy Store Daily Key Data'!B2287</f>
        <v>32645</v>
      </c>
      <c r="C620" s="150">
        <f>'[1]Fliggy Store Daily Key Data'!C2287</f>
        <v>8688</v>
      </c>
      <c r="D620" s="150">
        <f>'[1]Fliggy Store Daily Key Data'!G2287</f>
        <v>3825</v>
      </c>
      <c r="E620" s="150">
        <v>58</v>
      </c>
      <c r="F620" s="150">
        <f>'[1]Fliggy Store Daily Key Data'!K2287</f>
        <v>143949.01</v>
      </c>
      <c r="G620" s="150">
        <v>289</v>
      </c>
      <c r="H620" s="155">
        <f t="shared" si="18"/>
        <v>0.0449826989619377</v>
      </c>
      <c r="I620" s="73">
        <f>'[1]Fliggy Store Daily Key Data'!I2287</f>
        <v>13</v>
      </c>
      <c r="J620" s="18">
        <f t="shared" si="19"/>
        <v>0.0014963167587477</v>
      </c>
      <c r="K620" s="5"/>
    </row>
    <row r="621" ht="13.85" spans="1:11">
      <c r="A621" s="156">
        <v>45729</v>
      </c>
      <c r="B621" s="150">
        <f>'[1]Fliggy Store Daily Key Data'!B2288</f>
        <v>35970</v>
      </c>
      <c r="C621" s="150">
        <f>'[1]Fliggy Store Daily Key Data'!C2288</f>
        <v>9846</v>
      </c>
      <c r="D621" s="150">
        <f>'[1]Fliggy Store Daily Key Data'!G2288</f>
        <v>4101</v>
      </c>
      <c r="E621" s="150">
        <v>64</v>
      </c>
      <c r="F621" s="150">
        <f>'[1]Fliggy Store Daily Key Data'!K2288</f>
        <v>119323.02</v>
      </c>
      <c r="G621" s="150">
        <v>271</v>
      </c>
      <c r="H621" s="155">
        <f t="shared" si="18"/>
        <v>0.0479704797047971</v>
      </c>
      <c r="I621" s="73">
        <f>'[1]Fliggy Store Daily Key Data'!I2288</f>
        <v>13</v>
      </c>
      <c r="J621" s="18">
        <f t="shared" si="19"/>
        <v>0.00132033313020516</v>
      </c>
      <c r="K621" s="5"/>
    </row>
    <row r="622" ht="13.85" spans="1:11">
      <c r="A622" s="156">
        <v>45730</v>
      </c>
      <c r="B622" s="150">
        <f>'[1]Fliggy Store Daily Key Data'!B2289</f>
        <v>36065</v>
      </c>
      <c r="C622" s="150">
        <f>'[1]Fliggy Store Daily Key Data'!C2289</f>
        <v>10477</v>
      </c>
      <c r="D622" s="150">
        <f>'[1]Fliggy Store Daily Key Data'!G2289</f>
        <v>4444</v>
      </c>
      <c r="E622" s="150">
        <v>80</v>
      </c>
      <c r="F622" s="150">
        <f>'[1]Fliggy Store Daily Key Data'!K2289</f>
        <v>255763.68</v>
      </c>
      <c r="G622" s="150">
        <v>270</v>
      </c>
      <c r="H622" s="155">
        <f t="shared" si="18"/>
        <v>0.0777777777777778</v>
      </c>
      <c r="I622" s="73">
        <f>'[1]Fliggy Store Daily Key Data'!I2289</f>
        <v>21</v>
      </c>
      <c r="J622" s="18">
        <f t="shared" si="19"/>
        <v>0.0020043905698196</v>
      </c>
      <c r="K622" s="5"/>
    </row>
    <row r="623" ht="13.85" spans="1:11">
      <c r="A623" s="156">
        <v>45731</v>
      </c>
      <c r="B623" s="150">
        <f>'[1]Fliggy Store Daily Key Data'!B2290</f>
        <v>32715</v>
      </c>
      <c r="C623" s="150">
        <f>'[1]Fliggy Store Daily Key Data'!C2290</f>
        <v>8473</v>
      </c>
      <c r="D623" s="150">
        <f>'[1]Fliggy Store Daily Key Data'!G2290</f>
        <v>4121</v>
      </c>
      <c r="E623" s="150">
        <v>65</v>
      </c>
      <c r="F623" s="150">
        <f>'[1]Fliggy Store Daily Key Data'!K2290</f>
        <v>163558</v>
      </c>
      <c r="G623" s="150">
        <v>263</v>
      </c>
      <c r="H623" s="155">
        <f t="shared" si="18"/>
        <v>0.0570342205323194</v>
      </c>
      <c r="I623" s="73">
        <f>'[1]Fliggy Store Daily Key Data'!I2290</f>
        <v>15</v>
      </c>
      <c r="J623" s="18">
        <f t="shared" si="19"/>
        <v>0.00177032928124631</v>
      </c>
      <c r="K623" s="5"/>
    </row>
    <row r="624" ht="13.85" spans="1:11">
      <c r="A624" s="156">
        <v>45732</v>
      </c>
      <c r="B624" s="150">
        <f>'[1]Fliggy Store Daily Key Data'!B2291</f>
        <v>34118</v>
      </c>
      <c r="C624" s="150">
        <f>'[1]Fliggy Store Daily Key Data'!C2291</f>
        <v>8651</v>
      </c>
      <c r="D624" s="150">
        <f>'[1]Fliggy Store Daily Key Data'!G2291</f>
        <v>4464</v>
      </c>
      <c r="E624" s="150">
        <v>81</v>
      </c>
      <c r="F624" s="150">
        <f>'[1]Fliggy Store Daily Key Data'!K2291</f>
        <v>143296</v>
      </c>
      <c r="G624" s="150">
        <v>297</v>
      </c>
      <c r="H624" s="155">
        <f t="shared" si="18"/>
        <v>0.0471380471380471</v>
      </c>
      <c r="I624" s="73">
        <f>'[1]Fliggy Store Daily Key Data'!I2291</f>
        <v>14</v>
      </c>
      <c r="J624" s="18">
        <f t="shared" si="19"/>
        <v>0.00161831002196278</v>
      </c>
      <c r="K624" s="5"/>
    </row>
    <row r="625" ht="13.85" spans="1:11">
      <c r="A625" s="156">
        <v>45733</v>
      </c>
      <c r="B625" s="150">
        <f>'[1]Fliggy Store Daily Key Data'!B2292</f>
        <v>35251</v>
      </c>
      <c r="C625" s="150">
        <f>'[1]Fliggy Store Daily Key Data'!C2292</f>
        <v>8774</v>
      </c>
      <c r="D625" s="150">
        <f>'[1]Fliggy Store Daily Key Data'!G2292</f>
        <v>4304</v>
      </c>
      <c r="E625" s="150">
        <v>58</v>
      </c>
      <c r="F625" s="150">
        <f>'[1]Fliggy Store Daily Key Data'!K2292</f>
        <v>147689</v>
      </c>
      <c r="G625" s="150">
        <v>295</v>
      </c>
      <c r="H625" s="155">
        <f t="shared" si="18"/>
        <v>0.0372881355932203</v>
      </c>
      <c r="I625" s="73">
        <f>'[1]Fliggy Store Daily Key Data'!I2292</f>
        <v>11</v>
      </c>
      <c r="J625" s="18">
        <f t="shared" si="19"/>
        <v>0.0012537041258263</v>
      </c>
      <c r="K625" s="5"/>
    </row>
    <row r="626" ht="13.85" spans="1:11">
      <c r="A626" s="156">
        <v>45734</v>
      </c>
      <c r="B626" s="150">
        <f>'[1]Fliggy Store Daily Key Data'!B2293</f>
        <v>42997</v>
      </c>
      <c r="C626" s="150">
        <f>'[1]Fliggy Store Daily Key Data'!C2293</f>
        <v>12001</v>
      </c>
      <c r="D626" s="150">
        <f>'[1]Fliggy Store Daily Key Data'!G2293</f>
        <v>5963</v>
      </c>
      <c r="E626" s="150">
        <v>47</v>
      </c>
      <c r="F626" s="150">
        <f>'[1]Fliggy Store Daily Key Data'!K2293</f>
        <v>182059.49</v>
      </c>
      <c r="G626" s="150">
        <v>294</v>
      </c>
      <c r="H626" s="155">
        <f t="shared" si="18"/>
        <v>0.0578231292517007</v>
      </c>
      <c r="I626" s="73">
        <f>'[1]Fliggy Store Daily Key Data'!I2293</f>
        <v>17</v>
      </c>
      <c r="J626" s="18">
        <f t="shared" si="19"/>
        <v>0.00141654862094825</v>
      </c>
      <c r="K626" s="5"/>
    </row>
    <row r="627" ht="13.85" spans="1:11">
      <c r="A627" s="156">
        <v>45735</v>
      </c>
      <c r="B627" s="150">
        <f>'[1]Fliggy Store Daily Key Data'!B2294</f>
        <v>35853</v>
      </c>
      <c r="C627" s="150">
        <f>'[1]Fliggy Store Daily Key Data'!C2294</f>
        <v>10431</v>
      </c>
      <c r="D627" s="150">
        <f>'[1]Fliggy Store Daily Key Data'!G2294</f>
        <v>4860</v>
      </c>
      <c r="E627" s="150">
        <v>51</v>
      </c>
      <c r="F627" s="150">
        <f>'[1]Fliggy Store Daily Key Data'!K2294</f>
        <v>189259.02</v>
      </c>
      <c r="G627" s="150">
        <v>267</v>
      </c>
      <c r="H627" s="155">
        <f t="shared" si="18"/>
        <v>0.0786516853932584</v>
      </c>
      <c r="I627" s="73">
        <f>'[1]Fliggy Store Daily Key Data'!I2294</f>
        <v>21</v>
      </c>
      <c r="J627" s="18">
        <f t="shared" si="19"/>
        <v>0.00201322979580098</v>
      </c>
      <c r="K627" s="5"/>
    </row>
    <row r="628" ht="13.85" spans="1:11">
      <c r="A628" s="156">
        <v>45736</v>
      </c>
      <c r="B628" s="150">
        <f>'[1]Fliggy Store Daily Key Data'!B2295</f>
        <v>31750</v>
      </c>
      <c r="C628" s="150">
        <f>'[1]Fliggy Store Daily Key Data'!C2295</f>
        <v>9278</v>
      </c>
      <c r="D628" s="150">
        <f>'[1]Fliggy Store Daily Key Data'!G2295</f>
        <v>4075</v>
      </c>
      <c r="E628" s="150">
        <v>51</v>
      </c>
      <c r="F628" s="150">
        <f>'[1]Fliggy Store Daily Key Data'!K2295</f>
        <v>144509.32</v>
      </c>
      <c r="G628" s="150">
        <v>276</v>
      </c>
      <c r="H628" s="155">
        <f t="shared" si="18"/>
        <v>0.0398550724637681</v>
      </c>
      <c r="I628" s="73">
        <f>'[1]Fliggy Store Daily Key Data'!I2295</f>
        <v>11</v>
      </c>
      <c r="J628" s="18">
        <f t="shared" si="19"/>
        <v>0.00118560034490192</v>
      </c>
      <c r="K628" s="5"/>
    </row>
    <row r="629" ht="13.85" spans="1:11">
      <c r="A629" s="156">
        <v>45737</v>
      </c>
      <c r="B629" s="150">
        <f>'[1]Fliggy Store Daily Key Data'!B2296</f>
        <v>33582</v>
      </c>
      <c r="C629" s="150">
        <f>'[1]Fliggy Store Daily Key Data'!C2296</f>
        <v>8831</v>
      </c>
      <c r="D629" s="150">
        <f>'[1]Fliggy Store Daily Key Data'!G2296</f>
        <v>3970</v>
      </c>
      <c r="E629" s="150">
        <v>48</v>
      </c>
      <c r="F629" s="150">
        <f>'[1]Fliggy Store Daily Key Data'!K2296</f>
        <v>279007</v>
      </c>
      <c r="G629" s="150">
        <v>201</v>
      </c>
      <c r="H629" s="155">
        <f t="shared" si="18"/>
        <v>0.129353233830846</v>
      </c>
      <c r="I629" s="73">
        <f>'[1]Fliggy Store Daily Key Data'!I2296</f>
        <v>26</v>
      </c>
      <c r="J629" s="18">
        <f t="shared" si="19"/>
        <v>0.00294417393273695</v>
      </c>
      <c r="K629" s="5"/>
    </row>
    <row r="630" ht="13.85" spans="1:11">
      <c r="A630" s="156">
        <v>45738</v>
      </c>
      <c r="B630" s="150">
        <f>'[1]Fliggy Store Daily Key Data'!B2297</f>
        <v>32840</v>
      </c>
      <c r="C630" s="150">
        <f>'[1]Fliggy Store Daily Key Data'!C2297</f>
        <v>8788</v>
      </c>
      <c r="D630" s="150">
        <f>'[1]Fliggy Store Daily Key Data'!G2297</f>
        <v>3476</v>
      </c>
      <c r="E630" s="150">
        <v>46</v>
      </c>
      <c r="F630" s="150">
        <f>'[1]Fliggy Store Daily Key Data'!K2297</f>
        <v>146217</v>
      </c>
      <c r="G630" s="150">
        <v>191</v>
      </c>
      <c r="H630" s="155">
        <f t="shared" si="18"/>
        <v>0.0837696335078534</v>
      </c>
      <c r="I630" s="73">
        <f>'[1]Fliggy Store Daily Key Data'!I2297</f>
        <v>16</v>
      </c>
      <c r="J630" s="18">
        <f t="shared" si="19"/>
        <v>0.00182066454255803</v>
      </c>
      <c r="K630" s="5"/>
    </row>
    <row r="631" ht="13.85" spans="1:11">
      <c r="A631" s="156">
        <v>45739</v>
      </c>
      <c r="B631" s="150">
        <f>'[1]Fliggy Store Daily Key Data'!B2298</f>
        <v>28233</v>
      </c>
      <c r="C631" s="150">
        <f>'[1]Fliggy Store Daily Key Data'!C2298</f>
        <v>7212</v>
      </c>
      <c r="D631" s="150">
        <f>'[1]Fliggy Store Daily Key Data'!G2298</f>
        <v>3476</v>
      </c>
      <c r="E631" s="150">
        <v>55</v>
      </c>
      <c r="F631" s="150">
        <f>'[1]Fliggy Store Daily Key Data'!K2298</f>
        <v>232647</v>
      </c>
      <c r="G631" s="150">
        <v>208</v>
      </c>
      <c r="H631" s="155">
        <f t="shared" si="18"/>
        <v>0.100961538461538</v>
      </c>
      <c r="I631" s="73">
        <f>'[1]Fliggy Store Daily Key Data'!I2298</f>
        <v>21</v>
      </c>
      <c r="J631" s="18">
        <f t="shared" si="19"/>
        <v>0.00291181364392679</v>
      </c>
      <c r="K631" s="5"/>
    </row>
    <row r="632" ht="13.85" spans="1:11">
      <c r="A632" s="156">
        <v>45740</v>
      </c>
      <c r="B632" s="150">
        <f>'[1]Fliggy Store Daily Key Data'!B2299</f>
        <v>27129</v>
      </c>
      <c r="C632" s="150">
        <f>'[1]Fliggy Store Daily Key Data'!C2299</f>
        <v>7539</v>
      </c>
      <c r="D632" s="150">
        <f>'[1]Fliggy Store Daily Key Data'!G2299</f>
        <v>3465</v>
      </c>
      <c r="E632" s="150">
        <v>58</v>
      </c>
      <c r="F632" s="150">
        <f>'[1]Fliggy Store Daily Key Data'!K2299</f>
        <v>93809.56</v>
      </c>
      <c r="G632" s="150">
        <v>236</v>
      </c>
      <c r="H632" s="155">
        <f t="shared" si="18"/>
        <v>0.0423728813559322</v>
      </c>
      <c r="I632" s="73">
        <f>'[1]Fliggy Store Daily Key Data'!I2299</f>
        <v>10</v>
      </c>
      <c r="J632" s="18">
        <f t="shared" si="19"/>
        <v>0.00132643586682584</v>
      </c>
      <c r="K632" s="5"/>
    </row>
    <row r="633" ht="13.85" spans="1:11">
      <c r="A633" s="156">
        <v>45741</v>
      </c>
      <c r="B633" s="150">
        <f>'[1]Fliggy Store Daily Key Data'!B2300</f>
        <v>33209</v>
      </c>
      <c r="C633" s="150">
        <f>'[1]Fliggy Store Daily Key Data'!C2300</f>
        <v>9519</v>
      </c>
      <c r="D633" s="150">
        <f>'[1]Fliggy Store Daily Key Data'!G2300</f>
        <v>4843</v>
      </c>
      <c r="E633" s="150">
        <v>42</v>
      </c>
      <c r="F633" s="150">
        <f>'[1]Fliggy Store Daily Key Data'!K2300</f>
        <v>208150</v>
      </c>
      <c r="G633" s="150">
        <v>255</v>
      </c>
      <c r="H633" s="155">
        <f t="shared" si="18"/>
        <v>0.0784313725490196</v>
      </c>
      <c r="I633" s="73">
        <f>'[1]Fliggy Store Daily Key Data'!I2300</f>
        <v>20</v>
      </c>
      <c r="J633" s="18">
        <f t="shared" si="19"/>
        <v>0.00210106103582309</v>
      </c>
      <c r="K633" s="5"/>
    </row>
    <row r="634" ht="13.85" spans="1:11">
      <c r="A634" s="156">
        <v>45742</v>
      </c>
      <c r="B634" s="150">
        <f>'[1]Fliggy Store Daily Key Data'!B2301</f>
        <v>35837</v>
      </c>
      <c r="C634" s="150">
        <f>'[1]Fliggy Store Daily Key Data'!C2301</f>
        <v>9497</v>
      </c>
      <c r="D634" s="150">
        <f>'[1]Fliggy Store Daily Key Data'!G2301</f>
        <v>5735</v>
      </c>
      <c r="E634" s="150">
        <v>37</v>
      </c>
      <c r="F634" s="150">
        <f>'[1]Fliggy Store Daily Key Data'!K2301</f>
        <v>205650</v>
      </c>
      <c r="G634" s="150">
        <v>236</v>
      </c>
      <c r="H634" s="155">
        <f t="shared" si="18"/>
        <v>0.0889830508474576</v>
      </c>
      <c r="I634" s="73">
        <f>'[1]Fliggy Store Daily Key Data'!I2301</f>
        <v>21</v>
      </c>
      <c r="J634" s="18">
        <f t="shared" si="19"/>
        <v>0.00221122459724123</v>
      </c>
      <c r="K634" s="5"/>
    </row>
    <row r="635" ht="13.85" spans="1:11">
      <c r="A635" s="156">
        <v>45743</v>
      </c>
      <c r="B635" s="150">
        <f>'[1]Fliggy Store Daily Key Data'!B2302</f>
        <v>32108</v>
      </c>
      <c r="C635" s="150">
        <f>'[1]Fliggy Store Daily Key Data'!C2302</f>
        <v>9248</v>
      </c>
      <c r="D635" s="150">
        <f>'[1]Fliggy Store Daily Key Data'!G2302</f>
        <v>4851</v>
      </c>
      <c r="E635" s="150">
        <v>47</v>
      </c>
      <c r="F635" s="150">
        <f>'[1]Fliggy Store Daily Key Data'!K2302</f>
        <v>201911</v>
      </c>
      <c r="G635" s="150">
        <v>233</v>
      </c>
      <c r="H635" s="155">
        <f t="shared" si="18"/>
        <v>0.0815450643776824</v>
      </c>
      <c r="I635" s="73">
        <f>'[1]Fliggy Store Daily Key Data'!I2302</f>
        <v>19</v>
      </c>
      <c r="J635" s="18">
        <f t="shared" si="19"/>
        <v>0.00205449826989619</v>
      </c>
      <c r="K635" s="5"/>
    </row>
    <row r="636" ht="13.85" spans="1:11">
      <c r="A636" s="156">
        <v>45744</v>
      </c>
      <c r="B636" s="150">
        <f>'[1]Fliggy Store Daily Key Data'!B2303</f>
        <v>31743</v>
      </c>
      <c r="C636" s="150">
        <f>'[1]Fliggy Store Daily Key Data'!C2303</f>
        <v>9710</v>
      </c>
      <c r="D636" s="150">
        <f>'[1]Fliggy Store Daily Key Data'!G2303</f>
        <v>4501</v>
      </c>
      <c r="E636" s="150">
        <v>36</v>
      </c>
      <c r="F636" s="150">
        <f>'[1]Fliggy Store Daily Key Data'!K2303</f>
        <v>259711.02</v>
      </c>
      <c r="G636" s="150">
        <v>249</v>
      </c>
      <c r="H636" s="155">
        <f t="shared" si="18"/>
        <v>0.0963855421686747</v>
      </c>
      <c r="I636" s="73">
        <f>'[1]Fliggy Store Daily Key Data'!I2303</f>
        <v>24</v>
      </c>
      <c r="J636" s="18">
        <f t="shared" si="19"/>
        <v>0.00247167868177137</v>
      </c>
      <c r="K636" s="5"/>
    </row>
    <row r="637" ht="13.85" spans="1:11">
      <c r="A637" s="156">
        <v>45745</v>
      </c>
      <c r="B637" s="150">
        <f>'[1]Fliggy Store Daily Key Data'!B2304</f>
        <v>50415</v>
      </c>
      <c r="C637" s="150">
        <f>'[1]Fliggy Store Daily Key Data'!C2304</f>
        <v>25106</v>
      </c>
      <c r="D637" s="150">
        <f>'[1]Fliggy Store Daily Key Data'!G2304</f>
        <v>5330</v>
      </c>
      <c r="E637" s="150">
        <v>35</v>
      </c>
      <c r="F637" s="150">
        <f>'[1]Fliggy Store Daily Key Data'!K2304</f>
        <v>275020.02</v>
      </c>
      <c r="G637" s="150">
        <v>236</v>
      </c>
      <c r="H637" s="155">
        <f t="shared" si="18"/>
        <v>0.114406779661017</v>
      </c>
      <c r="I637" s="73">
        <f>'[1]Fliggy Store Daily Key Data'!I2304</f>
        <v>27</v>
      </c>
      <c r="J637" s="18">
        <f t="shared" si="19"/>
        <v>0.00107544013383255</v>
      </c>
      <c r="K637" s="5"/>
    </row>
    <row r="638" ht="13.85" spans="1:11">
      <c r="A638" s="156">
        <v>45746</v>
      </c>
      <c r="B638" s="150">
        <f>'[1]Fliggy Store Daily Key Data'!B2305</f>
        <v>52839</v>
      </c>
      <c r="C638" s="150">
        <f>'[1]Fliggy Store Daily Key Data'!C2305</f>
        <v>26144</v>
      </c>
      <c r="D638" s="150">
        <f>'[1]Fliggy Store Daily Key Data'!G2305</f>
        <v>5434</v>
      </c>
      <c r="E638" s="150">
        <v>66</v>
      </c>
      <c r="F638" s="150">
        <f>'[1]Fliggy Store Daily Key Data'!K2305</f>
        <v>420792</v>
      </c>
      <c r="G638" s="150">
        <v>218</v>
      </c>
      <c r="H638" s="155">
        <f t="shared" si="18"/>
        <v>0.169724770642202</v>
      </c>
      <c r="I638" s="73">
        <f>'[1]Fliggy Store Daily Key Data'!I2305</f>
        <v>37</v>
      </c>
      <c r="J638" s="18">
        <f t="shared" si="19"/>
        <v>0.00141523867809058</v>
      </c>
      <c r="K638" s="5"/>
    </row>
    <row r="639" ht="13.85" spans="1:11">
      <c r="A639" s="156">
        <v>45747</v>
      </c>
      <c r="B639" s="150">
        <f>'[1]Fliggy Store Daily Key Data'!B2306</f>
        <v>55189</v>
      </c>
      <c r="C639" s="150">
        <f>'[1]Fliggy Store Daily Key Data'!C2306</f>
        <v>26858</v>
      </c>
      <c r="D639" s="150">
        <f>'[1]Fliggy Store Daily Key Data'!G2306</f>
        <v>7760</v>
      </c>
      <c r="E639" s="150">
        <v>40</v>
      </c>
      <c r="F639" s="150">
        <f>'[1]Fliggy Store Daily Key Data'!K2306</f>
        <v>414016.32</v>
      </c>
      <c r="G639" s="150">
        <v>270</v>
      </c>
      <c r="H639" s="155">
        <f t="shared" si="18"/>
        <v>0.155555555555556</v>
      </c>
      <c r="I639" s="73">
        <f>'[1]Fliggy Store Daily Key Data'!I2306</f>
        <v>42</v>
      </c>
      <c r="J639" s="18">
        <f t="shared" si="19"/>
        <v>0.00156377987936555</v>
      </c>
      <c r="K639" s="5"/>
    </row>
    <row r="640" ht="13.85" spans="1:11">
      <c r="A640" s="156">
        <v>45748</v>
      </c>
      <c r="B640" s="150">
        <f>'[1]Fliggy Store Daily Key Data'!B2307</f>
        <v>24353</v>
      </c>
      <c r="C640" s="150">
        <f>'[1]Fliggy Store Daily Key Data'!C2307</f>
        <v>6969</v>
      </c>
      <c r="D640" s="150">
        <f>'[1]Fliggy Store Daily Key Data'!G2307</f>
        <v>3095</v>
      </c>
      <c r="E640" s="150">
        <v>56</v>
      </c>
      <c r="F640" s="150">
        <f>'[1]Fliggy Store Daily Key Data'!K2307</f>
        <v>143826</v>
      </c>
      <c r="G640" s="150">
        <v>211</v>
      </c>
      <c r="H640" s="155">
        <f t="shared" si="18"/>
        <v>0.0616113744075829</v>
      </c>
      <c r="I640" s="73">
        <f>'[1]Fliggy Store Daily Key Data'!I2307</f>
        <v>13</v>
      </c>
      <c r="J640" s="18">
        <f t="shared" si="19"/>
        <v>0.00186540393169752</v>
      </c>
      <c r="K640" s="5"/>
    </row>
    <row r="641" ht="13.85" spans="1:11">
      <c r="A641" s="156">
        <v>45749</v>
      </c>
      <c r="B641" s="150">
        <f>'[1]Fliggy Store Daily Key Data'!B2308</f>
        <v>22043</v>
      </c>
      <c r="C641" s="150">
        <f>'[1]Fliggy Store Daily Key Data'!C2308</f>
        <v>6423</v>
      </c>
      <c r="D641" s="150">
        <f>'[1]Fliggy Store Daily Key Data'!G2308</f>
        <v>3084</v>
      </c>
      <c r="E641" s="150">
        <v>40</v>
      </c>
      <c r="F641" s="150">
        <f>'[1]Fliggy Store Daily Key Data'!K2308</f>
        <v>156911.01</v>
      </c>
      <c r="G641" s="150">
        <v>164</v>
      </c>
      <c r="H641" s="155">
        <f t="shared" si="18"/>
        <v>0.0670731707317073</v>
      </c>
      <c r="I641" s="73">
        <f>'[1]Fliggy Store Daily Key Data'!I2308</f>
        <v>11</v>
      </c>
      <c r="J641" s="18">
        <f t="shared" si="19"/>
        <v>0.00171259536042348</v>
      </c>
      <c r="K641" s="5"/>
    </row>
    <row r="642" ht="13.85" spans="1:11">
      <c r="A642" s="156">
        <v>45750</v>
      </c>
      <c r="B642" s="150">
        <f>'[1]Fliggy Store Daily Key Data'!B2309</f>
        <v>18308</v>
      </c>
      <c r="C642" s="150">
        <f>'[1]Fliggy Store Daily Key Data'!C2309</f>
        <v>5707</v>
      </c>
      <c r="D642" s="150">
        <f>'[1]Fliggy Store Daily Key Data'!G2309</f>
        <v>2491</v>
      </c>
      <c r="E642" s="150">
        <v>23</v>
      </c>
      <c r="F642" s="150">
        <f>'[1]Fliggy Store Daily Key Data'!K2309</f>
        <v>45868</v>
      </c>
      <c r="G642" s="150">
        <v>188</v>
      </c>
      <c r="H642" s="155">
        <f t="shared" ref="H642:H705" si="20">I642/G642</f>
        <v>0.0265957446808511</v>
      </c>
      <c r="I642" s="73">
        <f>'[1]Fliggy Store Daily Key Data'!I2309</f>
        <v>5</v>
      </c>
      <c r="J642" s="18">
        <f t="shared" si="19"/>
        <v>0.000876117049237778</v>
      </c>
      <c r="K642" s="5"/>
    </row>
    <row r="643" ht="13.85" spans="1:11">
      <c r="A643" s="156">
        <v>45751</v>
      </c>
      <c r="B643" s="150">
        <f>'[1]Fliggy Store Daily Key Data'!B2310</f>
        <v>20519</v>
      </c>
      <c r="C643" s="150">
        <f>'[1]Fliggy Store Daily Key Data'!C2310</f>
        <v>6025</v>
      </c>
      <c r="D643" s="150">
        <f>'[1]Fliggy Store Daily Key Data'!G2310</f>
        <v>2646</v>
      </c>
      <c r="E643" s="150">
        <v>37</v>
      </c>
      <c r="F643" s="150">
        <f>'[1]Fliggy Store Daily Key Data'!K2310</f>
        <v>118144.32</v>
      </c>
      <c r="G643" s="150">
        <v>167</v>
      </c>
      <c r="H643" s="155">
        <f t="shared" si="20"/>
        <v>0.0718562874251497</v>
      </c>
      <c r="I643" s="73">
        <f>'[1]Fliggy Store Daily Key Data'!I2310</f>
        <v>12</v>
      </c>
      <c r="J643" s="18">
        <f t="shared" si="19"/>
        <v>0.00199170124481328</v>
      </c>
      <c r="K643" s="5"/>
    </row>
    <row r="644" ht="13.85" spans="1:11">
      <c r="A644" s="156">
        <v>45752</v>
      </c>
      <c r="B644" s="150">
        <f>'[1]Fliggy Store Daily Key Data'!B2311</f>
        <v>18596</v>
      </c>
      <c r="C644" s="150">
        <f>'[1]Fliggy Store Daily Key Data'!C2311</f>
        <v>5643</v>
      </c>
      <c r="D644" s="150">
        <f>'[1]Fliggy Store Daily Key Data'!G2311</f>
        <v>2436</v>
      </c>
      <c r="E644" s="150">
        <v>28</v>
      </c>
      <c r="F644" s="150">
        <f>'[1]Fliggy Store Daily Key Data'!K2311</f>
        <v>89740</v>
      </c>
      <c r="G644" s="150">
        <v>140</v>
      </c>
      <c r="H644" s="155">
        <f t="shared" si="20"/>
        <v>0.0642857142857143</v>
      </c>
      <c r="I644" s="73">
        <f>'[1]Fliggy Store Daily Key Data'!I2311</f>
        <v>9</v>
      </c>
      <c r="J644" s="18">
        <f t="shared" si="19"/>
        <v>0.00159489633173844</v>
      </c>
      <c r="K644" s="5"/>
    </row>
    <row r="645" ht="13.85" spans="1:11">
      <c r="A645" s="156">
        <v>45753</v>
      </c>
      <c r="B645" s="150">
        <f>'[1]Fliggy Store Daily Key Data'!B2312</f>
        <v>20799</v>
      </c>
      <c r="C645" s="150">
        <f>'[1]Fliggy Store Daily Key Data'!C2312</f>
        <v>6503</v>
      </c>
      <c r="D645" s="150">
        <f>'[1]Fliggy Store Daily Key Data'!G2312</f>
        <v>2504</v>
      </c>
      <c r="E645" s="150">
        <v>30</v>
      </c>
      <c r="F645" s="150">
        <f>'[1]Fliggy Store Daily Key Data'!K2312</f>
        <v>292048</v>
      </c>
      <c r="G645" s="150">
        <v>158</v>
      </c>
      <c r="H645" s="155">
        <f t="shared" si="20"/>
        <v>0.0886075949367089</v>
      </c>
      <c r="I645" s="73">
        <f>'[1]Fliggy Store Daily Key Data'!I2312</f>
        <v>14</v>
      </c>
      <c r="J645" s="18">
        <f t="shared" si="19"/>
        <v>0.00215285252960172</v>
      </c>
      <c r="K645" s="5"/>
    </row>
    <row r="646" ht="13.85" spans="1:11">
      <c r="A646" s="156">
        <v>45754</v>
      </c>
      <c r="B646" s="150">
        <f>'[1]Fliggy Store Daily Key Data'!B2313</f>
        <v>24811</v>
      </c>
      <c r="C646" s="150">
        <f>'[1]Fliggy Store Daily Key Data'!C2313</f>
        <v>7077</v>
      </c>
      <c r="D646" s="150">
        <f>'[1]Fliggy Store Daily Key Data'!G2313</f>
        <v>3212</v>
      </c>
      <c r="E646" s="150">
        <v>49</v>
      </c>
      <c r="F646" s="150">
        <f>'[1]Fliggy Store Daily Key Data'!K2313</f>
        <v>201151</v>
      </c>
      <c r="G646" s="150">
        <v>228</v>
      </c>
      <c r="H646" s="155">
        <f t="shared" si="20"/>
        <v>0.100877192982456</v>
      </c>
      <c r="I646" s="73">
        <f>'[1]Fliggy Store Daily Key Data'!I2313</f>
        <v>23</v>
      </c>
      <c r="J646" s="18">
        <f t="shared" si="19"/>
        <v>0.00324996467429702</v>
      </c>
      <c r="K646" s="5"/>
    </row>
    <row r="647" ht="13.85" spans="1:11">
      <c r="A647" s="156">
        <v>45755</v>
      </c>
      <c r="B647" s="150">
        <f>'[1]Fliggy Store Daily Key Data'!B2314</f>
        <v>22301</v>
      </c>
      <c r="C647" s="150">
        <f>'[1]Fliggy Store Daily Key Data'!C2314</f>
        <v>6951</v>
      </c>
      <c r="D647" s="150">
        <f>'[1]Fliggy Store Daily Key Data'!G2314</f>
        <v>2677</v>
      </c>
      <c r="E647" s="150">
        <v>31</v>
      </c>
      <c r="F647" s="150">
        <f>'[1]Fliggy Store Daily Key Data'!K2314</f>
        <v>117416.7</v>
      </c>
      <c r="G647" s="150">
        <v>197</v>
      </c>
      <c r="H647" s="155">
        <f t="shared" si="20"/>
        <v>0.050761421319797</v>
      </c>
      <c r="I647" s="73">
        <f>'[1]Fliggy Store Daily Key Data'!I2314</f>
        <v>10</v>
      </c>
      <c r="J647" s="18">
        <f t="shared" si="19"/>
        <v>0.00143864192202561</v>
      </c>
      <c r="K647" s="5"/>
    </row>
    <row r="648" ht="13.85" spans="1:11">
      <c r="A648" s="156">
        <v>45756</v>
      </c>
      <c r="B648" s="150">
        <f>'[1]Fliggy Store Daily Key Data'!B2315</f>
        <v>24587</v>
      </c>
      <c r="C648" s="150">
        <f>'[1]Fliggy Store Daily Key Data'!C2315</f>
        <v>7369</v>
      </c>
      <c r="D648" s="150">
        <f>'[1]Fliggy Store Daily Key Data'!G2315</f>
        <v>2888</v>
      </c>
      <c r="E648" s="150">
        <v>46</v>
      </c>
      <c r="F648" s="150">
        <f>'[1]Fliggy Store Daily Key Data'!K2315</f>
        <v>128929.01</v>
      </c>
      <c r="G648" s="150">
        <v>201</v>
      </c>
      <c r="H648" s="155">
        <f t="shared" si="20"/>
        <v>0.054726368159204</v>
      </c>
      <c r="I648" s="73">
        <f>'[1]Fliggy Store Daily Key Data'!I2315</f>
        <v>11</v>
      </c>
      <c r="J648" s="18">
        <f t="shared" si="19"/>
        <v>0.00149273985615416</v>
      </c>
      <c r="K648" s="5"/>
    </row>
    <row r="649" ht="13.85" spans="1:11">
      <c r="A649" s="156">
        <v>45757</v>
      </c>
      <c r="B649" s="150">
        <f>'[1]Fliggy Store Daily Key Data'!B2316</f>
        <v>23669</v>
      </c>
      <c r="C649" s="150">
        <f>'[1]Fliggy Store Daily Key Data'!C2316</f>
        <v>7093</v>
      </c>
      <c r="D649" s="150">
        <f>'[1]Fliggy Store Daily Key Data'!G2316</f>
        <v>2916</v>
      </c>
      <c r="E649" s="150">
        <v>31</v>
      </c>
      <c r="F649" s="150">
        <f>'[1]Fliggy Store Daily Key Data'!K2316</f>
        <v>121692.01</v>
      </c>
      <c r="G649" s="150">
        <v>227</v>
      </c>
      <c r="H649" s="155">
        <f t="shared" si="20"/>
        <v>0.052863436123348</v>
      </c>
      <c r="I649" s="73">
        <f>'[1]Fliggy Store Daily Key Data'!I2316</f>
        <v>12</v>
      </c>
      <c r="J649" s="18">
        <f t="shared" si="19"/>
        <v>0.00169180882560271</v>
      </c>
      <c r="K649" s="5"/>
    </row>
    <row r="650" ht="13.85" spans="1:11">
      <c r="A650" s="156">
        <v>45758</v>
      </c>
      <c r="B650" s="150">
        <f>'[1]Fliggy Store Daily Key Data'!B2317</f>
        <v>22688</v>
      </c>
      <c r="C650" s="150">
        <f>'[1]Fliggy Store Daily Key Data'!C2317</f>
        <v>6577</v>
      </c>
      <c r="D650" s="150">
        <f>'[1]Fliggy Store Daily Key Data'!G2317</f>
        <v>3425</v>
      </c>
      <c r="E650" s="150">
        <v>32</v>
      </c>
      <c r="F650" s="150">
        <f>'[1]Fliggy Store Daily Key Data'!K2317</f>
        <v>151664</v>
      </c>
      <c r="G650" s="150">
        <v>237</v>
      </c>
      <c r="H650" s="155">
        <f t="shared" si="20"/>
        <v>0.0548523206751055</v>
      </c>
      <c r="I650" s="73">
        <f>'[1]Fliggy Store Daily Key Data'!I2317</f>
        <v>13</v>
      </c>
      <c r="J650" s="18">
        <f t="shared" si="19"/>
        <v>0.00197658506918048</v>
      </c>
      <c r="K650" s="5"/>
    </row>
    <row r="651" ht="13.85" spans="1:11">
      <c r="A651" s="156">
        <v>45759</v>
      </c>
      <c r="B651" s="150">
        <f>'[1]Fliggy Store Daily Key Data'!B2318</f>
        <v>46966</v>
      </c>
      <c r="C651" s="150">
        <f>'[1]Fliggy Store Daily Key Data'!C2318</f>
        <v>24953</v>
      </c>
      <c r="D651" s="150">
        <f>'[1]Fliggy Store Daily Key Data'!G2318</f>
        <v>3844</v>
      </c>
      <c r="E651" s="150">
        <v>37</v>
      </c>
      <c r="F651" s="150">
        <f>'[1]Fliggy Store Daily Key Data'!K2318</f>
        <v>87644</v>
      </c>
      <c r="G651" s="150">
        <v>204</v>
      </c>
      <c r="H651" s="155">
        <f t="shared" si="20"/>
        <v>0.0294117647058824</v>
      </c>
      <c r="I651" s="73">
        <f>'[1]Fliggy Store Daily Key Data'!I2318</f>
        <v>6</v>
      </c>
      <c r="J651" s="18">
        <f t="shared" si="19"/>
        <v>0.000240452049853725</v>
      </c>
      <c r="K651" s="5"/>
    </row>
    <row r="652" ht="13.85" spans="1:11">
      <c r="A652" s="156">
        <v>45760</v>
      </c>
      <c r="B652" s="150">
        <f>'[1]Fliggy Store Daily Key Data'!B2319</f>
        <v>45730</v>
      </c>
      <c r="C652" s="150">
        <f>'[1]Fliggy Store Daily Key Data'!C2319</f>
        <v>19885</v>
      </c>
      <c r="D652" s="150">
        <f>'[1]Fliggy Store Daily Key Data'!G2319</f>
        <v>3630</v>
      </c>
      <c r="E652" s="150">
        <v>43</v>
      </c>
      <c r="F652" s="150">
        <f>'[1]Fliggy Store Daily Key Data'!K2319</f>
        <v>126471.68</v>
      </c>
      <c r="G652" s="150">
        <v>230</v>
      </c>
      <c r="H652" s="155">
        <f t="shared" si="20"/>
        <v>0.0391304347826087</v>
      </c>
      <c r="I652" s="73">
        <f>'[1]Fliggy Store Daily Key Data'!I2319</f>
        <v>9</v>
      </c>
      <c r="J652" s="18">
        <f t="shared" si="19"/>
        <v>0.000452602464168972</v>
      </c>
      <c r="K652" s="5"/>
    </row>
    <row r="653" ht="13.85" spans="1:11">
      <c r="A653" s="156">
        <v>45761</v>
      </c>
      <c r="B653" s="150">
        <f>'[1]Fliggy Store Daily Key Data'!B2320</f>
        <v>30655</v>
      </c>
      <c r="C653" s="150">
        <f>'[1]Fliggy Store Daily Key Data'!C2320</f>
        <v>12192</v>
      </c>
      <c r="D653" s="150">
        <f>'[1]Fliggy Store Daily Key Data'!G2320</f>
        <v>3447</v>
      </c>
      <c r="E653" s="150">
        <v>30</v>
      </c>
      <c r="F653" s="150">
        <f>'[1]Fliggy Store Daily Key Data'!K2320</f>
        <v>159413.76</v>
      </c>
      <c r="G653" s="150">
        <v>246</v>
      </c>
      <c r="H653" s="155">
        <f t="shared" si="20"/>
        <v>0.0487804878048781</v>
      </c>
      <c r="I653" s="73">
        <f>'[1]Fliggy Store Daily Key Data'!I2320</f>
        <v>12</v>
      </c>
      <c r="J653" s="18">
        <f t="shared" si="19"/>
        <v>0.000984251968503937</v>
      </c>
      <c r="K653" s="5"/>
    </row>
    <row r="654" ht="13.85" spans="1:11">
      <c r="A654" s="156">
        <v>45762</v>
      </c>
      <c r="B654" s="150">
        <f>'[1]Fliggy Store Daily Key Data'!B2321</f>
        <v>32799</v>
      </c>
      <c r="C654" s="150">
        <f>'[1]Fliggy Store Daily Key Data'!C2321</f>
        <v>13485</v>
      </c>
      <c r="D654" s="150">
        <f>'[1]Fliggy Store Daily Key Data'!G2321</f>
        <v>3209</v>
      </c>
      <c r="E654" s="150">
        <v>36</v>
      </c>
      <c r="F654" s="150">
        <f>'[1]Fliggy Store Daily Key Data'!K2321</f>
        <v>150179</v>
      </c>
      <c r="G654" s="150">
        <v>222</v>
      </c>
      <c r="H654" s="155">
        <f t="shared" si="20"/>
        <v>0.0630630630630631</v>
      </c>
      <c r="I654" s="73">
        <f>'[1]Fliggy Store Daily Key Data'!I2321</f>
        <v>14</v>
      </c>
      <c r="J654" s="18">
        <f t="shared" si="19"/>
        <v>0.00103819058212829</v>
      </c>
      <c r="K654" s="5"/>
    </row>
    <row r="655" ht="13.85" spans="1:11">
      <c r="A655" s="156">
        <v>45763</v>
      </c>
      <c r="B655" s="150">
        <f>'[1]Fliggy Store Daily Key Data'!B2322</f>
        <v>32054</v>
      </c>
      <c r="C655" s="150">
        <f>'[1]Fliggy Store Daily Key Data'!C2322</f>
        <v>11739</v>
      </c>
      <c r="D655" s="150">
        <f>'[1]Fliggy Store Daily Key Data'!G2322</f>
        <v>3973</v>
      </c>
      <c r="E655" s="150">
        <v>55</v>
      </c>
      <c r="F655" s="150">
        <f>'[1]Fliggy Store Daily Key Data'!K2322</f>
        <v>154356.44</v>
      </c>
      <c r="G655" s="150">
        <v>269</v>
      </c>
      <c r="H655" s="155">
        <f t="shared" si="20"/>
        <v>0.0557620817843866</v>
      </c>
      <c r="I655" s="73">
        <f>'[1]Fliggy Store Daily Key Data'!I2322</f>
        <v>15</v>
      </c>
      <c r="J655" s="18">
        <f t="shared" si="19"/>
        <v>0.00127779197546639</v>
      </c>
      <c r="K655" s="5"/>
    </row>
    <row r="656" ht="13.85" spans="1:11">
      <c r="A656" s="156">
        <v>45764</v>
      </c>
      <c r="B656" s="150">
        <f>'[1]Fliggy Store Daily Key Data'!B2323</f>
        <v>37141</v>
      </c>
      <c r="C656" s="150">
        <f>'[1]Fliggy Store Daily Key Data'!C2323</f>
        <v>13126</v>
      </c>
      <c r="D656" s="150">
        <f>'[1]Fliggy Store Daily Key Data'!G2323</f>
        <v>4486</v>
      </c>
      <c r="E656" s="150">
        <v>47</v>
      </c>
      <c r="F656" s="150">
        <f>'[1]Fliggy Store Daily Key Data'!K2323</f>
        <v>57028</v>
      </c>
      <c r="G656" s="150">
        <v>228</v>
      </c>
      <c r="H656" s="155">
        <f t="shared" si="20"/>
        <v>0.0219298245614035</v>
      </c>
      <c r="I656" s="73">
        <f>'[1]Fliggy Store Daily Key Data'!I2323</f>
        <v>5</v>
      </c>
      <c r="J656" s="18">
        <f t="shared" si="19"/>
        <v>0.000380923358220326</v>
      </c>
      <c r="K656" s="5"/>
    </row>
    <row r="657" ht="13.85" spans="1:11">
      <c r="A657" s="156">
        <v>45765</v>
      </c>
      <c r="B657" s="150">
        <f>'[1]Fliggy Store Daily Key Data'!B2324</f>
        <v>35266</v>
      </c>
      <c r="C657" s="150">
        <f>'[1]Fliggy Store Daily Key Data'!C2324</f>
        <v>12988</v>
      </c>
      <c r="D657" s="150">
        <f>'[1]Fliggy Store Daily Key Data'!G2324</f>
        <v>3643</v>
      </c>
      <c r="E657" s="150">
        <v>54</v>
      </c>
      <c r="F657" s="150">
        <f>'[1]Fliggy Store Daily Key Data'!K2324</f>
        <v>353408</v>
      </c>
      <c r="G657" s="150">
        <v>185</v>
      </c>
      <c r="H657" s="155">
        <f t="shared" si="20"/>
        <v>0.124324324324324</v>
      </c>
      <c r="I657" s="73">
        <f>'[1]Fliggy Store Daily Key Data'!I2324</f>
        <v>23</v>
      </c>
      <c r="J657" s="18">
        <f t="shared" si="19"/>
        <v>0.00177086541422852</v>
      </c>
      <c r="K657" s="5"/>
    </row>
    <row r="658" ht="13.85" spans="1:11">
      <c r="A658" s="156">
        <v>45766</v>
      </c>
      <c r="B658" s="150">
        <f>'[1]Fliggy Store Daily Key Data'!B2325</f>
        <v>32030</v>
      </c>
      <c r="C658" s="150">
        <f>'[1]Fliggy Store Daily Key Data'!C2325</f>
        <v>12299</v>
      </c>
      <c r="D658" s="150">
        <f>'[1]Fliggy Store Daily Key Data'!G2325</f>
        <v>3592</v>
      </c>
      <c r="E658" s="150">
        <v>49</v>
      </c>
      <c r="F658" s="150">
        <f>'[1]Fliggy Store Daily Key Data'!K2325</f>
        <v>112127</v>
      </c>
      <c r="G658" s="150">
        <v>165</v>
      </c>
      <c r="H658" s="155">
        <f t="shared" si="20"/>
        <v>0.0545454545454545</v>
      </c>
      <c r="I658" s="73">
        <f>'[1]Fliggy Store Daily Key Data'!I2325</f>
        <v>9</v>
      </c>
      <c r="J658" s="18">
        <f t="shared" si="19"/>
        <v>0.000731766810309781</v>
      </c>
      <c r="K658" s="5"/>
    </row>
    <row r="659" ht="13.85" spans="1:11">
      <c r="A659" s="156">
        <v>45767</v>
      </c>
      <c r="B659" s="150">
        <f>'[1]Fliggy Store Daily Key Data'!B2326</f>
        <v>28718</v>
      </c>
      <c r="C659" s="150">
        <f>'[1]Fliggy Store Daily Key Data'!C2326</f>
        <v>10595</v>
      </c>
      <c r="D659" s="150">
        <f>'[1]Fliggy Store Daily Key Data'!G2326</f>
        <v>3004</v>
      </c>
      <c r="E659" s="150">
        <v>55</v>
      </c>
      <c r="F659" s="150">
        <f>'[1]Fliggy Store Daily Key Data'!K2326</f>
        <v>232652.82</v>
      </c>
      <c r="G659" s="150">
        <v>189</v>
      </c>
      <c r="H659" s="155">
        <f t="shared" si="20"/>
        <v>0.0899470899470899</v>
      </c>
      <c r="I659" s="73">
        <f>'[1]Fliggy Store Daily Key Data'!I2326</f>
        <v>17</v>
      </c>
      <c r="J659" s="18">
        <f t="shared" si="19"/>
        <v>0.00160453043888627</v>
      </c>
      <c r="K659" s="5"/>
    </row>
    <row r="660" ht="13.85" spans="1:11">
      <c r="A660" s="156">
        <v>45768</v>
      </c>
      <c r="B660" s="150">
        <f>'[1]Fliggy Store Daily Key Data'!B2327</f>
        <v>29761</v>
      </c>
      <c r="C660" s="150">
        <f>'[1]Fliggy Store Daily Key Data'!C2327</f>
        <v>9965</v>
      </c>
      <c r="D660" s="150">
        <f>'[1]Fliggy Store Daily Key Data'!G2327</f>
        <v>3283</v>
      </c>
      <c r="E660" s="150">
        <v>59</v>
      </c>
      <c r="F660" s="150">
        <f>'[1]Fliggy Store Daily Key Data'!K2327</f>
        <v>147291.96</v>
      </c>
      <c r="G660" s="150">
        <v>227</v>
      </c>
      <c r="H660" s="155">
        <f t="shared" si="20"/>
        <v>0.0616740088105727</v>
      </c>
      <c r="I660" s="73">
        <f>'[1]Fliggy Store Daily Key Data'!I2327</f>
        <v>14</v>
      </c>
      <c r="J660" s="18">
        <f t="shared" si="19"/>
        <v>0.00140491721023583</v>
      </c>
      <c r="K660" s="5"/>
    </row>
    <row r="661" ht="13.85" spans="1:11">
      <c r="A661" s="156">
        <v>45769</v>
      </c>
      <c r="B661" s="150">
        <f>'[1]Fliggy Store Daily Key Data'!B2328</f>
        <v>28880</v>
      </c>
      <c r="C661" s="150">
        <f>'[1]Fliggy Store Daily Key Data'!C2328</f>
        <v>8762</v>
      </c>
      <c r="D661" s="150">
        <f>'[1]Fliggy Store Daily Key Data'!G2328</f>
        <v>2913</v>
      </c>
      <c r="E661" s="150">
        <v>37</v>
      </c>
      <c r="F661" s="150">
        <f>'[1]Fliggy Store Daily Key Data'!K2328</f>
        <v>126997.3</v>
      </c>
      <c r="G661" s="150">
        <v>243</v>
      </c>
      <c r="H661" s="155">
        <f t="shared" si="20"/>
        <v>0.0452674897119342</v>
      </c>
      <c r="I661" s="73">
        <f>'[1]Fliggy Store Daily Key Data'!I2328</f>
        <v>11</v>
      </c>
      <c r="J661" s="18">
        <f t="shared" si="19"/>
        <v>0.00125542113672677</v>
      </c>
      <c r="K661" s="5"/>
    </row>
    <row r="662" ht="13.85" spans="1:11">
      <c r="A662" s="156">
        <v>45770</v>
      </c>
      <c r="B662" s="150">
        <f>'[1]Fliggy Store Daily Key Data'!B2329</f>
        <v>23026</v>
      </c>
      <c r="C662" s="150">
        <f>'[1]Fliggy Store Daily Key Data'!C2329</f>
        <v>7571</v>
      </c>
      <c r="D662" s="150">
        <f>'[1]Fliggy Store Daily Key Data'!G2329</f>
        <v>2399</v>
      </c>
      <c r="E662" s="150">
        <v>40</v>
      </c>
      <c r="F662" s="150">
        <f>'[1]Fliggy Store Daily Key Data'!K2329</f>
        <v>62850</v>
      </c>
      <c r="G662" s="150">
        <v>192</v>
      </c>
      <c r="H662" s="155">
        <f t="shared" si="20"/>
        <v>0.0260416666666667</v>
      </c>
      <c r="I662" s="73">
        <f>'[1]Fliggy Store Daily Key Data'!I2329</f>
        <v>5</v>
      </c>
      <c r="J662" s="18">
        <f t="shared" si="19"/>
        <v>0.000660414740457007</v>
      </c>
      <c r="K662" s="5"/>
    </row>
    <row r="663" ht="13.85" spans="1:11">
      <c r="A663" s="156">
        <v>45771</v>
      </c>
      <c r="B663" s="150">
        <f>'[1]Fliggy Store Daily Key Data'!B2330</f>
        <v>20847</v>
      </c>
      <c r="C663" s="150">
        <f>'[1]Fliggy Store Daily Key Data'!C2330</f>
        <v>7268</v>
      </c>
      <c r="D663" s="150">
        <f>'[1]Fliggy Store Daily Key Data'!G2330</f>
        <v>1706</v>
      </c>
      <c r="E663" s="150">
        <v>29</v>
      </c>
      <c r="F663" s="150">
        <f>'[1]Fliggy Store Daily Key Data'!K2330</f>
        <v>100193</v>
      </c>
      <c r="G663" s="150">
        <v>183</v>
      </c>
      <c r="H663" s="155">
        <f t="shared" si="20"/>
        <v>0.0491803278688525</v>
      </c>
      <c r="I663" s="73">
        <f>'[1]Fliggy Store Daily Key Data'!I2330</f>
        <v>9</v>
      </c>
      <c r="J663" s="18">
        <f t="shared" si="19"/>
        <v>0.00123830489818382</v>
      </c>
      <c r="K663" s="5"/>
    </row>
    <row r="664" ht="13.85" spans="1:11">
      <c r="A664" s="156">
        <v>45772</v>
      </c>
      <c r="B664" s="150">
        <f>'[1]Fliggy Store Daily Key Data'!B2331</f>
        <v>20573</v>
      </c>
      <c r="C664" s="150">
        <f>'[1]Fliggy Store Daily Key Data'!C2331</f>
        <v>8627</v>
      </c>
      <c r="D664" s="150">
        <f>'[1]Fliggy Store Daily Key Data'!G2331</f>
        <v>2217</v>
      </c>
      <c r="E664" s="150">
        <v>33</v>
      </c>
      <c r="F664" s="150">
        <f>'[1]Fliggy Store Daily Key Data'!K2331</f>
        <v>172478</v>
      </c>
      <c r="G664" s="150">
        <v>206</v>
      </c>
      <c r="H664" s="155">
        <f t="shared" si="20"/>
        <v>0.0679611650485437</v>
      </c>
      <c r="I664" s="73">
        <f>'[1]Fliggy Store Daily Key Data'!I2331</f>
        <v>14</v>
      </c>
      <c r="J664" s="18">
        <f t="shared" ref="J664:J727" si="21">I664/C664</f>
        <v>0.00162281210154167</v>
      </c>
      <c r="K664" s="5"/>
    </row>
    <row r="665" ht="13.85" spans="1:11">
      <c r="A665" s="156">
        <v>45773</v>
      </c>
      <c r="B665" s="150">
        <f>'[1]Fliggy Store Daily Key Data'!B2332</f>
        <v>26504</v>
      </c>
      <c r="C665" s="150">
        <f>'[1]Fliggy Store Daily Key Data'!C2332</f>
        <v>10627</v>
      </c>
      <c r="D665" s="150">
        <f>'[1]Fliggy Store Daily Key Data'!G2332</f>
        <v>2269</v>
      </c>
      <c r="E665" s="150">
        <v>34</v>
      </c>
      <c r="F665" s="150">
        <f>'[1]Fliggy Store Daily Key Data'!K2332</f>
        <v>179013.48</v>
      </c>
      <c r="G665" s="150">
        <v>174</v>
      </c>
      <c r="H665" s="155">
        <f t="shared" si="20"/>
        <v>0.0689655172413793</v>
      </c>
      <c r="I665" s="73">
        <f>'[1]Fliggy Store Daily Key Data'!I2332</f>
        <v>12</v>
      </c>
      <c r="J665" s="18">
        <f t="shared" si="21"/>
        <v>0.00112919920956055</v>
      </c>
      <c r="K665" s="5"/>
    </row>
    <row r="666" ht="13.85" spans="1:11">
      <c r="A666" s="156">
        <v>45774</v>
      </c>
      <c r="B666" s="150">
        <f>'[1]Fliggy Store Daily Key Data'!B2333</f>
        <v>20358</v>
      </c>
      <c r="C666" s="150">
        <f>'[1]Fliggy Store Daily Key Data'!C2333</f>
        <v>7358</v>
      </c>
      <c r="D666" s="150">
        <f>'[1]Fliggy Store Daily Key Data'!G2333</f>
        <v>2482</v>
      </c>
      <c r="E666" s="150">
        <v>35</v>
      </c>
      <c r="F666" s="150">
        <f>'[1]Fliggy Store Daily Key Data'!K2333</f>
        <v>77642</v>
      </c>
      <c r="G666" s="150">
        <v>182</v>
      </c>
      <c r="H666" s="155">
        <f t="shared" si="20"/>
        <v>0.0274725274725275</v>
      </c>
      <c r="I666" s="73">
        <f>'[1]Fliggy Store Daily Key Data'!I2333</f>
        <v>5</v>
      </c>
      <c r="J666" s="18">
        <f t="shared" si="21"/>
        <v>0.000679532481652623</v>
      </c>
      <c r="K666" s="5"/>
    </row>
    <row r="667" ht="13.85" spans="1:11">
      <c r="A667" s="156">
        <v>45775</v>
      </c>
      <c r="B667" s="150">
        <f>'[1]Fliggy Store Daily Key Data'!B2334</f>
        <v>22466</v>
      </c>
      <c r="C667" s="150">
        <f>'[1]Fliggy Store Daily Key Data'!C2334</f>
        <v>8671</v>
      </c>
      <c r="D667" s="150">
        <f>'[1]Fliggy Store Daily Key Data'!G2334</f>
        <v>2180</v>
      </c>
      <c r="E667" s="150">
        <v>18</v>
      </c>
      <c r="F667" s="150">
        <f>'[1]Fliggy Store Daily Key Data'!K2334</f>
        <v>52370</v>
      </c>
      <c r="G667" s="150">
        <v>150</v>
      </c>
      <c r="H667" s="155">
        <f t="shared" si="20"/>
        <v>0.0333333333333333</v>
      </c>
      <c r="I667" s="73">
        <f>'[1]Fliggy Store Daily Key Data'!I2334</f>
        <v>5</v>
      </c>
      <c r="J667" s="18">
        <f t="shared" si="21"/>
        <v>0.000576634759543305</v>
      </c>
      <c r="K667" s="5"/>
    </row>
    <row r="668" ht="13.85" spans="1:11">
      <c r="A668" s="156">
        <v>45776</v>
      </c>
      <c r="B668" s="150">
        <f>'[1]Fliggy Store Daily Key Data'!B2335</f>
        <v>16763</v>
      </c>
      <c r="C668" s="150">
        <f>'[1]Fliggy Store Daily Key Data'!C2335</f>
        <v>5960</v>
      </c>
      <c r="D668" s="150">
        <f>'[1]Fliggy Store Daily Key Data'!G2335</f>
        <v>1723</v>
      </c>
      <c r="E668" s="150">
        <v>27</v>
      </c>
      <c r="F668" s="150">
        <f>'[1]Fliggy Store Daily Key Data'!K2335</f>
        <v>78471</v>
      </c>
      <c r="G668" s="150">
        <v>164</v>
      </c>
      <c r="H668" s="155">
        <f t="shared" si="20"/>
        <v>0.0487804878048781</v>
      </c>
      <c r="I668" s="73">
        <f>'[1]Fliggy Store Daily Key Data'!I2335</f>
        <v>8</v>
      </c>
      <c r="J668" s="18">
        <f t="shared" si="21"/>
        <v>0.00134228187919463</v>
      </c>
      <c r="K668" s="5"/>
    </row>
    <row r="669" ht="13.85" spans="1:11">
      <c r="A669" s="156">
        <v>45777</v>
      </c>
      <c r="B669" s="150">
        <f>'[1]Fliggy Store Daily Key Data'!B2336</f>
        <v>19588</v>
      </c>
      <c r="C669" s="150">
        <f>'[1]Fliggy Store Daily Key Data'!C2336</f>
        <v>8926</v>
      </c>
      <c r="D669" s="150">
        <f>'[1]Fliggy Store Daily Key Data'!G2336</f>
        <v>1759</v>
      </c>
      <c r="E669" s="150">
        <v>19</v>
      </c>
      <c r="F669" s="150">
        <f>'[1]Fliggy Store Daily Key Data'!K2336</f>
        <v>66646</v>
      </c>
      <c r="G669" s="150">
        <v>148</v>
      </c>
      <c r="H669" s="155">
        <f t="shared" si="20"/>
        <v>0.027027027027027</v>
      </c>
      <c r="I669" s="73">
        <f>'[1]Fliggy Store Daily Key Data'!I2336</f>
        <v>4</v>
      </c>
      <c r="J669" s="18">
        <f t="shared" si="21"/>
        <v>0.000448129061169617</v>
      </c>
      <c r="K669" s="5"/>
    </row>
    <row r="670" ht="13.85" spans="1:11">
      <c r="A670" s="156">
        <v>45778</v>
      </c>
      <c r="B670" s="150">
        <f>'[1]Fliggy Store Daily Key Data'!B2337</f>
        <v>17280</v>
      </c>
      <c r="C670" s="150">
        <f>'[1]Fliggy Store Daily Key Data'!C2337</f>
        <v>7194</v>
      </c>
      <c r="D670" s="150">
        <f>'[1]Fliggy Store Daily Key Data'!G2337</f>
        <v>1905</v>
      </c>
      <c r="E670" s="150">
        <v>20</v>
      </c>
      <c r="F670" s="150">
        <f>'[1]Fliggy Store Daily Key Data'!K2337</f>
        <v>32598</v>
      </c>
      <c r="G670" s="150">
        <v>118</v>
      </c>
      <c r="H670" s="155">
        <f t="shared" si="20"/>
        <v>0.0169491525423729</v>
      </c>
      <c r="I670" s="73">
        <f>'[1]Fliggy Store Daily Key Data'!I2337</f>
        <v>2</v>
      </c>
      <c r="J670" s="18">
        <f t="shared" si="21"/>
        <v>0.000278009452321379</v>
      </c>
      <c r="K670" s="5"/>
    </row>
    <row r="671" ht="13.85" spans="1:11">
      <c r="A671" s="156">
        <v>45779</v>
      </c>
      <c r="B671" s="150">
        <f>'[1]Fliggy Store Daily Key Data'!B2338</f>
        <v>19743</v>
      </c>
      <c r="C671" s="150">
        <f>'[1]Fliggy Store Daily Key Data'!C2338</f>
        <v>7856</v>
      </c>
      <c r="D671" s="150">
        <f>'[1]Fliggy Store Daily Key Data'!G2338</f>
        <v>1983</v>
      </c>
      <c r="E671" s="150">
        <v>24</v>
      </c>
      <c r="F671" s="150">
        <f>'[1]Fliggy Store Daily Key Data'!K2338</f>
        <v>57062</v>
      </c>
      <c r="G671" s="150">
        <v>117</v>
      </c>
      <c r="H671" s="155">
        <f t="shared" si="20"/>
        <v>0.0341880341880342</v>
      </c>
      <c r="I671" s="73">
        <f>'[1]Fliggy Store Daily Key Data'!I2338</f>
        <v>4</v>
      </c>
      <c r="J671" s="18">
        <f t="shared" si="21"/>
        <v>0.000509164969450102</v>
      </c>
      <c r="K671" s="5"/>
    </row>
    <row r="672" ht="13.85" spans="1:11">
      <c r="A672" s="156">
        <v>45780</v>
      </c>
      <c r="B672" s="150">
        <f>'[1]Fliggy Store Daily Key Data'!B2339</f>
        <v>31738</v>
      </c>
      <c r="C672" s="150">
        <f>'[1]Fliggy Store Daily Key Data'!C2339</f>
        <v>10254</v>
      </c>
      <c r="D672" s="150">
        <f>'[1]Fliggy Store Daily Key Data'!G2339</f>
        <v>2058</v>
      </c>
      <c r="E672" s="150">
        <v>40</v>
      </c>
      <c r="F672" s="150">
        <f>'[1]Fliggy Store Daily Key Data'!K2339</f>
        <v>179134</v>
      </c>
      <c r="G672" s="150">
        <v>137</v>
      </c>
      <c r="H672" s="155">
        <f t="shared" si="20"/>
        <v>0.0802919708029197</v>
      </c>
      <c r="I672" s="73">
        <f>'[1]Fliggy Store Daily Key Data'!I2339</f>
        <v>11</v>
      </c>
      <c r="J672" s="18">
        <f t="shared" si="21"/>
        <v>0.00107275209674273</v>
      </c>
      <c r="K672" s="5"/>
    </row>
    <row r="673" ht="13.85" spans="1:11">
      <c r="A673" s="156">
        <v>45781</v>
      </c>
      <c r="B673" s="150">
        <f>'[1]Fliggy Store Daily Key Data'!B2340</f>
        <v>25723</v>
      </c>
      <c r="C673" s="150">
        <f>'[1]Fliggy Store Daily Key Data'!C2340</f>
        <v>8834</v>
      </c>
      <c r="D673" s="150">
        <f>'[1]Fliggy Store Daily Key Data'!G2340</f>
        <v>1822</v>
      </c>
      <c r="E673" s="150">
        <v>34</v>
      </c>
      <c r="F673" s="150">
        <f>'[1]Fliggy Store Daily Key Data'!K2340</f>
        <v>112362</v>
      </c>
      <c r="G673" s="150">
        <v>143</v>
      </c>
      <c r="H673" s="155">
        <f t="shared" si="20"/>
        <v>0.0699300699300699</v>
      </c>
      <c r="I673" s="73">
        <f>'[1]Fliggy Store Daily Key Data'!I2340</f>
        <v>10</v>
      </c>
      <c r="J673" s="18">
        <f t="shared" si="21"/>
        <v>0.00113199003848766</v>
      </c>
      <c r="K673" s="5"/>
    </row>
    <row r="674" ht="13.85" spans="1:11">
      <c r="A674" s="156">
        <v>45782</v>
      </c>
      <c r="B674" s="150">
        <f>'[1]Fliggy Store Daily Key Data'!B2341</f>
        <v>28512</v>
      </c>
      <c r="C674" s="150">
        <f>'[1]Fliggy Store Daily Key Data'!C2341</f>
        <v>10733</v>
      </c>
      <c r="D674" s="150">
        <f>'[1]Fliggy Store Daily Key Data'!G2341</f>
        <v>2160</v>
      </c>
      <c r="E674" s="150">
        <v>37</v>
      </c>
      <c r="F674" s="150">
        <f>'[1]Fliggy Store Daily Key Data'!K2341</f>
        <v>185477</v>
      </c>
      <c r="G674" s="150">
        <v>151</v>
      </c>
      <c r="H674" s="155">
        <f t="shared" si="20"/>
        <v>0.0662251655629139</v>
      </c>
      <c r="I674" s="73">
        <f>'[1]Fliggy Store Daily Key Data'!I2341</f>
        <v>10</v>
      </c>
      <c r="J674" s="18">
        <f t="shared" si="21"/>
        <v>0.000931705953601044</v>
      </c>
      <c r="K674" s="5"/>
    </row>
    <row r="675" ht="13.85" spans="1:11">
      <c r="A675" s="156">
        <v>45783</v>
      </c>
      <c r="B675" s="150">
        <f>'[1]Fliggy Store Daily Key Data'!B2342</f>
        <v>55999</v>
      </c>
      <c r="C675" s="150">
        <f>'[1]Fliggy Store Daily Key Data'!C2342</f>
        <v>17432</v>
      </c>
      <c r="D675" s="150">
        <f>'[1]Fliggy Store Daily Key Data'!G2342</f>
        <v>3204</v>
      </c>
      <c r="E675" s="150">
        <v>66</v>
      </c>
      <c r="F675" s="150">
        <f>'[1]Fliggy Store Daily Key Data'!K2342</f>
        <v>145050</v>
      </c>
      <c r="G675" s="150">
        <v>253</v>
      </c>
      <c r="H675" s="155">
        <f t="shared" si="20"/>
        <v>0.0474308300395257</v>
      </c>
      <c r="I675" s="73">
        <f>'[1]Fliggy Store Daily Key Data'!I2342</f>
        <v>12</v>
      </c>
      <c r="J675" s="18">
        <f t="shared" si="21"/>
        <v>0.000688389169343736</v>
      </c>
      <c r="K675" s="5"/>
    </row>
    <row r="676" ht="13.85" spans="1:11">
      <c r="A676" s="156">
        <v>45784</v>
      </c>
      <c r="B676" s="150">
        <f>'[1]Fliggy Store Daily Key Data'!B2343</f>
        <v>41856</v>
      </c>
      <c r="C676" s="150">
        <f>'[1]Fliggy Store Daily Key Data'!C2343</f>
        <v>16196</v>
      </c>
      <c r="D676" s="150">
        <f>'[1]Fliggy Store Daily Key Data'!G2343</f>
        <v>3350</v>
      </c>
      <c r="E676" s="150">
        <v>42</v>
      </c>
      <c r="F676" s="150">
        <f>'[1]Fliggy Store Daily Key Data'!K2343</f>
        <v>66222.76</v>
      </c>
      <c r="G676" s="150">
        <v>216</v>
      </c>
      <c r="H676" s="155">
        <f t="shared" si="20"/>
        <v>0.0324074074074074</v>
      </c>
      <c r="I676" s="73">
        <f>'[1]Fliggy Store Daily Key Data'!I2343</f>
        <v>7</v>
      </c>
      <c r="J676" s="18">
        <f t="shared" si="21"/>
        <v>0.000432205482835268</v>
      </c>
      <c r="K676" s="5"/>
    </row>
    <row r="677" ht="13.85" spans="1:11">
      <c r="A677" s="156">
        <v>45785</v>
      </c>
      <c r="B677" s="150">
        <f>'[1]Fliggy Store Daily Key Data'!B2344</f>
        <v>62781</v>
      </c>
      <c r="C677" s="150">
        <f>'[1]Fliggy Store Daily Key Data'!C2344</f>
        <v>25848</v>
      </c>
      <c r="D677" s="150">
        <f>'[1]Fliggy Store Daily Key Data'!G2344</f>
        <v>3363</v>
      </c>
      <c r="E677" s="150">
        <v>61</v>
      </c>
      <c r="F677" s="150">
        <f>'[1]Fliggy Store Daily Key Data'!K2344</f>
        <v>138713.64</v>
      </c>
      <c r="G677" s="150">
        <v>328</v>
      </c>
      <c r="H677" s="155">
        <f t="shared" si="20"/>
        <v>0.0365853658536585</v>
      </c>
      <c r="I677" s="73">
        <f>'[1]Fliggy Store Daily Key Data'!I2344</f>
        <v>12</v>
      </c>
      <c r="J677" s="18">
        <f t="shared" si="21"/>
        <v>0.000464252553389044</v>
      </c>
      <c r="K677" s="5"/>
    </row>
    <row r="678" ht="13.85" spans="1:11">
      <c r="A678" s="156">
        <v>45786</v>
      </c>
      <c r="B678" s="150">
        <f>'[1]Fliggy Store Daily Key Data'!B2345</f>
        <v>55032</v>
      </c>
      <c r="C678" s="150">
        <f>'[1]Fliggy Store Daily Key Data'!C2345</f>
        <v>23094</v>
      </c>
      <c r="D678" s="150">
        <f>'[1]Fliggy Store Daily Key Data'!G2345</f>
        <v>3761</v>
      </c>
      <c r="E678" s="150">
        <v>83</v>
      </c>
      <c r="F678" s="150">
        <f>'[1]Fliggy Store Daily Key Data'!K2345</f>
        <v>119492.1</v>
      </c>
      <c r="G678" s="150">
        <v>311</v>
      </c>
      <c r="H678" s="155">
        <f t="shared" si="20"/>
        <v>0.0353697749196141</v>
      </c>
      <c r="I678" s="73">
        <f>'[1]Fliggy Store Daily Key Data'!I2345</f>
        <v>11</v>
      </c>
      <c r="J678" s="18">
        <f t="shared" si="21"/>
        <v>0.000476314194162986</v>
      </c>
      <c r="K678" s="5"/>
    </row>
    <row r="679" ht="13.85" spans="1:11">
      <c r="A679" s="156">
        <v>45787</v>
      </c>
      <c r="B679" s="150">
        <f>'[1]Fliggy Store Daily Key Data'!B2346</f>
        <v>25309</v>
      </c>
      <c r="C679" s="150">
        <f>'[1]Fliggy Store Daily Key Data'!C2346</f>
        <v>8416</v>
      </c>
      <c r="D679" s="150">
        <f>'[1]Fliggy Store Daily Key Data'!G2346</f>
        <v>2873</v>
      </c>
      <c r="E679" s="150">
        <v>41</v>
      </c>
      <c r="F679" s="150">
        <f>'[1]Fliggy Store Daily Key Data'!K2346</f>
        <v>128700</v>
      </c>
      <c r="G679" s="150">
        <v>109</v>
      </c>
      <c r="H679" s="155">
        <f t="shared" si="20"/>
        <v>0.110091743119266</v>
      </c>
      <c r="I679" s="73">
        <f>'[1]Fliggy Store Daily Key Data'!I2346</f>
        <v>12</v>
      </c>
      <c r="J679" s="18">
        <f t="shared" si="21"/>
        <v>0.00142585551330798</v>
      </c>
      <c r="K679" s="5"/>
    </row>
    <row r="680" ht="13.85" spans="1:11">
      <c r="A680" s="156">
        <v>45788</v>
      </c>
      <c r="B680" s="150">
        <f>'[1]Fliggy Store Daily Key Data'!B2347</f>
        <v>49167</v>
      </c>
      <c r="C680" s="150">
        <f>'[1]Fliggy Store Daily Key Data'!C2347</f>
        <v>19803</v>
      </c>
      <c r="D680" s="150">
        <f>'[1]Fliggy Store Daily Key Data'!G2347</f>
        <v>3168</v>
      </c>
      <c r="E680" s="150">
        <v>53</v>
      </c>
      <c r="F680" s="150">
        <f>'[1]Fliggy Store Daily Key Data'!K2347</f>
        <v>21315</v>
      </c>
      <c r="G680" s="150">
        <v>245</v>
      </c>
      <c r="H680" s="155">
        <f t="shared" si="20"/>
        <v>0.00816326530612245</v>
      </c>
      <c r="I680" s="73">
        <f>'[1]Fliggy Store Daily Key Data'!I2347</f>
        <v>2</v>
      </c>
      <c r="J680" s="18">
        <f t="shared" si="21"/>
        <v>0.000100994798767863</v>
      </c>
      <c r="K680" s="5"/>
    </row>
    <row r="681" ht="13.85" spans="1:11">
      <c r="A681" s="156">
        <v>45789</v>
      </c>
      <c r="B681" s="150">
        <f>'[1]Fliggy Store Daily Key Data'!B2348</f>
        <v>33438</v>
      </c>
      <c r="C681" s="150">
        <f>'[1]Fliggy Store Daily Key Data'!C2348</f>
        <v>10990</v>
      </c>
      <c r="D681" s="150">
        <f>'[1]Fliggy Store Daily Key Data'!G2348</f>
        <v>2781</v>
      </c>
      <c r="E681" s="150">
        <v>96</v>
      </c>
      <c r="F681" s="150">
        <f>'[1]Fliggy Store Daily Key Data'!K2348</f>
        <v>73919.99</v>
      </c>
      <c r="G681" s="150">
        <v>213</v>
      </c>
      <c r="H681" s="155">
        <f t="shared" si="20"/>
        <v>0.0375586854460094</v>
      </c>
      <c r="I681" s="73">
        <f>'[1]Fliggy Store Daily Key Data'!I2348</f>
        <v>8</v>
      </c>
      <c r="J681" s="18">
        <f t="shared" si="21"/>
        <v>0.000727934485896269</v>
      </c>
      <c r="K681" s="5"/>
    </row>
    <row r="682" ht="13.85" spans="1:11">
      <c r="A682" s="156">
        <v>45790</v>
      </c>
      <c r="B682" s="150">
        <f>'[1]Fliggy Store Daily Key Data'!B2349</f>
        <v>55266</v>
      </c>
      <c r="C682" s="150">
        <f>'[1]Fliggy Store Daily Key Data'!C2349</f>
        <v>13166</v>
      </c>
      <c r="D682" s="150">
        <f>'[1]Fliggy Store Daily Key Data'!G2349</f>
        <v>2452</v>
      </c>
      <c r="E682" s="150">
        <v>71</v>
      </c>
      <c r="F682" s="150">
        <f>'[1]Fliggy Store Daily Key Data'!K2349</f>
        <v>1719433</v>
      </c>
      <c r="G682" s="150">
        <v>335</v>
      </c>
      <c r="H682" s="155">
        <f t="shared" si="20"/>
        <v>0.498507462686567</v>
      </c>
      <c r="I682" s="73">
        <f>'[1]Fliggy Store Daily Key Data'!I2349</f>
        <v>167</v>
      </c>
      <c r="J682" s="18">
        <f t="shared" si="21"/>
        <v>0.0126841865410907</v>
      </c>
      <c r="K682" s="5"/>
    </row>
    <row r="683" ht="13.85" spans="1:11">
      <c r="A683" s="156">
        <v>45791</v>
      </c>
      <c r="B683" s="150">
        <f>'[1]Fliggy Store Daily Key Data'!B2350</f>
        <v>48445</v>
      </c>
      <c r="C683" s="150">
        <f>'[1]Fliggy Store Daily Key Data'!C2350</f>
        <v>15333</v>
      </c>
      <c r="D683" s="150">
        <f>'[1]Fliggy Store Daily Key Data'!G2350</f>
        <v>3724</v>
      </c>
      <c r="E683" s="150">
        <v>86</v>
      </c>
      <c r="F683" s="150">
        <f>'[1]Fliggy Store Daily Key Data'!K2350</f>
        <v>572798.1</v>
      </c>
      <c r="G683" s="150">
        <v>324</v>
      </c>
      <c r="H683" s="155">
        <f t="shared" si="20"/>
        <v>0.172839506172839</v>
      </c>
      <c r="I683" s="73">
        <f>'[1]Fliggy Store Daily Key Data'!I2350</f>
        <v>56</v>
      </c>
      <c r="J683" s="18">
        <f t="shared" si="21"/>
        <v>0.00365225330985456</v>
      </c>
      <c r="K683" s="5"/>
    </row>
    <row r="684" ht="13.85" spans="1:11">
      <c r="A684" s="156">
        <v>45792</v>
      </c>
      <c r="B684" s="150">
        <f>'[1]Fliggy Store Daily Key Data'!B2351</f>
        <v>741954</v>
      </c>
      <c r="C684" s="150">
        <f>'[1]Fliggy Store Daily Key Data'!C2351</f>
        <v>143771</v>
      </c>
      <c r="D684" s="150">
        <f>'[1]Fliggy Store Daily Key Data'!G2351</f>
        <v>4719</v>
      </c>
      <c r="E684" s="150">
        <v>289</v>
      </c>
      <c r="F684" s="150">
        <f>'[1]Fliggy Store Daily Key Data'!K2351</f>
        <v>5502138.04</v>
      </c>
      <c r="G684" s="150">
        <v>1360</v>
      </c>
      <c r="H684" s="155">
        <f t="shared" si="20"/>
        <v>0.368382352941176</v>
      </c>
      <c r="I684" s="73">
        <f>'[1]Fliggy Store Daily Key Data'!I2351</f>
        <v>501</v>
      </c>
      <c r="J684" s="18">
        <f t="shared" si="21"/>
        <v>0.00348470832087139</v>
      </c>
      <c r="K684" s="5"/>
    </row>
    <row r="685" ht="13.85" spans="1:11">
      <c r="A685" s="156">
        <v>45793</v>
      </c>
      <c r="B685" s="150">
        <f>'[1]Fliggy Store Daily Key Data'!B2352</f>
        <v>109330</v>
      </c>
      <c r="C685" s="150">
        <f>'[1]Fliggy Store Daily Key Data'!C2352</f>
        <v>21213</v>
      </c>
      <c r="D685" s="150">
        <f>'[1]Fliggy Store Daily Key Data'!G2352</f>
        <v>4551</v>
      </c>
      <c r="E685" s="150">
        <v>80</v>
      </c>
      <c r="F685" s="150">
        <f>'[1]Fliggy Store Daily Key Data'!K2352</f>
        <v>1573357.44</v>
      </c>
      <c r="G685" s="150">
        <v>396</v>
      </c>
      <c r="H685" s="155">
        <f t="shared" si="20"/>
        <v>0.381313131313131</v>
      </c>
      <c r="I685" s="73">
        <f>'[1]Fliggy Store Daily Key Data'!I2352</f>
        <v>151</v>
      </c>
      <c r="J685" s="18">
        <f t="shared" si="21"/>
        <v>0.00711827652854382</v>
      </c>
      <c r="K685" s="5"/>
    </row>
    <row r="686" ht="13.85" spans="1:11">
      <c r="A686" s="156">
        <v>45794</v>
      </c>
      <c r="B686" s="150">
        <f>'[1]Fliggy Store Daily Key Data'!B2353</f>
        <v>53185</v>
      </c>
      <c r="C686" s="150">
        <f>'[1]Fliggy Store Daily Key Data'!C2353</f>
        <v>15022</v>
      </c>
      <c r="D686" s="150">
        <f>'[1]Fliggy Store Daily Key Data'!G2353</f>
        <v>3858</v>
      </c>
      <c r="E686" s="150">
        <v>66</v>
      </c>
      <c r="F686" s="150">
        <f>'[1]Fliggy Store Daily Key Data'!K2353</f>
        <v>637062.99</v>
      </c>
      <c r="G686" s="150">
        <v>291</v>
      </c>
      <c r="H686" s="155">
        <f t="shared" si="20"/>
        <v>0.195876288659794</v>
      </c>
      <c r="I686" s="73">
        <f>'[1]Fliggy Store Daily Key Data'!I2353</f>
        <v>57</v>
      </c>
      <c r="J686" s="18">
        <f t="shared" si="21"/>
        <v>0.00379443482891759</v>
      </c>
      <c r="K686" s="5"/>
    </row>
    <row r="687" ht="13.85" spans="1:11">
      <c r="A687" s="156">
        <v>45795</v>
      </c>
      <c r="B687" s="150">
        <f>'[1]Fliggy Store Daily Key Data'!B2354</f>
        <v>54014</v>
      </c>
      <c r="C687" s="150">
        <f>'[1]Fliggy Store Daily Key Data'!C2354</f>
        <v>13319</v>
      </c>
      <c r="D687" s="150">
        <f>'[1]Fliggy Store Daily Key Data'!G2354</f>
        <v>4260</v>
      </c>
      <c r="E687" s="150">
        <v>61</v>
      </c>
      <c r="F687" s="150">
        <f>'[1]Fliggy Store Daily Key Data'!K2354</f>
        <v>592632</v>
      </c>
      <c r="G687" s="150">
        <v>310</v>
      </c>
      <c r="H687" s="155">
        <f t="shared" si="20"/>
        <v>0.180645161290323</v>
      </c>
      <c r="I687" s="73">
        <f>'[1]Fliggy Store Daily Key Data'!I2354</f>
        <v>56</v>
      </c>
      <c r="J687" s="18">
        <f t="shared" si="21"/>
        <v>0.00420451985884826</v>
      </c>
      <c r="K687" s="5"/>
    </row>
    <row r="688" ht="13.85" spans="1:11">
      <c r="A688" s="156">
        <v>45796</v>
      </c>
      <c r="B688" s="150">
        <f>'[1]Fliggy Store Daily Key Data'!B2355</f>
        <v>50076</v>
      </c>
      <c r="C688" s="150">
        <f>'[1]Fliggy Store Daily Key Data'!C2355</f>
        <v>11609</v>
      </c>
      <c r="D688" s="150">
        <f>'[1]Fliggy Store Daily Key Data'!G2355</f>
        <v>5295</v>
      </c>
      <c r="E688" s="150">
        <v>61</v>
      </c>
      <c r="F688" s="150">
        <f>'[1]Fliggy Store Daily Key Data'!K2355</f>
        <v>520751</v>
      </c>
      <c r="G688" s="150">
        <v>700</v>
      </c>
      <c r="H688" s="155">
        <f t="shared" si="20"/>
        <v>0.0771428571428571</v>
      </c>
      <c r="I688" s="73">
        <f>'[1]Fliggy Store Daily Key Data'!I2355</f>
        <v>54</v>
      </c>
      <c r="J688" s="18">
        <f t="shared" si="21"/>
        <v>0.00465156344215695</v>
      </c>
      <c r="K688" s="5"/>
    </row>
    <row r="689" ht="13.85" spans="1:11">
      <c r="A689" s="156">
        <v>45797</v>
      </c>
      <c r="B689" s="150">
        <f>'[1]Fliggy Store Daily Key Data'!B2356</f>
        <v>82455</v>
      </c>
      <c r="C689" s="150">
        <f>'[1]Fliggy Store Daily Key Data'!C2356</f>
        <v>19973</v>
      </c>
      <c r="D689" s="150">
        <f>'[1]Fliggy Store Daily Key Data'!G2356</f>
        <v>4456</v>
      </c>
      <c r="E689" s="150">
        <v>69</v>
      </c>
      <c r="F689" s="150">
        <f>'[1]Fliggy Store Daily Key Data'!K2356</f>
        <v>826286</v>
      </c>
      <c r="G689" s="150">
        <v>418</v>
      </c>
      <c r="H689" s="155">
        <f t="shared" si="20"/>
        <v>0.177033492822967</v>
      </c>
      <c r="I689" s="73">
        <f>'[1]Fliggy Store Daily Key Data'!I2356</f>
        <v>74</v>
      </c>
      <c r="J689" s="18">
        <f t="shared" si="21"/>
        <v>0.00370500175236569</v>
      </c>
      <c r="K689" s="5"/>
    </row>
    <row r="690" ht="13.85" spans="1:11">
      <c r="A690" s="156">
        <v>45798</v>
      </c>
      <c r="B690" s="150">
        <f>'[1]Fliggy Store Daily Key Data'!B2357</f>
        <v>60669</v>
      </c>
      <c r="C690" s="150">
        <f>'[1]Fliggy Store Daily Key Data'!C2357</f>
        <v>15093</v>
      </c>
      <c r="D690" s="150">
        <f>'[1]Fliggy Store Daily Key Data'!G2357</f>
        <v>4509</v>
      </c>
      <c r="E690" s="150">
        <v>62</v>
      </c>
      <c r="F690" s="150">
        <f>'[1]Fliggy Store Daily Key Data'!K2357</f>
        <v>539517</v>
      </c>
      <c r="G690" s="150">
        <v>326</v>
      </c>
      <c r="H690" s="155">
        <f t="shared" si="20"/>
        <v>0.147239263803681</v>
      </c>
      <c r="I690" s="73">
        <f>'[1]Fliggy Store Daily Key Data'!I2357</f>
        <v>48</v>
      </c>
      <c r="J690" s="18">
        <f t="shared" si="21"/>
        <v>0.00318028225004969</v>
      </c>
      <c r="K690" s="5"/>
    </row>
    <row r="691" ht="13.85" spans="1:11">
      <c r="A691" s="156">
        <v>45799</v>
      </c>
      <c r="B691" s="150">
        <f>'[1]Fliggy Store Daily Key Data'!B2358</f>
        <v>44855</v>
      </c>
      <c r="C691" s="150">
        <f>'[1]Fliggy Store Daily Key Data'!C2358</f>
        <v>12839</v>
      </c>
      <c r="D691" s="150">
        <f>'[1]Fliggy Store Daily Key Data'!G2358</f>
        <v>3949</v>
      </c>
      <c r="E691" s="150">
        <v>41</v>
      </c>
      <c r="F691" s="150">
        <f>'[1]Fliggy Store Daily Key Data'!K2358</f>
        <v>312280.02</v>
      </c>
      <c r="G691" s="150">
        <v>272</v>
      </c>
      <c r="H691" s="155">
        <f t="shared" si="20"/>
        <v>0.106617647058824</v>
      </c>
      <c r="I691" s="73">
        <f>'[1]Fliggy Store Daily Key Data'!I2358</f>
        <v>29</v>
      </c>
      <c r="J691" s="18">
        <f t="shared" si="21"/>
        <v>0.00225874289274866</v>
      </c>
      <c r="K691" s="5"/>
    </row>
    <row r="692" ht="13.85" spans="1:11">
      <c r="A692" s="156">
        <v>45800</v>
      </c>
      <c r="B692" s="150">
        <f>'[1]Fliggy Store Daily Key Data'!B2359</f>
        <v>39243</v>
      </c>
      <c r="C692" s="150">
        <f>'[1]Fliggy Store Daily Key Data'!C2359</f>
        <v>11735</v>
      </c>
      <c r="D692" s="150">
        <f>'[1]Fliggy Store Daily Key Data'!G2359</f>
        <v>3388</v>
      </c>
      <c r="E692" s="150">
        <v>43</v>
      </c>
      <c r="F692" s="150">
        <f>'[1]Fliggy Store Daily Key Data'!K2359</f>
        <v>222690</v>
      </c>
      <c r="G692" s="150">
        <v>225</v>
      </c>
      <c r="H692" s="155">
        <f t="shared" si="20"/>
        <v>0.0711111111111111</v>
      </c>
      <c r="I692" s="73">
        <f>'[1]Fliggy Store Daily Key Data'!I2359</f>
        <v>16</v>
      </c>
      <c r="J692" s="18">
        <f t="shared" si="21"/>
        <v>0.00136344269279932</v>
      </c>
      <c r="K692" s="5"/>
    </row>
    <row r="693" ht="13.85" spans="1:11">
      <c r="A693" s="156">
        <v>45801</v>
      </c>
      <c r="B693" s="150">
        <f>'[1]Fliggy Store Daily Key Data'!B2360</f>
        <v>38964</v>
      </c>
      <c r="C693" s="150">
        <f>'[1]Fliggy Store Daily Key Data'!C2360</f>
        <v>11531</v>
      </c>
      <c r="D693" s="150">
        <f>'[1]Fliggy Store Daily Key Data'!G2360</f>
        <v>2645</v>
      </c>
      <c r="E693" s="150">
        <v>49</v>
      </c>
      <c r="F693" s="150">
        <f>'[1]Fliggy Store Daily Key Data'!K2360</f>
        <v>299941</v>
      </c>
      <c r="G693" s="150">
        <v>171</v>
      </c>
      <c r="H693" s="155">
        <f t="shared" si="20"/>
        <v>0.0818713450292398</v>
      </c>
      <c r="I693" s="73">
        <f>'[1]Fliggy Store Daily Key Data'!I2360</f>
        <v>14</v>
      </c>
      <c r="J693" s="18">
        <f t="shared" si="21"/>
        <v>0.00121411846327292</v>
      </c>
      <c r="K693" s="5"/>
    </row>
    <row r="694" ht="13.85" spans="1:11">
      <c r="A694" s="156">
        <v>45802</v>
      </c>
      <c r="B694" s="150">
        <f>'[1]Fliggy Store Daily Key Data'!B2361</f>
        <v>218799</v>
      </c>
      <c r="C694" s="150">
        <f>'[1]Fliggy Store Daily Key Data'!C2361</f>
        <v>50776</v>
      </c>
      <c r="D694" s="150">
        <f>'[1]Fliggy Store Daily Key Data'!G2361</f>
        <v>2798</v>
      </c>
      <c r="E694" s="150">
        <v>80</v>
      </c>
      <c r="F694" s="150">
        <f>'[1]Fliggy Store Daily Key Data'!K2361</f>
        <v>1378705</v>
      </c>
      <c r="G694" s="150">
        <v>479</v>
      </c>
      <c r="H694" s="155">
        <f t="shared" si="20"/>
        <v>0.267223382045929</v>
      </c>
      <c r="I694" s="73">
        <f>'[1]Fliggy Store Daily Key Data'!I2361</f>
        <v>128</v>
      </c>
      <c r="J694" s="18">
        <f t="shared" si="21"/>
        <v>0.00252087600441153</v>
      </c>
      <c r="K694" s="5"/>
    </row>
    <row r="695" ht="13.85" spans="1:11">
      <c r="A695" s="156">
        <v>45803</v>
      </c>
      <c r="B695" s="150">
        <f>'[1]Fliggy Store Daily Key Data'!B2362</f>
        <v>79460</v>
      </c>
      <c r="C695" s="150">
        <f>'[1]Fliggy Store Daily Key Data'!C2362</f>
        <v>20051</v>
      </c>
      <c r="D695" s="150">
        <f>'[1]Fliggy Store Daily Key Data'!G2362</f>
        <v>4270</v>
      </c>
      <c r="E695" s="150">
        <v>70</v>
      </c>
      <c r="F695" s="150">
        <f>'[1]Fliggy Store Daily Key Data'!K2362</f>
        <v>882646.64</v>
      </c>
      <c r="G695" s="150">
        <v>344</v>
      </c>
      <c r="H695" s="155">
        <f t="shared" si="20"/>
        <v>0.212209302325581</v>
      </c>
      <c r="I695" s="73">
        <f>'[1]Fliggy Store Daily Key Data'!I2362</f>
        <v>73</v>
      </c>
      <c r="J695" s="18">
        <f t="shared" si="21"/>
        <v>0.00364071617375692</v>
      </c>
      <c r="K695" s="5"/>
    </row>
    <row r="696" ht="13.85" spans="1:11">
      <c r="A696" s="156">
        <v>45804</v>
      </c>
      <c r="B696" s="150">
        <f>'[1]Fliggy Store Daily Key Data'!B2363</f>
        <v>44569</v>
      </c>
      <c r="C696" s="150">
        <f>'[1]Fliggy Store Daily Key Data'!C2363</f>
        <v>13385</v>
      </c>
      <c r="D696" s="150">
        <f>'[1]Fliggy Store Daily Key Data'!G2363</f>
        <v>3518</v>
      </c>
      <c r="E696" s="150">
        <v>59</v>
      </c>
      <c r="F696" s="150">
        <f>'[1]Fliggy Store Daily Key Data'!K2363</f>
        <v>362352</v>
      </c>
      <c r="G696" s="150">
        <v>278</v>
      </c>
      <c r="H696" s="155">
        <f t="shared" si="20"/>
        <v>0.100719424460432</v>
      </c>
      <c r="I696" s="73">
        <f>'[1]Fliggy Store Daily Key Data'!I2363</f>
        <v>28</v>
      </c>
      <c r="J696" s="18">
        <f t="shared" si="21"/>
        <v>0.00209189391109451</v>
      </c>
      <c r="K696" s="5"/>
    </row>
    <row r="697" ht="13.85" spans="1:11">
      <c r="A697" s="156">
        <v>45805</v>
      </c>
      <c r="B697" s="150">
        <f>'[1]Fliggy Store Daily Key Data'!B2364</f>
        <v>55495</v>
      </c>
      <c r="C697" s="150">
        <f>'[1]Fliggy Store Daily Key Data'!C2364</f>
        <v>15848</v>
      </c>
      <c r="D697" s="150">
        <f>'[1]Fliggy Store Daily Key Data'!G2364</f>
        <v>3102</v>
      </c>
      <c r="E697" s="150">
        <v>71</v>
      </c>
      <c r="F697" s="150">
        <f>'[1]Fliggy Store Daily Key Data'!K2364</f>
        <v>524957.02</v>
      </c>
      <c r="G697" s="150">
        <v>275</v>
      </c>
      <c r="H697" s="155">
        <f t="shared" si="20"/>
        <v>0.16</v>
      </c>
      <c r="I697" s="73">
        <f>'[1]Fliggy Store Daily Key Data'!I2364</f>
        <v>44</v>
      </c>
      <c r="J697" s="18">
        <f t="shared" si="21"/>
        <v>0.002776375567895</v>
      </c>
      <c r="K697" s="5"/>
    </row>
    <row r="698" ht="13.85" spans="1:11">
      <c r="A698" s="156">
        <v>45806</v>
      </c>
      <c r="B698" s="150">
        <f>'[1]Fliggy Store Daily Key Data'!B2365</f>
        <v>40789</v>
      </c>
      <c r="C698" s="150">
        <f>'[1]Fliggy Store Daily Key Data'!C2365</f>
        <v>13176</v>
      </c>
      <c r="D698" s="150">
        <f>'[1]Fliggy Store Daily Key Data'!G2365</f>
        <v>2921</v>
      </c>
      <c r="E698" s="150">
        <v>36</v>
      </c>
      <c r="F698" s="150">
        <f>'[1]Fliggy Store Daily Key Data'!K2365</f>
        <v>489004</v>
      </c>
      <c r="G698" s="150">
        <v>246</v>
      </c>
      <c r="H698" s="155">
        <f t="shared" si="20"/>
        <v>0.178861788617886</v>
      </c>
      <c r="I698" s="73">
        <f>'[1]Fliggy Store Daily Key Data'!I2365</f>
        <v>44</v>
      </c>
      <c r="J698" s="18">
        <f t="shared" si="21"/>
        <v>0.00333940497874924</v>
      </c>
      <c r="K698" s="5"/>
    </row>
    <row r="699" ht="13.85" spans="1:11">
      <c r="A699" s="156">
        <v>45807</v>
      </c>
      <c r="B699" s="150">
        <f>'[1]Fliggy Store Daily Key Data'!B2366</f>
        <v>44585</v>
      </c>
      <c r="C699" s="150">
        <f>'[1]Fliggy Store Daily Key Data'!C2366</f>
        <v>15468</v>
      </c>
      <c r="D699" s="150">
        <f>'[1]Fliggy Store Daily Key Data'!G2366</f>
        <v>2968</v>
      </c>
      <c r="E699" s="150">
        <v>34</v>
      </c>
      <c r="F699" s="150">
        <f>'[1]Fliggy Store Daily Key Data'!K2366</f>
        <v>284777</v>
      </c>
      <c r="G699" s="150">
        <v>189</v>
      </c>
      <c r="H699" s="155">
        <f t="shared" si="20"/>
        <v>0.132275132275132</v>
      </c>
      <c r="I699" s="73">
        <f>'[1]Fliggy Store Daily Key Data'!I2366</f>
        <v>25</v>
      </c>
      <c r="J699" s="18">
        <f t="shared" si="21"/>
        <v>0.00161623997931213</v>
      </c>
      <c r="K699" s="5"/>
    </row>
    <row r="700" ht="13.85" spans="1:11">
      <c r="A700" s="156">
        <v>45808</v>
      </c>
      <c r="B700" s="150">
        <f>'[1]Fliggy Store Daily Key Data'!B2367</f>
        <v>41734</v>
      </c>
      <c r="C700" s="150">
        <f>'[1]Fliggy Store Daily Key Data'!C2367</f>
        <v>14277</v>
      </c>
      <c r="D700" s="150">
        <f>'[1]Fliggy Store Daily Key Data'!G2367</f>
        <v>2499</v>
      </c>
      <c r="E700" s="150">
        <v>33</v>
      </c>
      <c r="F700" s="150">
        <f>'[1]Fliggy Store Daily Key Data'!K2367</f>
        <v>477064</v>
      </c>
      <c r="G700" s="150">
        <v>188</v>
      </c>
      <c r="H700" s="155">
        <f t="shared" si="20"/>
        <v>0.159574468085106</v>
      </c>
      <c r="I700" s="73">
        <f>'[1]Fliggy Store Daily Key Data'!I2367</f>
        <v>30</v>
      </c>
      <c r="J700" s="18">
        <f t="shared" si="21"/>
        <v>0.00210128178188695</v>
      </c>
      <c r="K700" s="5"/>
    </row>
    <row r="701" ht="13.85" spans="1:11">
      <c r="A701" s="156">
        <v>45809</v>
      </c>
      <c r="B701" s="150">
        <f>'[1]Fliggy Store Daily Key Data'!B2368</f>
        <v>56998</v>
      </c>
      <c r="C701" s="150">
        <f>'[1]Fliggy Store Daily Key Data'!C2368</f>
        <v>19697</v>
      </c>
      <c r="D701" s="150">
        <f>'[1]Fliggy Store Daily Key Data'!G2368</f>
        <v>2678</v>
      </c>
      <c r="E701" s="150">
        <v>37</v>
      </c>
      <c r="F701" s="150">
        <f>'[1]Fliggy Store Daily Key Data'!K2368</f>
        <v>210329</v>
      </c>
      <c r="G701" s="150">
        <v>178</v>
      </c>
      <c r="H701" s="155">
        <f t="shared" si="20"/>
        <v>0.101123595505618</v>
      </c>
      <c r="I701" s="73">
        <f>'[1]Fliggy Store Daily Key Data'!I2368</f>
        <v>18</v>
      </c>
      <c r="J701" s="18">
        <f t="shared" si="21"/>
        <v>0.000913844747931157</v>
      </c>
      <c r="K701" s="5"/>
    </row>
    <row r="702" ht="13.85" spans="1:11">
      <c r="A702" s="156">
        <v>45810</v>
      </c>
      <c r="B702" s="150">
        <f>'[1]Fliggy Store Daily Key Data'!B2369</f>
        <v>35848</v>
      </c>
      <c r="C702" s="150">
        <f>'[1]Fliggy Store Daily Key Data'!C2369</f>
        <v>13527</v>
      </c>
      <c r="D702" s="150">
        <f>'[1]Fliggy Store Daily Key Data'!G2369</f>
        <v>1568</v>
      </c>
      <c r="E702" s="150">
        <v>36</v>
      </c>
      <c r="F702" s="150">
        <f>'[1]Fliggy Store Daily Key Data'!K2369</f>
        <v>307621.02</v>
      </c>
      <c r="G702" s="150">
        <v>196</v>
      </c>
      <c r="H702" s="155">
        <f t="shared" si="20"/>
        <v>0.147959183673469</v>
      </c>
      <c r="I702" s="73">
        <f>'[1]Fliggy Store Daily Key Data'!I2369</f>
        <v>29</v>
      </c>
      <c r="J702" s="18">
        <f t="shared" si="21"/>
        <v>0.00214386042729356</v>
      </c>
      <c r="K702" s="5"/>
    </row>
    <row r="703" ht="13.85" spans="1:11">
      <c r="A703" s="156">
        <v>45811</v>
      </c>
      <c r="B703" s="150">
        <f>'[1]Fliggy Store Daily Key Data'!B2370</f>
        <v>49608</v>
      </c>
      <c r="C703" s="150">
        <f>'[1]Fliggy Store Daily Key Data'!C2370</f>
        <v>18526</v>
      </c>
      <c r="D703" s="150">
        <f>'[1]Fliggy Store Daily Key Data'!G2370</f>
        <v>4482</v>
      </c>
      <c r="E703" s="150">
        <v>48</v>
      </c>
      <c r="F703" s="150">
        <f>'[1]Fliggy Store Daily Key Data'!K2370</f>
        <v>252602.99</v>
      </c>
      <c r="G703" s="150">
        <v>272</v>
      </c>
      <c r="H703" s="155">
        <f t="shared" si="20"/>
        <v>0.0772058823529412</v>
      </c>
      <c r="I703" s="73">
        <f>'[1]Fliggy Store Daily Key Data'!I2370</f>
        <v>21</v>
      </c>
      <c r="J703" s="18">
        <f t="shared" si="21"/>
        <v>0.0011335420490122</v>
      </c>
      <c r="K703" s="5"/>
    </row>
    <row r="704" ht="13.85" spans="1:11">
      <c r="A704" s="156">
        <v>45812</v>
      </c>
      <c r="B704" s="150">
        <f>'[1]Fliggy Store Daily Key Data'!B2371</f>
        <v>52211</v>
      </c>
      <c r="C704" s="150">
        <f>'[1]Fliggy Store Daily Key Data'!C2371</f>
        <v>17301</v>
      </c>
      <c r="D704" s="150">
        <f>'[1]Fliggy Store Daily Key Data'!G2371</f>
        <v>4874</v>
      </c>
      <c r="E704" s="150">
        <v>33</v>
      </c>
      <c r="F704" s="150">
        <f>'[1]Fliggy Store Daily Key Data'!K2371</f>
        <v>121373</v>
      </c>
      <c r="G704" s="150">
        <v>239</v>
      </c>
      <c r="H704" s="155">
        <f t="shared" si="20"/>
        <v>0.0376569037656904</v>
      </c>
      <c r="I704" s="73">
        <f>'[1]Fliggy Store Daily Key Data'!I2371</f>
        <v>9</v>
      </c>
      <c r="J704" s="18">
        <f t="shared" si="21"/>
        <v>0.000520201144442518</v>
      </c>
      <c r="K704" s="5"/>
    </row>
    <row r="705" ht="13.85" spans="1:11">
      <c r="A705" s="156">
        <v>45813</v>
      </c>
      <c r="B705" s="150">
        <f>'[1]Fliggy Store Daily Key Data'!B2372</f>
        <v>47090</v>
      </c>
      <c r="C705" s="150">
        <f>'[1]Fliggy Store Daily Key Data'!C2372</f>
        <v>17030</v>
      </c>
      <c r="D705" s="150">
        <f>'[1]Fliggy Store Daily Key Data'!G2372</f>
        <v>3724</v>
      </c>
      <c r="E705" s="150">
        <v>55</v>
      </c>
      <c r="F705" s="150">
        <f>'[1]Fliggy Store Daily Key Data'!K2372</f>
        <v>156907</v>
      </c>
      <c r="G705" s="150">
        <v>240</v>
      </c>
      <c r="H705" s="155">
        <f t="shared" si="20"/>
        <v>0.0541666666666667</v>
      </c>
      <c r="I705" s="73">
        <f>'[1]Fliggy Store Daily Key Data'!I2372</f>
        <v>13</v>
      </c>
      <c r="J705" s="18">
        <f t="shared" si="21"/>
        <v>0.000763358778625954</v>
      </c>
      <c r="K705" s="5"/>
    </row>
    <row r="706" ht="13.85" spans="1:11">
      <c r="A706" s="156">
        <v>45814</v>
      </c>
      <c r="B706" s="150">
        <f>'[1]Fliggy Store Daily Key Data'!B2373</f>
        <v>157108</v>
      </c>
      <c r="C706" s="150">
        <f>'[1]Fliggy Store Daily Key Data'!C2373</f>
        <v>39492</v>
      </c>
      <c r="D706" s="150">
        <f>'[1]Fliggy Store Daily Key Data'!G2373</f>
        <v>3606</v>
      </c>
      <c r="E706" s="150">
        <v>71</v>
      </c>
      <c r="F706" s="150">
        <f>'[1]Fliggy Store Daily Key Data'!K2373</f>
        <v>1207580</v>
      </c>
      <c r="G706" s="150">
        <v>483</v>
      </c>
      <c r="H706" s="155">
        <f t="shared" ref="H706:H769" si="22">I706/G706</f>
        <v>0.238095238095238</v>
      </c>
      <c r="I706" s="73">
        <f>'[1]Fliggy Store Daily Key Data'!I2373</f>
        <v>115</v>
      </c>
      <c r="J706" s="18">
        <f t="shared" si="21"/>
        <v>0.00291198217360478</v>
      </c>
      <c r="K706" s="5"/>
    </row>
    <row r="707" ht="13.85" spans="1:11">
      <c r="A707" s="156">
        <v>45815</v>
      </c>
      <c r="B707" s="150">
        <f>'[1]Fliggy Store Daily Key Data'!B2374</f>
        <v>60710</v>
      </c>
      <c r="C707" s="150">
        <f>'[1]Fliggy Store Daily Key Data'!C2374</f>
        <v>16988</v>
      </c>
      <c r="D707" s="150">
        <f>'[1]Fliggy Store Daily Key Data'!G2374</f>
        <v>3747</v>
      </c>
      <c r="E707" s="150">
        <v>39</v>
      </c>
      <c r="F707" s="150">
        <f>'[1]Fliggy Store Daily Key Data'!K2374</f>
        <v>531751.97</v>
      </c>
      <c r="G707" s="150">
        <v>318</v>
      </c>
      <c r="H707" s="155">
        <f t="shared" si="22"/>
        <v>0.128930817610063</v>
      </c>
      <c r="I707" s="73">
        <f>'[1]Fliggy Store Daily Key Data'!I2374</f>
        <v>41</v>
      </c>
      <c r="J707" s="18">
        <f t="shared" si="21"/>
        <v>0.0024134683305863</v>
      </c>
      <c r="K707" s="5"/>
    </row>
    <row r="708" ht="13.85" spans="1:11">
      <c r="A708" s="156">
        <v>45816</v>
      </c>
      <c r="B708" s="150">
        <f>'[1]Fliggy Store Daily Key Data'!B2375</f>
        <v>52057</v>
      </c>
      <c r="C708" s="150">
        <f>'[1]Fliggy Store Daily Key Data'!C2375</f>
        <v>15615</v>
      </c>
      <c r="D708" s="150">
        <f>'[1]Fliggy Store Daily Key Data'!G2375</f>
        <v>4123</v>
      </c>
      <c r="E708" s="150">
        <v>59</v>
      </c>
      <c r="F708" s="150">
        <f>'[1]Fliggy Store Daily Key Data'!K2375</f>
        <v>496308</v>
      </c>
      <c r="G708" s="150">
        <v>289</v>
      </c>
      <c r="H708" s="155">
        <f t="shared" si="22"/>
        <v>0.131487889273356</v>
      </c>
      <c r="I708" s="73">
        <f>'[1]Fliggy Store Daily Key Data'!I2375</f>
        <v>38</v>
      </c>
      <c r="J708" s="18">
        <f t="shared" si="21"/>
        <v>0.00243355747678514</v>
      </c>
      <c r="K708" s="5"/>
    </row>
    <row r="709" ht="13.85" spans="1:11">
      <c r="A709" s="156">
        <v>45817</v>
      </c>
      <c r="B709" s="150">
        <f>'[1]Fliggy Store Daily Key Data'!B2376</f>
        <v>52112</v>
      </c>
      <c r="C709" s="150">
        <f>'[1]Fliggy Store Daily Key Data'!C2376</f>
        <v>15007</v>
      </c>
      <c r="D709" s="150">
        <f>'[1]Fliggy Store Daily Key Data'!G2376</f>
        <v>4229</v>
      </c>
      <c r="E709" s="150">
        <v>54</v>
      </c>
      <c r="F709" s="150">
        <f>'[1]Fliggy Store Daily Key Data'!K2376</f>
        <v>354311</v>
      </c>
      <c r="G709" s="150">
        <v>298</v>
      </c>
      <c r="H709" s="155">
        <f t="shared" si="22"/>
        <v>0.104026845637584</v>
      </c>
      <c r="I709" s="73">
        <f>'[1]Fliggy Store Daily Key Data'!I2376</f>
        <v>31</v>
      </c>
      <c r="J709" s="18">
        <f t="shared" si="21"/>
        <v>0.00206570267208636</v>
      </c>
      <c r="K709" s="5"/>
    </row>
    <row r="710" ht="13.85" spans="1:11">
      <c r="A710" s="156">
        <v>45818</v>
      </c>
      <c r="B710" s="150">
        <f>'[1]Fliggy Store Daily Key Data'!B2377</f>
        <v>44066</v>
      </c>
      <c r="C710" s="150">
        <f>'[1]Fliggy Store Daily Key Data'!C2377</f>
        <v>12328</v>
      </c>
      <c r="D710" s="150">
        <f>'[1]Fliggy Store Daily Key Data'!G2377</f>
        <v>3645</v>
      </c>
      <c r="E710" s="150">
        <v>43</v>
      </c>
      <c r="F710" s="150">
        <f>'[1]Fliggy Store Daily Key Data'!K2377</f>
        <v>251702</v>
      </c>
      <c r="G710" s="150">
        <v>264</v>
      </c>
      <c r="H710" s="155">
        <f t="shared" si="22"/>
        <v>0.0833333333333333</v>
      </c>
      <c r="I710" s="73">
        <f>'[1]Fliggy Store Daily Key Data'!I2377</f>
        <v>22</v>
      </c>
      <c r="J710" s="18">
        <f t="shared" si="21"/>
        <v>0.0017845554834523</v>
      </c>
      <c r="K710" s="5"/>
    </row>
    <row r="711" ht="13.85" spans="1:11">
      <c r="A711" s="156">
        <v>45819</v>
      </c>
      <c r="B711" s="150">
        <f>'[1]Fliggy Store Daily Key Data'!B2378</f>
        <v>44100</v>
      </c>
      <c r="C711" s="150">
        <f>'[1]Fliggy Store Daily Key Data'!C2378</f>
        <v>13869</v>
      </c>
      <c r="D711" s="150">
        <f>'[1]Fliggy Store Daily Key Data'!G2378</f>
        <v>4973</v>
      </c>
      <c r="E711" s="150">
        <v>39</v>
      </c>
      <c r="F711" s="150">
        <f>'[1]Fliggy Store Daily Key Data'!K2378</f>
        <v>371266</v>
      </c>
      <c r="G711" s="150">
        <v>284</v>
      </c>
      <c r="H711" s="155">
        <f t="shared" si="22"/>
        <v>0.102112676056338</v>
      </c>
      <c r="I711" s="73">
        <f>'[1]Fliggy Store Daily Key Data'!I2378</f>
        <v>29</v>
      </c>
      <c r="J711" s="18">
        <f t="shared" si="21"/>
        <v>0.0020909943038431</v>
      </c>
      <c r="K711" s="5"/>
    </row>
    <row r="712" ht="13.85" spans="1:11">
      <c r="A712" s="156">
        <v>45820</v>
      </c>
      <c r="B712" s="150">
        <f>'[1]Fliggy Store Daily Key Data'!B2379</f>
        <v>46235</v>
      </c>
      <c r="C712" s="150">
        <f>'[1]Fliggy Store Daily Key Data'!C2379</f>
        <v>14693</v>
      </c>
      <c r="D712" s="150">
        <f>'[1]Fliggy Store Daily Key Data'!G2379</f>
        <v>4209</v>
      </c>
      <c r="E712" s="150">
        <v>63</v>
      </c>
      <c r="F712" s="150">
        <f>'[1]Fliggy Store Daily Key Data'!K2379</f>
        <v>172796</v>
      </c>
      <c r="G712" s="150">
        <v>256</v>
      </c>
      <c r="H712" s="155">
        <f t="shared" si="22"/>
        <v>0.05859375</v>
      </c>
      <c r="I712" s="73">
        <f>'[1]Fliggy Store Daily Key Data'!I2379</f>
        <v>15</v>
      </c>
      <c r="J712" s="18">
        <f t="shared" si="21"/>
        <v>0.00102089430340979</v>
      </c>
      <c r="K712" s="5"/>
    </row>
    <row r="713" ht="13.85" spans="1:11">
      <c r="A713" s="156">
        <v>45821</v>
      </c>
      <c r="B713" s="150">
        <f>'[1]Fliggy Store Daily Key Data'!B2380</f>
        <v>38206</v>
      </c>
      <c r="C713" s="150">
        <f>'[1]Fliggy Store Daily Key Data'!C2380</f>
        <v>12537</v>
      </c>
      <c r="D713" s="150">
        <f>'[1]Fliggy Store Daily Key Data'!G2380</f>
        <v>3061</v>
      </c>
      <c r="E713" s="150">
        <v>43</v>
      </c>
      <c r="F713" s="150">
        <f>'[1]Fliggy Store Daily Key Data'!K2380</f>
        <v>324572</v>
      </c>
      <c r="G713" s="150">
        <v>175</v>
      </c>
      <c r="H713" s="155">
        <f t="shared" si="22"/>
        <v>0.125714285714286</v>
      </c>
      <c r="I713" s="73">
        <f>'[1]Fliggy Store Daily Key Data'!I2380</f>
        <v>22</v>
      </c>
      <c r="J713" s="18">
        <f t="shared" si="21"/>
        <v>0.00175480577490628</v>
      </c>
      <c r="K713" s="5"/>
    </row>
    <row r="714" ht="13.85" spans="1:11">
      <c r="A714" s="156">
        <v>45822</v>
      </c>
      <c r="B714" s="150">
        <f>'[1]Fliggy Store Daily Key Data'!B2381</f>
        <v>38361</v>
      </c>
      <c r="C714" s="150">
        <f>'[1]Fliggy Store Daily Key Data'!C2381</f>
        <v>12019</v>
      </c>
      <c r="D714" s="150">
        <f>'[1]Fliggy Store Daily Key Data'!G2381</f>
        <v>2534</v>
      </c>
      <c r="E714" s="150">
        <v>39</v>
      </c>
      <c r="F714" s="150">
        <f>'[1]Fliggy Store Daily Key Data'!K2381</f>
        <v>345933</v>
      </c>
      <c r="G714" s="150">
        <v>193</v>
      </c>
      <c r="H714" s="155">
        <f t="shared" si="22"/>
        <v>0.134715025906736</v>
      </c>
      <c r="I714" s="73">
        <f>'[1]Fliggy Store Daily Key Data'!I2381</f>
        <v>26</v>
      </c>
      <c r="J714" s="18">
        <f t="shared" si="21"/>
        <v>0.00216324153423746</v>
      </c>
      <c r="K714" s="5"/>
    </row>
    <row r="715" ht="13.85" spans="1:11">
      <c r="A715" s="156">
        <v>45823</v>
      </c>
      <c r="B715" s="150">
        <f>'[1]Fliggy Store Daily Key Data'!B2382</f>
        <v>45826</v>
      </c>
      <c r="C715" s="150">
        <f>'[1]Fliggy Store Daily Key Data'!C2382</f>
        <v>16357</v>
      </c>
      <c r="D715" s="150">
        <f>'[1]Fliggy Store Daily Key Data'!G2382</f>
        <v>2559</v>
      </c>
      <c r="E715" s="150">
        <v>55</v>
      </c>
      <c r="F715" s="150">
        <f>'[1]Fliggy Store Daily Key Data'!K2382</f>
        <v>300974</v>
      </c>
      <c r="G715" s="150">
        <v>199</v>
      </c>
      <c r="H715" s="155">
        <f t="shared" si="22"/>
        <v>0.100502512562814</v>
      </c>
      <c r="I715" s="73">
        <f>'[1]Fliggy Store Daily Key Data'!I2382</f>
        <v>20</v>
      </c>
      <c r="J715" s="18">
        <f t="shared" si="21"/>
        <v>0.00122271810234151</v>
      </c>
      <c r="K715" s="5"/>
    </row>
    <row r="716" ht="13.85" spans="1:11">
      <c r="A716" s="156">
        <v>45824</v>
      </c>
      <c r="B716" s="150">
        <f>'[1]Fliggy Store Daily Key Data'!B2383</f>
        <v>44793</v>
      </c>
      <c r="C716" s="150">
        <f>'[1]Fliggy Store Daily Key Data'!C2383</f>
        <v>13579</v>
      </c>
      <c r="D716" s="150">
        <f>'[1]Fliggy Store Daily Key Data'!G2383</f>
        <v>3356</v>
      </c>
      <c r="E716" s="150">
        <v>59</v>
      </c>
      <c r="F716" s="150">
        <f>'[1]Fliggy Store Daily Key Data'!K2383</f>
        <v>386149</v>
      </c>
      <c r="G716" s="150">
        <v>280</v>
      </c>
      <c r="H716" s="155">
        <f t="shared" si="22"/>
        <v>0.110714285714286</v>
      </c>
      <c r="I716" s="73">
        <f>'[1]Fliggy Store Daily Key Data'!I2383</f>
        <v>31</v>
      </c>
      <c r="J716" s="18">
        <f t="shared" si="21"/>
        <v>0.00228293688784152</v>
      </c>
      <c r="K716" s="5"/>
    </row>
    <row r="717" ht="13.85" spans="1:11">
      <c r="A717" s="156">
        <v>45825</v>
      </c>
      <c r="B717" s="150">
        <f>'[1]Fliggy Store Daily Key Data'!B2384</f>
        <v>43099</v>
      </c>
      <c r="C717" s="150">
        <f>'[1]Fliggy Store Daily Key Data'!C2384</f>
        <v>12897</v>
      </c>
      <c r="D717" s="150">
        <f>'[1]Fliggy Store Daily Key Data'!G2384</f>
        <v>3443</v>
      </c>
      <c r="E717" s="150">
        <v>54</v>
      </c>
      <c r="F717" s="150">
        <f>'[1]Fliggy Store Daily Key Data'!K2384</f>
        <v>347314</v>
      </c>
      <c r="G717" s="150">
        <v>297</v>
      </c>
      <c r="H717" s="155">
        <f t="shared" si="22"/>
        <v>0.0942760942760943</v>
      </c>
      <c r="I717" s="73">
        <f>'[1]Fliggy Store Daily Key Data'!I2384</f>
        <v>28</v>
      </c>
      <c r="J717" s="18">
        <f t="shared" si="21"/>
        <v>0.00217104753043343</v>
      </c>
      <c r="K717" s="5"/>
    </row>
    <row r="718" ht="13.85" spans="1:11">
      <c r="A718" s="156">
        <v>45826</v>
      </c>
      <c r="B718" s="150">
        <f>'[1]Fliggy Store Daily Key Data'!B2385</f>
        <v>452099</v>
      </c>
      <c r="C718" s="150">
        <f>'[1]Fliggy Store Daily Key Data'!C2385</f>
        <v>81265</v>
      </c>
      <c r="D718" s="150">
        <f>'[1]Fliggy Store Daily Key Data'!G2385</f>
        <v>3568</v>
      </c>
      <c r="E718" s="150">
        <v>127</v>
      </c>
      <c r="F718" s="150">
        <f>'[1]Fliggy Store Daily Key Data'!K2385</f>
        <v>3904087</v>
      </c>
      <c r="G718" s="150">
        <v>1043</v>
      </c>
      <c r="H718" s="155">
        <f t="shared" si="22"/>
        <v>0.36816874400767</v>
      </c>
      <c r="I718" s="73">
        <f>'[1]Fliggy Store Daily Key Data'!I2385</f>
        <v>384</v>
      </c>
      <c r="J718" s="18">
        <f t="shared" si="21"/>
        <v>0.0047252814864948</v>
      </c>
      <c r="K718" s="5"/>
    </row>
    <row r="719" ht="13.85" spans="1:11">
      <c r="A719" s="156">
        <v>45827</v>
      </c>
      <c r="B719" s="150">
        <f>'[1]Fliggy Store Daily Key Data'!B2386</f>
        <v>86769</v>
      </c>
      <c r="C719" s="150">
        <f>'[1]Fliggy Store Daily Key Data'!C2386</f>
        <v>21102</v>
      </c>
      <c r="D719" s="150">
        <f>'[1]Fliggy Store Daily Key Data'!G2386</f>
        <v>4165</v>
      </c>
      <c r="E719" s="150">
        <v>57</v>
      </c>
      <c r="F719" s="150">
        <f>'[1]Fliggy Store Daily Key Data'!K2386</f>
        <v>1122006</v>
      </c>
      <c r="G719" s="150">
        <v>357</v>
      </c>
      <c r="H719" s="155">
        <f t="shared" si="22"/>
        <v>0.296918767507003</v>
      </c>
      <c r="I719" s="73">
        <f>'[1]Fliggy Store Daily Key Data'!I2386</f>
        <v>106</v>
      </c>
      <c r="J719" s="18">
        <f t="shared" si="21"/>
        <v>0.00502322054781537</v>
      </c>
      <c r="K719" s="5"/>
    </row>
    <row r="720" ht="13.85" spans="1:11">
      <c r="A720" s="156">
        <v>45828</v>
      </c>
      <c r="B720" s="150">
        <f>'[1]Fliggy Store Daily Key Data'!B2387</f>
        <v>49227</v>
      </c>
      <c r="C720" s="150">
        <f>'[1]Fliggy Store Daily Key Data'!C2387</f>
        <v>17700</v>
      </c>
      <c r="D720" s="150">
        <f>'[1]Fliggy Store Daily Key Data'!G2387</f>
        <v>4255</v>
      </c>
      <c r="E720" s="150">
        <v>43</v>
      </c>
      <c r="F720" s="150">
        <f>'[1]Fliggy Store Daily Key Data'!K2387</f>
        <v>769589</v>
      </c>
      <c r="G720" s="150">
        <v>300</v>
      </c>
      <c r="H720" s="155">
        <f t="shared" si="22"/>
        <v>0.253333333333333</v>
      </c>
      <c r="I720" s="73">
        <f>'[1]Fliggy Store Daily Key Data'!I2387</f>
        <v>76</v>
      </c>
      <c r="J720" s="18">
        <f t="shared" si="21"/>
        <v>0.00429378531073446</v>
      </c>
      <c r="K720" s="5"/>
    </row>
    <row r="721" ht="13.85" spans="1:11">
      <c r="A721" s="156">
        <v>45829</v>
      </c>
      <c r="B721" s="150">
        <f>'[1]Fliggy Store Daily Key Data'!B2388</f>
        <v>34980</v>
      </c>
      <c r="C721" s="150">
        <f>'[1]Fliggy Store Daily Key Data'!C2388</f>
        <v>15166</v>
      </c>
      <c r="D721" s="150">
        <f>'[1]Fliggy Store Daily Key Data'!G2388</f>
        <v>1951</v>
      </c>
      <c r="E721" s="150">
        <v>39</v>
      </c>
      <c r="F721" s="150">
        <f>'[1]Fliggy Store Daily Key Data'!K2388</f>
        <v>167853</v>
      </c>
      <c r="G721" s="150">
        <v>197</v>
      </c>
      <c r="H721" s="155">
        <f t="shared" si="22"/>
        <v>0.065989847715736</v>
      </c>
      <c r="I721" s="73">
        <f>'[1]Fliggy Store Daily Key Data'!I2388</f>
        <v>13</v>
      </c>
      <c r="J721" s="18">
        <f t="shared" si="21"/>
        <v>0.00085718053540815</v>
      </c>
      <c r="K721" s="5"/>
    </row>
    <row r="722" ht="13.85" spans="1:11">
      <c r="A722" s="156">
        <v>45830</v>
      </c>
      <c r="B722" s="150">
        <f>'[1]Fliggy Store Daily Key Data'!B2389</f>
        <v>39139</v>
      </c>
      <c r="C722" s="150">
        <f>'[1]Fliggy Store Daily Key Data'!C2389</f>
        <v>16289</v>
      </c>
      <c r="D722" s="150">
        <f>'[1]Fliggy Store Daily Key Data'!G2389</f>
        <v>2195</v>
      </c>
      <c r="E722" s="150">
        <v>38</v>
      </c>
      <c r="F722" s="150">
        <f>'[1]Fliggy Store Daily Key Data'!K2389</f>
        <v>243628</v>
      </c>
      <c r="G722" s="150">
        <v>234</v>
      </c>
      <c r="H722" s="155">
        <f t="shared" si="22"/>
        <v>0.0683760683760684</v>
      </c>
      <c r="I722" s="73">
        <f>'[1]Fliggy Store Daily Key Data'!I2389</f>
        <v>16</v>
      </c>
      <c r="J722" s="18">
        <f t="shared" si="21"/>
        <v>0.000982257965498189</v>
      </c>
      <c r="K722" s="5"/>
    </row>
    <row r="723" ht="13.85" spans="1:11">
      <c r="A723" s="156">
        <v>45831</v>
      </c>
      <c r="B723" s="150">
        <f>'[1]Fliggy Store Daily Key Data'!B2390</f>
        <v>36581</v>
      </c>
      <c r="C723" s="150">
        <f>'[1]Fliggy Store Daily Key Data'!C2390</f>
        <v>13903</v>
      </c>
      <c r="D723" s="150">
        <f>'[1]Fliggy Store Daily Key Data'!G2390</f>
        <v>2663</v>
      </c>
      <c r="E723" s="150">
        <v>32</v>
      </c>
      <c r="F723" s="150">
        <f>'[1]Fliggy Store Daily Key Data'!K2390</f>
        <v>168497</v>
      </c>
      <c r="G723" s="150">
        <v>226</v>
      </c>
      <c r="H723" s="155">
        <f t="shared" si="22"/>
        <v>0.0575221238938053</v>
      </c>
      <c r="I723" s="73">
        <f>'[1]Fliggy Store Daily Key Data'!I2390</f>
        <v>13</v>
      </c>
      <c r="J723" s="18">
        <f t="shared" si="21"/>
        <v>0.000935049989210962</v>
      </c>
      <c r="K723" s="5"/>
    </row>
    <row r="724" ht="13.85" spans="1:11">
      <c r="A724" s="156">
        <v>45832</v>
      </c>
      <c r="B724" s="150">
        <f>'[1]Fliggy Store Daily Key Data'!B2391</f>
        <v>39108</v>
      </c>
      <c r="C724" s="150">
        <f>'[1]Fliggy Store Daily Key Data'!C2391</f>
        <v>15822</v>
      </c>
      <c r="D724" s="150">
        <f>'[1]Fliggy Store Daily Key Data'!G2391</f>
        <v>2856</v>
      </c>
      <c r="E724" s="150">
        <v>34</v>
      </c>
      <c r="F724" s="150">
        <f>'[1]Fliggy Store Daily Key Data'!K2391</f>
        <v>86850</v>
      </c>
      <c r="G724" s="150">
        <v>223</v>
      </c>
      <c r="H724" s="155">
        <f t="shared" si="22"/>
        <v>0.0448430493273543</v>
      </c>
      <c r="I724" s="73">
        <f>'[1]Fliggy Store Daily Key Data'!I2391</f>
        <v>10</v>
      </c>
      <c r="J724" s="18">
        <f t="shared" si="21"/>
        <v>0.000632031348754898</v>
      </c>
      <c r="K724" s="5"/>
    </row>
    <row r="725" ht="13.85" spans="1:11">
      <c r="A725" s="156">
        <v>45833</v>
      </c>
      <c r="B725" s="150">
        <f>'[1]Fliggy Store Daily Key Data'!B2392</f>
        <v>38854</v>
      </c>
      <c r="C725" s="150">
        <f>'[1]Fliggy Store Daily Key Data'!C2392</f>
        <v>16917</v>
      </c>
      <c r="D725" s="150">
        <f>'[1]Fliggy Store Daily Key Data'!G2392</f>
        <v>3128</v>
      </c>
      <c r="E725" s="150">
        <v>47</v>
      </c>
      <c r="F725" s="150">
        <f>'[1]Fliggy Store Daily Key Data'!K2392</f>
        <v>176826.8</v>
      </c>
      <c r="G725" s="150">
        <v>179</v>
      </c>
      <c r="H725" s="155">
        <f t="shared" si="22"/>
        <v>0.0558659217877095</v>
      </c>
      <c r="I725" s="73">
        <f>'[1]Fliggy Store Daily Key Data'!I2392</f>
        <v>10</v>
      </c>
      <c r="J725" s="18">
        <f t="shared" si="21"/>
        <v>0.000591121357214636</v>
      </c>
      <c r="K725" s="5"/>
    </row>
    <row r="726" ht="13.85" spans="1:11">
      <c r="A726" s="156">
        <v>45834</v>
      </c>
      <c r="B726" s="150">
        <f>'[1]Fliggy Store Daily Key Data'!B2393</f>
        <v>45614</v>
      </c>
      <c r="C726" s="150">
        <f>'[1]Fliggy Store Daily Key Data'!C2393</f>
        <v>17475</v>
      </c>
      <c r="D726" s="150">
        <f>'[1]Fliggy Store Daily Key Data'!G2393</f>
        <v>3906</v>
      </c>
      <c r="E726" s="150">
        <v>42</v>
      </c>
      <c r="F726" s="150">
        <f>'[1]Fliggy Store Daily Key Data'!K2393</f>
        <v>159306</v>
      </c>
      <c r="G726" s="150">
        <v>198</v>
      </c>
      <c r="H726" s="155">
        <f t="shared" si="22"/>
        <v>0.0505050505050505</v>
      </c>
      <c r="I726" s="73">
        <f>'[1]Fliggy Store Daily Key Data'!I2393</f>
        <v>10</v>
      </c>
      <c r="J726" s="18">
        <f t="shared" si="21"/>
        <v>0.000572246065808298</v>
      </c>
      <c r="K726" s="5"/>
    </row>
    <row r="727" ht="13.85" spans="1:11">
      <c r="A727" s="156">
        <v>45835</v>
      </c>
      <c r="B727" s="150">
        <f>'[1]Fliggy Store Daily Key Data'!B2394</f>
        <v>34429</v>
      </c>
      <c r="C727" s="150">
        <f>'[1]Fliggy Store Daily Key Data'!C2394</f>
        <v>10567</v>
      </c>
      <c r="D727" s="150">
        <f>'[1]Fliggy Store Daily Key Data'!G2394</f>
        <v>4249</v>
      </c>
      <c r="E727" s="150">
        <v>35</v>
      </c>
      <c r="F727" s="150">
        <f>'[1]Fliggy Store Daily Key Data'!K2394</f>
        <v>162701</v>
      </c>
      <c r="G727" s="150">
        <v>200</v>
      </c>
      <c r="H727" s="155">
        <f t="shared" si="22"/>
        <v>0.05</v>
      </c>
      <c r="I727" s="73">
        <f>'[1]Fliggy Store Daily Key Data'!I2394</f>
        <v>10</v>
      </c>
      <c r="J727" s="18">
        <f t="shared" si="21"/>
        <v>0.000946342386675499</v>
      </c>
      <c r="K727" s="5"/>
    </row>
    <row r="728" ht="13.85" spans="1:11">
      <c r="A728" s="156">
        <v>45836</v>
      </c>
      <c r="B728" s="150">
        <f>'[1]Fliggy Store Daily Key Data'!B2395</f>
        <v>39208</v>
      </c>
      <c r="C728" s="150">
        <f>'[1]Fliggy Store Daily Key Data'!C2395</f>
        <v>12754</v>
      </c>
      <c r="D728" s="150">
        <f>'[1]Fliggy Store Daily Key Data'!G2395</f>
        <v>5716</v>
      </c>
      <c r="E728" s="150">
        <v>54</v>
      </c>
      <c r="F728" s="150">
        <f>'[1]Fliggy Store Daily Key Data'!K2395</f>
        <v>372987.98</v>
      </c>
      <c r="G728" s="150">
        <v>211</v>
      </c>
      <c r="H728" s="155">
        <f t="shared" si="22"/>
        <v>0.109004739336493</v>
      </c>
      <c r="I728" s="73">
        <f>'[1]Fliggy Store Daily Key Data'!I2395</f>
        <v>23</v>
      </c>
      <c r="J728" s="18">
        <f t="shared" ref="J728:J791" si="23">I728/C728</f>
        <v>0.00180335580994198</v>
      </c>
      <c r="K728" s="5"/>
    </row>
    <row r="729" ht="13.85" spans="1:11">
      <c r="A729" s="156">
        <v>45837</v>
      </c>
      <c r="B729" s="150">
        <f>'[1]Fliggy Store Daily Key Data'!B2396</f>
        <v>47978</v>
      </c>
      <c r="C729" s="150">
        <f>'[1]Fliggy Store Daily Key Data'!C2396</f>
        <v>14923</v>
      </c>
      <c r="D729" s="150">
        <f>'[1]Fliggy Store Daily Key Data'!G2396</f>
        <v>6227</v>
      </c>
      <c r="E729" s="150">
        <v>49</v>
      </c>
      <c r="F729" s="150">
        <f>'[1]Fliggy Store Daily Key Data'!K2396</f>
        <v>180360.99</v>
      </c>
      <c r="G729" s="150">
        <v>192</v>
      </c>
      <c r="H729" s="155">
        <f t="shared" si="22"/>
        <v>0.0520833333333333</v>
      </c>
      <c r="I729" s="73">
        <f>'[1]Fliggy Store Daily Key Data'!I2396</f>
        <v>10</v>
      </c>
      <c r="J729" s="18">
        <f t="shared" si="23"/>
        <v>0.000670106546940964</v>
      </c>
      <c r="K729" s="5"/>
    </row>
    <row r="730" ht="13.85" spans="1:11">
      <c r="A730" s="156">
        <v>45838</v>
      </c>
      <c r="B730" s="150">
        <f>'[1]Fliggy Store Daily Key Data'!B2397</f>
        <v>41953</v>
      </c>
      <c r="C730" s="150">
        <f>'[1]Fliggy Store Daily Key Data'!C2397</f>
        <v>11643</v>
      </c>
      <c r="D730" s="150">
        <f>'[1]Fliggy Store Daily Key Data'!G2397</f>
        <v>5537</v>
      </c>
      <c r="E730" s="150">
        <v>37</v>
      </c>
      <c r="F730" s="150">
        <f>'[1]Fliggy Store Daily Key Data'!K2397</f>
        <v>225560</v>
      </c>
      <c r="G730" s="150">
        <v>288</v>
      </c>
      <c r="H730" s="155">
        <f t="shared" si="22"/>
        <v>0.0451388888888889</v>
      </c>
      <c r="I730" s="73">
        <f>'[1]Fliggy Store Daily Key Data'!I2397</f>
        <v>13</v>
      </c>
      <c r="J730" s="18">
        <f t="shared" si="23"/>
        <v>0.00111655071716911</v>
      </c>
      <c r="K730" s="5"/>
    </row>
    <row r="731" ht="13.85" spans="1:11">
      <c r="A731" s="156">
        <v>45839</v>
      </c>
      <c r="B731" s="150">
        <f>'[1]Fliggy Store Daily Key Data'!B2398</f>
        <v>42082</v>
      </c>
      <c r="C731" s="150">
        <f>'[1]Fliggy Store Daily Key Data'!C2398</f>
        <v>12806</v>
      </c>
      <c r="D731" s="150">
        <f>'[1]Fliggy Store Daily Key Data'!G2398</f>
        <v>5046</v>
      </c>
      <c r="E731" s="150">
        <v>41</v>
      </c>
      <c r="F731" s="150">
        <f>'[1]Fliggy Store Daily Key Data'!K2398</f>
        <v>161748.99</v>
      </c>
      <c r="G731" s="150">
        <v>256</v>
      </c>
      <c r="H731" s="155">
        <f t="shared" si="22"/>
        <v>0.02734375</v>
      </c>
      <c r="I731" s="73">
        <f>'[1]Fliggy Store Daily Key Data'!I2398</f>
        <v>7</v>
      </c>
      <c r="J731" s="18">
        <f t="shared" si="23"/>
        <v>0.000546618772450414</v>
      </c>
      <c r="K731" s="5"/>
    </row>
    <row r="732" ht="13.85" spans="1:11">
      <c r="A732" s="156">
        <v>45840</v>
      </c>
      <c r="B732" s="150">
        <f>'[1]Fliggy Store Daily Key Data'!B2399</f>
        <v>48005</v>
      </c>
      <c r="C732" s="150">
        <f>'[1]Fliggy Store Daily Key Data'!C2399</f>
        <v>19443</v>
      </c>
      <c r="D732" s="150">
        <f>'[1]Fliggy Store Daily Key Data'!G2399</f>
        <v>4003</v>
      </c>
      <c r="E732" s="150">
        <v>36</v>
      </c>
      <c r="F732" s="150">
        <f>'[1]Fliggy Store Daily Key Data'!K2399</f>
        <v>281729</v>
      </c>
      <c r="G732" s="150">
        <v>234</v>
      </c>
      <c r="H732" s="155">
        <f t="shared" si="22"/>
        <v>0.0683760683760684</v>
      </c>
      <c r="I732" s="73">
        <f>'[1]Fliggy Store Daily Key Data'!I2399</f>
        <v>16</v>
      </c>
      <c r="J732" s="18">
        <f t="shared" si="23"/>
        <v>0.00082291827392892</v>
      </c>
      <c r="K732" s="5"/>
    </row>
    <row r="733" ht="13.85" spans="1:11">
      <c r="A733" s="156">
        <v>45841</v>
      </c>
      <c r="B733" s="150">
        <f>'[1]Fliggy Store Daily Key Data'!B2400</f>
        <v>75652</v>
      </c>
      <c r="C733" s="150">
        <f>'[1]Fliggy Store Daily Key Data'!C2400</f>
        <v>35863</v>
      </c>
      <c r="D733" s="150">
        <f>'[1]Fliggy Store Daily Key Data'!G2400</f>
        <v>4252</v>
      </c>
      <c r="E733" s="150">
        <v>44</v>
      </c>
      <c r="F733" s="150">
        <f>'[1]Fliggy Store Daily Key Data'!K2400</f>
        <v>129808.28</v>
      </c>
      <c r="G733" s="150">
        <v>236</v>
      </c>
      <c r="H733" s="155">
        <f t="shared" si="22"/>
        <v>0.0338983050847458</v>
      </c>
      <c r="I733" s="73">
        <f>'[1]Fliggy Store Daily Key Data'!I2400</f>
        <v>8</v>
      </c>
      <c r="J733" s="18">
        <f t="shared" si="23"/>
        <v>0.000223071131807155</v>
      </c>
      <c r="K733" s="5"/>
    </row>
    <row r="734" ht="13.85" spans="1:11">
      <c r="A734" s="156">
        <v>45842</v>
      </c>
      <c r="B734" s="150">
        <f>'[1]Fliggy Store Daily Key Data'!B2401</f>
        <v>33626</v>
      </c>
      <c r="C734" s="150">
        <f>'[1]Fliggy Store Daily Key Data'!C2401</f>
        <v>10654</v>
      </c>
      <c r="D734" s="150">
        <f>'[1]Fliggy Store Daily Key Data'!G2401</f>
        <v>4773</v>
      </c>
      <c r="E734" s="150">
        <v>34</v>
      </c>
      <c r="F734" s="150">
        <f>'[1]Fliggy Store Daily Key Data'!K2401</f>
        <v>69388</v>
      </c>
      <c r="G734" s="150">
        <v>208</v>
      </c>
      <c r="H734" s="155">
        <f t="shared" si="22"/>
        <v>0.0336538461538462</v>
      </c>
      <c r="I734" s="73">
        <f>'[1]Fliggy Store Daily Key Data'!I2401</f>
        <v>7</v>
      </c>
      <c r="J734" s="18">
        <f t="shared" si="23"/>
        <v>0.000657030223390276</v>
      </c>
      <c r="K734" s="5"/>
    </row>
    <row r="735" ht="13.85" spans="1:11">
      <c r="A735" s="156">
        <v>45843</v>
      </c>
      <c r="B735" s="150">
        <f>'[1]Fliggy Store Daily Key Data'!B2402</f>
        <v>34710</v>
      </c>
      <c r="C735" s="150">
        <f>'[1]Fliggy Store Daily Key Data'!C2402</f>
        <v>9436</v>
      </c>
      <c r="D735" s="150">
        <f>'[1]Fliggy Store Daily Key Data'!G2402</f>
        <v>4641</v>
      </c>
      <c r="E735" s="150">
        <v>30</v>
      </c>
      <c r="F735" s="150">
        <f>'[1]Fliggy Store Daily Key Data'!K2402</f>
        <v>146684</v>
      </c>
      <c r="G735" s="150">
        <v>200</v>
      </c>
      <c r="H735" s="155">
        <f t="shared" si="22"/>
        <v>0.045</v>
      </c>
      <c r="I735" s="73">
        <f>'[1]Fliggy Store Daily Key Data'!I2402</f>
        <v>9</v>
      </c>
      <c r="J735" s="18">
        <f t="shared" si="23"/>
        <v>0.000953793980500212</v>
      </c>
      <c r="K735" s="5"/>
    </row>
    <row r="736" ht="13.85" spans="1:11">
      <c r="A736" s="156">
        <v>45844</v>
      </c>
      <c r="B736" s="150">
        <f>'[1]Fliggy Store Daily Key Data'!B2403</f>
        <v>70778</v>
      </c>
      <c r="C736" s="150">
        <f>'[1]Fliggy Store Daily Key Data'!C2403</f>
        <v>35416</v>
      </c>
      <c r="D736" s="150">
        <f>'[1]Fliggy Store Daily Key Data'!G2403</f>
        <v>4307</v>
      </c>
      <c r="E736" s="150">
        <v>34</v>
      </c>
      <c r="F736" s="150">
        <f>'[1]Fliggy Store Daily Key Data'!K2403</f>
        <v>97078</v>
      </c>
      <c r="G736" s="150">
        <v>195</v>
      </c>
      <c r="H736" s="155">
        <f t="shared" si="22"/>
        <v>0.0358974358974359</v>
      </c>
      <c r="I736" s="73">
        <f>'[1]Fliggy Store Daily Key Data'!I2403</f>
        <v>7</v>
      </c>
      <c r="J736" s="18">
        <f t="shared" si="23"/>
        <v>0.000197650779308787</v>
      </c>
      <c r="K736" s="5"/>
    </row>
    <row r="737" ht="13.85" spans="1:11">
      <c r="A737" s="156">
        <v>45845</v>
      </c>
      <c r="B737" s="150">
        <f>'[1]Fliggy Store Daily Key Data'!B2404</f>
        <v>65326</v>
      </c>
      <c r="C737" s="150">
        <f>'[1]Fliggy Store Daily Key Data'!C2404</f>
        <v>28909</v>
      </c>
      <c r="D737" s="150">
        <f>'[1]Fliggy Store Daily Key Data'!G2404</f>
        <v>4247</v>
      </c>
      <c r="E737" s="150">
        <v>51</v>
      </c>
      <c r="F737" s="150">
        <f>'[1]Fliggy Store Daily Key Data'!K2404</f>
        <v>311914.01</v>
      </c>
      <c r="G737" s="150">
        <v>242</v>
      </c>
      <c r="H737" s="155">
        <f t="shared" si="22"/>
        <v>0.0826446280991736</v>
      </c>
      <c r="I737" s="73">
        <f>'[1]Fliggy Store Daily Key Data'!I2404</f>
        <v>20</v>
      </c>
      <c r="J737" s="18">
        <f t="shared" si="23"/>
        <v>0.000691826074924764</v>
      </c>
      <c r="K737" s="5"/>
    </row>
    <row r="738" ht="13.85" spans="1:11">
      <c r="A738" s="156">
        <v>45846</v>
      </c>
      <c r="B738" s="150">
        <f>'[1]Fliggy Store Daily Key Data'!B2405</f>
        <v>35696</v>
      </c>
      <c r="C738" s="150">
        <f>'[1]Fliggy Store Daily Key Data'!C2405</f>
        <v>11035</v>
      </c>
      <c r="D738" s="150">
        <f>'[1]Fliggy Store Daily Key Data'!G2405</f>
        <v>4005</v>
      </c>
      <c r="E738" s="150">
        <v>46</v>
      </c>
      <c r="F738" s="150">
        <f>'[1]Fliggy Store Daily Key Data'!K2405</f>
        <v>183008</v>
      </c>
      <c r="G738" s="150">
        <v>243</v>
      </c>
      <c r="H738" s="155">
        <f t="shared" si="22"/>
        <v>0.0493827160493827</v>
      </c>
      <c r="I738" s="73">
        <f>'[1]Fliggy Store Daily Key Data'!I2405</f>
        <v>12</v>
      </c>
      <c r="J738" s="18">
        <f t="shared" si="23"/>
        <v>0.00108744902582691</v>
      </c>
      <c r="K738" s="5"/>
    </row>
    <row r="739" ht="13.85" spans="1:11">
      <c r="A739" s="156">
        <v>45847</v>
      </c>
      <c r="B739" s="150">
        <f>'[1]Fliggy Store Daily Key Data'!B2406</f>
        <v>42972</v>
      </c>
      <c r="C739" s="150">
        <f>'[1]Fliggy Store Daily Key Data'!C2406</f>
        <v>12131</v>
      </c>
      <c r="D739" s="150">
        <f>'[1]Fliggy Store Daily Key Data'!G2406</f>
        <v>4535</v>
      </c>
      <c r="E739" s="150">
        <v>41</v>
      </c>
      <c r="F739" s="150">
        <f>'[1]Fliggy Store Daily Key Data'!K2406</f>
        <v>134658</v>
      </c>
      <c r="G739" s="150">
        <v>223</v>
      </c>
      <c r="H739" s="155">
        <f t="shared" si="22"/>
        <v>0.0403587443946188</v>
      </c>
      <c r="I739" s="73">
        <f>'[1]Fliggy Store Daily Key Data'!I2406</f>
        <v>9</v>
      </c>
      <c r="J739" s="18">
        <f t="shared" si="23"/>
        <v>0.000741900915011128</v>
      </c>
      <c r="K739" s="5"/>
    </row>
    <row r="740" ht="13.85" spans="1:11">
      <c r="A740" s="156">
        <v>45848</v>
      </c>
      <c r="B740" s="150">
        <f>'[1]Fliggy Store Daily Key Data'!B2407</f>
        <v>35496</v>
      </c>
      <c r="C740" s="150">
        <f>'[1]Fliggy Store Daily Key Data'!C2407</f>
        <v>10451</v>
      </c>
      <c r="D740" s="150">
        <f>'[1]Fliggy Store Daily Key Data'!G2407</f>
        <v>4289</v>
      </c>
      <c r="E740" s="150">
        <v>31</v>
      </c>
      <c r="F740" s="150">
        <f>'[1]Fliggy Store Daily Key Data'!K2407</f>
        <v>133015</v>
      </c>
      <c r="G740" s="150">
        <v>258</v>
      </c>
      <c r="H740" s="155">
        <f t="shared" si="22"/>
        <v>0.0310077519379845</v>
      </c>
      <c r="I740" s="73">
        <f>'[1]Fliggy Store Daily Key Data'!I2407</f>
        <v>8</v>
      </c>
      <c r="J740" s="18">
        <f t="shared" si="23"/>
        <v>0.000765476987848053</v>
      </c>
      <c r="K740" s="5"/>
    </row>
    <row r="741" ht="13.85" spans="1:11">
      <c r="A741" s="156">
        <v>45849</v>
      </c>
      <c r="B741" s="150">
        <f>'[1]Fliggy Store Daily Key Data'!B2408</f>
        <v>35179</v>
      </c>
      <c r="C741" s="150">
        <f>'[1]Fliggy Store Daily Key Data'!C2408</f>
        <v>10089</v>
      </c>
      <c r="D741" s="150">
        <f>'[1]Fliggy Store Daily Key Data'!G2408</f>
        <v>4842</v>
      </c>
      <c r="E741" s="150">
        <v>43</v>
      </c>
      <c r="F741" s="150">
        <f>'[1]Fliggy Store Daily Key Data'!K2408</f>
        <v>210612</v>
      </c>
      <c r="G741" s="150">
        <v>195</v>
      </c>
      <c r="H741" s="155">
        <f t="shared" si="22"/>
        <v>0.0666666666666667</v>
      </c>
      <c r="I741" s="73">
        <f>'[1]Fliggy Store Daily Key Data'!I2408</f>
        <v>13</v>
      </c>
      <c r="J741" s="18">
        <f t="shared" si="23"/>
        <v>0.00128853206462484</v>
      </c>
      <c r="K741" s="5"/>
    </row>
    <row r="742" ht="13.85" spans="1:11">
      <c r="A742" s="156">
        <v>45850</v>
      </c>
      <c r="B742" s="150">
        <f>'[1]Fliggy Store Daily Key Data'!B2409</f>
        <v>36866</v>
      </c>
      <c r="C742" s="150">
        <f>'[1]Fliggy Store Daily Key Data'!C2409</f>
        <v>10635</v>
      </c>
      <c r="D742" s="150">
        <f>'[1]Fliggy Store Daily Key Data'!G2409</f>
        <v>4483</v>
      </c>
      <c r="E742" s="150">
        <v>48</v>
      </c>
      <c r="F742" s="150">
        <f>'[1]Fliggy Store Daily Key Data'!K2409</f>
        <v>384081</v>
      </c>
      <c r="G742" s="150">
        <v>191</v>
      </c>
      <c r="H742" s="155">
        <f t="shared" si="22"/>
        <v>0.12565445026178</v>
      </c>
      <c r="I742" s="73">
        <f>'[1]Fliggy Store Daily Key Data'!I2409</f>
        <v>24</v>
      </c>
      <c r="J742" s="18">
        <f t="shared" si="23"/>
        <v>0.00225669957686883</v>
      </c>
      <c r="K742" s="5"/>
    </row>
    <row r="743" ht="13.85" spans="1:11">
      <c r="A743" s="156">
        <v>45851</v>
      </c>
      <c r="B743" s="150">
        <f>'[1]Fliggy Store Daily Key Data'!B2410</f>
        <v>35714</v>
      </c>
      <c r="C743" s="150">
        <f>'[1]Fliggy Store Daily Key Data'!C2410</f>
        <v>10139</v>
      </c>
      <c r="D743" s="150">
        <f>'[1]Fliggy Store Daily Key Data'!G2410</f>
        <v>4358</v>
      </c>
      <c r="E743" s="150">
        <v>37</v>
      </c>
      <c r="F743" s="150">
        <f>'[1]Fliggy Store Daily Key Data'!K2410</f>
        <v>229421</v>
      </c>
      <c r="G743" s="150">
        <v>215</v>
      </c>
      <c r="H743" s="155">
        <f t="shared" si="22"/>
        <v>0.0744186046511628</v>
      </c>
      <c r="I743" s="73">
        <f>'[1]Fliggy Store Daily Key Data'!I2410</f>
        <v>16</v>
      </c>
      <c r="J743" s="18">
        <f t="shared" si="23"/>
        <v>0.00157806489791893</v>
      </c>
      <c r="K743" s="5"/>
    </row>
    <row r="744" ht="13.85" spans="1:11">
      <c r="A744" s="156">
        <v>45852</v>
      </c>
      <c r="B744" s="150">
        <f>'[1]Fliggy Store Daily Key Data'!B2411</f>
        <v>44663</v>
      </c>
      <c r="C744" s="150">
        <f>'[1]Fliggy Store Daily Key Data'!C2411</f>
        <v>12526</v>
      </c>
      <c r="D744" s="150">
        <f>'[1]Fliggy Store Daily Key Data'!G2411</f>
        <v>4705</v>
      </c>
      <c r="E744" s="150">
        <v>63</v>
      </c>
      <c r="F744" s="150">
        <f>'[1]Fliggy Store Daily Key Data'!K2411</f>
        <v>247815</v>
      </c>
      <c r="G744" s="150">
        <v>276</v>
      </c>
      <c r="H744" s="155">
        <f t="shared" si="22"/>
        <v>0.0543478260869565</v>
      </c>
      <c r="I744" s="73">
        <f>'[1]Fliggy Store Daily Key Data'!I2411</f>
        <v>15</v>
      </c>
      <c r="J744" s="18">
        <f t="shared" si="23"/>
        <v>0.00119750918090372</v>
      </c>
      <c r="K744" s="5"/>
    </row>
    <row r="745" ht="13.85" spans="1:11">
      <c r="A745" s="156">
        <v>45853</v>
      </c>
      <c r="B745" s="150">
        <f>'[1]Fliggy Store Daily Key Data'!B2412</f>
        <v>37014</v>
      </c>
      <c r="C745" s="150">
        <f>'[1]Fliggy Store Daily Key Data'!C2412</f>
        <v>10813</v>
      </c>
      <c r="D745" s="150">
        <f>'[1]Fliggy Store Daily Key Data'!G2412</f>
        <v>4481</v>
      </c>
      <c r="E745" s="150">
        <v>44</v>
      </c>
      <c r="F745" s="150">
        <f>'[1]Fliggy Store Daily Key Data'!K2412</f>
        <v>87493</v>
      </c>
      <c r="G745" s="150">
        <v>242</v>
      </c>
      <c r="H745" s="155">
        <f t="shared" si="22"/>
        <v>0.0330578512396694</v>
      </c>
      <c r="I745" s="73">
        <f>'[1]Fliggy Store Daily Key Data'!I2412</f>
        <v>8</v>
      </c>
      <c r="J745" s="18">
        <f t="shared" si="23"/>
        <v>0.000739850180338481</v>
      </c>
      <c r="K745" s="5"/>
    </row>
    <row r="746" ht="13.85" spans="1:11">
      <c r="A746" s="156">
        <v>45854</v>
      </c>
      <c r="B746" s="150">
        <f>'[1]Fliggy Store Daily Key Data'!B2413</f>
        <v>36584</v>
      </c>
      <c r="C746" s="150">
        <f>'[1]Fliggy Store Daily Key Data'!C2413</f>
        <v>10863</v>
      </c>
      <c r="D746" s="150">
        <f>'[1]Fliggy Store Daily Key Data'!G2413</f>
        <v>4282</v>
      </c>
      <c r="E746" s="150">
        <v>62</v>
      </c>
      <c r="F746" s="150">
        <f>'[1]Fliggy Store Daily Key Data'!K2413</f>
        <v>199851</v>
      </c>
      <c r="G746" s="150">
        <v>253</v>
      </c>
      <c r="H746" s="155">
        <f t="shared" si="22"/>
        <v>0.0474308300395257</v>
      </c>
      <c r="I746" s="73">
        <f>'[1]Fliggy Store Daily Key Data'!I2413</f>
        <v>12</v>
      </c>
      <c r="J746" s="18">
        <f t="shared" si="23"/>
        <v>0.00110466721900028</v>
      </c>
      <c r="K746" s="5"/>
    </row>
    <row r="747" ht="13.85" spans="1:11">
      <c r="A747" s="156">
        <v>45855</v>
      </c>
      <c r="B747" s="150">
        <f>'[1]Fliggy Store Daily Key Data'!B2414</f>
        <v>36492</v>
      </c>
      <c r="C747" s="150">
        <f>'[1]Fliggy Store Daily Key Data'!C2414</f>
        <v>10289</v>
      </c>
      <c r="D747" s="150">
        <f>'[1]Fliggy Store Daily Key Data'!G2414</f>
        <v>4330</v>
      </c>
      <c r="E747" s="150">
        <v>50</v>
      </c>
      <c r="F747" s="150">
        <f>'[1]Fliggy Store Daily Key Data'!K2414</f>
        <v>128989.8</v>
      </c>
      <c r="G747" s="150">
        <v>271</v>
      </c>
      <c r="H747" s="155">
        <f t="shared" si="22"/>
        <v>0.029520295202952</v>
      </c>
      <c r="I747" s="73">
        <f>'[1]Fliggy Store Daily Key Data'!I2414</f>
        <v>8</v>
      </c>
      <c r="J747" s="18">
        <f t="shared" si="23"/>
        <v>0.00077752940033045</v>
      </c>
      <c r="K747" s="5"/>
    </row>
    <row r="748" ht="13.85" spans="1:11">
      <c r="A748" s="156">
        <v>45856</v>
      </c>
      <c r="B748" s="150">
        <f>'[1]Fliggy Store Daily Key Data'!B2415</f>
        <v>36152</v>
      </c>
      <c r="C748" s="150">
        <f>'[1]Fliggy Store Daily Key Data'!C2415</f>
        <v>11173</v>
      </c>
      <c r="D748" s="150">
        <f>'[1]Fliggy Store Daily Key Data'!G2415</f>
        <v>4233</v>
      </c>
      <c r="E748" s="150">
        <v>42</v>
      </c>
      <c r="F748" s="150">
        <f>'[1]Fliggy Store Daily Key Data'!K2415</f>
        <v>189617</v>
      </c>
      <c r="G748" s="150">
        <v>271</v>
      </c>
      <c r="H748" s="155">
        <f t="shared" si="22"/>
        <v>0.0590405904059041</v>
      </c>
      <c r="I748" s="73">
        <f>'[1]Fliggy Store Daily Key Data'!I2415</f>
        <v>16</v>
      </c>
      <c r="J748" s="18">
        <f t="shared" si="23"/>
        <v>0.00143202362838987</v>
      </c>
      <c r="K748" s="5"/>
    </row>
    <row r="749" ht="13.85" spans="1:11">
      <c r="A749" s="156">
        <v>45857</v>
      </c>
      <c r="B749" s="150">
        <f>'[1]Fliggy Store Daily Key Data'!B2416</f>
        <v>31270</v>
      </c>
      <c r="C749" s="150">
        <f>'[1]Fliggy Store Daily Key Data'!C2416</f>
        <v>8879</v>
      </c>
      <c r="D749" s="150">
        <f>'[1]Fliggy Store Daily Key Data'!G2416</f>
        <v>4255</v>
      </c>
      <c r="E749" s="150">
        <v>43</v>
      </c>
      <c r="F749" s="150">
        <f>'[1]Fliggy Store Daily Key Data'!K2416</f>
        <v>244122</v>
      </c>
      <c r="G749" s="150">
        <v>257</v>
      </c>
      <c r="H749" s="155">
        <f t="shared" si="22"/>
        <v>0.0700389105058366</v>
      </c>
      <c r="I749" s="73">
        <f>'[1]Fliggy Store Daily Key Data'!I2416</f>
        <v>18</v>
      </c>
      <c r="J749" s="18">
        <f t="shared" si="23"/>
        <v>0.00202725532154522</v>
      </c>
      <c r="K749" s="5"/>
    </row>
    <row r="750" ht="13.85" spans="1:11">
      <c r="A750" s="156">
        <v>45858</v>
      </c>
      <c r="B750" s="150">
        <f>'[1]Fliggy Store Daily Key Data'!B2417</f>
        <v>32631</v>
      </c>
      <c r="C750" s="150">
        <f>'[1]Fliggy Store Daily Key Data'!C2417</f>
        <v>9173</v>
      </c>
      <c r="D750" s="150">
        <f>'[1]Fliggy Store Daily Key Data'!G2417</f>
        <v>4339</v>
      </c>
      <c r="E750" s="150">
        <v>50</v>
      </c>
      <c r="F750" s="150">
        <f>'[1]Fliggy Store Daily Key Data'!K2417</f>
        <v>163179</v>
      </c>
      <c r="G750" s="150">
        <v>224</v>
      </c>
      <c r="H750" s="155">
        <f t="shared" si="22"/>
        <v>0.0491071428571429</v>
      </c>
      <c r="I750" s="73">
        <f>'[1]Fliggy Store Daily Key Data'!I2417</f>
        <v>11</v>
      </c>
      <c r="J750" s="18">
        <f t="shared" si="23"/>
        <v>0.00119917148152186</v>
      </c>
      <c r="K750" s="5"/>
    </row>
    <row r="751" ht="13.85" spans="1:11">
      <c r="A751" s="156">
        <v>45859</v>
      </c>
      <c r="B751" s="150">
        <f>'[1]Fliggy Store Daily Key Data'!B2418</f>
        <v>37337</v>
      </c>
      <c r="C751" s="150">
        <f>'[1]Fliggy Store Daily Key Data'!C2418</f>
        <v>10552</v>
      </c>
      <c r="D751" s="150">
        <f>'[1]Fliggy Store Daily Key Data'!G2418</f>
        <v>4990</v>
      </c>
      <c r="E751" s="150">
        <v>53</v>
      </c>
      <c r="F751" s="150">
        <f>'[1]Fliggy Store Daily Key Data'!K2418</f>
        <v>214410</v>
      </c>
      <c r="G751" s="150">
        <v>274</v>
      </c>
      <c r="H751" s="155">
        <f t="shared" si="22"/>
        <v>0.0693430656934307</v>
      </c>
      <c r="I751" s="73">
        <f>'[1]Fliggy Store Daily Key Data'!I2418</f>
        <v>19</v>
      </c>
      <c r="J751" s="18">
        <f t="shared" si="23"/>
        <v>0.00180060652009098</v>
      </c>
      <c r="K751" s="5"/>
    </row>
    <row r="752" ht="13.85" spans="1:11">
      <c r="A752" s="156">
        <v>45860</v>
      </c>
      <c r="B752" s="150">
        <f>'[1]Fliggy Store Daily Key Data'!B2419</f>
        <v>34670</v>
      </c>
      <c r="C752" s="150">
        <f>'[1]Fliggy Store Daily Key Data'!C2419</f>
        <v>9176</v>
      </c>
      <c r="D752" s="150">
        <f>'[1]Fliggy Store Daily Key Data'!G2419</f>
        <v>4590</v>
      </c>
      <c r="E752" s="150">
        <v>48</v>
      </c>
      <c r="F752" s="150">
        <f>'[1]Fliggy Store Daily Key Data'!K2419</f>
        <v>150841</v>
      </c>
      <c r="G752" s="150">
        <v>258</v>
      </c>
      <c r="H752" s="155">
        <f t="shared" si="22"/>
        <v>0.0426356589147287</v>
      </c>
      <c r="I752" s="73">
        <f>'[1]Fliggy Store Daily Key Data'!I2419</f>
        <v>11</v>
      </c>
      <c r="J752" s="18">
        <f t="shared" si="23"/>
        <v>0.00119877942458588</v>
      </c>
      <c r="K752" s="5"/>
    </row>
    <row r="753" ht="13.85" spans="1:11">
      <c r="A753" s="156">
        <v>45861</v>
      </c>
      <c r="B753" s="150">
        <f>'[1]Fliggy Store Daily Key Data'!B2420</f>
        <v>36630</v>
      </c>
      <c r="C753" s="150">
        <f>'[1]Fliggy Store Daily Key Data'!C2420</f>
        <v>11466</v>
      </c>
      <c r="D753" s="150">
        <f>'[1]Fliggy Store Daily Key Data'!G2420</f>
        <v>4918</v>
      </c>
      <c r="E753" s="150">
        <v>37</v>
      </c>
      <c r="F753" s="150">
        <f>'[1]Fliggy Store Daily Key Data'!K2420</f>
        <v>96996</v>
      </c>
      <c r="G753" s="150">
        <v>269</v>
      </c>
      <c r="H753" s="155">
        <f t="shared" si="22"/>
        <v>0.033457249070632</v>
      </c>
      <c r="I753" s="73">
        <f>'[1]Fliggy Store Daily Key Data'!I2420</f>
        <v>9</v>
      </c>
      <c r="J753" s="18">
        <f t="shared" si="23"/>
        <v>0.000784929356357928</v>
      </c>
      <c r="K753" s="5"/>
    </row>
    <row r="754" ht="13.85" spans="1:11">
      <c r="A754" s="156">
        <v>45862</v>
      </c>
      <c r="B754" s="150">
        <f>'[1]Fliggy Store Daily Key Data'!B2421</f>
        <v>40042</v>
      </c>
      <c r="C754" s="150">
        <f>'[1]Fliggy Store Daily Key Data'!C2421</f>
        <v>14274</v>
      </c>
      <c r="D754" s="150">
        <f>'[1]Fliggy Store Daily Key Data'!G2421</f>
        <v>4778</v>
      </c>
      <c r="E754" s="150">
        <v>48</v>
      </c>
      <c r="F754" s="150">
        <f>'[1]Fliggy Store Daily Key Data'!K2421</f>
        <v>139634</v>
      </c>
      <c r="G754" s="150">
        <v>217</v>
      </c>
      <c r="H754" s="155">
        <f t="shared" si="22"/>
        <v>0.0460829493087558</v>
      </c>
      <c r="I754" s="73">
        <f>'[1]Fliggy Store Daily Key Data'!I2421</f>
        <v>10</v>
      </c>
      <c r="J754" s="18">
        <f t="shared" si="23"/>
        <v>0.000700574471066274</v>
      </c>
      <c r="K754" s="5"/>
    </row>
    <row r="755" ht="13.85" spans="1:11">
      <c r="A755" s="156">
        <v>45863</v>
      </c>
      <c r="B755" s="150">
        <f>'[1]Fliggy Store Daily Key Data'!B2422</f>
        <v>40858</v>
      </c>
      <c r="C755" s="150">
        <f>'[1]Fliggy Store Daily Key Data'!C2422</f>
        <v>12575</v>
      </c>
      <c r="D755" s="150">
        <f>'[1]Fliggy Store Daily Key Data'!G2422</f>
        <v>5660</v>
      </c>
      <c r="E755" s="150">
        <v>28</v>
      </c>
      <c r="F755" s="150">
        <f>'[1]Fliggy Store Daily Key Data'!K2422</f>
        <v>120835</v>
      </c>
      <c r="G755" s="150">
        <v>238</v>
      </c>
      <c r="H755" s="155">
        <f t="shared" si="22"/>
        <v>0.0504201680672269</v>
      </c>
      <c r="I755" s="73">
        <f>'[1]Fliggy Store Daily Key Data'!I2422</f>
        <v>12</v>
      </c>
      <c r="J755" s="18">
        <f t="shared" si="23"/>
        <v>0.00095427435387674</v>
      </c>
      <c r="K755" s="5"/>
    </row>
    <row r="756" ht="13.85" spans="1:11">
      <c r="A756" s="156">
        <v>45864</v>
      </c>
      <c r="B756" s="150">
        <f>'[1]Fliggy Store Daily Key Data'!B2423</f>
        <v>36276</v>
      </c>
      <c r="C756" s="150">
        <f>'[1]Fliggy Store Daily Key Data'!C2423</f>
        <v>11748</v>
      </c>
      <c r="D756" s="150">
        <f>'[1]Fliggy Store Daily Key Data'!G2423</f>
        <v>4883</v>
      </c>
      <c r="E756" s="150">
        <v>37</v>
      </c>
      <c r="F756" s="150">
        <f>'[1]Fliggy Store Daily Key Data'!K2423</f>
        <v>221138</v>
      </c>
      <c r="G756" s="150">
        <v>191</v>
      </c>
      <c r="H756" s="155">
        <f t="shared" si="22"/>
        <v>0.0732984293193717</v>
      </c>
      <c r="I756" s="73">
        <f>'[1]Fliggy Store Daily Key Data'!I2423</f>
        <v>14</v>
      </c>
      <c r="J756" s="18">
        <f t="shared" si="23"/>
        <v>0.00119169220292816</v>
      </c>
      <c r="K756" s="5"/>
    </row>
    <row r="757" ht="13.85" spans="1:11">
      <c r="A757" s="156">
        <v>45865</v>
      </c>
      <c r="B757" s="150">
        <f>'[1]Fliggy Store Daily Key Data'!B2424</f>
        <v>34239</v>
      </c>
      <c r="C757" s="150">
        <f>'[1]Fliggy Store Daily Key Data'!C2424</f>
        <v>11453</v>
      </c>
      <c r="D757" s="150">
        <f>'[1]Fliggy Store Daily Key Data'!G2424</f>
        <v>5267</v>
      </c>
      <c r="E757" s="150">
        <v>38</v>
      </c>
      <c r="F757" s="150">
        <f>'[1]Fliggy Store Daily Key Data'!K2424</f>
        <v>93090</v>
      </c>
      <c r="G757" s="150">
        <v>222</v>
      </c>
      <c r="H757" s="155">
        <f t="shared" si="22"/>
        <v>0.027027027027027</v>
      </c>
      <c r="I757" s="73">
        <f>'[1]Fliggy Store Daily Key Data'!I2424</f>
        <v>6</v>
      </c>
      <c r="J757" s="18">
        <f t="shared" si="23"/>
        <v>0.000523880206059548</v>
      </c>
      <c r="K757" s="5"/>
    </row>
    <row r="758" ht="13.85" spans="1:11">
      <c r="A758" s="156">
        <v>45866</v>
      </c>
      <c r="B758" s="150">
        <f>'[1]Fliggy Store Daily Key Data'!B2425</f>
        <v>39633</v>
      </c>
      <c r="C758" s="150">
        <f>'[1]Fliggy Store Daily Key Data'!C2425</f>
        <v>11996</v>
      </c>
      <c r="D758" s="150">
        <f>'[1]Fliggy Store Daily Key Data'!G2425</f>
        <v>5356</v>
      </c>
      <c r="E758" s="150">
        <v>48</v>
      </c>
      <c r="F758" s="150">
        <f>'[1]Fliggy Store Daily Key Data'!K2425</f>
        <v>137275</v>
      </c>
      <c r="G758" s="150">
        <v>243</v>
      </c>
      <c r="H758" s="155">
        <f t="shared" si="22"/>
        <v>0.0534979423868313</v>
      </c>
      <c r="I758" s="73">
        <f>'[1]Fliggy Store Daily Key Data'!I2425</f>
        <v>13</v>
      </c>
      <c r="J758" s="18">
        <f t="shared" si="23"/>
        <v>0.00108369456485495</v>
      </c>
      <c r="K758" s="5"/>
    </row>
    <row r="759" ht="13.85" spans="1:11">
      <c r="A759" s="156">
        <v>45867</v>
      </c>
      <c r="B759" s="150">
        <f>'[1]Fliggy Store Daily Key Data'!B2426</f>
        <v>34313</v>
      </c>
      <c r="C759" s="150">
        <f>'[1]Fliggy Store Daily Key Data'!C2426</f>
        <v>9975</v>
      </c>
      <c r="D759" s="150">
        <f>'[1]Fliggy Store Daily Key Data'!G2426</f>
        <v>4454</v>
      </c>
      <c r="E759" s="150">
        <v>52</v>
      </c>
      <c r="F759" s="150">
        <f>'[1]Fliggy Store Daily Key Data'!K2426</f>
        <v>147381</v>
      </c>
      <c r="G759" s="150">
        <v>221</v>
      </c>
      <c r="H759" s="155">
        <f t="shared" si="22"/>
        <v>0.0542986425339367</v>
      </c>
      <c r="I759" s="73">
        <f>'[1]Fliggy Store Daily Key Data'!I2426</f>
        <v>12</v>
      </c>
      <c r="J759" s="18">
        <f t="shared" si="23"/>
        <v>0.00120300751879699</v>
      </c>
      <c r="K759" s="5"/>
    </row>
    <row r="760" ht="13.85" spans="1:11">
      <c r="A760" s="156">
        <v>45868</v>
      </c>
      <c r="B760" s="150">
        <f>'[1]Fliggy Store Daily Key Data'!B2427</f>
        <v>37039</v>
      </c>
      <c r="C760" s="150">
        <f>'[1]Fliggy Store Daily Key Data'!C2427</f>
        <v>12189</v>
      </c>
      <c r="D760" s="150">
        <f>'[1]Fliggy Store Daily Key Data'!G2427</f>
        <v>5028</v>
      </c>
      <c r="E760" s="150">
        <v>45</v>
      </c>
      <c r="F760" s="150">
        <f>'[1]Fliggy Store Daily Key Data'!K2427</f>
        <v>176299</v>
      </c>
      <c r="G760" s="150">
        <v>193</v>
      </c>
      <c r="H760" s="155">
        <f t="shared" si="22"/>
        <v>0.0725388601036269</v>
      </c>
      <c r="I760" s="73">
        <f>'[1]Fliggy Store Daily Key Data'!I2427</f>
        <v>14</v>
      </c>
      <c r="J760" s="18">
        <f t="shared" si="23"/>
        <v>0.00114857658544589</v>
      </c>
      <c r="K760" s="5"/>
    </row>
    <row r="761" ht="13.85" spans="1:11">
      <c r="A761" s="156">
        <v>45869</v>
      </c>
      <c r="B761" s="150">
        <f>'[1]Fliggy Store Daily Key Data'!B2428</f>
        <v>41847</v>
      </c>
      <c r="C761" s="150">
        <f>'[1]Fliggy Store Daily Key Data'!C2428</f>
        <v>14955</v>
      </c>
      <c r="D761" s="150">
        <f>'[1]Fliggy Store Daily Key Data'!G2428</f>
        <v>4096</v>
      </c>
      <c r="E761" s="150">
        <v>41</v>
      </c>
      <c r="F761" s="150">
        <f>'[1]Fliggy Store Daily Key Data'!K2428</f>
        <v>49974</v>
      </c>
      <c r="G761" s="150">
        <v>227</v>
      </c>
      <c r="H761" s="155">
        <f t="shared" si="22"/>
        <v>0.0220264317180617</v>
      </c>
      <c r="I761" s="73">
        <f>'[1]Fliggy Store Daily Key Data'!I2428</f>
        <v>5</v>
      </c>
      <c r="J761" s="18">
        <f t="shared" si="23"/>
        <v>0.000334336342360415</v>
      </c>
      <c r="K761" s="5"/>
    </row>
    <row r="762" ht="13.85" spans="1:11">
      <c r="A762" s="156">
        <v>45870</v>
      </c>
      <c r="B762" s="150">
        <f>'[1]Fliggy Store Daily Key Data'!B2429</f>
        <v>49276</v>
      </c>
      <c r="C762" s="150">
        <f>'[1]Fliggy Store Daily Key Data'!C2429</f>
        <v>20513</v>
      </c>
      <c r="D762" s="150">
        <f>'[1]Fliggy Store Daily Key Data'!G2429</f>
        <v>2913</v>
      </c>
      <c r="E762" s="150">
        <v>35</v>
      </c>
      <c r="F762" s="150">
        <f>'[1]Fliggy Store Daily Key Data'!K2429</f>
        <v>110015</v>
      </c>
      <c r="G762" s="150">
        <v>177</v>
      </c>
      <c r="H762" s="155">
        <f t="shared" si="22"/>
        <v>0.0451977401129944</v>
      </c>
      <c r="I762" s="73">
        <f>'[1]Fliggy Store Daily Key Data'!I2429</f>
        <v>8</v>
      </c>
      <c r="J762" s="18">
        <f t="shared" si="23"/>
        <v>0.000389996587529859</v>
      </c>
      <c r="K762" s="5"/>
    </row>
    <row r="763" ht="13.85" spans="1:11">
      <c r="A763" s="156">
        <v>45871</v>
      </c>
      <c r="B763" s="150">
        <f>'[1]Fliggy Store Daily Key Data'!B2430</f>
        <v>30534</v>
      </c>
      <c r="C763" s="150">
        <f>'[1]Fliggy Store Daily Key Data'!C2430</f>
        <v>10965</v>
      </c>
      <c r="D763" s="150">
        <f>'[1]Fliggy Store Daily Key Data'!G2430</f>
        <v>3900</v>
      </c>
      <c r="E763" s="150">
        <v>36</v>
      </c>
      <c r="F763" s="150">
        <f>'[1]Fliggy Store Daily Key Data'!K2430</f>
        <v>107644</v>
      </c>
      <c r="G763" s="150">
        <v>191</v>
      </c>
      <c r="H763" s="155">
        <f t="shared" si="22"/>
        <v>0.0418848167539267</v>
      </c>
      <c r="I763" s="73">
        <f>'[1]Fliggy Store Daily Key Data'!I2430</f>
        <v>8</v>
      </c>
      <c r="J763" s="18">
        <f t="shared" si="23"/>
        <v>0.000729594163246694</v>
      </c>
      <c r="K763" s="5"/>
    </row>
    <row r="764" ht="13.85" spans="1:11">
      <c r="A764" s="156">
        <v>45872</v>
      </c>
      <c r="B764" s="150">
        <f>'[1]Fliggy Store Daily Key Data'!B2431</f>
        <v>40746</v>
      </c>
      <c r="C764" s="150">
        <f>'[1]Fliggy Store Daily Key Data'!C2431</f>
        <v>14532</v>
      </c>
      <c r="D764" s="150">
        <f>'[1]Fliggy Store Daily Key Data'!G2431</f>
        <v>4958</v>
      </c>
      <c r="E764" s="150">
        <v>31</v>
      </c>
      <c r="F764" s="150">
        <f>'[1]Fliggy Store Daily Key Data'!K2431</f>
        <v>96155</v>
      </c>
      <c r="G764" s="150">
        <v>198</v>
      </c>
      <c r="H764" s="155">
        <f t="shared" si="22"/>
        <v>0.0404040404040404</v>
      </c>
      <c r="I764" s="73">
        <f>'[1]Fliggy Store Daily Key Data'!I2431</f>
        <v>8</v>
      </c>
      <c r="J764" s="18">
        <f t="shared" si="23"/>
        <v>0.000550509221029452</v>
      </c>
      <c r="K764" s="5"/>
    </row>
    <row r="765" ht="13.85" spans="1:11">
      <c r="A765" s="156">
        <v>45873</v>
      </c>
      <c r="B765" s="150">
        <f>'[1]Fliggy Store Daily Key Data'!B2432</f>
        <v>51595</v>
      </c>
      <c r="C765" s="150">
        <f>'[1]Fliggy Store Daily Key Data'!C2432</f>
        <v>16625</v>
      </c>
      <c r="D765" s="150">
        <f>'[1]Fliggy Store Daily Key Data'!G2432</f>
        <v>4432</v>
      </c>
      <c r="E765" s="150">
        <v>45</v>
      </c>
      <c r="F765" s="150">
        <f>'[1]Fliggy Store Daily Key Data'!K2432</f>
        <v>223415</v>
      </c>
      <c r="G765" s="150">
        <v>254</v>
      </c>
      <c r="H765" s="155">
        <f t="shared" si="22"/>
        <v>0.0669291338582677</v>
      </c>
      <c r="I765" s="73">
        <f>'[1]Fliggy Store Daily Key Data'!I2432</f>
        <v>17</v>
      </c>
      <c r="J765" s="18">
        <f t="shared" si="23"/>
        <v>0.00102255639097744</v>
      </c>
      <c r="K765" s="5"/>
    </row>
    <row r="766" ht="13.85" spans="1:11">
      <c r="A766" s="156">
        <v>45874</v>
      </c>
      <c r="B766" s="150">
        <f>'[1]Fliggy Store Daily Key Data'!B2433</f>
        <v>47089</v>
      </c>
      <c r="C766" s="150">
        <f>'[1]Fliggy Store Daily Key Data'!C2433</f>
        <v>15110</v>
      </c>
      <c r="D766" s="150">
        <f>'[1]Fliggy Store Daily Key Data'!G2433</f>
        <v>4291</v>
      </c>
      <c r="E766" s="150">
        <v>45</v>
      </c>
      <c r="F766" s="150">
        <f>'[1]Fliggy Store Daily Key Data'!K2433</f>
        <v>154506</v>
      </c>
      <c r="G766" s="150">
        <v>257</v>
      </c>
      <c r="H766" s="155">
        <f t="shared" si="22"/>
        <v>0.0389105058365759</v>
      </c>
      <c r="I766" s="73">
        <f>'[1]Fliggy Store Daily Key Data'!I2433</f>
        <v>10</v>
      </c>
      <c r="J766" s="18">
        <f t="shared" si="23"/>
        <v>0.000661813368630046</v>
      </c>
      <c r="K766" s="5"/>
    </row>
    <row r="767" ht="13.85" spans="1:11">
      <c r="A767" s="156">
        <v>45875</v>
      </c>
      <c r="B767" s="150">
        <f>'[1]Fliggy Store Daily Key Data'!B2434</f>
        <v>52406</v>
      </c>
      <c r="C767" s="150">
        <f>'[1]Fliggy Store Daily Key Data'!C2434</f>
        <v>18359</v>
      </c>
      <c r="D767" s="150">
        <f>'[1]Fliggy Store Daily Key Data'!G2434</f>
        <v>5035</v>
      </c>
      <c r="E767" s="150">
        <v>65</v>
      </c>
      <c r="F767" s="150">
        <f>'[1]Fliggy Store Daily Key Data'!K2434</f>
        <v>83999</v>
      </c>
      <c r="G767" s="150">
        <v>244</v>
      </c>
      <c r="H767" s="155">
        <f t="shared" si="22"/>
        <v>0.0286885245901639</v>
      </c>
      <c r="I767" s="73">
        <f>'[1]Fliggy Store Daily Key Data'!I2434</f>
        <v>7</v>
      </c>
      <c r="J767" s="18">
        <f t="shared" si="23"/>
        <v>0.000381284383681028</v>
      </c>
      <c r="K767" s="5"/>
    </row>
    <row r="768" ht="13.85" spans="1:11">
      <c r="A768" s="156">
        <v>45876</v>
      </c>
      <c r="B768" s="150">
        <f>'[1]Fliggy Store Daily Key Data'!B2435</f>
        <v>45369</v>
      </c>
      <c r="C768" s="150">
        <f>'[1]Fliggy Store Daily Key Data'!C2435</f>
        <v>14184</v>
      </c>
      <c r="D768" s="150">
        <f>'[1]Fliggy Store Daily Key Data'!G2435</f>
        <v>4908</v>
      </c>
      <c r="E768" s="150">
        <v>51</v>
      </c>
      <c r="F768" s="150">
        <f>'[1]Fliggy Store Daily Key Data'!K2435</f>
        <v>66576</v>
      </c>
      <c r="G768" s="150">
        <v>204</v>
      </c>
      <c r="H768" s="155">
        <f t="shared" si="22"/>
        <v>0.0196078431372549</v>
      </c>
      <c r="I768" s="73">
        <f>'[1]Fliggy Store Daily Key Data'!I2435</f>
        <v>4</v>
      </c>
      <c r="J768" s="18">
        <f t="shared" si="23"/>
        <v>0.000282007896221094</v>
      </c>
      <c r="K768" s="5"/>
    </row>
    <row r="769" ht="13.85" spans="1:11">
      <c r="A769" s="156">
        <v>45877</v>
      </c>
      <c r="B769" s="150">
        <f>'[1]Fliggy Store Daily Key Data'!B2436</f>
        <v>42640</v>
      </c>
      <c r="C769" s="150">
        <f>'[1]Fliggy Store Daily Key Data'!C2436</f>
        <v>12494</v>
      </c>
      <c r="D769" s="150">
        <f>'[1]Fliggy Store Daily Key Data'!G2436</f>
        <v>5526</v>
      </c>
      <c r="E769" s="150">
        <v>47</v>
      </c>
      <c r="F769" s="150">
        <f>'[1]Fliggy Store Daily Key Data'!K2436</f>
        <v>287567</v>
      </c>
      <c r="G769" s="150">
        <v>243</v>
      </c>
      <c r="H769" s="155">
        <f t="shared" si="22"/>
        <v>0.0946502057613169</v>
      </c>
      <c r="I769" s="73">
        <f>'[1]Fliggy Store Daily Key Data'!I2436</f>
        <v>23</v>
      </c>
      <c r="J769" s="18">
        <f t="shared" si="23"/>
        <v>0.00184088362413959</v>
      </c>
      <c r="K769" s="5"/>
    </row>
    <row r="770" ht="13.85" spans="1:11">
      <c r="A770" s="156">
        <v>45878</v>
      </c>
      <c r="B770" s="150">
        <f>'[1]Fliggy Store Daily Key Data'!B2437</f>
        <v>38429</v>
      </c>
      <c r="C770" s="150">
        <f>'[1]Fliggy Store Daily Key Data'!C2437</f>
        <v>10314</v>
      </c>
      <c r="D770" s="150">
        <f>'[1]Fliggy Store Daily Key Data'!G2437</f>
        <v>3439</v>
      </c>
      <c r="E770" s="150">
        <v>43</v>
      </c>
      <c r="F770" s="150">
        <f>'[1]Fliggy Store Daily Key Data'!K2437</f>
        <v>339172</v>
      </c>
      <c r="G770" s="150">
        <v>241</v>
      </c>
      <c r="H770" s="155">
        <f t="shared" ref="H770:H833" si="24">I770/G770</f>
        <v>0.12448132780083</v>
      </c>
      <c r="I770" s="73">
        <f>'[1]Fliggy Store Daily Key Data'!I2437</f>
        <v>30</v>
      </c>
      <c r="J770" s="18">
        <f t="shared" si="23"/>
        <v>0.0029086678301338</v>
      </c>
      <c r="K770" s="5"/>
    </row>
    <row r="771" ht="13.85" spans="1:11">
      <c r="A771" s="156">
        <v>45879</v>
      </c>
      <c r="B771" s="150">
        <f>'[1]Fliggy Store Daily Key Data'!B2438</f>
        <v>45205</v>
      </c>
      <c r="C771" s="150">
        <f>'[1]Fliggy Store Daily Key Data'!C2438</f>
        <v>13014</v>
      </c>
      <c r="D771" s="150">
        <f>'[1]Fliggy Store Daily Key Data'!G2438</f>
        <v>4628</v>
      </c>
      <c r="E771" s="150">
        <v>43</v>
      </c>
      <c r="F771" s="150">
        <f>'[1]Fliggy Store Daily Key Data'!K2438</f>
        <v>218086</v>
      </c>
      <c r="G771" s="150">
        <v>221</v>
      </c>
      <c r="H771" s="155">
        <f t="shared" si="24"/>
        <v>0.0995475113122172</v>
      </c>
      <c r="I771" s="73">
        <f>'[1]Fliggy Store Daily Key Data'!I2438</f>
        <v>22</v>
      </c>
      <c r="J771" s="18">
        <f t="shared" si="23"/>
        <v>0.00169048716766559</v>
      </c>
      <c r="K771" s="5"/>
    </row>
    <row r="772" ht="13.85" spans="1:11">
      <c r="A772" s="156">
        <v>45880</v>
      </c>
      <c r="B772" s="150">
        <f>'[1]Fliggy Store Daily Key Data'!B2439</f>
        <v>54476</v>
      </c>
      <c r="C772" s="150">
        <f>'[1]Fliggy Store Daily Key Data'!C2439</f>
        <v>16840</v>
      </c>
      <c r="D772" s="150">
        <f>'[1]Fliggy Store Daily Key Data'!G2439</f>
        <v>4787</v>
      </c>
      <c r="E772" s="150">
        <v>52</v>
      </c>
      <c r="F772" s="150">
        <f>'[1]Fliggy Store Daily Key Data'!K2439</f>
        <v>297242</v>
      </c>
      <c r="G772" s="150">
        <v>305</v>
      </c>
      <c r="H772" s="155">
        <f t="shared" si="24"/>
        <v>0.0918032786885246</v>
      </c>
      <c r="I772" s="73">
        <f>'[1]Fliggy Store Daily Key Data'!I2439</f>
        <v>28</v>
      </c>
      <c r="J772" s="18">
        <f t="shared" si="23"/>
        <v>0.00166270783847981</v>
      </c>
      <c r="K772" s="5"/>
    </row>
    <row r="773" ht="13.85" spans="1:11">
      <c r="A773" s="156">
        <v>45881</v>
      </c>
      <c r="B773" s="150">
        <f>'[1]Fliggy Store Daily Key Data'!B2440</f>
        <v>43298</v>
      </c>
      <c r="C773" s="150">
        <f>'[1]Fliggy Store Daily Key Data'!C2440</f>
        <v>11372</v>
      </c>
      <c r="D773" s="150">
        <f>'[1]Fliggy Store Daily Key Data'!G2440</f>
        <v>3652</v>
      </c>
      <c r="E773" s="150">
        <v>45</v>
      </c>
      <c r="F773" s="150">
        <f>'[1]Fliggy Store Daily Key Data'!K2440</f>
        <v>220875</v>
      </c>
      <c r="G773" s="150">
        <v>278</v>
      </c>
      <c r="H773" s="155">
        <f t="shared" si="24"/>
        <v>0.0683453237410072</v>
      </c>
      <c r="I773" s="73">
        <f>'[1]Fliggy Store Daily Key Data'!I2440</f>
        <v>19</v>
      </c>
      <c r="J773" s="18">
        <f t="shared" si="23"/>
        <v>0.0016707703130496</v>
      </c>
      <c r="K773" s="5"/>
    </row>
    <row r="774" ht="13.85" spans="1:11">
      <c r="A774" s="156">
        <v>45882</v>
      </c>
      <c r="B774" s="150">
        <f>'[1]Fliggy Store Daily Key Data'!B2441</f>
        <v>44695</v>
      </c>
      <c r="C774" s="150">
        <f>'[1]Fliggy Store Daily Key Data'!C2441</f>
        <v>13330</v>
      </c>
      <c r="D774" s="150">
        <f>'[1]Fliggy Store Daily Key Data'!G2441</f>
        <v>3857</v>
      </c>
      <c r="E774" s="150">
        <v>40</v>
      </c>
      <c r="F774" s="150">
        <f>'[1]Fliggy Store Daily Key Data'!K2441</f>
        <v>264682</v>
      </c>
      <c r="G774" s="150">
        <v>251</v>
      </c>
      <c r="H774" s="155">
        <f t="shared" si="24"/>
        <v>0.0836653386454183</v>
      </c>
      <c r="I774" s="73">
        <f>'[1]Fliggy Store Daily Key Data'!I2441</f>
        <v>21</v>
      </c>
      <c r="J774" s="18">
        <f t="shared" si="23"/>
        <v>0.00157539384846212</v>
      </c>
      <c r="K774" s="5"/>
    </row>
    <row r="775" ht="13.85" spans="1:11">
      <c r="A775" s="156">
        <v>45883</v>
      </c>
      <c r="B775" s="150">
        <f>'[1]Fliggy Store Daily Key Data'!B2442</f>
        <v>48934</v>
      </c>
      <c r="C775" s="150">
        <f>'[1]Fliggy Store Daily Key Data'!C2442</f>
        <v>14832</v>
      </c>
      <c r="D775" s="150">
        <f>'[1]Fliggy Store Daily Key Data'!G2442</f>
        <v>3801</v>
      </c>
      <c r="E775" s="150">
        <v>44</v>
      </c>
      <c r="F775" s="150">
        <f>'[1]Fliggy Store Daily Key Data'!K2442</f>
        <v>169576.1</v>
      </c>
      <c r="G775" s="150">
        <v>268</v>
      </c>
      <c r="H775" s="155">
        <f t="shared" si="24"/>
        <v>0.0522388059701493</v>
      </c>
      <c r="I775" s="73">
        <f>'[1]Fliggy Store Daily Key Data'!I2442</f>
        <v>14</v>
      </c>
      <c r="J775" s="18">
        <f t="shared" si="23"/>
        <v>0.000943905070118662</v>
      </c>
      <c r="K775" s="5"/>
    </row>
    <row r="776" ht="13.85" spans="1:11">
      <c r="A776" s="156">
        <v>45884</v>
      </c>
      <c r="B776" s="150">
        <f>'[1]Fliggy Store Daily Key Data'!B2443</f>
        <v>48765</v>
      </c>
      <c r="C776" s="150">
        <f>'[1]Fliggy Store Daily Key Data'!C2443</f>
        <v>17601</v>
      </c>
      <c r="D776" s="150">
        <f>'[1]Fliggy Store Daily Key Data'!G2443</f>
        <v>4981</v>
      </c>
      <c r="E776" s="150">
        <v>45</v>
      </c>
      <c r="F776" s="150">
        <f>'[1]Fliggy Store Daily Key Data'!K2443</f>
        <v>119560</v>
      </c>
      <c r="G776" s="150">
        <v>226</v>
      </c>
      <c r="H776" s="155">
        <f t="shared" si="24"/>
        <v>0.0398230088495575</v>
      </c>
      <c r="I776" s="73">
        <f>'[1]Fliggy Store Daily Key Data'!I2443</f>
        <v>9</v>
      </c>
      <c r="J776" s="18">
        <f t="shared" si="23"/>
        <v>0.000511334583262315</v>
      </c>
      <c r="K776" s="5"/>
    </row>
    <row r="777" ht="13.85" spans="1:11">
      <c r="A777" s="156">
        <v>45885</v>
      </c>
      <c r="B777" s="150">
        <f>'[1]Fliggy Store Daily Key Data'!B2444</f>
        <v>35376</v>
      </c>
      <c r="C777" s="150">
        <f>'[1]Fliggy Store Daily Key Data'!C2444</f>
        <v>9582</v>
      </c>
      <c r="D777" s="150">
        <f>'[1]Fliggy Store Daily Key Data'!G2444</f>
        <v>4162</v>
      </c>
      <c r="E777" s="150">
        <v>50</v>
      </c>
      <c r="F777" s="150">
        <f>'[1]Fliggy Store Daily Key Data'!K2444</f>
        <v>134840</v>
      </c>
      <c r="G777" s="150">
        <v>201</v>
      </c>
      <c r="H777" s="155">
        <f t="shared" si="24"/>
        <v>0.054726368159204</v>
      </c>
      <c r="I777" s="73">
        <f>'[1]Fliggy Store Daily Key Data'!I2444</f>
        <v>11</v>
      </c>
      <c r="J777" s="18">
        <f t="shared" si="23"/>
        <v>0.00114798580672094</v>
      </c>
      <c r="K777" s="5"/>
    </row>
    <row r="778" ht="13.85" spans="1:11">
      <c r="A778" s="156">
        <v>45886</v>
      </c>
      <c r="B778" s="150">
        <f>'[1]Fliggy Store Daily Key Data'!B2445</f>
        <v>49340</v>
      </c>
      <c r="C778" s="150">
        <f>'[1]Fliggy Store Daily Key Data'!C2445</f>
        <v>16667</v>
      </c>
      <c r="D778" s="150">
        <f>'[1]Fliggy Store Daily Key Data'!G2445</f>
        <v>5353</v>
      </c>
      <c r="E778" s="150">
        <v>42</v>
      </c>
      <c r="F778" s="150">
        <f>'[1]Fliggy Store Daily Key Data'!K2445</f>
        <v>202011</v>
      </c>
      <c r="G778" s="150">
        <v>226</v>
      </c>
      <c r="H778" s="155">
        <f t="shared" si="24"/>
        <v>0.0663716814159292</v>
      </c>
      <c r="I778" s="73">
        <f>'[1]Fliggy Store Daily Key Data'!I2445</f>
        <v>15</v>
      </c>
      <c r="J778" s="18">
        <f t="shared" si="23"/>
        <v>0.000899982000359993</v>
      </c>
      <c r="K778" s="5"/>
    </row>
    <row r="779" ht="13.85" spans="1:11">
      <c r="A779" s="156">
        <v>45887</v>
      </c>
      <c r="B779" s="150">
        <f>'[1]Fliggy Store Daily Key Data'!B2446</f>
        <v>51512</v>
      </c>
      <c r="C779" s="150">
        <f>'[1]Fliggy Store Daily Key Data'!C2446</f>
        <v>15859</v>
      </c>
      <c r="D779" s="150">
        <f>'[1]Fliggy Store Daily Key Data'!G2446</f>
        <v>5197</v>
      </c>
      <c r="E779" s="150">
        <v>44</v>
      </c>
      <c r="F779" s="150">
        <f>'[1]Fliggy Store Daily Key Data'!K2446</f>
        <v>239045</v>
      </c>
      <c r="G779" s="150">
        <v>297</v>
      </c>
      <c r="H779" s="155">
        <f t="shared" si="24"/>
        <v>0.0673400673400673</v>
      </c>
      <c r="I779" s="73">
        <f>'[1]Fliggy Store Daily Key Data'!I2446</f>
        <v>20</v>
      </c>
      <c r="J779" s="18">
        <f t="shared" si="23"/>
        <v>0.00126111356327637</v>
      </c>
      <c r="K779" s="5"/>
    </row>
    <row r="780" ht="13.85" spans="1:11">
      <c r="A780" s="156">
        <v>45888</v>
      </c>
      <c r="B780" s="150">
        <f>'[1]Fliggy Store Daily Key Data'!B2447</f>
        <v>43493</v>
      </c>
      <c r="C780" s="150">
        <f>'[1]Fliggy Store Daily Key Data'!C2447</f>
        <v>11407</v>
      </c>
      <c r="D780" s="150">
        <f>'[1]Fliggy Store Daily Key Data'!G2447</f>
        <v>4784</v>
      </c>
      <c r="E780" s="150">
        <v>53</v>
      </c>
      <c r="F780" s="150">
        <f>'[1]Fliggy Store Daily Key Data'!K2447</f>
        <v>195423</v>
      </c>
      <c r="G780" s="150">
        <v>238</v>
      </c>
      <c r="H780" s="155">
        <f t="shared" si="24"/>
        <v>0.0672268907563025</v>
      </c>
      <c r="I780" s="73">
        <f>'[1]Fliggy Store Daily Key Data'!I2447</f>
        <v>16</v>
      </c>
      <c r="J780" s="18">
        <f t="shared" si="23"/>
        <v>0.00140264749715087</v>
      </c>
      <c r="K780" s="5"/>
    </row>
    <row r="781" ht="13.85" spans="1:11">
      <c r="A781" s="156">
        <v>45889</v>
      </c>
      <c r="B781" s="150">
        <f>'[1]Fliggy Store Daily Key Data'!B2448</f>
        <v>50258</v>
      </c>
      <c r="C781" s="150">
        <f>'[1]Fliggy Store Daily Key Data'!C2448</f>
        <v>16069</v>
      </c>
      <c r="D781" s="150">
        <f>'[1]Fliggy Store Daily Key Data'!G2448</f>
        <v>5309</v>
      </c>
      <c r="E781" s="150">
        <v>38</v>
      </c>
      <c r="F781" s="150">
        <f>'[1]Fliggy Store Daily Key Data'!K2448</f>
        <v>150128</v>
      </c>
      <c r="G781" s="150">
        <v>236</v>
      </c>
      <c r="H781" s="155">
        <f t="shared" si="24"/>
        <v>0.0593220338983051</v>
      </c>
      <c r="I781" s="73">
        <f>'[1]Fliggy Store Daily Key Data'!I2448</f>
        <v>14</v>
      </c>
      <c r="J781" s="18">
        <f t="shared" si="23"/>
        <v>0.000871242765573464</v>
      </c>
      <c r="K781" s="5"/>
    </row>
    <row r="782" ht="13.85" spans="1:11">
      <c r="A782" s="156">
        <v>45890</v>
      </c>
      <c r="B782" s="150">
        <f>'[1]Fliggy Store Daily Key Data'!B2449</f>
        <v>53629</v>
      </c>
      <c r="C782" s="150">
        <f>'[1]Fliggy Store Daily Key Data'!C2449</f>
        <v>16854</v>
      </c>
      <c r="D782" s="150">
        <f>'[1]Fliggy Store Daily Key Data'!G2449</f>
        <v>5602</v>
      </c>
      <c r="E782" s="150">
        <v>45</v>
      </c>
      <c r="F782" s="150">
        <f>'[1]Fliggy Store Daily Key Data'!K2449</f>
        <v>191985</v>
      </c>
      <c r="G782" s="150">
        <v>237</v>
      </c>
      <c r="H782" s="155">
        <f t="shared" si="24"/>
        <v>0.0632911392405063</v>
      </c>
      <c r="I782" s="73">
        <f>'[1]Fliggy Store Daily Key Data'!I2449</f>
        <v>15</v>
      </c>
      <c r="J782" s="18">
        <f t="shared" si="23"/>
        <v>0.00088999644001424</v>
      </c>
      <c r="K782" s="5"/>
    </row>
    <row r="783" ht="13.85" spans="1:11">
      <c r="A783" s="156">
        <v>45891</v>
      </c>
      <c r="B783" s="150">
        <f>'[1]Fliggy Store Daily Key Data'!B2450</f>
        <v>51861</v>
      </c>
      <c r="C783" s="150">
        <f>'[1]Fliggy Store Daily Key Data'!C2450</f>
        <v>15729</v>
      </c>
      <c r="D783" s="150">
        <f>'[1]Fliggy Store Daily Key Data'!G2450</f>
        <v>5646</v>
      </c>
      <c r="E783" s="150">
        <v>33</v>
      </c>
      <c r="F783" s="150">
        <f>'[1]Fliggy Store Daily Key Data'!K2450</f>
        <v>238817</v>
      </c>
      <c r="G783" s="150">
        <v>226</v>
      </c>
      <c r="H783" s="155">
        <f t="shared" si="24"/>
        <v>0.0663716814159292</v>
      </c>
      <c r="I783" s="73">
        <f>'[1]Fliggy Store Daily Key Data'!I2450</f>
        <v>15</v>
      </c>
      <c r="J783" s="18">
        <f t="shared" si="23"/>
        <v>0.000953652489032996</v>
      </c>
      <c r="K783" s="5"/>
    </row>
    <row r="784" ht="13.85" spans="1:11">
      <c r="A784" s="156">
        <v>45892</v>
      </c>
      <c r="B784" s="150">
        <f>'[1]Fliggy Store Daily Key Data'!B2451</f>
        <v>44133</v>
      </c>
      <c r="C784" s="150">
        <f>'[1]Fliggy Store Daily Key Data'!C2451</f>
        <v>13496</v>
      </c>
      <c r="D784" s="150">
        <f>'[1]Fliggy Store Daily Key Data'!G2451</f>
        <v>4561</v>
      </c>
      <c r="E784" s="150">
        <v>37</v>
      </c>
      <c r="F784" s="150">
        <f>'[1]Fliggy Store Daily Key Data'!K2451</f>
        <v>138816</v>
      </c>
      <c r="G784" s="150">
        <v>201</v>
      </c>
      <c r="H784" s="155">
        <f t="shared" si="24"/>
        <v>0.0497512437810945</v>
      </c>
      <c r="I784" s="73">
        <f>'[1]Fliggy Store Daily Key Data'!I2451</f>
        <v>10</v>
      </c>
      <c r="J784" s="18">
        <f t="shared" si="23"/>
        <v>0.000740960284528749</v>
      </c>
      <c r="K784" s="5"/>
    </row>
    <row r="785" ht="13.85" spans="1:11">
      <c r="A785" s="156">
        <v>45893</v>
      </c>
      <c r="B785" s="150">
        <f>'[1]Fliggy Store Daily Key Data'!B2452</f>
        <v>55031</v>
      </c>
      <c r="C785" s="150">
        <f>'[1]Fliggy Store Daily Key Data'!C2452</f>
        <v>21832</v>
      </c>
      <c r="D785" s="150">
        <f>'[1]Fliggy Store Daily Key Data'!G2452</f>
        <v>5597</v>
      </c>
      <c r="E785" s="150">
        <v>53</v>
      </c>
      <c r="F785" s="150">
        <f>'[1]Fliggy Store Daily Key Data'!K2452</f>
        <v>101964</v>
      </c>
      <c r="G785" s="150">
        <v>235</v>
      </c>
      <c r="H785" s="155">
        <f t="shared" si="24"/>
        <v>0.0425531914893617</v>
      </c>
      <c r="I785" s="73">
        <f>'[1]Fliggy Store Daily Key Data'!I2452</f>
        <v>10</v>
      </c>
      <c r="J785" s="18">
        <f t="shared" si="23"/>
        <v>0.000458043239281788</v>
      </c>
      <c r="K785" s="5"/>
    </row>
    <row r="786" ht="13.85" spans="1:11">
      <c r="A786" s="156">
        <v>45894</v>
      </c>
      <c r="B786" s="150">
        <f>'[1]Fliggy Store Daily Key Data'!B2453</f>
        <v>65891</v>
      </c>
      <c r="C786" s="150">
        <f>'[1]Fliggy Store Daily Key Data'!C2453</f>
        <v>25246</v>
      </c>
      <c r="D786" s="150">
        <f>'[1]Fliggy Store Daily Key Data'!G2453</f>
        <v>5626</v>
      </c>
      <c r="E786" s="150">
        <v>56</v>
      </c>
      <c r="F786" s="150">
        <f>'[1]Fliggy Store Daily Key Data'!K2453</f>
        <v>168225</v>
      </c>
      <c r="G786" s="150">
        <v>244</v>
      </c>
      <c r="H786" s="155">
        <f t="shared" si="24"/>
        <v>0.0614754098360656</v>
      </c>
      <c r="I786" s="73">
        <f>'[1]Fliggy Store Daily Key Data'!I2453</f>
        <v>15</v>
      </c>
      <c r="J786" s="18">
        <f t="shared" si="23"/>
        <v>0.000594153529271964</v>
      </c>
      <c r="K786" s="5"/>
    </row>
    <row r="787" ht="13.85" spans="1:11">
      <c r="A787" s="156">
        <v>45895</v>
      </c>
      <c r="B787" s="150">
        <f>'[1]Fliggy Store Daily Key Data'!B2454</f>
        <v>37316</v>
      </c>
      <c r="C787" s="150">
        <f>'[1]Fliggy Store Daily Key Data'!C2454</f>
        <v>11583</v>
      </c>
      <c r="D787" s="150">
        <f>'[1]Fliggy Store Daily Key Data'!G2454</f>
        <v>4040</v>
      </c>
      <c r="E787" s="150">
        <v>59</v>
      </c>
      <c r="F787" s="150">
        <f>'[1]Fliggy Store Daily Key Data'!K2454</f>
        <v>210763</v>
      </c>
      <c r="G787" s="150">
        <v>294</v>
      </c>
      <c r="H787" s="155">
        <f t="shared" si="24"/>
        <v>0.0578231292517007</v>
      </c>
      <c r="I787" s="73">
        <f>'[1]Fliggy Store Daily Key Data'!I2454</f>
        <v>17</v>
      </c>
      <c r="J787" s="18">
        <f t="shared" si="23"/>
        <v>0.0014676681343348</v>
      </c>
      <c r="K787" s="5"/>
    </row>
    <row r="788" ht="13.85" spans="1:11">
      <c r="A788" s="156">
        <v>45896</v>
      </c>
      <c r="B788" s="150">
        <f>'[1]Fliggy Store Daily Key Data'!B2455</f>
        <v>39353</v>
      </c>
      <c r="C788" s="150">
        <f>'[1]Fliggy Store Daily Key Data'!C2455</f>
        <v>14787</v>
      </c>
      <c r="D788" s="150">
        <f>'[1]Fliggy Store Daily Key Data'!G2455</f>
        <v>3773</v>
      </c>
      <c r="E788" s="150">
        <v>40</v>
      </c>
      <c r="F788" s="150">
        <f>'[1]Fliggy Store Daily Key Data'!K2455</f>
        <v>227955.9</v>
      </c>
      <c r="G788" s="150">
        <v>248</v>
      </c>
      <c r="H788" s="155">
        <f t="shared" si="24"/>
        <v>0.0604838709677419</v>
      </c>
      <c r="I788" s="73">
        <f>'[1]Fliggy Store Daily Key Data'!I2455</f>
        <v>15</v>
      </c>
      <c r="J788" s="18">
        <f t="shared" si="23"/>
        <v>0.00101440454453236</v>
      </c>
      <c r="K788" s="5"/>
    </row>
    <row r="789" ht="13.85" spans="1:11">
      <c r="A789" s="156">
        <v>45897</v>
      </c>
      <c r="B789" s="150">
        <f>'[1]Fliggy Store Daily Key Data'!B2456</f>
        <v>42492</v>
      </c>
      <c r="C789" s="150">
        <f>'[1]Fliggy Store Daily Key Data'!C2456</f>
        <v>14051</v>
      </c>
      <c r="D789" s="150">
        <f>'[1]Fliggy Store Daily Key Data'!G2456</f>
        <v>3438</v>
      </c>
      <c r="E789" s="150">
        <v>105</v>
      </c>
      <c r="F789" s="150">
        <f>'[1]Fliggy Store Daily Key Data'!K2456</f>
        <v>170744</v>
      </c>
      <c r="G789" s="150">
        <v>275</v>
      </c>
      <c r="H789" s="155">
        <f t="shared" si="24"/>
        <v>0.0545454545454545</v>
      </c>
      <c r="I789" s="73">
        <f>'[1]Fliggy Store Daily Key Data'!I2456</f>
        <v>15</v>
      </c>
      <c r="J789" s="18">
        <f t="shared" si="23"/>
        <v>0.00106753967689132</v>
      </c>
      <c r="K789" s="5"/>
    </row>
    <row r="790" ht="13.85" spans="1:11">
      <c r="A790" s="156">
        <v>45898</v>
      </c>
      <c r="B790" s="150">
        <f>'[1]Fliggy Store Daily Key Data'!B2457</f>
        <v>41165</v>
      </c>
      <c r="C790" s="150">
        <f>'[1]Fliggy Store Daily Key Data'!C2457</f>
        <v>13290</v>
      </c>
      <c r="D790" s="150">
        <f>'[1]Fliggy Store Daily Key Data'!G2457</f>
        <v>4035</v>
      </c>
      <c r="E790" s="150">
        <v>46</v>
      </c>
      <c r="F790" s="150">
        <f>'[1]Fliggy Store Daily Key Data'!K2457</f>
        <v>111943</v>
      </c>
      <c r="G790" s="150">
        <v>221</v>
      </c>
      <c r="H790" s="155">
        <f t="shared" si="24"/>
        <v>0.0407239819004525</v>
      </c>
      <c r="I790" s="73">
        <f>'[1]Fliggy Store Daily Key Data'!I2457</f>
        <v>9</v>
      </c>
      <c r="J790" s="18">
        <f t="shared" si="23"/>
        <v>0.000677200902934537</v>
      </c>
      <c r="K790" s="5"/>
    </row>
    <row r="791" ht="13.85" spans="1:11">
      <c r="A791" s="156">
        <v>45899</v>
      </c>
      <c r="B791" s="150">
        <f>'[1]Fliggy Store Daily Key Data'!B2458</f>
        <v>43161</v>
      </c>
      <c r="C791" s="150">
        <f>'[1]Fliggy Store Daily Key Data'!C2458</f>
        <v>14393</v>
      </c>
      <c r="D791" s="150">
        <f>'[1]Fliggy Store Daily Key Data'!G2458</f>
        <v>3763</v>
      </c>
      <c r="E791" s="150">
        <v>38</v>
      </c>
      <c r="F791" s="150">
        <f>'[1]Fliggy Store Daily Key Data'!K2458</f>
        <v>194510</v>
      </c>
      <c r="G791" s="150">
        <v>219</v>
      </c>
      <c r="H791" s="155">
        <f t="shared" si="24"/>
        <v>0.0684931506849315</v>
      </c>
      <c r="I791" s="73">
        <f>'[1]Fliggy Store Daily Key Data'!I2458</f>
        <v>15</v>
      </c>
      <c r="J791" s="18">
        <f t="shared" si="23"/>
        <v>0.00104217327867713</v>
      </c>
      <c r="K791" s="5"/>
    </row>
    <row r="792" ht="13.85" spans="1:11">
      <c r="A792" s="156">
        <v>45900</v>
      </c>
      <c r="B792" s="150">
        <f>'[1]Fliggy Store Daily Key Data'!B2459</f>
        <v>62040</v>
      </c>
      <c r="C792" s="150">
        <f>'[1]Fliggy Store Daily Key Data'!C2459</f>
        <v>27533</v>
      </c>
      <c r="D792" s="150">
        <f>'[1]Fliggy Store Daily Key Data'!G2459</f>
        <v>3952</v>
      </c>
      <c r="E792" s="150">
        <v>43</v>
      </c>
      <c r="F792" s="150">
        <f>'[1]Fliggy Store Daily Key Data'!K2459</f>
        <v>148909</v>
      </c>
      <c r="G792" s="150">
        <v>221</v>
      </c>
      <c r="H792" s="155">
        <f t="shared" si="24"/>
        <v>0.0542986425339367</v>
      </c>
      <c r="I792" s="73">
        <f>'[1]Fliggy Store Daily Key Data'!I2459</f>
        <v>12</v>
      </c>
      <c r="J792" s="18">
        <f t="shared" ref="J792:J855" si="25">I792/C792</f>
        <v>0.000435840627610504</v>
      </c>
      <c r="K792" s="5"/>
    </row>
    <row r="793" ht="13.85" spans="1:11">
      <c r="A793" s="156">
        <v>45901</v>
      </c>
      <c r="B793" s="150">
        <f>'[1]Fliggy Store Daily Key Data'!B2460</f>
        <v>68526</v>
      </c>
      <c r="C793" s="150">
        <f>'[1]Fliggy Store Daily Key Data'!C2460</f>
        <v>28164</v>
      </c>
      <c r="D793" s="150">
        <f>'[1]Fliggy Store Daily Key Data'!G2460</f>
        <v>4363</v>
      </c>
      <c r="E793" s="150">
        <v>40</v>
      </c>
      <c r="F793" s="150">
        <f>'[1]Fliggy Store Daily Key Data'!K2460</f>
        <v>245673</v>
      </c>
      <c r="G793" s="150">
        <v>282</v>
      </c>
      <c r="H793" s="155">
        <f t="shared" si="24"/>
        <v>0.074468085106383</v>
      </c>
      <c r="I793" s="73">
        <f>'[1]Fliggy Store Daily Key Data'!I2460</f>
        <v>21</v>
      </c>
      <c r="J793" s="18">
        <f t="shared" si="25"/>
        <v>0.000745632722624627</v>
      </c>
      <c r="K793" s="5"/>
    </row>
    <row r="794" ht="13.85" spans="1:11">
      <c r="A794" s="156">
        <v>45902</v>
      </c>
      <c r="B794" s="150">
        <f>'[1]Fliggy Store Daily Key Data'!B2461</f>
        <v>49664</v>
      </c>
      <c r="C794" s="150">
        <f>'[1]Fliggy Store Daily Key Data'!C2461</f>
        <v>13478</v>
      </c>
      <c r="D794" s="150">
        <f>'[1]Fliggy Store Daily Key Data'!G2461</f>
        <v>4595</v>
      </c>
      <c r="E794" s="150">
        <v>43</v>
      </c>
      <c r="F794" s="150">
        <f>'[1]Fliggy Store Daily Key Data'!K2461</f>
        <v>205416</v>
      </c>
      <c r="G794" s="150">
        <v>314</v>
      </c>
      <c r="H794" s="155">
        <f t="shared" si="24"/>
        <v>0.0605095541401274</v>
      </c>
      <c r="I794" s="73">
        <f>'[1]Fliggy Store Daily Key Data'!I2461</f>
        <v>19</v>
      </c>
      <c r="J794" s="18">
        <f t="shared" si="25"/>
        <v>0.00140970470396201</v>
      </c>
      <c r="K794" s="5"/>
    </row>
    <row r="795" ht="13.85" spans="1:11">
      <c r="A795" s="156">
        <v>45903</v>
      </c>
      <c r="B795" s="150">
        <f>'[1]Fliggy Store Daily Key Data'!B2462</f>
        <v>77245</v>
      </c>
      <c r="C795" s="150">
        <f>'[1]Fliggy Store Daily Key Data'!C2462</f>
        <v>37038</v>
      </c>
      <c r="D795" s="150">
        <f>'[1]Fliggy Store Daily Key Data'!G2462</f>
        <v>4965</v>
      </c>
      <c r="E795" s="150">
        <v>36</v>
      </c>
      <c r="F795" s="150">
        <f>'[1]Fliggy Store Daily Key Data'!K2462</f>
        <v>149975</v>
      </c>
      <c r="G795" s="150">
        <v>220</v>
      </c>
      <c r="H795" s="155">
        <f t="shared" si="24"/>
        <v>0.0545454545454545</v>
      </c>
      <c r="I795" s="73">
        <f>'[1]Fliggy Store Daily Key Data'!I2462</f>
        <v>12</v>
      </c>
      <c r="J795" s="18">
        <f t="shared" si="25"/>
        <v>0.000323991576219018</v>
      </c>
      <c r="K795" s="5"/>
    </row>
    <row r="796" ht="13.85" spans="1:11">
      <c r="A796" s="156">
        <v>45904</v>
      </c>
      <c r="B796" s="150">
        <f>'[1]Fliggy Store Daily Key Data'!B2463</f>
        <v>87689</v>
      </c>
      <c r="C796" s="150">
        <f>'[1]Fliggy Store Daily Key Data'!C2463</f>
        <v>43232</v>
      </c>
      <c r="D796" s="150">
        <f>'[1]Fliggy Store Daily Key Data'!G2463</f>
        <v>4693</v>
      </c>
      <c r="E796" s="150">
        <v>41</v>
      </c>
      <c r="F796" s="150">
        <f>'[1]Fliggy Store Daily Key Data'!K2463</f>
        <v>235599</v>
      </c>
      <c r="G796" s="150">
        <v>254</v>
      </c>
      <c r="H796" s="155">
        <f t="shared" si="24"/>
        <v>0.0826771653543307</v>
      </c>
      <c r="I796" s="73">
        <f>'[1]Fliggy Store Daily Key Data'!I2463</f>
        <v>21</v>
      </c>
      <c r="J796" s="18">
        <f t="shared" si="25"/>
        <v>0.000485751295336788</v>
      </c>
      <c r="K796" s="5"/>
    </row>
    <row r="797" ht="13.85" spans="1:11">
      <c r="A797" s="156">
        <v>45905</v>
      </c>
      <c r="B797" s="150">
        <f>'[1]Fliggy Store Daily Key Data'!B2464</f>
        <v>74595</v>
      </c>
      <c r="C797" s="150">
        <f>'[1]Fliggy Store Daily Key Data'!C2464</f>
        <v>34732</v>
      </c>
      <c r="D797" s="150">
        <f>'[1]Fliggy Store Daily Key Data'!G2464</f>
        <v>4356</v>
      </c>
      <c r="E797" s="150">
        <v>51</v>
      </c>
      <c r="F797" s="150">
        <f>'[1]Fliggy Store Daily Key Data'!K2464</f>
        <v>88998</v>
      </c>
      <c r="G797" s="150">
        <v>236</v>
      </c>
      <c r="H797" s="155">
        <f t="shared" si="24"/>
        <v>0.0338983050847458</v>
      </c>
      <c r="I797" s="73">
        <f>'[1]Fliggy Store Daily Key Data'!I2464</f>
        <v>8</v>
      </c>
      <c r="J797" s="18">
        <f t="shared" si="25"/>
        <v>0.000230335137625245</v>
      </c>
      <c r="K797" s="5"/>
    </row>
    <row r="798" ht="13.85" spans="1:11">
      <c r="A798" s="156">
        <v>45906</v>
      </c>
      <c r="B798" s="150">
        <f>'[1]Fliggy Store Daily Key Data'!B2465</f>
        <v>43360</v>
      </c>
      <c r="C798" s="150">
        <f>'[1]Fliggy Store Daily Key Data'!C2465</f>
        <v>15053</v>
      </c>
      <c r="D798" s="150">
        <f>'[1]Fliggy Store Daily Key Data'!G2465</f>
        <v>4651</v>
      </c>
      <c r="E798" s="150">
        <v>36</v>
      </c>
      <c r="F798" s="150">
        <f>'[1]Fliggy Store Daily Key Data'!K2465</f>
        <v>116812</v>
      </c>
      <c r="G798" s="150">
        <v>234</v>
      </c>
      <c r="H798" s="155">
        <f t="shared" si="24"/>
        <v>0.0299145299145299</v>
      </c>
      <c r="I798" s="73">
        <f>'[1]Fliggy Store Daily Key Data'!I2465</f>
        <v>7</v>
      </c>
      <c r="J798" s="18">
        <f t="shared" si="25"/>
        <v>0.000465023583338869</v>
      </c>
      <c r="K798" s="5"/>
    </row>
    <row r="799" ht="13.85" spans="1:11">
      <c r="A799" s="156">
        <v>45907</v>
      </c>
      <c r="B799" s="150">
        <f>'[1]Fliggy Store Daily Key Data'!B2466</f>
        <v>50474</v>
      </c>
      <c r="C799" s="150">
        <f>'[1]Fliggy Store Daily Key Data'!C2466</f>
        <v>20460</v>
      </c>
      <c r="D799" s="150">
        <f>'[1]Fliggy Store Daily Key Data'!G2466</f>
        <v>4781</v>
      </c>
      <c r="E799" s="150">
        <v>58</v>
      </c>
      <c r="F799" s="150">
        <f>'[1]Fliggy Store Daily Key Data'!K2466</f>
        <v>118553</v>
      </c>
      <c r="G799" s="150">
        <v>245</v>
      </c>
      <c r="H799" s="155">
        <f t="shared" si="24"/>
        <v>0.036734693877551</v>
      </c>
      <c r="I799" s="73">
        <f>'[1]Fliggy Store Daily Key Data'!I2466</f>
        <v>9</v>
      </c>
      <c r="J799" s="18">
        <f t="shared" si="25"/>
        <v>0.000439882697947214</v>
      </c>
      <c r="K799" s="5"/>
    </row>
    <row r="800" ht="13.85" spans="1:11">
      <c r="A800" s="156">
        <v>45908</v>
      </c>
      <c r="B800" s="150">
        <f>'[1]Fliggy Store Daily Key Data'!B2467</f>
        <v>59676</v>
      </c>
      <c r="C800" s="150">
        <f>'[1]Fliggy Store Daily Key Data'!C2467</f>
        <v>24684</v>
      </c>
      <c r="D800" s="150">
        <f>'[1]Fliggy Store Daily Key Data'!G2467</f>
        <v>3732</v>
      </c>
      <c r="E800" s="150">
        <v>68</v>
      </c>
      <c r="F800" s="150">
        <f>'[1]Fliggy Store Daily Key Data'!K2467</f>
        <v>271389</v>
      </c>
      <c r="G800" s="150">
        <v>293</v>
      </c>
      <c r="H800" s="155">
        <f t="shared" si="24"/>
        <v>0.0716723549488055</v>
      </c>
      <c r="I800" s="73">
        <f>'[1]Fliggy Store Daily Key Data'!I2467</f>
        <v>21</v>
      </c>
      <c r="J800" s="18">
        <f t="shared" si="25"/>
        <v>0.000850753524550316</v>
      </c>
      <c r="K800" s="5"/>
    </row>
    <row r="801" ht="13.85" spans="1:11">
      <c r="A801" s="156">
        <v>45909</v>
      </c>
      <c r="B801" s="150">
        <f>'[1]Fliggy Store Daily Key Data'!B2468</f>
        <v>45437</v>
      </c>
      <c r="C801" s="150">
        <f>'[1]Fliggy Store Daily Key Data'!C2468</f>
        <v>14979</v>
      </c>
      <c r="D801" s="150">
        <f>'[1]Fliggy Store Daily Key Data'!G2468</f>
        <v>3423</v>
      </c>
      <c r="E801" s="150">
        <v>49</v>
      </c>
      <c r="F801" s="150">
        <f>'[1]Fliggy Store Daily Key Data'!K2468</f>
        <v>196883</v>
      </c>
      <c r="G801" s="150">
        <v>300</v>
      </c>
      <c r="H801" s="155">
        <f t="shared" si="24"/>
        <v>0.06</v>
      </c>
      <c r="I801" s="73">
        <f>'[1]Fliggy Store Daily Key Data'!I2468</f>
        <v>18</v>
      </c>
      <c r="J801" s="18">
        <f t="shared" si="25"/>
        <v>0.00120168235529742</v>
      </c>
      <c r="K801" s="5"/>
    </row>
    <row r="802" ht="13.85" spans="1:11">
      <c r="A802" s="156">
        <v>45910</v>
      </c>
      <c r="B802" s="150">
        <f>'[1]Fliggy Store Daily Key Data'!B2469</f>
        <v>60113</v>
      </c>
      <c r="C802" s="150">
        <f>'[1]Fliggy Store Daily Key Data'!C2469</f>
        <v>19387</v>
      </c>
      <c r="D802" s="150">
        <f>'[1]Fliggy Store Daily Key Data'!G2469</f>
        <v>4333</v>
      </c>
      <c r="E802" s="150">
        <v>68</v>
      </c>
      <c r="F802" s="150">
        <f>'[1]Fliggy Store Daily Key Data'!K2469</f>
        <v>474391</v>
      </c>
      <c r="G802" s="150">
        <v>405</v>
      </c>
      <c r="H802" s="155">
        <f t="shared" si="24"/>
        <v>0.0962962962962963</v>
      </c>
      <c r="I802" s="73">
        <f>'[1]Fliggy Store Daily Key Data'!I2469</f>
        <v>39</v>
      </c>
      <c r="J802" s="18">
        <f t="shared" si="25"/>
        <v>0.00201165729612627</v>
      </c>
      <c r="K802" s="5"/>
    </row>
    <row r="803" ht="13.85" spans="1:11">
      <c r="A803" s="156">
        <v>45911</v>
      </c>
      <c r="B803" s="150">
        <f>'[1]Fliggy Store Daily Key Data'!B2470</f>
        <v>44270</v>
      </c>
      <c r="C803" s="150">
        <f>'[1]Fliggy Store Daily Key Data'!C2470</f>
        <v>15621</v>
      </c>
      <c r="D803" s="150">
        <f>'[1]Fliggy Store Daily Key Data'!G2470</f>
        <v>2703</v>
      </c>
      <c r="E803" s="150">
        <v>181</v>
      </c>
      <c r="F803" s="150">
        <f>'[1]Fliggy Store Daily Key Data'!K2470</f>
        <v>99069</v>
      </c>
      <c r="G803" s="150">
        <v>264</v>
      </c>
      <c r="H803" s="155">
        <f t="shared" si="24"/>
        <v>0.0227272727272727</v>
      </c>
      <c r="I803" s="73">
        <f>'[1]Fliggy Store Daily Key Data'!I2470</f>
        <v>6</v>
      </c>
      <c r="J803" s="18">
        <f t="shared" si="25"/>
        <v>0.000384098329172268</v>
      </c>
      <c r="K803" s="5"/>
    </row>
    <row r="804" ht="13.85" spans="1:11">
      <c r="A804" s="156">
        <v>45912</v>
      </c>
      <c r="B804" s="150">
        <f>'[1]Fliggy Store Daily Key Data'!B2471</f>
        <v>44118</v>
      </c>
      <c r="C804" s="150">
        <f>'[1]Fliggy Store Daily Key Data'!C2471</f>
        <v>15819</v>
      </c>
      <c r="D804" s="150">
        <f>'[1]Fliggy Store Daily Key Data'!G2471</f>
        <v>3084</v>
      </c>
      <c r="E804" s="150">
        <v>24</v>
      </c>
      <c r="F804" s="150">
        <f>'[1]Fliggy Store Daily Key Data'!K2471</f>
        <v>172013</v>
      </c>
      <c r="G804" s="150">
        <v>216</v>
      </c>
      <c r="H804" s="155">
        <f t="shared" si="24"/>
        <v>0.0601851851851852</v>
      </c>
      <c r="I804" s="73">
        <f>'[1]Fliggy Store Daily Key Data'!I2471</f>
        <v>13</v>
      </c>
      <c r="J804" s="18">
        <f t="shared" si="25"/>
        <v>0.000821796573740439</v>
      </c>
      <c r="K804" s="5"/>
    </row>
    <row r="805" ht="13.85" spans="1:11">
      <c r="A805" s="156">
        <v>45913</v>
      </c>
      <c r="B805" s="150">
        <f>'[1]Fliggy Store Daily Key Data'!B2472</f>
        <v>35688</v>
      </c>
      <c r="C805" s="150">
        <f>'[1]Fliggy Store Daily Key Data'!C2472</f>
        <v>14005</v>
      </c>
      <c r="D805" s="150">
        <f>'[1]Fliggy Store Daily Key Data'!G2472</f>
        <v>3100</v>
      </c>
      <c r="E805" s="150">
        <v>38</v>
      </c>
      <c r="F805" s="150">
        <f>'[1]Fliggy Store Daily Key Data'!K2472</f>
        <v>88775</v>
      </c>
      <c r="G805" s="150">
        <v>181</v>
      </c>
      <c r="H805" s="155">
        <f t="shared" si="24"/>
        <v>0.0331491712707182</v>
      </c>
      <c r="I805" s="73">
        <f>'[1]Fliggy Store Daily Key Data'!I2472</f>
        <v>6</v>
      </c>
      <c r="J805" s="18">
        <f t="shared" si="25"/>
        <v>0.000428418421992146</v>
      </c>
      <c r="K805" s="5"/>
    </row>
    <row r="806" ht="13.85" spans="1:11">
      <c r="A806" s="156">
        <v>45914</v>
      </c>
      <c r="B806" s="150">
        <f>'[1]Fliggy Store Daily Key Data'!B2473</f>
        <v>33322</v>
      </c>
      <c r="C806" s="150">
        <f>'[1]Fliggy Store Daily Key Data'!C2473</f>
        <v>14175</v>
      </c>
      <c r="D806" s="150">
        <f>'[1]Fliggy Store Daily Key Data'!G2473</f>
        <v>2275</v>
      </c>
      <c r="E806" s="150">
        <v>30</v>
      </c>
      <c r="F806" s="150">
        <f>'[1]Fliggy Store Daily Key Data'!K2473</f>
        <v>82996</v>
      </c>
      <c r="G806" s="150">
        <v>178</v>
      </c>
      <c r="H806" s="155">
        <f t="shared" si="24"/>
        <v>0.0337078651685393</v>
      </c>
      <c r="I806" s="73">
        <f>'[1]Fliggy Store Daily Key Data'!I2473</f>
        <v>6</v>
      </c>
      <c r="J806" s="18">
        <f t="shared" si="25"/>
        <v>0.000423280423280423</v>
      </c>
      <c r="K806" s="5"/>
    </row>
    <row r="807" ht="13.85" spans="1:11">
      <c r="A807" s="156">
        <v>45915</v>
      </c>
      <c r="B807" s="150">
        <f>'[1]Fliggy Store Daily Key Data'!B2474</f>
        <v>37007</v>
      </c>
      <c r="C807" s="150">
        <f>'[1]Fliggy Store Daily Key Data'!C2474</f>
        <v>16388</v>
      </c>
      <c r="D807" s="150">
        <f>'[1]Fliggy Store Daily Key Data'!G2474</f>
        <v>2489</v>
      </c>
      <c r="E807" s="150">
        <v>23</v>
      </c>
      <c r="F807" s="150">
        <f>'[1]Fliggy Store Daily Key Data'!K2474</f>
        <v>89782</v>
      </c>
      <c r="G807" s="150">
        <v>227</v>
      </c>
      <c r="H807" s="155">
        <f t="shared" si="24"/>
        <v>0.0352422907488987</v>
      </c>
      <c r="I807" s="73">
        <f>'[1]Fliggy Store Daily Key Data'!I2474</f>
        <v>8</v>
      </c>
      <c r="J807" s="18">
        <f t="shared" si="25"/>
        <v>0.000488162069807176</v>
      </c>
      <c r="K807" s="5"/>
    </row>
    <row r="808" ht="13.85" spans="1:11">
      <c r="A808" s="156">
        <v>45916</v>
      </c>
      <c r="B808" s="150">
        <f>'[1]Fliggy Store Daily Key Data'!B2475</f>
        <v>38610</v>
      </c>
      <c r="C808" s="150">
        <f>'[1]Fliggy Store Daily Key Data'!C2475</f>
        <v>14680</v>
      </c>
      <c r="D808" s="150">
        <f>'[1]Fliggy Store Daily Key Data'!G2475</f>
        <v>2775</v>
      </c>
      <c r="E808" s="150">
        <v>21</v>
      </c>
      <c r="F808" s="150">
        <f>'[1]Fliggy Store Daily Key Data'!K2475</f>
        <v>50169</v>
      </c>
      <c r="G808" s="150">
        <v>192</v>
      </c>
      <c r="H808" s="155">
        <f t="shared" si="24"/>
        <v>0.0208333333333333</v>
      </c>
      <c r="I808" s="73">
        <f>'[1]Fliggy Store Daily Key Data'!I2475</f>
        <v>4</v>
      </c>
      <c r="J808" s="18">
        <f t="shared" si="25"/>
        <v>0.000272479564032698</v>
      </c>
      <c r="K808" s="5"/>
    </row>
    <row r="809" ht="13.85" spans="1:11">
      <c r="A809" s="156">
        <v>45917</v>
      </c>
      <c r="B809" s="150">
        <f>'[1]Fliggy Store Daily Key Data'!B2476</f>
        <v>35056</v>
      </c>
      <c r="C809" s="150">
        <f>'[1]Fliggy Store Daily Key Data'!C2476</f>
        <v>13437</v>
      </c>
      <c r="D809" s="150">
        <f>'[1]Fliggy Store Daily Key Data'!G2476</f>
        <v>2929</v>
      </c>
      <c r="E809" s="150">
        <v>25</v>
      </c>
      <c r="F809" s="150">
        <f>'[1]Fliggy Store Daily Key Data'!K2476</f>
        <v>41472.4</v>
      </c>
      <c r="G809" s="150">
        <v>217</v>
      </c>
      <c r="H809" s="155">
        <f t="shared" si="24"/>
        <v>0.0138248847926267</v>
      </c>
      <c r="I809" s="73">
        <f>'[1]Fliggy Store Daily Key Data'!I2476</f>
        <v>3</v>
      </c>
      <c r="J809" s="18">
        <f t="shared" si="25"/>
        <v>0.000223264121455682</v>
      </c>
      <c r="K809" s="5"/>
    </row>
    <row r="810" ht="13.85" spans="1:11">
      <c r="A810" s="156">
        <v>45918</v>
      </c>
      <c r="B810" s="150">
        <f>'[1]Fliggy Store Daily Key Data'!B2477</f>
        <v>33391</v>
      </c>
      <c r="C810" s="150">
        <f>'[1]Fliggy Store Daily Key Data'!C2477</f>
        <v>12975</v>
      </c>
      <c r="D810" s="150">
        <f>'[1]Fliggy Store Daily Key Data'!G2477</f>
        <v>2776</v>
      </c>
      <c r="E810" s="150">
        <v>16</v>
      </c>
      <c r="F810" s="150">
        <f>'[1]Fliggy Store Daily Key Data'!K2477</f>
        <v>76433</v>
      </c>
      <c r="G810" s="150">
        <v>165</v>
      </c>
      <c r="H810" s="155">
        <f t="shared" si="24"/>
        <v>0.0181818181818182</v>
      </c>
      <c r="I810" s="73">
        <f>'[1]Fliggy Store Daily Key Data'!I2477</f>
        <v>3</v>
      </c>
      <c r="J810" s="18">
        <f t="shared" si="25"/>
        <v>0.00023121387283237</v>
      </c>
      <c r="K810" s="5"/>
    </row>
    <row r="811" ht="13.85" spans="1:11">
      <c r="A811" s="156">
        <v>45919</v>
      </c>
      <c r="B811" s="150">
        <f>'[1]Fliggy Store Daily Key Data'!B2478</f>
        <v>29824</v>
      </c>
      <c r="C811" s="150">
        <f>'[1]Fliggy Store Daily Key Data'!C2478</f>
        <v>11871</v>
      </c>
      <c r="D811" s="150">
        <f>'[1]Fliggy Store Daily Key Data'!G2478</f>
        <v>2760</v>
      </c>
      <c r="E811" s="150">
        <v>23</v>
      </c>
      <c r="F811" s="150">
        <f>'[1]Fliggy Store Daily Key Data'!K2478</f>
        <v>51893</v>
      </c>
      <c r="G811" s="150">
        <v>158</v>
      </c>
      <c r="H811" s="155">
        <f t="shared" si="24"/>
        <v>0.0253164556962025</v>
      </c>
      <c r="I811" s="73">
        <f>'[1]Fliggy Store Daily Key Data'!I2478</f>
        <v>4</v>
      </c>
      <c r="J811" s="18">
        <f t="shared" si="25"/>
        <v>0.000336955606098896</v>
      </c>
      <c r="K811" s="5"/>
    </row>
    <row r="812" ht="13.85" spans="1:11">
      <c r="A812" s="156">
        <v>45920</v>
      </c>
      <c r="B812" s="150">
        <f>'[1]Fliggy Store Daily Key Data'!B2479</f>
        <v>28168</v>
      </c>
      <c r="C812" s="150">
        <f>'[1]Fliggy Store Daily Key Data'!C2479</f>
        <v>10497</v>
      </c>
      <c r="D812" s="150">
        <f>'[1]Fliggy Store Daily Key Data'!G2479</f>
        <v>2469</v>
      </c>
      <c r="E812" s="150">
        <v>22</v>
      </c>
      <c r="F812" s="150">
        <f>'[1]Fliggy Store Daily Key Data'!K2479</f>
        <v>101944.5</v>
      </c>
      <c r="G812" s="150">
        <v>145</v>
      </c>
      <c r="H812" s="155">
        <f t="shared" si="24"/>
        <v>0.0551724137931034</v>
      </c>
      <c r="I812" s="73">
        <f>'[1]Fliggy Store Daily Key Data'!I2479</f>
        <v>8</v>
      </c>
      <c r="J812" s="18">
        <f t="shared" si="25"/>
        <v>0.000762122511193674</v>
      </c>
      <c r="K812" s="5"/>
    </row>
    <row r="813" ht="13.85" spans="1:11">
      <c r="A813" s="156">
        <v>45921</v>
      </c>
      <c r="B813" s="150">
        <f>'[1]Fliggy Store Daily Key Data'!B2480</f>
        <v>32572</v>
      </c>
      <c r="C813" s="150">
        <f>'[1]Fliggy Store Daily Key Data'!C2480</f>
        <v>13786</v>
      </c>
      <c r="D813" s="150">
        <f>'[1]Fliggy Store Daily Key Data'!G2480</f>
        <v>2812</v>
      </c>
      <c r="E813" s="150">
        <v>23</v>
      </c>
      <c r="F813" s="150">
        <f>'[1]Fliggy Store Daily Key Data'!K2480</f>
        <v>90298</v>
      </c>
      <c r="G813" s="150">
        <v>164</v>
      </c>
      <c r="H813" s="155">
        <f t="shared" si="24"/>
        <v>0.0365853658536585</v>
      </c>
      <c r="I813" s="73">
        <f>'[1]Fliggy Store Daily Key Data'!I2480</f>
        <v>6</v>
      </c>
      <c r="J813" s="18">
        <f t="shared" si="25"/>
        <v>0.000435224140432323</v>
      </c>
      <c r="K813" s="5"/>
    </row>
    <row r="814" ht="13.85" spans="1:11">
      <c r="A814" s="156">
        <v>45922</v>
      </c>
      <c r="B814" s="150">
        <f>'[1]Fliggy Store Daily Key Data'!B2481</f>
        <v>35815</v>
      </c>
      <c r="C814" s="150">
        <f>'[1]Fliggy Store Daily Key Data'!C2481</f>
        <v>13087</v>
      </c>
      <c r="D814" s="150">
        <f>'[1]Fliggy Store Daily Key Data'!G2481</f>
        <v>2732</v>
      </c>
      <c r="E814" s="150">
        <v>21</v>
      </c>
      <c r="F814" s="150">
        <f>'[1]Fliggy Store Daily Key Data'!K2481</f>
        <v>137355</v>
      </c>
      <c r="G814" s="150">
        <v>181</v>
      </c>
      <c r="H814" s="155">
        <f t="shared" si="24"/>
        <v>0.0662983425414365</v>
      </c>
      <c r="I814" s="73">
        <f>'[1]Fliggy Store Daily Key Data'!I2481</f>
        <v>12</v>
      </c>
      <c r="J814" s="18">
        <f t="shared" si="25"/>
        <v>0.000916940475280813</v>
      </c>
      <c r="K814" s="5"/>
    </row>
    <row r="815" ht="13.85" spans="1:11">
      <c r="A815" s="156">
        <v>45923</v>
      </c>
      <c r="B815" s="150">
        <f>'[1]Fliggy Store Daily Key Data'!B2482</f>
        <v>28516</v>
      </c>
      <c r="C815" s="150">
        <f>'[1]Fliggy Store Daily Key Data'!C2482</f>
        <v>11178</v>
      </c>
      <c r="D815" s="150">
        <f>'[1]Fliggy Store Daily Key Data'!G2482</f>
        <v>2560</v>
      </c>
      <c r="E815" s="150">
        <v>24</v>
      </c>
      <c r="F815" s="150">
        <f>'[1]Fliggy Store Daily Key Data'!K2482</f>
        <v>101431</v>
      </c>
      <c r="G815" s="150">
        <v>186</v>
      </c>
      <c r="H815" s="155">
        <f t="shared" si="24"/>
        <v>0.043010752688172</v>
      </c>
      <c r="I815" s="73">
        <f>'[1]Fliggy Store Daily Key Data'!I2482</f>
        <v>8</v>
      </c>
      <c r="J815" s="18">
        <f t="shared" si="25"/>
        <v>0.000715691536947576</v>
      </c>
      <c r="K815" s="5"/>
    </row>
    <row r="816" ht="13.85" spans="1:11">
      <c r="A816" s="156">
        <v>45924</v>
      </c>
      <c r="B816" s="150">
        <f>'[1]Fliggy Store Daily Key Data'!B2483</f>
        <v>30054</v>
      </c>
      <c r="C816" s="150">
        <f>'[1]Fliggy Store Daily Key Data'!C2483</f>
        <v>11430</v>
      </c>
      <c r="D816" s="150">
        <f>'[1]Fliggy Store Daily Key Data'!G2483</f>
        <v>2591</v>
      </c>
      <c r="E816" s="150">
        <v>23</v>
      </c>
      <c r="F816" s="150">
        <f>'[1]Fliggy Store Daily Key Data'!K2483</f>
        <v>159171</v>
      </c>
      <c r="G816" s="150">
        <v>180</v>
      </c>
      <c r="H816" s="155">
        <f t="shared" si="24"/>
        <v>0.0666666666666667</v>
      </c>
      <c r="I816" s="73">
        <f>'[1]Fliggy Store Daily Key Data'!I2483</f>
        <v>12</v>
      </c>
      <c r="J816" s="18">
        <f t="shared" si="25"/>
        <v>0.0010498687664042</v>
      </c>
      <c r="K816" s="5"/>
    </row>
    <row r="817" ht="13.85" spans="1:11">
      <c r="A817" s="156">
        <v>45925</v>
      </c>
      <c r="B817" s="150">
        <f>'[1]Fliggy Store Daily Key Data'!B2484</f>
        <v>29990</v>
      </c>
      <c r="C817" s="150">
        <f>'[1]Fliggy Store Daily Key Data'!C2484</f>
        <v>10488</v>
      </c>
      <c r="D817" s="150">
        <f>'[1]Fliggy Store Daily Key Data'!G2484</f>
        <v>2848</v>
      </c>
      <c r="E817" s="150">
        <v>34</v>
      </c>
      <c r="F817" s="150">
        <f>'[1]Fliggy Store Daily Key Data'!K2484</f>
        <v>69365</v>
      </c>
      <c r="G817" s="150">
        <v>180</v>
      </c>
      <c r="H817" s="155">
        <f t="shared" si="24"/>
        <v>0.0222222222222222</v>
      </c>
      <c r="I817" s="73">
        <f>'[1]Fliggy Store Daily Key Data'!I2484</f>
        <v>4</v>
      </c>
      <c r="J817" s="18">
        <f t="shared" si="25"/>
        <v>0.0003813882532418</v>
      </c>
      <c r="K817" s="5"/>
    </row>
    <row r="818" ht="13.85" spans="1:11">
      <c r="A818" s="156">
        <v>45926</v>
      </c>
      <c r="B818" s="150">
        <f>'[1]Fliggy Store Daily Key Data'!B2485</f>
        <v>30999</v>
      </c>
      <c r="C818" s="150">
        <f>'[1]Fliggy Store Daily Key Data'!C2485</f>
        <v>11491</v>
      </c>
      <c r="D818" s="150">
        <f>'[1]Fliggy Store Daily Key Data'!G2485</f>
        <v>2816</v>
      </c>
      <c r="E818" s="150">
        <v>24</v>
      </c>
      <c r="F818" s="150">
        <f>'[1]Fliggy Store Daily Key Data'!K2485</f>
        <v>61896</v>
      </c>
      <c r="G818" s="150">
        <v>137</v>
      </c>
      <c r="H818" s="155">
        <f t="shared" si="24"/>
        <v>0.0364963503649635</v>
      </c>
      <c r="I818" s="73">
        <f>'[1]Fliggy Store Daily Key Data'!I2485</f>
        <v>5</v>
      </c>
      <c r="J818" s="18">
        <f t="shared" si="25"/>
        <v>0.000435123139848577</v>
      </c>
      <c r="K818" s="5"/>
    </row>
    <row r="819" ht="13.85" spans="1:11">
      <c r="A819" s="156">
        <v>45927</v>
      </c>
      <c r="B819" s="150">
        <f>'[1]Fliggy Store Daily Key Data'!B2486</f>
        <v>31540</v>
      </c>
      <c r="C819" s="150">
        <f>'[1]Fliggy Store Daily Key Data'!C2486</f>
        <v>10846</v>
      </c>
      <c r="D819" s="150">
        <f>'[1]Fliggy Store Daily Key Data'!G2486</f>
        <v>3237</v>
      </c>
      <c r="E819" s="150">
        <v>24</v>
      </c>
      <c r="F819" s="150">
        <f>'[1]Fliggy Store Daily Key Data'!K2486</f>
        <v>0</v>
      </c>
      <c r="G819" s="150">
        <v>157</v>
      </c>
      <c r="H819" s="155">
        <f t="shared" si="24"/>
        <v>0</v>
      </c>
      <c r="I819" s="73">
        <f>'[1]Fliggy Store Daily Key Data'!I2486</f>
        <v>0</v>
      </c>
      <c r="J819" s="18">
        <f t="shared" si="25"/>
        <v>0</v>
      </c>
      <c r="K819" s="5"/>
    </row>
    <row r="820" ht="13.85" spans="1:11">
      <c r="A820" s="156">
        <v>45928</v>
      </c>
      <c r="B820" s="150">
        <f>'[1]Fliggy Store Daily Key Data'!B2487</f>
        <v>29099</v>
      </c>
      <c r="C820" s="150">
        <f>'[1]Fliggy Store Daily Key Data'!C2487</f>
        <v>11442</v>
      </c>
      <c r="D820" s="150">
        <f>'[1]Fliggy Store Daily Key Data'!G2487</f>
        <v>3233</v>
      </c>
      <c r="E820" s="150">
        <v>16</v>
      </c>
      <c r="F820" s="150">
        <f>'[1]Fliggy Store Daily Key Data'!K2487</f>
        <v>6046</v>
      </c>
      <c r="G820" s="150">
        <v>167</v>
      </c>
      <c r="H820" s="155">
        <f t="shared" si="24"/>
        <v>0.00598802395209581</v>
      </c>
      <c r="I820" s="73">
        <f>'[1]Fliggy Store Daily Key Data'!I2487</f>
        <v>1</v>
      </c>
      <c r="J820" s="18">
        <f t="shared" si="25"/>
        <v>8.73973081629086e-5</v>
      </c>
      <c r="K820" s="5"/>
    </row>
    <row r="821" ht="13.85" spans="1:11">
      <c r="A821" s="156">
        <v>45929</v>
      </c>
      <c r="B821" s="150">
        <f>'[1]Fliggy Store Daily Key Data'!B2488</f>
        <v>21337</v>
      </c>
      <c r="C821" s="150">
        <f>'[1]Fliggy Store Daily Key Data'!C2488</f>
        <v>9251</v>
      </c>
      <c r="D821" s="150">
        <f>'[1]Fliggy Store Daily Key Data'!G2488</f>
        <v>2338</v>
      </c>
      <c r="E821" s="150">
        <v>19</v>
      </c>
      <c r="F821" s="150">
        <f>'[1]Fliggy Store Daily Key Data'!K2488</f>
        <v>42662</v>
      </c>
      <c r="G821" s="150">
        <v>155</v>
      </c>
      <c r="H821" s="155">
        <f t="shared" si="24"/>
        <v>0.0193548387096774</v>
      </c>
      <c r="I821" s="73">
        <f>'[1]Fliggy Store Daily Key Data'!I2488</f>
        <v>3</v>
      </c>
      <c r="J821" s="18">
        <f t="shared" si="25"/>
        <v>0.000324289266025295</v>
      </c>
      <c r="K821" s="5"/>
    </row>
    <row r="822" ht="13.85" spans="1:11">
      <c r="A822" s="156">
        <v>45930</v>
      </c>
      <c r="B822" s="150">
        <f>'[1]Fliggy Store Daily Key Data'!B2489</f>
        <v>17073</v>
      </c>
      <c r="C822" s="150">
        <f>'[1]Fliggy Store Daily Key Data'!C2489</f>
        <v>7330</v>
      </c>
      <c r="D822" s="150">
        <f>'[1]Fliggy Store Daily Key Data'!G2489</f>
        <v>2101</v>
      </c>
      <c r="E822" s="150">
        <v>26</v>
      </c>
      <c r="F822" s="150">
        <f>'[1]Fliggy Store Daily Key Data'!K2489</f>
        <v>53863</v>
      </c>
      <c r="G822" s="150">
        <v>121</v>
      </c>
      <c r="H822" s="155">
        <f t="shared" si="24"/>
        <v>0.0413223140495868</v>
      </c>
      <c r="I822" s="73">
        <f>'[1]Fliggy Store Daily Key Data'!I2489</f>
        <v>5</v>
      </c>
      <c r="J822" s="18">
        <f t="shared" si="25"/>
        <v>0.000682128240109141</v>
      </c>
      <c r="K822" s="5"/>
    </row>
    <row r="823" ht="13.85" spans="1:11">
      <c r="A823" s="156">
        <v>45931</v>
      </c>
      <c r="B823" s="150">
        <f>'[1]Fliggy Store Daily Key Data'!B2490</f>
        <v>24269</v>
      </c>
      <c r="C823" s="150">
        <f>'[1]Fliggy Store Daily Key Data'!C2490</f>
        <v>9068</v>
      </c>
      <c r="D823" s="150">
        <f>'[1]Fliggy Store Daily Key Data'!G2490</f>
        <v>2222</v>
      </c>
      <c r="E823" s="150">
        <v>17</v>
      </c>
      <c r="F823" s="150">
        <f>'[1]Fliggy Store Daily Key Data'!K2490</f>
        <v>44920</v>
      </c>
      <c r="G823" s="150">
        <v>116</v>
      </c>
      <c r="H823" s="155">
        <f t="shared" si="24"/>
        <v>0.0258620689655172</v>
      </c>
      <c r="I823" s="73">
        <f>'[1]Fliggy Store Daily Key Data'!I2490</f>
        <v>3</v>
      </c>
      <c r="J823" s="18">
        <f t="shared" si="25"/>
        <v>0.000330833700926334</v>
      </c>
      <c r="K823" s="5"/>
    </row>
    <row r="824" ht="13.85" spans="1:11">
      <c r="A824" s="156">
        <v>45932</v>
      </c>
      <c r="B824" s="150">
        <f>'[1]Fliggy Store Daily Key Data'!B2491</f>
        <v>25131</v>
      </c>
      <c r="C824" s="150">
        <f>'[1]Fliggy Store Daily Key Data'!C2491</f>
        <v>8398</v>
      </c>
      <c r="D824" s="150">
        <f>'[1]Fliggy Store Daily Key Data'!G2491</f>
        <v>2105</v>
      </c>
      <c r="E824" s="150">
        <v>31</v>
      </c>
      <c r="F824" s="150">
        <f>'[1]Fliggy Store Daily Key Data'!K2491</f>
        <v>110255</v>
      </c>
      <c r="G824" s="150">
        <v>145</v>
      </c>
      <c r="H824" s="155">
        <f t="shared" si="24"/>
        <v>0.0551724137931034</v>
      </c>
      <c r="I824" s="73">
        <f>'[1]Fliggy Store Daily Key Data'!I2491</f>
        <v>8</v>
      </c>
      <c r="J824" s="18">
        <f t="shared" si="25"/>
        <v>0.000952607763753275</v>
      </c>
      <c r="K824" s="5"/>
    </row>
    <row r="825" ht="13.85" spans="1:11">
      <c r="A825" s="156">
        <v>45933</v>
      </c>
      <c r="B825" s="150">
        <f>'[1]Fliggy Store Daily Key Data'!B2492</f>
        <v>31631</v>
      </c>
      <c r="C825" s="150">
        <f>'[1]Fliggy Store Daily Key Data'!C2492</f>
        <v>12319</v>
      </c>
      <c r="D825" s="150">
        <f>'[1]Fliggy Store Daily Key Data'!G2492</f>
        <v>2952</v>
      </c>
      <c r="E825" s="150">
        <v>18</v>
      </c>
      <c r="F825" s="150">
        <f>'[1]Fliggy Store Daily Key Data'!K2492</f>
        <v>19092</v>
      </c>
      <c r="G825" s="150">
        <v>139</v>
      </c>
      <c r="H825" s="155">
        <f t="shared" si="24"/>
        <v>0.0143884892086331</v>
      </c>
      <c r="I825" s="73">
        <f>'[1]Fliggy Store Daily Key Data'!I2492</f>
        <v>2</v>
      </c>
      <c r="J825" s="18">
        <f t="shared" si="25"/>
        <v>0.000162350840165598</v>
      </c>
      <c r="K825" s="5"/>
    </row>
    <row r="826" ht="13.85" spans="1:11">
      <c r="A826" s="156">
        <v>45934</v>
      </c>
      <c r="B826" s="150">
        <f>'[1]Fliggy Store Daily Key Data'!B2493</f>
        <v>56980</v>
      </c>
      <c r="C826" s="150">
        <f>'[1]Fliggy Store Daily Key Data'!C2493</f>
        <v>17100</v>
      </c>
      <c r="D826" s="150">
        <f>'[1]Fliggy Store Daily Key Data'!G2493</f>
        <v>3403</v>
      </c>
      <c r="E826" s="150">
        <v>33</v>
      </c>
      <c r="F826" s="150">
        <f>'[1]Fliggy Store Daily Key Data'!K2493</f>
        <v>29859</v>
      </c>
      <c r="G826" s="150">
        <v>162</v>
      </c>
      <c r="H826" s="155">
        <f t="shared" si="24"/>
        <v>0.0185185185185185</v>
      </c>
      <c r="I826" s="73">
        <f>'[1]Fliggy Store Daily Key Data'!I2493</f>
        <v>3</v>
      </c>
      <c r="J826" s="18">
        <f t="shared" si="25"/>
        <v>0.000175438596491228</v>
      </c>
      <c r="K826" s="5"/>
    </row>
    <row r="827" ht="13.85" spans="1:11">
      <c r="A827" s="156">
        <v>45935</v>
      </c>
      <c r="B827" s="150">
        <f>'[1]Fliggy Store Daily Key Data'!B2494</f>
        <v>123416</v>
      </c>
      <c r="C827" s="150">
        <f>'[1]Fliggy Store Daily Key Data'!C2494</f>
        <v>31591</v>
      </c>
      <c r="D827" s="150">
        <f>'[1]Fliggy Store Daily Key Data'!G2494</f>
        <v>3530</v>
      </c>
      <c r="E827" s="150">
        <v>50</v>
      </c>
      <c r="F827" s="150">
        <f>'[1]Fliggy Store Daily Key Data'!K2494</f>
        <v>54575</v>
      </c>
      <c r="G827" s="150">
        <v>280</v>
      </c>
      <c r="H827" s="155">
        <f t="shared" si="24"/>
        <v>0.0142857142857143</v>
      </c>
      <c r="I827" s="73">
        <f>'[1]Fliggy Store Daily Key Data'!I2494</f>
        <v>4</v>
      </c>
      <c r="J827" s="18">
        <f t="shared" si="25"/>
        <v>0.000126618340666646</v>
      </c>
      <c r="K827" s="5"/>
    </row>
    <row r="828" ht="13.85" spans="1:11">
      <c r="A828" s="156">
        <v>45936</v>
      </c>
      <c r="B828" s="150">
        <f>'[1]Fliggy Store Daily Key Data'!B2495</f>
        <v>41097</v>
      </c>
      <c r="C828" s="150">
        <f>'[1]Fliggy Store Daily Key Data'!C2495</f>
        <v>11154</v>
      </c>
      <c r="D828" s="150">
        <f>'[1]Fliggy Store Daily Key Data'!G2495</f>
        <v>3180</v>
      </c>
      <c r="E828" s="150">
        <v>33</v>
      </c>
      <c r="F828" s="150">
        <f>'[1]Fliggy Store Daily Key Data'!K2495</f>
        <v>37706</v>
      </c>
      <c r="G828" s="150">
        <v>163</v>
      </c>
      <c r="H828" s="155">
        <f t="shared" si="24"/>
        <v>0.0245398773006135</v>
      </c>
      <c r="I828" s="73">
        <f>'[1]Fliggy Store Daily Key Data'!I2495</f>
        <v>4</v>
      </c>
      <c r="J828" s="18">
        <f t="shared" si="25"/>
        <v>0.000358615743231128</v>
      </c>
      <c r="K828" s="5"/>
    </row>
    <row r="829" ht="13.85" spans="1:11">
      <c r="A829" s="156">
        <v>45937</v>
      </c>
      <c r="B829" s="150">
        <f>'[1]Fliggy Store Daily Key Data'!B2496</f>
        <v>114020</v>
      </c>
      <c r="C829" s="150">
        <f>'[1]Fliggy Store Daily Key Data'!C2496</f>
        <v>25049</v>
      </c>
      <c r="D829" s="150">
        <f>'[1]Fliggy Store Daily Key Data'!G2496</f>
        <v>3583</v>
      </c>
      <c r="E829" s="150">
        <v>46</v>
      </c>
      <c r="F829" s="150">
        <f>'[1]Fliggy Store Daily Key Data'!K2496</f>
        <v>66902</v>
      </c>
      <c r="G829" s="150">
        <v>284</v>
      </c>
      <c r="H829" s="155">
        <f t="shared" si="24"/>
        <v>0.0211267605633803</v>
      </c>
      <c r="I829" s="73">
        <f>'[1]Fliggy Store Daily Key Data'!I2496</f>
        <v>6</v>
      </c>
      <c r="J829" s="18">
        <f t="shared" si="25"/>
        <v>0.000239530520180446</v>
      </c>
      <c r="K829" s="5"/>
    </row>
    <row r="830" ht="13.85" spans="1:11">
      <c r="A830" s="156">
        <v>45938</v>
      </c>
      <c r="B830" s="150">
        <f>'[1]Fliggy Store Daily Key Data'!B2497</f>
        <v>221687</v>
      </c>
      <c r="C830" s="150">
        <f>'[1]Fliggy Store Daily Key Data'!C2497</f>
        <v>45266</v>
      </c>
      <c r="D830" s="150">
        <f>'[1]Fliggy Store Daily Key Data'!G2497</f>
        <v>3571</v>
      </c>
      <c r="E830" s="150">
        <v>62</v>
      </c>
      <c r="F830" s="150">
        <f>'[1]Fliggy Store Daily Key Data'!K2497</f>
        <v>138388</v>
      </c>
      <c r="G830" s="150">
        <v>379</v>
      </c>
      <c r="H830" s="155">
        <f t="shared" si="24"/>
        <v>0.0343007915567282</v>
      </c>
      <c r="I830" s="73">
        <f>'[1]Fliggy Store Daily Key Data'!I2497</f>
        <v>13</v>
      </c>
      <c r="J830" s="18">
        <f t="shared" si="25"/>
        <v>0.000287191269385411</v>
      </c>
      <c r="K830" s="5"/>
    </row>
    <row r="831" ht="13.85" spans="1:11">
      <c r="A831" s="156">
        <v>45939</v>
      </c>
      <c r="B831" s="150">
        <f>'[1]Fliggy Store Daily Key Data'!B2498</f>
        <v>57384</v>
      </c>
      <c r="C831" s="150">
        <f>'[1]Fliggy Store Daily Key Data'!C2498</f>
        <v>13675</v>
      </c>
      <c r="D831" s="150">
        <f>'[1]Fliggy Store Daily Key Data'!G2498</f>
        <v>3919</v>
      </c>
      <c r="E831" s="150">
        <v>66</v>
      </c>
      <c r="F831" s="150">
        <f>'[1]Fliggy Store Daily Key Data'!K2498</f>
        <v>114965</v>
      </c>
      <c r="G831" s="150">
        <v>345</v>
      </c>
      <c r="H831" s="155">
        <f t="shared" si="24"/>
        <v>0.0289855072463768</v>
      </c>
      <c r="I831" s="73">
        <f>'[1]Fliggy Store Daily Key Data'!I2498</f>
        <v>10</v>
      </c>
      <c r="J831" s="18">
        <f t="shared" si="25"/>
        <v>0.000731261425959781</v>
      </c>
      <c r="K831" s="5"/>
    </row>
    <row r="832" ht="13.85" spans="1:11">
      <c r="A832" s="156">
        <v>45940</v>
      </c>
      <c r="B832" s="150">
        <f>'[1]Fliggy Store Daily Key Data'!B2499</f>
        <v>38108</v>
      </c>
      <c r="C832" s="150">
        <f>'[1]Fliggy Store Daily Key Data'!C2499</f>
        <v>9781</v>
      </c>
      <c r="D832" s="150">
        <f>'[1]Fliggy Store Daily Key Data'!G2499</f>
        <v>3558</v>
      </c>
      <c r="E832" s="150">
        <v>54</v>
      </c>
      <c r="F832" s="150">
        <f>'[1]Fliggy Store Daily Key Data'!K2499</f>
        <v>48841</v>
      </c>
      <c r="G832" s="150">
        <v>299</v>
      </c>
      <c r="H832" s="155">
        <f t="shared" si="24"/>
        <v>0.0167224080267559</v>
      </c>
      <c r="I832" s="73">
        <f>'[1]Fliggy Store Daily Key Data'!I2499</f>
        <v>5</v>
      </c>
      <c r="J832" s="18">
        <f t="shared" si="25"/>
        <v>0.000511195174317554</v>
      </c>
      <c r="K832" s="5"/>
    </row>
    <row r="833" ht="13.85" spans="1:11">
      <c r="A833" s="156">
        <v>45941</v>
      </c>
      <c r="B833" s="150">
        <f>'[1]Fliggy Store Daily Key Data'!B2500</f>
        <v>35914</v>
      </c>
      <c r="C833" s="150">
        <f>'[1]Fliggy Store Daily Key Data'!C2500</f>
        <v>9123</v>
      </c>
      <c r="D833" s="150">
        <f>'[1]Fliggy Store Daily Key Data'!G2500</f>
        <v>3436</v>
      </c>
      <c r="E833" s="150">
        <v>48</v>
      </c>
      <c r="F833" s="150">
        <f>'[1]Fliggy Store Daily Key Data'!K2500</f>
        <v>29294</v>
      </c>
      <c r="G833" s="150">
        <v>280</v>
      </c>
      <c r="H833" s="155">
        <f t="shared" si="24"/>
        <v>0.0142857142857143</v>
      </c>
      <c r="I833" s="73">
        <f>'[1]Fliggy Store Daily Key Data'!I2500</f>
        <v>4</v>
      </c>
      <c r="J833" s="18">
        <f t="shared" si="25"/>
        <v>0.00043845226350981</v>
      </c>
      <c r="K833" s="5"/>
    </row>
    <row r="834" ht="13.85" spans="1:11">
      <c r="A834" s="156">
        <v>45942</v>
      </c>
      <c r="B834" s="150">
        <f>'[1]Fliggy Store Daily Key Data'!B2501</f>
        <v>42065</v>
      </c>
      <c r="C834" s="150">
        <f>'[1]Fliggy Store Daily Key Data'!C2501</f>
        <v>10123</v>
      </c>
      <c r="D834" s="150">
        <f>'[1]Fliggy Store Daily Key Data'!G2501</f>
        <v>3413</v>
      </c>
      <c r="E834" s="150">
        <v>36</v>
      </c>
      <c r="F834" s="150">
        <f>'[1]Fliggy Store Daily Key Data'!K2501</f>
        <v>120427</v>
      </c>
      <c r="G834" s="150">
        <v>223</v>
      </c>
      <c r="H834" s="155">
        <f t="shared" ref="H834:H897" si="26">I834/G834</f>
        <v>0.0448430493273543</v>
      </c>
      <c r="I834" s="73">
        <f>'[1]Fliggy Store Daily Key Data'!I2501</f>
        <v>10</v>
      </c>
      <c r="J834" s="18">
        <f t="shared" si="25"/>
        <v>0.000987849451743554</v>
      </c>
      <c r="K834" s="5"/>
    </row>
    <row r="835" ht="13.85" spans="1:11">
      <c r="A835" s="156">
        <v>45943</v>
      </c>
      <c r="B835" s="150">
        <f>'[1]Fliggy Store Daily Key Data'!B2502</f>
        <v>432238</v>
      </c>
      <c r="C835" s="150">
        <f>'[1]Fliggy Store Daily Key Data'!C2502</f>
        <v>78488</v>
      </c>
      <c r="D835" s="150">
        <f>'[1]Fliggy Store Daily Key Data'!G2502</f>
        <v>3373</v>
      </c>
      <c r="E835" s="150">
        <v>93</v>
      </c>
      <c r="F835" s="150">
        <f>'[1]Fliggy Store Daily Key Data'!K2502</f>
        <v>253113</v>
      </c>
      <c r="G835" s="150">
        <v>671</v>
      </c>
      <c r="H835" s="155">
        <f t="shared" si="26"/>
        <v>0.0253353204172876</v>
      </c>
      <c r="I835" s="73">
        <f>'[1]Fliggy Store Daily Key Data'!I2502</f>
        <v>17</v>
      </c>
      <c r="J835" s="18">
        <f t="shared" si="25"/>
        <v>0.000216593619406788</v>
      </c>
      <c r="K835" s="5"/>
    </row>
    <row r="836" ht="13.85" spans="1:11">
      <c r="A836" s="156">
        <v>45944</v>
      </c>
      <c r="B836" s="150">
        <f>'[1]Fliggy Store Daily Key Data'!B2503</f>
        <v>96810</v>
      </c>
      <c r="C836" s="150">
        <f>'[1]Fliggy Store Daily Key Data'!C2503</f>
        <v>23987</v>
      </c>
      <c r="D836" s="150">
        <f>'[1]Fliggy Store Daily Key Data'!G2503</f>
        <v>3491</v>
      </c>
      <c r="E836" s="150">
        <v>56</v>
      </c>
      <c r="F836" s="150">
        <f>'[1]Fliggy Store Daily Key Data'!K2503</f>
        <v>141631.96</v>
      </c>
      <c r="G836" s="150">
        <v>347</v>
      </c>
      <c r="H836" s="155">
        <f t="shared" si="26"/>
        <v>0.0288184438040346</v>
      </c>
      <c r="I836" s="73">
        <f>'[1]Fliggy Store Daily Key Data'!I2503</f>
        <v>10</v>
      </c>
      <c r="J836" s="18">
        <f t="shared" si="25"/>
        <v>0.000416892483428524</v>
      </c>
      <c r="K836" s="5"/>
    </row>
    <row r="837" ht="13.85" spans="1:11">
      <c r="A837" s="156">
        <v>45945</v>
      </c>
      <c r="B837" s="150">
        <f>'[1]Fliggy Store Daily Key Data'!B2504</f>
        <v>1742089</v>
      </c>
      <c r="C837" s="150">
        <f>'[1]Fliggy Store Daily Key Data'!C2504</f>
        <v>168871</v>
      </c>
      <c r="D837" s="150">
        <f>'[1]Fliggy Store Daily Key Data'!G2504</f>
        <v>4143</v>
      </c>
      <c r="E837" s="150">
        <v>212</v>
      </c>
      <c r="F837" s="150">
        <f>'[1]Fliggy Store Daily Key Data'!K2504</f>
        <v>16646786</v>
      </c>
      <c r="G837" s="150">
        <v>1676</v>
      </c>
      <c r="H837" s="155">
        <f t="shared" si="26"/>
        <v>1.04713603818616</v>
      </c>
      <c r="I837" s="73">
        <f>'[1]Fliggy Store Daily Key Data'!I2504</f>
        <v>1755</v>
      </c>
      <c r="J837" s="18">
        <f t="shared" si="25"/>
        <v>0.0103925481580615</v>
      </c>
      <c r="K837" s="5"/>
    </row>
    <row r="838" ht="13.85" spans="1:11">
      <c r="A838" s="156">
        <v>45946</v>
      </c>
      <c r="B838" s="150">
        <f>'[1]Fliggy Store Daily Key Data'!B2505</f>
        <v>4669131</v>
      </c>
      <c r="C838" s="150">
        <f>'[1]Fliggy Store Daily Key Data'!C2505</f>
        <v>368581</v>
      </c>
      <c r="D838" s="150">
        <f>'[1]Fliggy Store Daily Key Data'!G2505</f>
        <v>3999</v>
      </c>
      <c r="E838" s="150">
        <v>321</v>
      </c>
      <c r="F838" s="150">
        <f>'[1]Fliggy Store Daily Key Data'!K2505</f>
        <v>24148025</v>
      </c>
      <c r="G838" s="150">
        <v>3838</v>
      </c>
      <c r="H838" s="155">
        <f t="shared" si="26"/>
        <v>0.684471078686816</v>
      </c>
      <c r="I838" s="73">
        <f>'[1]Fliggy Store Daily Key Data'!I2505</f>
        <v>2627</v>
      </c>
      <c r="J838" s="18">
        <f t="shared" si="25"/>
        <v>0.00712733429015603</v>
      </c>
      <c r="K838" s="5"/>
    </row>
    <row r="839" ht="13.85" spans="1:11">
      <c r="A839" s="156">
        <v>45947</v>
      </c>
      <c r="B839" s="150">
        <f>'[1]Fliggy Store Daily Key Data'!B2506</f>
        <v>248795</v>
      </c>
      <c r="C839" s="150">
        <f>'[1]Fliggy Store Daily Key Data'!C2506</f>
        <v>46848</v>
      </c>
      <c r="D839" s="150">
        <f>'[1]Fliggy Store Daily Key Data'!G2506</f>
        <v>3754</v>
      </c>
      <c r="E839" s="150">
        <v>122</v>
      </c>
      <c r="F839" s="150">
        <f>'[1]Fliggy Store Daily Key Data'!K2506</f>
        <v>4516294</v>
      </c>
      <c r="G839" s="150">
        <v>830</v>
      </c>
      <c r="H839" s="155">
        <f t="shared" si="26"/>
        <v>0.574698795180723</v>
      </c>
      <c r="I839" s="73">
        <f>'[1]Fliggy Store Daily Key Data'!I2506</f>
        <v>477</v>
      </c>
      <c r="J839" s="18">
        <f t="shared" si="25"/>
        <v>0.0101818647540984</v>
      </c>
      <c r="K839" s="5"/>
    </row>
    <row r="840" ht="13.85" spans="1:11">
      <c r="A840" s="156">
        <v>45948</v>
      </c>
      <c r="B840" s="150">
        <f>'[1]Fliggy Store Daily Key Data'!B2507</f>
        <v>100738</v>
      </c>
      <c r="C840" s="150">
        <f>'[1]Fliggy Store Daily Key Data'!C2507</f>
        <v>29077</v>
      </c>
      <c r="D840" s="150">
        <f>'[1]Fliggy Store Daily Key Data'!G2507</f>
        <v>4062</v>
      </c>
      <c r="E840" s="150">
        <v>78</v>
      </c>
      <c r="F840" s="150">
        <f>'[1]Fliggy Store Daily Key Data'!K2507</f>
        <v>2284011</v>
      </c>
      <c r="G840" s="150">
        <v>478</v>
      </c>
      <c r="H840" s="155">
        <f t="shared" si="26"/>
        <v>0.49581589958159</v>
      </c>
      <c r="I840" s="73">
        <f>'[1]Fliggy Store Daily Key Data'!I2507</f>
        <v>237</v>
      </c>
      <c r="J840" s="18">
        <f t="shared" si="25"/>
        <v>0.00815077208790453</v>
      </c>
      <c r="K840" s="5"/>
    </row>
    <row r="841" ht="13.85" spans="1:11">
      <c r="A841" s="156">
        <v>45949</v>
      </c>
      <c r="B841" s="150">
        <f>'[1]Fliggy Store Daily Key Data'!B2508</f>
        <v>85761</v>
      </c>
      <c r="C841" s="150">
        <f>'[1]Fliggy Store Daily Key Data'!C2508</f>
        <v>22518</v>
      </c>
      <c r="D841" s="150">
        <f>'[1]Fliggy Store Daily Key Data'!G2508</f>
        <v>2623</v>
      </c>
      <c r="E841" s="150">
        <v>97</v>
      </c>
      <c r="F841" s="150">
        <f>'[1]Fliggy Store Daily Key Data'!K2508</f>
        <v>3069294</v>
      </c>
      <c r="G841" s="150">
        <v>490</v>
      </c>
      <c r="H841" s="155">
        <f t="shared" si="26"/>
        <v>0.648979591836735</v>
      </c>
      <c r="I841" s="73">
        <f>'[1]Fliggy Store Daily Key Data'!I2508</f>
        <v>318</v>
      </c>
      <c r="J841" s="18">
        <f t="shared" si="25"/>
        <v>0.0141220357047695</v>
      </c>
      <c r="K841" s="5"/>
    </row>
    <row r="842" ht="13.85" spans="1:11">
      <c r="A842" s="156">
        <v>45950</v>
      </c>
      <c r="B842" s="150">
        <f>'[1]Fliggy Store Daily Key Data'!B2509</f>
        <v>458711</v>
      </c>
      <c r="C842" s="150">
        <f>'[1]Fliggy Store Daily Key Data'!C2509</f>
        <v>66583</v>
      </c>
      <c r="D842" s="150">
        <f>'[1]Fliggy Store Daily Key Data'!G2509</f>
        <v>4252</v>
      </c>
      <c r="E842" s="150">
        <v>149</v>
      </c>
      <c r="F842" s="150">
        <f>'[1]Fliggy Store Daily Key Data'!K2509</f>
        <v>7211126</v>
      </c>
      <c r="G842" s="150">
        <v>1040</v>
      </c>
      <c r="H842" s="155">
        <f t="shared" si="26"/>
        <v>0.736538461538462</v>
      </c>
      <c r="I842" s="73">
        <f>'[1]Fliggy Store Daily Key Data'!I2509</f>
        <v>766</v>
      </c>
      <c r="J842" s="18">
        <f t="shared" si="25"/>
        <v>0.0115044380697776</v>
      </c>
      <c r="K842" s="5"/>
    </row>
    <row r="843" ht="13.85" spans="1:11">
      <c r="A843" s="156">
        <v>45951</v>
      </c>
      <c r="B843" s="150">
        <f>'[1]Fliggy Store Daily Key Data'!B2510</f>
        <v>141105</v>
      </c>
      <c r="C843" s="150">
        <f>'[1]Fliggy Store Daily Key Data'!C2510</f>
        <v>33750</v>
      </c>
      <c r="D843" s="150">
        <f>'[1]Fliggy Store Daily Key Data'!G2510</f>
        <v>3993</v>
      </c>
      <c r="E843" s="150">
        <v>95</v>
      </c>
      <c r="F843" s="150">
        <f>'[1]Fliggy Store Daily Key Data'!K2510</f>
        <v>3269326</v>
      </c>
      <c r="G843" s="150">
        <v>733</v>
      </c>
      <c r="H843" s="155">
        <f t="shared" si="26"/>
        <v>0.478854024556617</v>
      </c>
      <c r="I843" s="73">
        <f>'[1]Fliggy Store Daily Key Data'!I2510</f>
        <v>351</v>
      </c>
      <c r="J843" s="18">
        <f t="shared" si="25"/>
        <v>0.0104</v>
      </c>
      <c r="K843" s="5"/>
    </row>
    <row r="844" ht="13.85" spans="1:11">
      <c r="A844" s="156">
        <v>45952</v>
      </c>
      <c r="B844" s="150">
        <f>'[1]Fliggy Store Daily Key Data'!B2511</f>
        <v>89108</v>
      </c>
      <c r="C844" s="150">
        <f>'[1]Fliggy Store Daily Key Data'!C2511</f>
        <v>27487</v>
      </c>
      <c r="D844" s="150">
        <f>'[1]Fliggy Store Daily Key Data'!G2511</f>
        <v>4039</v>
      </c>
      <c r="E844" s="150">
        <v>75</v>
      </c>
      <c r="F844" s="150">
        <f>'[1]Fliggy Store Daily Key Data'!K2511</f>
        <v>2258194</v>
      </c>
      <c r="G844" s="150">
        <v>509</v>
      </c>
      <c r="H844" s="155">
        <f t="shared" si="26"/>
        <v>0.449901768172888</v>
      </c>
      <c r="I844" s="73">
        <f>'[1]Fliggy Store Daily Key Data'!I2511</f>
        <v>229</v>
      </c>
      <c r="J844" s="18">
        <f t="shared" si="25"/>
        <v>0.00833121111798305</v>
      </c>
      <c r="K844" s="5"/>
    </row>
    <row r="845" ht="13.85" spans="1:11">
      <c r="A845" s="156">
        <v>45953</v>
      </c>
      <c r="B845" s="150">
        <f>'[1]Fliggy Store Daily Key Data'!B2512</f>
        <v>91447</v>
      </c>
      <c r="C845" s="150">
        <f>'[1]Fliggy Store Daily Key Data'!C2512</f>
        <v>30330</v>
      </c>
      <c r="D845" s="150">
        <f>'[1]Fliggy Store Daily Key Data'!G2512</f>
        <v>4444</v>
      </c>
      <c r="E845" s="150">
        <v>81</v>
      </c>
      <c r="F845" s="150">
        <f>'[1]Fliggy Store Daily Key Data'!K2512</f>
        <v>1182373</v>
      </c>
      <c r="G845" s="150">
        <v>398</v>
      </c>
      <c r="H845" s="155">
        <f t="shared" si="26"/>
        <v>0.291457286432161</v>
      </c>
      <c r="I845" s="73">
        <f>'[1]Fliggy Store Daily Key Data'!I2512</f>
        <v>116</v>
      </c>
      <c r="J845" s="18">
        <f t="shared" si="25"/>
        <v>0.00382459610946258</v>
      </c>
      <c r="K845" s="5"/>
    </row>
    <row r="846" ht="13.85" spans="1:11">
      <c r="A846" s="156">
        <v>45954</v>
      </c>
      <c r="B846" s="150">
        <f>'[1]Fliggy Store Daily Key Data'!B2513</f>
        <v>87719</v>
      </c>
      <c r="C846" s="150">
        <f>'[1]Fliggy Store Daily Key Data'!C2513</f>
        <v>26063</v>
      </c>
      <c r="D846" s="150">
        <f>'[1]Fliggy Store Daily Key Data'!G2513</f>
        <v>4608</v>
      </c>
      <c r="E846" s="150">
        <v>61</v>
      </c>
      <c r="F846" s="150">
        <f>'[1]Fliggy Store Daily Key Data'!K2513</f>
        <v>673259</v>
      </c>
      <c r="G846" s="150">
        <v>333</v>
      </c>
      <c r="H846" s="155">
        <f t="shared" si="26"/>
        <v>0.195195195195195</v>
      </c>
      <c r="I846" s="73">
        <f>'[1]Fliggy Store Daily Key Data'!I2513</f>
        <v>65</v>
      </c>
      <c r="J846" s="18">
        <f t="shared" si="25"/>
        <v>0.00249395695046618</v>
      </c>
      <c r="K846" s="5"/>
    </row>
    <row r="847" ht="13.85" spans="1:11">
      <c r="A847" s="156">
        <v>45955</v>
      </c>
      <c r="B847" s="150">
        <f>'[1]Fliggy Store Daily Key Data'!B2514</f>
        <v>337258</v>
      </c>
      <c r="C847" s="150">
        <f>'[1]Fliggy Store Daily Key Data'!C2514</f>
        <v>84091</v>
      </c>
      <c r="D847" s="150">
        <f>'[1]Fliggy Store Daily Key Data'!G2514</f>
        <v>4825</v>
      </c>
      <c r="E847" s="150">
        <v>112</v>
      </c>
      <c r="F847" s="150">
        <f>'[1]Fliggy Store Daily Key Data'!K2514</f>
        <v>2298955</v>
      </c>
      <c r="G847" s="150">
        <v>664</v>
      </c>
      <c r="H847" s="155">
        <f t="shared" si="26"/>
        <v>0.36144578313253</v>
      </c>
      <c r="I847" s="73">
        <f>'[1]Fliggy Store Daily Key Data'!I2514</f>
        <v>240</v>
      </c>
      <c r="J847" s="18">
        <f t="shared" si="25"/>
        <v>0.00285405096859355</v>
      </c>
      <c r="K847" s="5"/>
    </row>
    <row r="848" ht="13.85" spans="1:11">
      <c r="A848" s="156">
        <v>45956</v>
      </c>
      <c r="B848" s="150">
        <f>'[1]Fliggy Store Daily Key Data'!B2515</f>
        <v>125601</v>
      </c>
      <c r="C848" s="150">
        <f>'[1]Fliggy Store Daily Key Data'!C2515</f>
        <v>35444</v>
      </c>
      <c r="D848" s="150">
        <f>'[1]Fliggy Store Daily Key Data'!G2515</f>
        <v>4653</v>
      </c>
      <c r="E848" s="150">
        <v>86</v>
      </c>
      <c r="F848" s="150">
        <f>'[1]Fliggy Store Daily Key Data'!K2515</f>
        <v>1489247</v>
      </c>
      <c r="G848" s="150">
        <v>364</v>
      </c>
      <c r="H848" s="155">
        <f t="shared" si="26"/>
        <v>0.39010989010989</v>
      </c>
      <c r="I848" s="73">
        <f>'[1]Fliggy Store Daily Key Data'!I2515</f>
        <v>142</v>
      </c>
      <c r="J848" s="18">
        <f t="shared" si="25"/>
        <v>0.0040063198284618</v>
      </c>
      <c r="K848" s="5"/>
    </row>
    <row r="849" ht="13.85" spans="1:11">
      <c r="A849" s="156">
        <v>45957</v>
      </c>
      <c r="B849" s="150">
        <f>'[1]Fliggy Store Daily Key Data'!B2516</f>
        <v>79356</v>
      </c>
      <c r="C849" s="150">
        <f>'[1]Fliggy Store Daily Key Data'!C2516</f>
        <v>22242</v>
      </c>
      <c r="D849" s="150">
        <f>'[1]Fliggy Store Daily Key Data'!G2516</f>
        <v>5000</v>
      </c>
      <c r="E849" s="150">
        <v>61</v>
      </c>
      <c r="F849" s="150">
        <f>'[1]Fliggy Store Daily Key Data'!K2516</f>
        <v>1193103</v>
      </c>
      <c r="G849" s="150">
        <v>416</v>
      </c>
      <c r="H849" s="155">
        <f t="shared" si="26"/>
        <v>0.242788461538462</v>
      </c>
      <c r="I849" s="73">
        <f>'[1]Fliggy Store Daily Key Data'!I2516</f>
        <v>101</v>
      </c>
      <c r="J849" s="18">
        <f t="shared" si="25"/>
        <v>0.00454095854689327</v>
      </c>
      <c r="K849" s="5"/>
    </row>
    <row r="850" ht="13.85" spans="1:11">
      <c r="A850" s="156">
        <v>45958</v>
      </c>
      <c r="B850" s="150">
        <f>'[1]Fliggy Store Daily Key Data'!B2517</f>
        <v>75222</v>
      </c>
      <c r="C850" s="150">
        <f>'[1]Fliggy Store Daily Key Data'!C2517</f>
        <v>23405</v>
      </c>
      <c r="D850" s="150">
        <f>'[1]Fliggy Store Daily Key Data'!G2517</f>
        <v>5102</v>
      </c>
      <c r="E850" s="150">
        <v>57</v>
      </c>
      <c r="F850" s="150">
        <f>'[1]Fliggy Store Daily Key Data'!K2517</f>
        <v>754946</v>
      </c>
      <c r="G850" s="150">
        <v>326</v>
      </c>
      <c r="H850" s="155">
        <f t="shared" si="26"/>
        <v>0.230061349693252</v>
      </c>
      <c r="I850" s="73">
        <f>'[1]Fliggy Store Daily Key Data'!I2517</f>
        <v>75</v>
      </c>
      <c r="J850" s="18">
        <f t="shared" si="25"/>
        <v>0.00320444349497971</v>
      </c>
      <c r="K850" s="5"/>
    </row>
    <row r="851" ht="13.85" spans="1:11">
      <c r="A851" s="156">
        <v>45959</v>
      </c>
      <c r="B851" s="150">
        <f>'[1]Fliggy Store Daily Key Data'!B2518</f>
        <v>72220</v>
      </c>
      <c r="C851" s="150">
        <f>'[1]Fliggy Store Daily Key Data'!C2518</f>
        <v>18111</v>
      </c>
      <c r="D851" s="150">
        <f>'[1]Fliggy Store Daily Key Data'!G2518</f>
        <v>4980</v>
      </c>
      <c r="E851" s="150">
        <v>54</v>
      </c>
      <c r="F851" s="150">
        <f>'[1]Fliggy Store Daily Key Data'!K2518</f>
        <v>658461</v>
      </c>
      <c r="G851" s="150">
        <v>333</v>
      </c>
      <c r="H851" s="155">
        <f t="shared" si="26"/>
        <v>0.189189189189189</v>
      </c>
      <c r="I851" s="73">
        <f>'[1]Fliggy Store Daily Key Data'!I2518</f>
        <v>63</v>
      </c>
      <c r="J851" s="18">
        <f t="shared" si="25"/>
        <v>0.00347854894815306</v>
      </c>
      <c r="K851" s="5"/>
    </row>
    <row r="852" ht="13.85" spans="1:11">
      <c r="A852" s="156">
        <v>45960</v>
      </c>
      <c r="B852" s="150">
        <f>'[1]Fliggy Store Daily Key Data'!B2519</f>
        <v>73151</v>
      </c>
      <c r="C852" s="150">
        <f>'[1]Fliggy Store Daily Key Data'!C2519</f>
        <v>17209</v>
      </c>
      <c r="D852" s="150">
        <f>'[1]Fliggy Store Daily Key Data'!G2519</f>
        <v>5044</v>
      </c>
      <c r="E852" s="150">
        <v>57</v>
      </c>
      <c r="F852" s="150">
        <f>'[1]Fliggy Store Daily Key Data'!K2519</f>
        <v>1036505</v>
      </c>
      <c r="G852" s="150">
        <v>333</v>
      </c>
      <c r="H852" s="155">
        <f t="shared" si="26"/>
        <v>0.297297297297297</v>
      </c>
      <c r="I852" s="73">
        <f>'[1]Fliggy Store Daily Key Data'!I2519</f>
        <v>99</v>
      </c>
      <c r="J852" s="18">
        <f t="shared" si="25"/>
        <v>0.00575280376547156</v>
      </c>
      <c r="K852" s="5"/>
    </row>
    <row r="853" ht="13.85" spans="1:11">
      <c r="A853" s="156">
        <v>45961</v>
      </c>
      <c r="B853" s="150">
        <f>'[1]Fliggy Store Daily Key Data'!B2520</f>
        <v>68002</v>
      </c>
      <c r="C853" s="150">
        <f>'[1]Fliggy Store Daily Key Data'!C2520</f>
        <v>19977</v>
      </c>
      <c r="D853" s="150">
        <f>'[1]Fliggy Store Daily Key Data'!G2520</f>
        <v>4602</v>
      </c>
      <c r="E853" s="150">
        <v>48</v>
      </c>
      <c r="F853" s="150">
        <f>'[1]Fliggy Store Daily Key Data'!K2520</f>
        <v>560540</v>
      </c>
      <c r="G853" s="150">
        <v>283</v>
      </c>
      <c r="H853" s="155">
        <f t="shared" si="26"/>
        <v>0.176678445229682</v>
      </c>
      <c r="I853" s="73">
        <f>'[1]Fliggy Store Daily Key Data'!I2520</f>
        <v>50</v>
      </c>
      <c r="J853" s="18">
        <f t="shared" si="25"/>
        <v>0.00250287831005657</v>
      </c>
      <c r="K853" s="5"/>
    </row>
    <row r="854" ht="13.85" spans="1:11">
      <c r="A854" s="156">
        <v>45962</v>
      </c>
      <c r="B854" s="150">
        <f>'[1]Fliggy Store Daily Key Data'!B2521</f>
        <v>92244</v>
      </c>
      <c r="C854" s="150">
        <f>'[1]Fliggy Store Daily Key Data'!C2521</f>
        <v>31852</v>
      </c>
      <c r="D854" s="150">
        <f>'[1]Fliggy Store Daily Key Data'!G2521</f>
        <v>4444</v>
      </c>
      <c r="E854" s="150">
        <v>56</v>
      </c>
      <c r="F854" s="150">
        <f>'[1]Fliggy Store Daily Key Data'!K2521</f>
        <v>544296</v>
      </c>
      <c r="G854" s="150">
        <v>244</v>
      </c>
      <c r="H854" s="155">
        <f t="shared" si="26"/>
        <v>0.213114754098361</v>
      </c>
      <c r="I854" s="73">
        <f>'[1]Fliggy Store Daily Key Data'!I2521</f>
        <v>52</v>
      </c>
      <c r="J854" s="18">
        <f t="shared" si="25"/>
        <v>0.00163255054627653</v>
      </c>
      <c r="K854" s="5"/>
    </row>
    <row r="855" ht="13.85" spans="1:11">
      <c r="A855" s="156">
        <v>45963</v>
      </c>
      <c r="B855" s="150">
        <f>'[1]Fliggy Store Daily Key Data'!B2522</f>
        <v>86819</v>
      </c>
      <c r="C855" s="150">
        <f>'[1]Fliggy Store Daily Key Data'!C2522</f>
        <v>27972</v>
      </c>
      <c r="D855" s="150">
        <f>'[1]Fliggy Store Daily Key Data'!G2522</f>
        <v>4325</v>
      </c>
      <c r="E855" s="150">
        <v>43</v>
      </c>
      <c r="F855" s="150">
        <f>'[1]Fliggy Store Daily Key Data'!K2522</f>
        <v>448615</v>
      </c>
      <c r="G855" s="150">
        <v>259</v>
      </c>
      <c r="H855" s="155">
        <f t="shared" si="26"/>
        <v>0.177606177606178</v>
      </c>
      <c r="I855" s="73">
        <f>'[1]Fliggy Store Daily Key Data'!I2522</f>
        <v>46</v>
      </c>
      <c r="J855" s="18">
        <f t="shared" si="25"/>
        <v>0.00164450164450164</v>
      </c>
      <c r="K855" s="5"/>
    </row>
    <row r="856" ht="13.85" spans="1:11">
      <c r="A856" s="156">
        <v>45964</v>
      </c>
      <c r="B856" s="150">
        <f>'[1]Fliggy Store Daily Key Data'!B2523</f>
        <v>71049</v>
      </c>
      <c r="C856" s="150">
        <f>'[1]Fliggy Store Daily Key Data'!C2523</f>
        <v>23482</v>
      </c>
      <c r="D856" s="150">
        <f>'[1]Fliggy Store Daily Key Data'!G2523</f>
        <v>4447</v>
      </c>
      <c r="E856" s="150">
        <v>49</v>
      </c>
      <c r="F856" s="150">
        <f>'[1]Fliggy Store Daily Key Data'!K2523</f>
        <v>394751.01</v>
      </c>
      <c r="G856" s="150">
        <v>243</v>
      </c>
      <c r="H856" s="155">
        <f t="shared" si="26"/>
        <v>0.176954732510288</v>
      </c>
      <c r="I856" s="73">
        <f>'[1]Fliggy Store Daily Key Data'!I2523</f>
        <v>43</v>
      </c>
      <c r="J856" s="18">
        <f t="shared" ref="J856:J919" si="27">I856/C856</f>
        <v>0.0018311898475428</v>
      </c>
      <c r="K856" s="5"/>
    </row>
    <row r="857" ht="13.85" spans="1:11">
      <c r="A857" s="156">
        <v>45965</v>
      </c>
      <c r="B857" s="150">
        <f>'[1]Fliggy Store Daily Key Data'!B2524</f>
        <v>98463</v>
      </c>
      <c r="C857" s="150">
        <f>'[1]Fliggy Store Daily Key Data'!C2524</f>
        <v>34862</v>
      </c>
      <c r="D857" s="150">
        <f>'[1]Fliggy Store Daily Key Data'!G2524</f>
        <v>5215</v>
      </c>
      <c r="E857" s="150">
        <v>58</v>
      </c>
      <c r="F857" s="150">
        <f>'[1]Fliggy Store Daily Key Data'!K2524</f>
        <v>494127.64</v>
      </c>
      <c r="G857" s="150">
        <v>294</v>
      </c>
      <c r="H857" s="155">
        <f t="shared" si="26"/>
        <v>0.170068027210884</v>
      </c>
      <c r="I857" s="73">
        <f>'[1]Fliggy Store Daily Key Data'!I2524</f>
        <v>50</v>
      </c>
      <c r="J857" s="18">
        <f t="shared" si="27"/>
        <v>0.00143422637829155</v>
      </c>
      <c r="K857" s="5"/>
    </row>
    <row r="858" ht="13.85" spans="1:11">
      <c r="A858" s="156">
        <v>45966</v>
      </c>
      <c r="B858" s="150">
        <f>'[1]Fliggy Store Daily Key Data'!B2525</f>
        <v>88148</v>
      </c>
      <c r="C858" s="150">
        <f>'[1]Fliggy Store Daily Key Data'!C2525</f>
        <v>29190</v>
      </c>
      <c r="D858" s="150">
        <f>'[1]Fliggy Store Daily Key Data'!G2525</f>
        <v>5320</v>
      </c>
      <c r="E858" s="150">
        <v>48</v>
      </c>
      <c r="F858" s="150">
        <f>'[1]Fliggy Store Daily Key Data'!K2525</f>
        <v>880794</v>
      </c>
      <c r="G858" s="150">
        <v>327</v>
      </c>
      <c r="H858" s="155">
        <f t="shared" si="26"/>
        <v>0.299694189602446</v>
      </c>
      <c r="I858" s="73">
        <f>'[1]Fliggy Store Daily Key Data'!I2525</f>
        <v>98</v>
      </c>
      <c r="J858" s="18">
        <f t="shared" si="27"/>
        <v>0.00335731414868106</v>
      </c>
      <c r="K858" s="5"/>
    </row>
    <row r="859" ht="13.85" spans="1:11">
      <c r="A859" s="156">
        <v>45967</v>
      </c>
      <c r="B859" s="150">
        <f>'[1]Fliggy Store Daily Key Data'!B2526</f>
        <v>95875</v>
      </c>
      <c r="C859" s="150">
        <f>'[1]Fliggy Store Daily Key Data'!C2526</f>
        <v>29116</v>
      </c>
      <c r="D859" s="150">
        <f>'[1]Fliggy Store Daily Key Data'!G2526</f>
        <v>5895</v>
      </c>
      <c r="E859" s="150">
        <v>71</v>
      </c>
      <c r="F859" s="150">
        <f>'[1]Fliggy Store Daily Key Data'!K2526</f>
        <v>627042</v>
      </c>
      <c r="G859" s="150">
        <v>304</v>
      </c>
      <c r="H859" s="155">
        <f t="shared" si="26"/>
        <v>0.220394736842105</v>
      </c>
      <c r="I859" s="73">
        <f>'[1]Fliggy Store Daily Key Data'!I2526</f>
        <v>67</v>
      </c>
      <c r="J859" s="18">
        <f t="shared" si="27"/>
        <v>0.00230114026652013</v>
      </c>
      <c r="K859" s="5"/>
    </row>
    <row r="860" ht="13.85" spans="1:11">
      <c r="A860" s="156">
        <v>45968</v>
      </c>
      <c r="B860" s="150">
        <f>'[1]Fliggy Store Daily Key Data'!B2527</f>
        <v>72836</v>
      </c>
      <c r="C860" s="150">
        <f>'[1]Fliggy Store Daily Key Data'!C2527</f>
        <v>21361</v>
      </c>
      <c r="D860" s="150">
        <f>'[1]Fliggy Store Daily Key Data'!G2527</f>
        <v>6206</v>
      </c>
      <c r="E860" s="150">
        <v>61</v>
      </c>
      <c r="F860" s="150">
        <f>'[1]Fliggy Store Daily Key Data'!K2527</f>
        <v>591272</v>
      </c>
      <c r="G860" s="150">
        <v>264</v>
      </c>
      <c r="H860" s="155">
        <f t="shared" si="26"/>
        <v>0.208333333333333</v>
      </c>
      <c r="I860" s="73">
        <f>'[1]Fliggy Store Daily Key Data'!I2527</f>
        <v>55</v>
      </c>
      <c r="J860" s="18">
        <f t="shared" si="27"/>
        <v>0.00257478582463368</v>
      </c>
      <c r="K860" s="5"/>
    </row>
    <row r="861" ht="13.85" spans="1:11">
      <c r="A861" s="156">
        <v>45969</v>
      </c>
      <c r="B861" s="150">
        <f>'[1]Fliggy Store Daily Key Data'!B2528</f>
        <v>77170</v>
      </c>
      <c r="C861" s="150">
        <f>'[1]Fliggy Store Daily Key Data'!C2528</f>
        <v>22590</v>
      </c>
      <c r="D861" s="150">
        <f>'[1]Fliggy Store Daily Key Data'!G2528</f>
        <v>6097</v>
      </c>
      <c r="E861" s="150">
        <v>75</v>
      </c>
      <c r="F861" s="150">
        <f>'[1]Fliggy Store Daily Key Data'!K2528</f>
        <v>557540</v>
      </c>
      <c r="G861" s="150">
        <v>251</v>
      </c>
      <c r="H861" s="155">
        <f t="shared" si="26"/>
        <v>0.215139442231076</v>
      </c>
      <c r="I861" s="73">
        <f>'[1]Fliggy Store Daily Key Data'!I2528</f>
        <v>54</v>
      </c>
      <c r="J861" s="18">
        <f t="shared" si="27"/>
        <v>0.00239043824701195</v>
      </c>
      <c r="K861" s="5"/>
    </row>
    <row r="862" ht="13.85" spans="1:11">
      <c r="A862" s="156">
        <v>45970</v>
      </c>
      <c r="B862" s="150">
        <f>'[1]Fliggy Store Daily Key Data'!B2529</f>
        <v>98600</v>
      </c>
      <c r="C862" s="150">
        <f>'[1]Fliggy Store Daily Key Data'!C2529</f>
        <v>32472</v>
      </c>
      <c r="D862" s="150">
        <f>'[1]Fliggy Store Daily Key Data'!G2529</f>
        <v>7205</v>
      </c>
      <c r="E862" s="150">
        <v>119</v>
      </c>
      <c r="F862" s="150">
        <f>'[1]Fliggy Store Daily Key Data'!K2529</f>
        <v>676700</v>
      </c>
      <c r="G862" s="150">
        <v>366</v>
      </c>
      <c r="H862" s="155">
        <f t="shared" si="26"/>
        <v>0.199453551912568</v>
      </c>
      <c r="I862" s="73">
        <f>'[1]Fliggy Store Daily Key Data'!I2529</f>
        <v>73</v>
      </c>
      <c r="J862" s="18">
        <f t="shared" si="27"/>
        <v>0.00224809066272481</v>
      </c>
      <c r="K862" s="5"/>
    </row>
    <row r="863" ht="13.85" spans="1:11">
      <c r="A863" s="156">
        <v>45971</v>
      </c>
      <c r="B863" s="150">
        <f>'[1]Fliggy Store Daily Key Data'!B2530</f>
        <v>529359</v>
      </c>
      <c r="C863" s="150">
        <f>'[1]Fliggy Store Daily Key Data'!C2530</f>
        <v>90929</v>
      </c>
      <c r="D863" s="150">
        <f>'[1]Fliggy Store Daily Key Data'!G2530</f>
        <v>7875</v>
      </c>
      <c r="E863" s="150">
        <v>153</v>
      </c>
      <c r="F863" s="150">
        <f>'[1]Fliggy Store Daily Key Data'!K2530</f>
        <v>4164870</v>
      </c>
      <c r="G863" s="150">
        <v>1222</v>
      </c>
      <c r="H863" s="155">
        <f t="shared" si="26"/>
        <v>0.366612111292962</v>
      </c>
      <c r="I863" s="73">
        <f>'[1]Fliggy Store Daily Key Data'!I2530</f>
        <v>448</v>
      </c>
      <c r="J863" s="18">
        <f t="shared" si="27"/>
        <v>0.00492692100430006</v>
      </c>
      <c r="K863" s="5"/>
    </row>
    <row r="864" ht="13.85" spans="1:11">
      <c r="A864" s="156">
        <v>45972</v>
      </c>
      <c r="B864" s="150">
        <f>'[1]Fliggy Store Daily Key Data'!B2531</f>
        <v>373527</v>
      </c>
      <c r="C864" s="150">
        <f>'[1]Fliggy Store Daily Key Data'!C2531</f>
        <v>67237</v>
      </c>
      <c r="D864" s="150">
        <f>'[1]Fliggy Store Daily Key Data'!G2531</f>
        <v>6298</v>
      </c>
      <c r="E864" s="150">
        <v>179</v>
      </c>
      <c r="F864" s="150">
        <f>'[1]Fliggy Store Daily Key Data'!K2531</f>
        <v>5767745</v>
      </c>
      <c r="G864" s="150">
        <v>1042</v>
      </c>
      <c r="H864" s="155">
        <f t="shared" si="26"/>
        <v>0.562380038387716</v>
      </c>
      <c r="I864" s="73">
        <f>'[1]Fliggy Store Daily Key Data'!I2531</f>
        <v>586</v>
      </c>
      <c r="J864" s="18">
        <f t="shared" si="27"/>
        <v>0.00871543941579785</v>
      </c>
      <c r="K864" s="5"/>
    </row>
    <row r="865" ht="13.85" spans="1:11">
      <c r="A865" s="156">
        <v>45973</v>
      </c>
      <c r="B865" s="150">
        <f>'[1]Fliggy Store Daily Key Data'!B2532</f>
        <v>98109</v>
      </c>
      <c r="C865" s="150">
        <f>'[1]Fliggy Store Daily Key Data'!C2532</f>
        <v>27862</v>
      </c>
      <c r="D865" s="150">
        <f>'[1]Fliggy Store Daily Key Data'!G2532</f>
        <v>7629</v>
      </c>
      <c r="E865" s="150">
        <v>97</v>
      </c>
      <c r="F865" s="150">
        <f>'[1]Fliggy Store Daily Key Data'!K2532</f>
        <v>1263345.01</v>
      </c>
      <c r="G865" s="150">
        <v>394</v>
      </c>
      <c r="H865" s="155">
        <f t="shared" si="26"/>
        <v>0.3248730964467</v>
      </c>
      <c r="I865" s="73">
        <f>'[1]Fliggy Store Daily Key Data'!I2532</f>
        <v>128</v>
      </c>
      <c r="J865" s="18">
        <f t="shared" si="27"/>
        <v>0.00459407077740291</v>
      </c>
      <c r="K865" s="5"/>
    </row>
    <row r="866" ht="13.85" spans="1:11">
      <c r="A866" s="156">
        <v>45974</v>
      </c>
      <c r="B866" s="150">
        <f>'[1]Fliggy Store Daily Key Data'!B2533</f>
        <v>90981</v>
      </c>
      <c r="C866" s="150">
        <f>'[1]Fliggy Store Daily Key Data'!C2533</f>
        <v>28898</v>
      </c>
      <c r="D866" s="150">
        <f>'[1]Fliggy Store Daily Key Data'!G2533</f>
        <v>8759</v>
      </c>
      <c r="E866" s="150">
        <v>84</v>
      </c>
      <c r="F866" s="150">
        <f>'[1]Fliggy Store Daily Key Data'!K2533</f>
        <v>922664</v>
      </c>
      <c r="G866" s="150">
        <v>367</v>
      </c>
      <c r="H866" s="155">
        <f t="shared" si="26"/>
        <v>0.26158038147139</v>
      </c>
      <c r="I866" s="73">
        <f>'[1]Fliggy Store Daily Key Data'!I2533</f>
        <v>96</v>
      </c>
      <c r="J866" s="18">
        <f t="shared" si="27"/>
        <v>0.00332202920617344</v>
      </c>
      <c r="K866" s="5"/>
    </row>
    <row r="867" ht="13.85" spans="1:11">
      <c r="A867" s="156">
        <v>45975</v>
      </c>
      <c r="B867" s="150">
        <f>'[1]Fliggy Store Daily Key Data'!B2534</f>
        <v>78183</v>
      </c>
      <c r="C867" s="150">
        <f>'[1]Fliggy Store Daily Key Data'!C2534</f>
        <v>25814</v>
      </c>
      <c r="D867" s="150">
        <f>'[1]Fliggy Store Daily Key Data'!G2534</f>
        <v>7992</v>
      </c>
      <c r="E867" s="150">
        <v>70</v>
      </c>
      <c r="F867" s="150">
        <f>'[1]Fliggy Store Daily Key Data'!K2534</f>
        <v>1463381</v>
      </c>
      <c r="G867" s="150">
        <v>305</v>
      </c>
      <c r="H867" s="155">
        <f t="shared" si="26"/>
        <v>0.501639344262295</v>
      </c>
      <c r="I867" s="73">
        <f>'[1]Fliggy Store Daily Key Data'!I2534</f>
        <v>153</v>
      </c>
      <c r="J867" s="18">
        <f t="shared" si="27"/>
        <v>0.00592701634771829</v>
      </c>
      <c r="K867" s="5"/>
    </row>
    <row r="868" ht="13.85" spans="1:11">
      <c r="A868" s="156">
        <v>45976</v>
      </c>
      <c r="B868" s="150">
        <f>'[1]Fliggy Store Daily Key Data'!B2535</f>
        <v>30155</v>
      </c>
      <c r="C868" s="150">
        <f>'[1]Fliggy Store Daily Key Data'!C2535</f>
        <v>12166</v>
      </c>
      <c r="D868" s="150">
        <f>'[1]Fliggy Store Daily Key Data'!G2535</f>
        <v>2785</v>
      </c>
      <c r="E868" s="150">
        <v>65</v>
      </c>
      <c r="F868" s="150">
        <f>'[1]Fliggy Store Daily Key Data'!K2535</f>
        <v>138167</v>
      </c>
      <c r="G868" s="150">
        <v>189</v>
      </c>
      <c r="H868" s="155">
        <f t="shared" si="26"/>
        <v>0.0529100529100529</v>
      </c>
      <c r="I868" s="73">
        <f>'[1]Fliggy Store Daily Key Data'!I2535</f>
        <v>10</v>
      </c>
      <c r="J868" s="18">
        <f t="shared" si="27"/>
        <v>0.000821962847279303</v>
      </c>
      <c r="K868" s="5"/>
    </row>
    <row r="869" ht="13.85" spans="1:11">
      <c r="A869" s="156">
        <v>45977</v>
      </c>
      <c r="B869" s="150">
        <f>'[1]Fliggy Store Daily Key Data'!B2536</f>
        <v>21961</v>
      </c>
      <c r="C869" s="150">
        <f>'[1]Fliggy Store Daily Key Data'!C2536</f>
        <v>6838</v>
      </c>
      <c r="D869" s="150">
        <f>'[1]Fliggy Store Daily Key Data'!G2536</f>
        <v>2808</v>
      </c>
      <c r="E869" s="150">
        <v>56</v>
      </c>
      <c r="F869" s="150">
        <f>'[1]Fliggy Store Daily Key Data'!K2536</f>
        <v>35663</v>
      </c>
      <c r="G869" s="150">
        <v>195</v>
      </c>
      <c r="H869" s="155">
        <f t="shared" si="26"/>
        <v>0.0153846153846154</v>
      </c>
      <c r="I869" s="73">
        <f>'[1]Fliggy Store Daily Key Data'!I2536</f>
        <v>3</v>
      </c>
      <c r="J869" s="18">
        <f t="shared" si="27"/>
        <v>0.000438724773325534</v>
      </c>
      <c r="K869" s="5"/>
    </row>
    <row r="870" ht="13.85" spans="1:11">
      <c r="A870" s="156">
        <v>45978</v>
      </c>
      <c r="B870" s="150">
        <f>'[1]Fliggy Store Daily Key Data'!B2537</f>
        <v>18175</v>
      </c>
      <c r="C870" s="150">
        <f>'[1]Fliggy Store Daily Key Data'!C2537</f>
        <v>5675</v>
      </c>
      <c r="D870" s="150">
        <f>'[1]Fliggy Store Daily Key Data'!G2537</f>
        <v>1688</v>
      </c>
      <c r="E870" s="150">
        <v>50</v>
      </c>
      <c r="F870" s="150">
        <f>'[1]Fliggy Store Daily Key Data'!K2537</f>
        <v>1900</v>
      </c>
      <c r="G870" s="150">
        <v>163</v>
      </c>
      <c r="H870" s="155">
        <f t="shared" si="26"/>
        <v>0</v>
      </c>
      <c r="I870" s="73">
        <f>'[1]Fliggy Store Daily Key Data'!I2537</f>
        <v>0</v>
      </c>
      <c r="J870" s="18">
        <f t="shared" si="27"/>
        <v>0</v>
      </c>
      <c r="K870" s="5"/>
    </row>
    <row r="871" ht="13.85" spans="1:11">
      <c r="A871" s="156">
        <v>45979</v>
      </c>
      <c r="B871" s="150">
        <f>'[1]Fliggy Store Daily Key Data'!B2538</f>
        <v>16688</v>
      </c>
      <c r="C871" s="150">
        <f>'[1]Fliggy Store Daily Key Data'!C2538</f>
        <v>5847</v>
      </c>
      <c r="D871" s="150">
        <f>'[1]Fliggy Store Daily Key Data'!G2538</f>
        <v>1506</v>
      </c>
      <c r="E871" s="150">
        <v>49</v>
      </c>
      <c r="F871" s="150">
        <f>'[1]Fliggy Store Daily Key Data'!K2538</f>
        <v>36066</v>
      </c>
      <c r="G871" s="150">
        <v>148</v>
      </c>
      <c r="H871" s="155">
        <f t="shared" si="26"/>
        <v>0.0202702702702703</v>
      </c>
      <c r="I871" s="73">
        <f>'[1]Fliggy Store Daily Key Data'!I2538</f>
        <v>3</v>
      </c>
      <c r="J871" s="18">
        <f t="shared" si="27"/>
        <v>0.000513083632632119</v>
      </c>
      <c r="K871" s="5"/>
    </row>
    <row r="872" ht="13.85" spans="1:11">
      <c r="A872" s="156">
        <v>45980</v>
      </c>
      <c r="B872" s="150">
        <f>'[1]Fliggy Store Daily Key Data'!B2539</f>
        <v>12684</v>
      </c>
      <c r="C872" s="150">
        <f>'[1]Fliggy Store Daily Key Data'!C2539</f>
        <v>4669</v>
      </c>
      <c r="D872" s="150">
        <f>'[1]Fliggy Store Daily Key Data'!G2539</f>
        <v>1454</v>
      </c>
      <c r="E872" s="150">
        <v>57</v>
      </c>
      <c r="F872" s="150">
        <f>'[1]Fliggy Store Daily Key Data'!K2539</f>
        <v>0</v>
      </c>
      <c r="G872" s="150">
        <v>168</v>
      </c>
      <c r="H872" s="155">
        <f t="shared" si="26"/>
        <v>0</v>
      </c>
      <c r="I872" s="73">
        <f>'[1]Fliggy Store Daily Key Data'!I2539</f>
        <v>0</v>
      </c>
      <c r="J872" s="18">
        <f t="shared" si="27"/>
        <v>0</v>
      </c>
      <c r="K872" s="5"/>
    </row>
    <row r="873" ht="13.85" spans="1:11">
      <c r="A873" s="156">
        <v>45981</v>
      </c>
      <c r="B873" s="150">
        <f>'[1]Fliggy Store Daily Key Data'!B2540</f>
        <v>11849</v>
      </c>
      <c r="C873" s="150">
        <f>'[1]Fliggy Store Daily Key Data'!C2540</f>
        <v>4352</v>
      </c>
      <c r="D873" s="150">
        <f>'[1]Fliggy Store Daily Key Data'!G2540</f>
        <v>1582</v>
      </c>
      <c r="E873" s="150">
        <v>49</v>
      </c>
      <c r="F873" s="150">
        <f>'[1]Fliggy Store Daily Key Data'!K2540</f>
        <v>10816</v>
      </c>
      <c r="G873" s="150">
        <v>117</v>
      </c>
      <c r="H873" s="155">
        <f t="shared" si="26"/>
        <v>0.00854700854700855</v>
      </c>
      <c r="I873" s="73">
        <f>'[1]Fliggy Store Daily Key Data'!I2540</f>
        <v>1</v>
      </c>
      <c r="J873" s="18">
        <f t="shared" si="27"/>
        <v>0.000229779411764706</v>
      </c>
      <c r="K873" s="5"/>
    </row>
    <row r="874" ht="13.85" spans="1:11">
      <c r="A874" s="156">
        <v>45982</v>
      </c>
      <c r="B874" s="150">
        <f>'[1]Fliggy Store Daily Key Data'!B2541</f>
        <v>13565</v>
      </c>
      <c r="C874" s="150">
        <f>'[1]Fliggy Store Daily Key Data'!C2541</f>
        <v>4644</v>
      </c>
      <c r="D874" s="150">
        <f>'[1]Fliggy Store Daily Key Data'!G2541</f>
        <v>1596</v>
      </c>
      <c r="E874" s="150">
        <v>50</v>
      </c>
      <c r="F874" s="150">
        <f>'[1]Fliggy Store Daily Key Data'!K2541</f>
        <v>31092</v>
      </c>
      <c r="G874" s="150">
        <v>122</v>
      </c>
      <c r="H874" s="155">
        <f t="shared" si="26"/>
        <v>0.0163934426229508</v>
      </c>
      <c r="I874" s="73">
        <f>'[1]Fliggy Store Daily Key Data'!I2541</f>
        <v>2</v>
      </c>
      <c r="J874" s="18">
        <f t="shared" si="27"/>
        <v>0.000430663221360896</v>
      </c>
      <c r="K874" s="5"/>
    </row>
    <row r="875" ht="13.85" spans="1:11">
      <c r="A875" s="156">
        <v>45983</v>
      </c>
      <c r="B875" s="150">
        <f>'[1]Fliggy Store Daily Key Data'!B2542</f>
        <v>16027</v>
      </c>
      <c r="C875" s="150">
        <f>'[1]Fliggy Store Daily Key Data'!C2542</f>
        <v>5795</v>
      </c>
      <c r="D875" s="150">
        <f>'[1]Fliggy Store Daily Key Data'!G2542</f>
        <v>1615</v>
      </c>
      <c r="E875" s="150">
        <v>43</v>
      </c>
      <c r="F875" s="150">
        <f>'[1]Fliggy Store Daily Key Data'!K2542</f>
        <v>12912</v>
      </c>
      <c r="G875" s="150">
        <v>80</v>
      </c>
      <c r="H875" s="155">
        <f t="shared" si="26"/>
        <v>0.0125</v>
      </c>
      <c r="I875" s="73">
        <f>'[1]Fliggy Store Daily Key Data'!I2542</f>
        <v>1</v>
      </c>
      <c r="J875" s="18">
        <f t="shared" si="27"/>
        <v>0.000172562553925798</v>
      </c>
      <c r="K875" s="5"/>
    </row>
    <row r="876" ht="13.85" spans="1:11">
      <c r="A876" s="156">
        <v>45984</v>
      </c>
      <c r="B876" s="150">
        <f>'[1]Fliggy Store Daily Key Data'!B2543</f>
        <v>13964</v>
      </c>
      <c r="C876" s="150">
        <f>'[1]Fliggy Store Daily Key Data'!C2543</f>
        <v>5403</v>
      </c>
      <c r="D876" s="150">
        <f>'[1]Fliggy Store Daily Key Data'!G2543</f>
        <v>1465</v>
      </c>
      <c r="E876" s="150">
        <v>46</v>
      </c>
      <c r="F876" s="150">
        <f>'[1]Fliggy Store Daily Key Data'!K2543</f>
        <v>0</v>
      </c>
      <c r="G876" s="150">
        <v>98</v>
      </c>
      <c r="H876" s="155">
        <f t="shared" si="26"/>
        <v>0</v>
      </c>
      <c r="I876" s="73">
        <f>'[1]Fliggy Store Daily Key Data'!I2543</f>
        <v>0</v>
      </c>
      <c r="J876" s="18">
        <f t="shared" si="27"/>
        <v>0</v>
      </c>
      <c r="K876" s="5"/>
    </row>
    <row r="877" ht="13.85" spans="1:11">
      <c r="A877" s="156">
        <v>45985</v>
      </c>
      <c r="B877" s="150">
        <f>'[1]Fliggy Store Daily Key Data'!B2544</f>
        <v>19759</v>
      </c>
      <c r="C877" s="150">
        <f>'[1]Fliggy Store Daily Key Data'!C2544</f>
        <v>7739</v>
      </c>
      <c r="D877" s="150">
        <f>'[1]Fliggy Store Daily Key Data'!G2544</f>
        <v>1512</v>
      </c>
      <c r="E877" s="150">
        <v>46</v>
      </c>
      <c r="F877" s="150">
        <f>'[1]Fliggy Store Daily Key Data'!K2544</f>
        <v>33926</v>
      </c>
      <c r="G877" s="150">
        <v>136</v>
      </c>
      <c r="H877" s="155">
        <f t="shared" si="26"/>
        <v>0.0147058823529412</v>
      </c>
      <c r="I877" s="73">
        <f>'[1]Fliggy Store Daily Key Data'!I2544</f>
        <v>2</v>
      </c>
      <c r="J877" s="18">
        <f t="shared" si="27"/>
        <v>0.000258431321876211</v>
      </c>
      <c r="K877" s="5"/>
    </row>
    <row r="878" ht="13.85" spans="1:11">
      <c r="A878" s="156">
        <v>45986</v>
      </c>
      <c r="B878" s="150">
        <f>'[1]Fliggy Store Daily Key Data'!B2545</f>
        <v>16936</v>
      </c>
      <c r="C878" s="150">
        <f>'[1]Fliggy Store Daily Key Data'!C2545</f>
        <v>5091</v>
      </c>
      <c r="D878" s="150">
        <f>'[1]Fliggy Store Daily Key Data'!G2545</f>
        <v>1225</v>
      </c>
      <c r="E878" s="150">
        <v>52</v>
      </c>
      <c r="F878" s="150">
        <f>'[1]Fliggy Store Daily Key Data'!K2545</f>
        <v>7392</v>
      </c>
      <c r="G878" s="150">
        <v>111</v>
      </c>
      <c r="H878" s="155">
        <f t="shared" si="26"/>
        <v>0.00900900900900901</v>
      </c>
      <c r="I878" s="73">
        <f>'[1]Fliggy Store Daily Key Data'!I2545</f>
        <v>1</v>
      </c>
      <c r="J878" s="18">
        <f t="shared" si="27"/>
        <v>0.000196425063838146</v>
      </c>
      <c r="K878" s="5"/>
    </row>
    <row r="879" ht="13.85" spans="1:11">
      <c r="A879" s="156">
        <v>45987</v>
      </c>
      <c r="B879" s="150">
        <f>'[1]Fliggy Store Daily Key Data'!B2546</f>
        <v>12654</v>
      </c>
      <c r="C879" s="150">
        <f>'[1]Fliggy Store Daily Key Data'!C2546</f>
        <v>5109</v>
      </c>
      <c r="D879" s="150">
        <f>'[1]Fliggy Store Daily Key Data'!G2546</f>
        <v>1438</v>
      </c>
      <c r="E879" s="150">
        <v>24</v>
      </c>
      <c r="F879" s="150">
        <f>'[1]Fliggy Store Daily Key Data'!K2546</f>
        <v>33543</v>
      </c>
      <c r="G879" s="150">
        <v>106</v>
      </c>
      <c r="H879" s="155">
        <f t="shared" si="26"/>
        <v>0.0377358490566038</v>
      </c>
      <c r="I879" s="73">
        <f>'[1]Fliggy Store Daily Key Data'!I2546</f>
        <v>4</v>
      </c>
      <c r="J879" s="18">
        <f t="shared" si="27"/>
        <v>0.000782932080642004</v>
      </c>
      <c r="K879" s="5"/>
    </row>
    <row r="880" ht="13.85" spans="1:11">
      <c r="A880" s="156">
        <v>45988</v>
      </c>
      <c r="B880" s="150">
        <f>'[1]Fliggy Store Daily Key Data'!B2547</f>
        <v>15233</v>
      </c>
      <c r="C880" s="150">
        <f>'[1]Fliggy Store Daily Key Data'!C2547</f>
        <v>5935</v>
      </c>
      <c r="D880" s="150">
        <f>'[1]Fliggy Store Daily Key Data'!G2547</f>
        <v>1654</v>
      </c>
      <c r="E880" s="150">
        <v>21</v>
      </c>
      <c r="F880" s="150">
        <f>'[1]Fliggy Store Daily Key Data'!K2547</f>
        <v>0</v>
      </c>
      <c r="G880" s="150">
        <v>90</v>
      </c>
      <c r="H880" s="155">
        <f t="shared" si="26"/>
        <v>0</v>
      </c>
      <c r="I880" s="73">
        <f>'[1]Fliggy Store Daily Key Data'!I2547</f>
        <v>0</v>
      </c>
      <c r="J880" s="18">
        <f t="shared" si="27"/>
        <v>0</v>
      </c>
      <c r="K880" s="5"/>
    </row>
    <row r="881" ht="13.85" spans="1:11">
      <c r="A881" s="156">
        <v>45989</v>
      </c>
      <c r="B881" s="150">
        <f>'[1]Fliggy Store Daily Key Data'!B2548</f>
        <v>13881</v>
      </c>
      <c r="C881" s="150">
        <f>'[1]Fliggy Store Daily Key Data'!C2548</f>
        <v>5915</v>
      </c>
      <c r="D881" s="150">
        <f>'[1]Fliggy Store Daily Key Data'!G2548</f>
        <v>1546</v>
      </c>
      <c r="E881" s="150">
        <v>39</v>
      </c>
      <c r="F881" s="150">
        <f>'[1]Fliggy Store Daily Key Data'!K2548</f>
        <v>0</v>
      </c>
      <c r="G881" s="150">
        <v>95</v>
      </c>
      <c r="H881" s="155">
        <f t="shared" si="26"/>
        <v>0</v>
      </c>
      <c r="I881" s="73">
        <f>'[1]Fliggy Store Daily Key Data'!I2548</f>
        <v>0</v>
      </c>
      <c r="J881" s="18">
        <f t="shared" si="27"/>
        <v>0</v>
      </c>
      <c r="K881" s="5"/>
    </row>
    <row r="882" ht="13.85" spans="1:11">
      <c r="A882" s="156">
        <v>45990</v>
      </c>
      <c r="B882" s="150">
        <f>'[1]Fliggy Store Daily Key Data'!B2549</f>
        <v>12879</v>
      </c>
      <c r="C882" s="150">
        <f>'[1]Fliggy Store Daily Key Data'!C2549</f>
        <v>4384</v>
      </c>
      <c r="D882" s="150">
        <f>'[1]Fliggy Store Daily Key Data'!G2549</f>
        <v>1279</v>
      </c>
      <c r="E882" s="150">
        <v>39</v>
      </c>
      <c r="F882" s="150">
        <f>'[1]Fliggy Store Daily Key Data'!K2549</f>
        <v>13452</v>
      </c>
      <c r="G882" s="150">
        <v>100</v>
      </c>
      <c r="H882" s="155">
        <f t="shared" si="26"/>
        <v>0.01</v>
      </c>
      <c r="I882" s="73">
        <f>'[1]Fliggy Store Daily Key Data'!I2549</f>
        <v>1</v>
      </c>
      <c r="J882" s="18">
        <f t="shared" si="27"/>
        <v>0.000228102189781022</v>
      </c>
      <c r="K882" s="5"/>
    </row>
    <row r="883" ht="13.85" spans="1:11">
      <c r="A883" s="156">
        <v>45991</v>
      </c>
      <c r="B883" s="150">
        <f>'[1]Fliggy Store Daily Key Data'!B2550</f>
        <v>10404</v>
      </c>
      <c r="C883" s="150">
        <f>'[1]Fliggy Store Daily Key Data'!C2550</f>
        <v>3978</v>
      </c>
      <c r="D883" s="150">
        <f>'[1]Fliggy Store Daily Key Data'!G2550</f>
        <v>1093</v>
      </c>
      <c r="E883" s="150">
        <v>28</v>
      </c>
      <c r="F883" s="150">
        <f>'[1]Fliggy Store Daily Key Data'!K2550</f>
        <v>89215</v>
      </c>
      <c r="G883" s="150">
        <v>92</v>
      </c>
      <c r="H883" s="155">
        <f t="shared" si="26"/>
        <v>0.0434782608695652</v>
      </c>
      <c r="I883" s="73">
        <f>'[1]Fliggy Store Daily Key Data'!I2550</f>
        <v>4</v>
      </c>
      <c r="J883" s="18">
        <f t="shared" si="27"/>
        <v>0.00100553041729512</v>
      </c>
      <c r="K883" s="5"/>
    </row>
    <row r="884" ht="13.85" spans="1:11">
      <c r="A884" s="156">
        <v>45992</v>
      </c>
      <c r="B884" s="150">
        <f>'[1]Fliggy Store Daily Key Data'!B2551</f>
        <v>18765</v>
      </c>
      <c r="C884" s="150">
        <f>'[1]Fliggy Store Daily Key Data'!C2551</f>
        <v>10225</v>
      </c>
      <c r="D884" s="150">
        <f>'[1]Fliggy Store Daily Key Data'!G2551</f>
        <v>1467</v>
      </c>
      <c r="E884" s="150">
        <v>23</v>
      </c>
      <c r="F884" s="150">
        <f>'[1]Fliggy Store Daily Key Data'!K2551</f>
        <v>0</v>
      </c>
      <c r="G884" s="150">
        <v>106</v>
      </c>
      <c r="H884" s="155">
        <f t="shared" si="26"/>
        <v>0</v>
      </c>
      <c r="I884" s="73">
        <f>'[1]Fliggy Store Daily Key Data'!I2551</f>
        <v>0</v>
      </c>
      <c r="J884" s="18">
        <f t="shared" si="27"/>
        <v>0</v>
      </c>
      <c r="K884" s="5"/>
    </row>
    <row r="885" ht="13.85" spans="1:11">
      <c r="A885" s="156">
        <v>45993</v>
      </c>
      <c r="B885" s="150">
        <f>'[1]Fliggy Store Daily Key Data'!B2552</f>
        <v>13807</v>
      </c>
      <c r="C885" s="150">
        <f>'[1]Fliggy Store Daily Key Data'!C2552</f>
        <v>4431</v>
      </c>
      <c r="D885" s="150">
        <f>'[1]Fliggy Store Daily Key Data'!G2552</f>
        <v>1444</v>
      </c>
      <c r="E885" s="150">
        <v>26</v>
      </c>
      <c r="F885" s="150">
        <f>'[1]Fliggy Store Daily Key Data'!K2552</f>
        <v>0</v>
      </c>
      <c r="G885" s="150">
        <v>102</v>
      </c>
      <c r="H885" s="155">
        <f t="shared" si="26"/>
        <v>0</v>
      </c>
      <c r="I885" s="73">
        <f>'[1]Fliggy Store Daily Key Data'!I2552</f>
        <v>0</v>
      </c>
      <c r="J885" s="18">
        <f t="shared" si="27"/>
        <v>0</v>
      </c>
      <c r="K885" s="5"/>
    </row>
    <row r="886" ht="13.85" spans="1:11">
      <c r="A886" s="156">
        <v>45994</v>
      </c>
      <c r="B886" s="150">
        <f>'[1]Fliggy Store Daily Key Data'!B2553</f>
        <v>16090</v>
      </c>
      <c r="C886" s="150">
        <f>'[1]Fliggy Store Daily Key Data'!C2553</f>
        <v>5203</v>
      </c>
      <c r="D886" s="150">
        <f>'[1]Fliggy Store Daily Key Data'!G2553</f>
        <v>1622</v>
      </c>
      <c r="E886" s="150">
        <v>33</v>
      </c>
      <c r="F886" s="150">
        <f>'[1]Fliggy Store Daily Key Data'!K2553</f>
        <v>0</v>
      </c>
      <c r="G886" s="150">
        <v>93</v>
      </c>
      <c r="H886" s="155">
        <f t="shared" si="26"/>
        <v>0</v>
      </c>
      <c r="I886" s="73">
        <f>'[1]Fliggy Store Daily Key Data'!I2553</f>
        <v>0</v>
      </c>
      <c r="J886" s="18">
        <f t="shared" si="27"/>
        <v>0</v>
      </c>
      <c r="K886" s="5"/>
    </row>
    <row r="887" ht="13.85" spans="1:11">
      <c r="A887" s="156">
        <v>45995</v>
      </c>
      <c r="B887" s="150">
        <f>'[1]Fliggy Store Daily Key Data'!B2554</f>
        <v>18231</v>
      </c>
      <c r="C887" s="150">
        <f>'[1]Fliggy Store Daily Key Data'!C2554</f>
        <v>6096</v>
      </c>
      <c r="D887" s="150">
        <f>'[1]Fliggy Store Daily Key Data'!G2554</f>
        <v>1726</v>
      </c>
      <c r="E887" s="150">
        <v>31</v>
      </c>
      <c r="F887" s="150">
        <f>'[1]Fliggy Store Daily Key Data'!K2554</f>
        <v>0</v>
      </c>
      <c r="G887" s="150">
        <v>77</v>
      </c>
      <c r="H887" s="155">
        <f t="shared" si="26"/>
        <v>0</v>
      </c>
      <c r="I887" s="73">
        <f>'[1]Fliggy Store Daily Key Data'!I2554</f>
        <v>0</v>
      </c>
      <c r="J887" s="18">
        <f t="shared" si="27"/>
        <v>0</v>
      </c>
      <c r="K887" s="5"/>
    </row>
    <row r="888" ht="13.85" spans="1:11">
      <c r="A888" s="156">
        <v>45996</v>
      </c>
      <c r="B888" s="150">
        <f>'[1]Fliggy Store Daily Key Data'!B2555</f>
        <v>16918</v>
      </c>
      <c r="C888" s="150">
        <f>'[1]Fliggy Store Daily Key Data'!C2555</f>
        <v>6570</v>
      </c>
      <c r="D888" s="150">
        <f>'[1]Fliggy Store Daily Key Data'!G2555</f>
        <v>2056</v>
      </c>
      <c r="E888" s="150">
        <v>51</v>
      </c>
      <c r="F888" s="150">
        <f>'[1]Fliggy Store Daily Key Data'!K2555</f>
        <v>67620</v>
      </c>
      <c r="G888" s="150">
        <v>79</v>
      </c>
      <c r="H888" s="155">
        <f t="shared" si="26"/>
        <v>0.0379746835443038</v>
      </c>
      <c r="I888" s="73">
        <f>'[1]Fliggy Store Daily Key Data'!I2555</f>
        <v>3</v>
      </c>
      <c r="J888" s="18">
        <f t="shared" si="27"/>
        <v>0.00045662100456621</v>
      </c>
      <c r="K888" s="5"/>
    </row>
    <row r="889" ht="13.85" spans="1:11">
      <c r="A889" s="156">
        <v>45997</v>
      </c>
      <c r="B889" s="150">
        <f>'[1]Fliggy Store Daily Key Data'!B2556</f>
        <v>21747</v>
      </c>
      <c r="C889" s="150">
        <f>'[1]Fliggy Store Daily Key Data'!C2556</f>
        <v>7679</v>
      </c>
      <c r="D889" s="150">
        <f>'[1]Fliggy Store Daily Key Data'!G2556</f>
        <v>2507</v>
      </c>
      <c r="E889" s="150">
        <v>64</v>
      </c>
      <c r="F889" s="150">
        <f>'[1]Fliggy Store Daily Key Data'!K2556</f>
        <v>11047</v>
      </c>
      <c r="G889" s="150">
        <v>91</v>
      </c>
      <c r="H889" s="155">
        <f t="shared" si="26"/>
        <v>0.010989010989011</v>
      </c>
      <c r="I889" s="73">
        <f>'[1]Fliggy Store Daily Key Data'!I2556</f>
        <v>1</v>
      </c>
      <c r="J889" s="18">
        <f t="shared" si="27"/>
        <v>0.00013022528975127</v>
      </c>
      <c r="K889" s="5"/>
    </row>
    <row r="890" ht="13.85" spans="1:11">
      <c r="A890" s="156">
        <v>45998</v>
      </c>
      <c r="B890" s="150">
        <f>'[1]Fliggy Store Daily Key Data'!B2557</f>
        <v>25782</v>
      </c>
      <c r="C890" s="150">
        <f>'[1]Fliggy Store Daily Key Data'!C2557</f>
        <v>8583</v>
      </c>
      <c r="D890" s="150">
        <f>'[1]Fliggy Store Daily Key Data'!G2557</f>
        <v>2515</v>
      </c>
      <c r="E890" s="150">
        <v>45</v>
      </c>
      <c r="F890" s="150">
        <f>'[1]Fliggy Store Daily Key Data'!K2557</f>
        <v>0</v>
      </c>
      <c r="G890" s="150">
        <v>109</v>
      </c>
      <c r="H890" s="155">
        <f t="shared" si="26"/>
        <v>0</v>
      </c>
      <c r="I890" s="73">
        <f>'[1]Fliggy Store Daily Key Data'!I2557</f>
        <v>0</v>
      </c>
      <c r="J890" s="18">
        <f t="shared" si="27"/>
        <v>0</v>
      </c>
      <c r="K890" s="5"/>
    </row>
    <row r="891" ht="13.85" spans="1:11">
      <c r="A891" s="156">
        <v>45999</v>
      </c>
      <c r="B891" s="150">
        <f>'[1]Fliggy Store Daily Key Data'!B2558</f>
        <v>22398</v>
      </c>
      <c r="C891" s="150">
        <f>'[1]Fliggy Store Daily Key Data'!C2558</f>
        <v>7329</v>
      </c>
      <c r="D891" s="150">
        <f>'[1]Fliggy Store Daily Key Data'!G2558</f>
        <v>2786</v>
      </c>
      <c r="E891" s="150">
        <v>38</v>
      </c>
      <c r="F891" s="150">
        <f>'[1]Fliggy Store Daily Key Data'!K2558</f>
        <v>183387</v>
      </c>
      <c r="G891" s="150">
        <v>140</v>
      </c>
      <c r="H891" s="155">
        <f t="shared" si="26"/>
        <v>0.0357142857142857</v>
      </c>
      <c r="I891" s="73">
        <f>'[1]Fliggy Store Daily Key Data'!I2558</f>
        <v>5</v>
      </c>
      <c r="J891" s="18">
        <f t="shared" si="27"/>
        <v>0.000682221312593805</v>
      </c>
      <c r="K891" s="5"/>
    </row>
    <row r="892" ht="13.85" spans="1:11">
      <c r="A892" s="156">
        <v>46000</v>
      </c>
      <c r="B892" s="150">
        <f>'[1]Fliggy Store Daily Key Data'!B2559</f>
        <v>27918</v>
      </c>
      <c r="C892" s="150">
        <f>'[1]Fliggy Store Daily Key Data'!C2559</f>
        <v>8422</v>
      </c>
      <c r="D892" s="150">
        <f>'[1]Fliggy Store Daily Key Data'!G2559</f>
        <v>3672</v>
      </c>
      <c r="E892" s="150">
        <v>70</v>
      </c>
      <c r="F892" s="150">
        <f>'[1]Fliggy Store Daily Key Data'!K2559</f>
        <v>119203</v>
      </c>
      <c r="G892" s="150">
        <v>457</v>
      </c>
      <c r="H892" s="155">
        <f t="shared" si="26"/>
        <v>0.0218818380743982</v>
      </c>
      <c r="I892" s="73">
        <f>'[1]Fliggy Store Daily Key Data'!I2559</f>
        <v>10</v>
      </c>
      <c r="J892" s="18">
        <f t="shared" si="27"/>
        <v>0.00118736642127761</v>
      </c>
      <c r="K892" s="5"/>
    </row>
    <row r="893" ht="13.85" spans="1:11">
      <c r="A893" s="156">
        <v>46001</v>
      </c>
      <c r="B893" s="150">
        <f>'[1]Fliggy Store Daily Key Data'!B2560</f>
        <v>30636</v>
      </c>
      <c r="C893" s="150">
        <f>'[1]Fliggy Store Daily Key Data'!C2560</f>
        <v>10154</v>
      </c>
      <c r="D893" s="150">
        <f>'[1]Fliggy Store Daily Key Data'!G2560</f>
        <v>4694</v>
      </c>
      <c r="E893" s="150">
        <v>67</v>
      </c>
      <c r="F893" s="150">
        <f>'[1]Fliggy Store Daily Key Data'!K2560</f>
        <v>96790.98</v>
      </c>
      <c r="G893" s="150">
        <v>426</v>
      </c>
      <c r="H893" s="155">
        <f t="shared" si="26"/>
        <v>0.0234741784037559</v>
      </c>
      <c r="I893" s="73">
        <f>'[1]Fliggy Store Daily Key Data'!I2560</f>
        <v>10</v>
      </c>
      <c r="J893" s="18">
        <f t="shared" si="27"/>
        <v>0.000984833563127831</v>
      </c>
      <c r="K893" s="5"/>
    </row>
    <row r="894" ht="13.85" spans="1:11">
      <c r="A894" s="156">
        <v>46002</v>
      </c>
      <c r="B894" s="150">
        <f>'[1]Fliggy Store Daily Key Data'!B2561</f>
        <v>37926</v>
      </c>
      <c r="C894" s="150">
        <f>'[1]Fliggy Store Daily Key Data'!C2561</f>
        <v>12388</v>
      </c>
      <c r="D894" s="150">
        <f>'[1]Fliggy Store Daily Key Data'!G2561</f>
        <v>4515</v>
      </c>
      <c r="E894" s="150">
        <v>70</v>
      </c>
      <c r="F894" s="150">
        <f>'[1]Fliggy Store Daily Key Data'!K2561</f>
        <v>113973</v>
      </c>
      <c r="G894" s="150">
        <v>268</v>
      </c>
      <c r="H894" s="155">
        <f t="shared" si="26"/>
        <v>0.0373134328358209</v>
      </c>
      <c r="I894" s="73">
        <f>'[1]Fliggy Store Daily Key Data'!I2561</f>
        <v>10</v>
      </c>
      <c r="J894" s="18">
        <f t="shared" si="27"/>
        <v>0.000807232805941233</v>
      </c>
      <c r="K894" s="5"/>
    </row>
    <row r="895" ht="13.85" spans="1:11">
      <c r="A895" s="156">
        <v>46003</v>
      </c>
      <c r="B895" s="150">
        <f>'[1]Fliggy Store Daily Key Data'!B2562</f>
        <v>41393</v>
      </c>
      <c r="C895" s="150">
        <f>'[1]Fliggy Store Daily Key Data'!C2562</f>
        <v>12511</v>
      </c>
      <c r="D895" s="150">
        <f>'[1]Fliggy Store Daily Key Data'!G2562</f>
        <v>6298</v>
      </c>
      <c r="E895" s="150">
        <v>57</v>
      </c>
      <c r="F895" s="150">
        <f>'[1]Fliggy Store Daily Key Data'!K2562</f>
        <v>128245</v>
      </c>
      <c r="G895" s="150">
        <v>253</v>
      </c>
      <c r="H895" s="155">
        <f t="shared" si="26"/>
        <v>0.0395256916996047</v>
      </c>
      <c r="I895" s="73">
        <f>'[1]Fliggy Store Daily Key Data'!I2562</f>
        <v>10</v>
      </c>
      <c r="J895" s="18">
        <f t="shared" si="27"/>
        <v>0.000799296618975302</v>
      </c>
      <c r="K895" s="5"/>
    </row>
    <row r="896" ht="13.85" spans="1:11">
      <c r="A896" s="156">
        <v>46004</v>
      </c>
      <c r="B896" s="150">
        <f>'[1]Fliggy Store Daily Key Data'!B2563</f>
        <v>48456</v>
      </c>
      <c r="C896" s="150">
        <f>'[1]Fliggy Store Daily Key Data'!C2563</f>
        <v>16953</v>
      </c>
      <c r="D896" s="150">
        <f>'[1]Fliggy Store Daily Key Data'!G2563</f>
        <v>6552</v>
      </c>
      <c r="E896" s="150">
        <v>63</v>
      </c>
      <c r="F896" s="150">
        <f>'[1]Fliggy Store Daily Key Data'!K2563</f>
        <v>38760</v>
      </c>
      <c r="G896" s="150">
        <v>126</v>
      </c>
      <c r="H896" s="155">
        <f t="shared" si="26"/>
        <v>0.0317460317460317</v>
      </c>
      <c r="I896" s="73">
        <f>'[1]Fliggy Store Daily Key Data'!I2563</f>
        <v>4</v>
      </c>
      <c r="J896" s="18">
        <f t="shared" si="27"/>
        <v>0.000235946440158084</v>
      </c>
      <c r="K896" s="5"/>
    </row>
    <row r="897" ht="13.85" spans="1:11">
      <c r="A897" s="156">
        <v>46005</v>
      </c>
      <c r="B897" s="150">
        <f>'[1]Fliggy Store Daily Key Data'!B2564</f>
        <v>47798</v>
      </c>
      <c r="C897" s="150">
        <f>'[1]Fliggy Store Daily Key Data'!C2564</f>
        <v>19600</v>
      </c>
      <c r="D897" s="150">
        <f>'[1]Fliggy Store Daily Key Data'!G2564</f>
        <v>4812</v>
      </c>
      <c r="E897" s="150">
        <v>28</v>
      </c>
      <c r="F897" s="150">
        <f>'[1]Fliggy Store Daily Key Data'!K2564</f>
        <v>72458</v>
      </c>
      <c r="G897" s="150">
        <v>151</v>
      </c>
      <c r="H897" s="155">
        <f t="shared" si="26"/>
        <v>0.0397350993377483</v>
      </c>
      <c r="I897" s="73">
        <f>'[1]Fliggy Store Daily Key Data'!I2564</f>
        <v>6</v>
      </c>
      <c r="J897" s="18">
        <f t="shared" si="27"/>
        <v>0.000306122448979592</v>
      </c>
      <c r="K897" s="5"/>
    </row>
    <row r="898" ht="13.85" spans="1:11">
      <c r="A898" s="156">
        <v>46006</v>
      </c>
      <c r="B898" s="150">
        <f>'[1]Fliggy Store Daily Key Data'!B2565</f>
        <v>38890</v>
      </c>
      <c r="C898" s="150">
        <f>'[1]Fliggy Store Daily Key Data'!C2565</f>
        <v>17621</v>
      </c>
      <c r="D898" s="150">
        <f>'[1]Fliggy Store Daily Key Data'!G2565</f>
        <v>3328</v>
      </c>
      <c r="E898" s="150">
        <v>53</v>
      </c>
      <c r="F898" s="150">
        <f>'[1]Fliggy Store Daily Key Data'!K2565</f>
        <v>146792.01</v>
      </c>
      <c r="G898" s="150">
        <v>193</v>
      </c>
      <c r="H898" s="155">
        <f t="shared" ref="H898:H961" si="28">I898/G898</f>
        <v>0.0621761658031088</v>
      </c>
      <c r="I898" s="73">
        <f>'[1]Fliggy Store Daily Key Data'!I2565</f>
        <v>12</v>
      </c>
      <c r="J898" s="18">
        <f t="shared" si="27"/>
        <v>0.000681005618296351</v>
      </c>
      <c r="K898" s="5"/>
    </row>
    <row r="899" ht="13.85" spans="1:11">
      <c r="A899" s="156">
        <v>46007</v>
      </c>
      <c r="B899" s="150">
        <f>'[1]Fliggy Store Daily Key Data'!B2566</f>
        <v>32841</v>
      </c>
      <c r="C899" s="150">
        <f>'[1]Fliggy Store Daily Key Data'!C2566</f>
        <v>13541</v>
      </c>
      <c r="D899" s="150">
        <f>'[1]Fliggy Store Daily Key Data'!G2566</f>
        <v>3286</v>
      </c>
      <c r="E899" s="150">
        <v>35</v>
      </c>
      <c r="F899" s="150">
        <f>'[1]Fliggy Store Daily Key Data'!K2566</f>
        <v>120594</v>
      </c>
      <c r="G899" s="150">
        <v>218</v>
      </c>
      <c r="H899" s="155">
        <f t="shared" si="28"/>
        <v>0.0412844036697248</v>
      </c>
      <c r="I899" s="73">
        <f>'[1]Fliggy Store Daily Key Data'!I2566</f>
        <v>9</v>
      </c>
      <c r="J899" s="18">
        <f t="shared" si="27"/>
        <v>0.000664648105752899</v>
      </c>
      <c r="K899" s="5"/>
    </row>
    <row r="900" ht="13.85" spans="1:11">
      <c r="A900" s="156">
        <v>46008</v>
      </c>
      <c r="B900" s="150">
        <f>'[1]Fliggy Store Daily Key Data'!B2567</f>
        <v>56070</v>
      </c>
      <c r="C900" s="150">
        <f>'[1]Fliggy Store Daily Key Data'!C2567</f>
        <v>25423</v>
      </c>
      <c r="D900" s="150">
        <f>'[1]Fliggy Store Daily Key Data'!G2567</f>
        <v>3506</v>
      </c>
      <c r="E900" s="150">
        <v>59</v>
      </c>
      <c r="F900" s="150">
        <f>'[1]Fliggy Store Daily Key Data'!K2567</f>
        <v>40993</v>
      </c>
      <c r="G900" s="150">
        <v>260</v>
      </c>
      <c r="H900" s="155">
        <f t="shared" si="28"/>
        <v>0.0153846153846154</v>
      </c>
      <c r="I900" s="73">
        <f>'[1]Fliggy Store Daily Key Data'!I2567</f>
        <v>4</v>
      </c>
      <c r="J900" s="18">
        <f t="shared" si="27"/>
        <v>0.000157337843684852</v>
      </c>
      <c r="K900" s="5"/>
    </row>
    <row r="901" ht="13.85" spans="1:11">
      <c r="A901" s="156">
        <v>46009</v>
      </c>
      <c r="B901" s="150">
        <f>'[1]Fliggy Store Daily Key Data'!B2568</f>
        <v>56578</v>
      </c>
      <c r="C901" s="150">
        <f>'[1]Fliggy Store Daily Key Data'!C2568</f>
        <v>26930</v>
      </c>
      <c r="D901" s="150">
        <f>'[1]Fliggy Store Daily Key Data'!G2568</f>
        <v>4347</v>
      </c>
      <c r="E901" s="150">
        <v>61</v>
      </c>
      <c r="F901" s="150">
        <f>'[1]Fliggy Store Daily Key Data'!K2568</f>
        <v>143652</v>
      </c>
      <c r="G901" s="150">
        <v>190</v>
      </c>
      <c r="H901" s="155">
        <f t="shared" si="28"/>
        <v>0.0578947368421053</v>
      </c>
      <c r="I901" s="73">
        <f>'[1]Fliggy Store Daily Key Data'!I2568</f>
        <v>11</v>
      </c>
      <c r="J901" s="18">
        <f t="shared" si="27"/>
        <v>0.000408466394355737</v>
      </c>
      <c r="K901" s="5"/>
    </row>
    <row r="902" ht="13.85" spans="1:11">
      <c r="A902" s="156">
        <v>46010</v>
      </c>
      <c r="B902" s="150">
        <f>'[1]Fliggy Store Daily Key Data'!B2569</f>
        <v>29842</v>
      </c>
      <c r="C902" s="150">
        <f>'[1]Fliggy Store Daily Key Data'!C2569</f>
        <v>11645</v>
      </c>
      <c r="D902" s="150">
        <f>'[1]Fliggy Store Daily Key Data'!G2569</f>
        <v>4714</v>
      </c>
      <c r="E902" s="150">
        <v>64</v>
      </c>
      <c r="F902" s="150">
        <f>'[1]Fliggy Store Daily Key Data'!K2569</f>
        <v>70036</v>
      </c>
      <c r="G902" s="150">
        <v>165</v>
      </c>
      <c r="H902" s="155">
        <f t="shared" si="28"/>
        <v>0.0484848484848485</v>
      </c>
      <c r="I902" s="73">
        <f>'[1]Fliggy Store Daily Key Data'!I2569</f>
        <v>8</v>
      </c>
      <c r="J902" s="18">
        <f t="shared" si="27"/>
        <v>0.00068699012451696</v>
      </c>
      <c r="K902" s="5"/>
    </row>
    <row r="903" ht="13.85" spans="1:11">
      <c r="A903" s="156">
        <v>46011</v>
      </c>
      <c r="B903" s="150">
        <f>'[1]Fliggy Store Daily Key Data'!B2570</f>
        <v>29929</v>
      </c>
      <c r="C903" s="150">
        <f>'[1]Fliggy Store Daily Key Data'!C2570</f>
        <v>12152</v>
      </c>
      <c r="D903" s="150">
        <f>'[1]Fliggy Store Daily Key Data'!G2570</f>
        <v>4014</v>
      </c>
      <c r="E903" s="150">
        <v>52</v>
      </c>
      <c r="F903" s="150">
        <f>'[1]Fliggy Store Daily Key Data'!K2570</f>
        <v>78059</v>
      </c>
      <c r="G903" s="150">
        <v>162</v>
      </c>
      <c r="H903" s="155">
        <f t="shared" si="28"/>
        <v>0.037037037037037</v>
      </c>
      <c r="I903" s="73">
        <f>'[1]Fliggy Store Daily Key Data'!I2570</f>
        <v>6</v>
      </c>
      <c r="J903" s="18">
        <f t="shared" si="27"/>
        <v>0.000493745885450955</v>
      </c>
      <c r="K903" s="5"/>
    </row>
    <row r="904" ht="13.85" spans="1:11">
      <c r="A904" s="156">
        <v>46012</v>
      </c>
      <c r="B904" s="150">
        <f>'[1]Fliggy Store Daily Key Data'!B2571</f>
        <v>38870</v>
      </c>
      <c r="C904" s="150">
        <f>'[1]Fliggy Store Daily Key Data'!C2571</f>
        <v>15732</v>
      </c>
      <c r="D904" s="150">
        <f>'[1]Fliggy Store Daily Key Data'!G2571</f>
        <v>3676</v>
      </c>
      <c r="E904" s="150">
        <v>59</v>
      </c>
      <c r="F904" s="150">
        <f>'[1]Fliggy Store Daily Key Data'!K2571</f>
        <v>91471</v>
      </c>
      <c r="G904" s="150">
        <v>155</v>
      </c>
      <c r="H904" s="155">
        <f t="shared" si="28"/>
        <v>0.0451612903225806</v>
      </c>
      <c r="I904" s="73">
        <f>'[1]Fliggy Store Daily Key Data'!I2571</f>
        <v>7</v>
      </c>
      <c r="J904" s="18">
        <f t="shared" si="27"/>
        <v>0.000444952962115434</v>
      </c>
      <c r="K904" s="5"/>
    </row>
    <row r="905" ht="13.85" spans="1:11">
      <c r="A905" s="156">
        <v>46013</v>
      </c>
      <c r="B905" s="150">
        <f>'[1]Fliggy Store Daily Key Data'!B2572</f>
        <v>23648</v>
      </c>
      <c r="C905" s="150">
        <f>'[1]Fliggy Store Daily Key Data'!C2572</f>
        <v>9229</v>
      </c>
      <c r="D905" s="150">
        <f>'[1]Fliggy Store Daily Key Data'!G2572</f>
        <v>2705</v>
      </c>
      <c r="E905" s="150">
        <v>96</v>
      </c>
      <c r="F905" s="150">
        <f>'[1]Fliggy Store Daily Key Data'!K2572</f>
        <v>93589</v>
      </c>
      <c r="G905" s="150">
        <v>189</v>
      </c>
      <c r="H905" s="155">
        <f t="shared" si="28"/>
        <v>0.0476190476190476</v>
      </c>
      <c r="I905" s="73">
        <f>'[1]Fliggy Store Daily Key Data'!I2572</f>
        <v>9</v>
      </c>
      <c r="J905" s="18">
        <f t="shared" si="27"/>
        <v>0.000975186910824575</v>
      </c>
      <c r="K905" s="5"/>
    </row>
    <row r="906" ht="13.85" spans="1:11">
      <c r="A906" s="156">
        <v>46014</v>
      </c>
      <c r="B906" s="150">
        <f>'[1]Fliggy Store Daily Key Data'!B2573</f>
        <v>25071</v>
      </c>
      <c r="C906" s="150">
        <f>'[1]Fliggy Store Daily Key Data'!C2573</f>
        <v>9741</v>
      </c>
      <c r="D906" s="150">
        <f>'[1]Fliggy Store Daily Key Data'!G2573</f>
        <v>2935</v>
      </c>
      <c r="E906" s="150">
        <v>104</v>
      </c>
      <c r="F906" s="150">
        <f>'[1]Fliggy Store Daily Key Data'!K2573</f>
        <v>68468</v>
      </c>
      <c r="G906" s="150">
        <v>191</v>
      </c>
      <c r="H906" s="155">
        <f t="shared" si="28"/>
        <v>0.0209424083769634</v>
      </c>
      <c r="I906" s="73">
        <f>'[1]Fliggy Store Daily Key Data'!I2573</f>
        <v>4</v>
      </c>
      <c r="J906" s="18">
        <f t="shared" si="27"/>
        <v>0.00041063545837183</v>
      </c>
      <c r="K906" s="5"/>
    </row>
    <row r="907" ht="13.85" spans="1:11">
      <c r="A907" s="156">
        <v>46015</v>
      </c>
      <c r="B907" s="150">
        <f>'[1]Fliggy Store Daily Key Data'!B2574</f>
        <v>31430</v>
      </c>
      <c r="C907" s="150">
        <f>'[1]Fliggy Store Daily Key Data'!C2574</f>
        <v>11689</v>
      </c>
      <c r="D907" s="150">
        <f>'[1]Fliggy Store Daily Key Data'!G2574</f>
        <v>3497</v>
      </c>
      <c r="E907" s="150">
        <v>75</v>
      </c>
      <c r="F907" s="150">
        <f>'[1]Fliggy Store Daily Key Data'!K2574</f>
        <v>29678</v>
      </c>
      <c r="G907" s="150">
        <v>122</v>
      </c>
      <c r="H907" s="155">
        <f t="shared" si="28"/>
        <v>0.0163934426229508</v>
      </c>
      <c r="I907" s="73">
        <f>'[1]Fliggy Store Daily Key Data'!I2574</f>
        <v>2</v>
      </c>
      <c r="J907" s="18">
        <f t="shared" si="27"/>
        <v>0.000171101035161263</v>
      </c>
      <c r="K907" s="5"/>
    </row>
    <row r="908" ht="13.85" spans="1:11">
      <c r="A908" s="156">
        <v>46016</v>
      </c>
      <c r="B908" s="150">
        <f>'[1]Fliggy Store Daily Key Data'!B2575</f>
        <v>50240</v>
      </c>
      <c r="C908" s="150">
        <f>'[1]Fliggy Store Daily Key Data'!C2575</f>
        <v>19012</v>
      </c>
      <c r="D908" s="150">
        <f>'[1]Fliggy Store Daily Key Data'!G2575</f>
        <v>4345</v>
      </c>
      <c r="E908" s="150">
        <v>56</v>
      </c>
      <c r="F908" s="150">
        <f>'[1]Fliggy Store Daily Key Data'!K2575</f>
        <v>51492</v>
      </c>
      <c r="G908" s="150">
        <v>141</v>
      </c>
      <c r="H908" s="155">
        <f t="shared" si="28"/>
        <v>0.0425531914893617</v>
      </c>
      <c r="I908" s="73">
        <f>'[1]Fliggy Store Daily Key Data'!I2575</f>
        <v>6</v>
      </c>
      <c r="J908" s="18">
        <f t="shared" si="27"/>
        <v>0.000315590153587208</v>
      </c>
      <c r="K908" s="5"/>
    </row>
    <row r="909" ht="13.85" spans="1:11">
      <c r="A909" s="156">
        <v>46017</v>
      </c>
      <c r="B909" s="150">
        <f>'[1]Fliggy Store Daily Key Data'!B2576</f>
        <v>50313</v>
      </c>
      <c r="C909" s="150">
        <f>'[1]Fliggy Store Daily Key Data'!C2576</f>
        <v>17574</v>
      </c>
      <c r="D909" s="150">
        <f>'[1]Fliggy Store Daily Key Data'!G2576</f>
        <v>4374</v>
      </c>
      <c r="E909" s="150">
        <v>46</v>
      </c>
      <c r="F909" s="150">
        <f>'[1]Fliggy Store Daily Key Data'!K2576</f>
        <v>56046.01</v>
      </c>
      <c r="G909" s="150">
        <v>157</v>
      </c>
      <c r="H909" s="155">
        <f t="shared" si="28"/>
        <v>0.0445859872611465</v>
      </c>
      <c r="I909" s="73">
        <f>'[1]Fliggy Store Daily Key Data'!I2576</f>
        <v>7</v>
      </c>
      <c r="J909" s="18">
        <f t="shared" si="27"/>
        <v>0.000398315693638329</v>
      </c>
      <c r="K909" s="5"/>
    </row>
    <row r="910" ht="13.85" spans="1:11">
      <c r="A910" s="156">
        <v>46018</v>
      </c>
      <c r="B910" s="150">
        <f>'[1]Fliggy Store Daily Key Data'!B2577</f>
        <v>33139</v>
      </c>
      <c r="C910" s="150">
        <f>'[1]Fliggy Store Daily Key Data'!C2577</f>
        <v>11814</v>
      </c>
      <c r="D910" s="150">
        <f>'[1]Fliggy Store Daily Key Data'!G2577</f>
        <v>3810</v>
      </c>
      <c r="E910" s="150">
        <v>46</v>
      </c>
      <c r="F910" s="150">
        <f>'[1]Fliggy Store Daily Key Data'!K2577</f>
        <v>15974</v>
      </c>
      <c r="G910" s="150">
        <v>146</v>
      </c>
      <c r="H910" s="155">
        <f t="shared" si="28"/>
        <v>0.00684931506849315</v>
      </c>
      <c r="I910" s="73">
        <f>'[1]Fliggy Store Daily Key Data'!I2577</f>
        <v>1</v>
      </c>
      <c r="J910" s="18">
        <f t="shared" si="27"/>
        <v>8.46453360419841e-5</v>
      </c>
      <c r="K910" s="5"/>
    </row>
    <row r="911" ht="13.85" spans="1:11">
      <c r="A911" s="156">
        <v>46019</v>
      </c>
      <c r="B911" s="150">
        <f>'[1]Fliggy Store Daily Key Data'!B2578</f>
        <v>41718</v>
      </c>
      <c r="C911" s="150">
        <f>'[1]Fliggy Store Daily Key Data'!C2578</f>
        <v>16056</v>
      </c>
      <c r="D911" s="150">
        <f>'[1]Fliggy Store Daily Key Data'!G2578</f>
        <v>4276</v>
      </c>
      <c r="E911" s="150">
        <v>49</v>
      </c>
      <c r="F911" s="150">
        <f>'[1]Fliggy Store Daily Key Data'!K2578</f>
        <v>44886</v>
      </c>
      <c r="G911" s="150">
        <v>141</v>
      </c>
      <c r="H911" s="155">
        <f t="shared" si="28"/>
        <v>0.0283687943262411</v>
      </c>
      <c r="I911" s="73">
        <f>'[1]Fliggy Store Daily Key Data'!I2578</f>
        <v>4</v>
      </c>
      <c r="J911" s="18">
        <f t="shared" si="27"/>
        <v>0.000249128051818635</v>
      </c>
      <c r="K911" s="5"/>
    </row>
    <row r="912" ht="13.85" spans="1:11">
      <c r="A912" s="156">
        <v>46020</v>
      </c>
      <c r="B912" s="150">
        <f>'[1]Fliggy Store Daily Key Data'!B2579</f>
        <v>35747</v>
      </c>
      <c r="C912" s="150">
        <f>'[1]Fliggy Store Daily Key Data'!C2579</f>
        <v>14567</v>
      </c>
      <c r="D912" s="150">
        <f>'[1]Fliggy Store Daily Key Data'!G2579</f>
        <v>6466</v>
      </c>
      <c r="E912" s="150">
        <v>59</v>
      </c>
      <c r="F912" s="150">
        <f>'[1]Fliggy Store Daily Key Data'!K2579</f>
        <v>80598</v>
      </c>
      <c r="G912" s="150">
        <v>160</v>
      </c>
      <c r="H912" s="155">
        <f t="shared" si="28"/>
        <v>0.0375</v>
      </c>
      <c r="I912" s="73">
        <f>'[1]Fliggy Store Daily Key Data'!I2579</f>
        <v>6</v>
      </c>
      <c r="J912" s="18">
        <f t="shared" si="27"/>
        <v>0.000411889888103247</v>
      </c>
      <c r="K912" s="5"/>
    </row>
    <row r="913" ht="13.85" spans="1:11">
      <c r="A913" s="156">
        <v>46021</v>
      </c>
      <c r="B913" s="150">
        <f>'[1]Fliggy Store Daily Key Data'!B2580</f>
        <v>32466</v>
      </c>
      <c r="C913" s="150">
        <f>'[1]Fliggy Store Daily Key Data'!C2580</f>
        <v>13272</v>
      </c>
      <c r="D913" s="150">
        <f>'[1]Fliggy Store Daily Key Data'!G2580</f>
        <v>5845</v>
      </c>
      <c r="E913" s="150">
        <v>79</v>
      </c>
      <c r="F913" s="150">
        <f>'[1]Fliggy Store Daily Key Data'!K2580</f>
        <v>5574</v>
      </c>
      <c r="G913" s="150">
        <v>154</v>
      </c>
      <c r="H913" s="155">
        <f t="shared" si="28"/>
        <v>0.00649350649350649</v>
      </c>
      <c r="I913" s="73">
        <f>'[1]Fliggy Store Daily Key Data'!I2580</f>
        <v>1</v>
      </c>
      <c r="J913" s="18">
        <f t="shared" si="27"/>
        <v>7.53465943339361e-5</v>
      </c>
      <c r="K913" s="5"/>
    </row>
    <row r="914" ht="13.85" spans="1:11">
      <c r="A914" s="156">
        <v>46022</v>
      </c>
      <c r="B914" s="150">
        <f>'[1]Fliggy Store Daily Key Data'!B2581</f>
        <v>33268</v>
      </c>
      <c r="C914" s="150">
        <f>'[1]Fliggy Store Daily Key Data'!C2581</f>
        <v>13139</v>
      </c>
      <c r="D914" s="150">
        <f>'[1]Fliggy Store Daily Key Data'!G2581</f>
        <v>5469</v>
      </c>
      <c r="E914" s="150">
        <v>55</v>
      </c>
      <c r="F914" s="150">
        <f>'[1]Fliggy Store Daily Key Data'!K2581</f>
        <v>66256</v>
      </c>
      <c r="G914" s="150">
        <v>130</v>
      </c>
      <c r="H914" s="155">
        <f t="shared" si="28"/>
        <v>0.0307692307692308</v>
      </c>
      <c r="I914" s="73">
        <f>'[1]Fliggy Store Daily Key Data'!I2581</f>
        <v>4</v>
      </c>
      <c r="J914" s="18">
        <f t="shared" si="27"/>
        <v>0.000304437171778674</v>
      </c>
      <c r="K914" s="5"/>
    </row>
    <row r="915" ht="13.85" spans="1:11">
      <c r="A915" s="156">
        <v>46023</v>
      </c>
      <c r="B915" s="150">
        <f>'[1]Fliggy Store Daily Key Data'!B2582</f>
        <v>39078</v>
      </c>
      <c r="C915" s="150">
        <f>'[1]Fliggy Store Daily Key Data'!C2582</f>
        <v>16089</v>
      </c>
      <c r="D915" s="150">
        <f>'[1]Fliggy Store Daily Key Data'!G2582</f>
        <v>4822</v>
      </c>
      <c r="E915" s="150">
        <v>30</v>
      </c>
      <c r="F915" s="150">
        <f>'[1]Fliggy Store Daily Key Data'!K2582</f>
        <v>0</v>
      </c>
      <c r="G915" s="150">
        <v>116</v>
      </c>
      <c r="H915" s="155">
        <f t="shared" si="28"/>
        <v>0</v>
      </c>
      <c r="I915" s="73">
        <f>'[1]Fliggy Store Daily Key Data'!I2582</f>
        <v>0</v>
      </c>
      <c r="J915" s="18">
        <f t="shared" si="27"/>
        <v>0</v>
      </c>
      <c r="K915" s="5"/>
    </row>
    <row r="916" ht="13.85" spans="1:11">
      <c r="A916" s="156">
        <v>46024</v>
      </c>
      <c r="B916" s="150">
        <f>'[1]Fliggy Store Daily Key Data'!B2583</f>
        <v>44653</v>
      </c>
      <c r="C916" s="150">
        <f>'[1]Fliggy Store Daily Key Data'!C2583</f>
        <v>18902</v>
      </c>
      <c r="D916" s="150">
        <f>'[1]Fliggy Store Daily Key Data'!G2583</f>
        <v>4943</v>
      </c>
      <c r="E916" s="150">
        <v>51</v>
      </c>
      <c r="F916" s="150">
        <f>'[1]Fliggy Store Daily Key Data'!K2583</f>
        <v>38386</v>
      </c>
      <c r="G916" s="150">
        <v>211</v>
      </c>
      <c r="H916" s="155">
        <f t="shared" si="28"/>
        <v>0.014218009478673</v>
      </c>
      <c r="I916" s="73">
        <f>'[1]Fliggy Store Daily Key Data'!I2583</f>
        <v>3</v>
      </c>
      <c r="J916" s="18">
        <f t="shared" si="27"/>
        <v>0.000158713363665221</v>
      </c>
      <c r="K916" s="5"/>
    </row>
    <row r="917" ht="13.85" spans="1:11">
      <c r="A917" s="156">
        <v>46025</v>
      </c>
      <c r="B917" s="150">
        <f>'[1]Fliggy Store Daily Key Data'!B2584</f>
        <v>34797</v>
      </c>
      <c r="C917" s="150">
        <f>'[1]Fliggy Store Daily Key Data'!C2584</f>
        <v>14277</v>
      </c>
      <c r="D917" s="150">
        <f>'[1]Fliggy Store Daily Key Data'!G2584</f>
        <v>4739</v>
      </c>
      <c r="E917" s="150">
        <v>55</v>
      </c>
      <c r="F917" s="150">
        <f>'[1]Fliggy Store Daily Key Data'!K2584</f>
        <v>38544.02</v>
      </c>
      <c r="G917" s="150">
        <v>214</v>
      </c>
      <c r="H917" s="155">
        <f t="shared" si="28"/>
        <v>0.0233644859813084</v>
      </c>
      <c r="I917" s="73">
        <f>'[1]Fliggy Store Daily Key Data'!I2584</f>
        <v>5</v>
      </c>
      <c r="J917" s="18">
        <f t="shared" si="27"/>
        <v>0.000350213630314492</v>
      </c>
      <c r="K917" s="5"/>
    </row>
    <row r="918" ht="13.85" spans="1:11">
      <c r="A918" s="156">
        <v>46026</v>
      </c>
      <c r="B918" s="150">
        <f>'[1]Fliggy Store Daily Key Data'!B2585</f>
        <v>37647</v>
      </c>
      <c r="C918" s="150">
        <f>'[1]Fliggy Store Daily Key Data'!C2585</f>
        <v>13515</v>
      </c>
      <c r="D918" s="150">
        <f>'[1]Fliggy Store Daily Key Data'!G2585</f>
        <v>5438</v>
      </c>
      <c r="E918" s="150">
        <v>66</v>
      </c>
      <c r="F918" s="150">
        <f>'[1]Fliggy Store Daily Key Data'!K2585</f>
        <v>92263</v>
      </c>
      <c r="G918" s="150">
        <v>226</v>
      </c>
      <c r="H918" s="155">
        <f t="shared" si="28"/>
        <v>0.0353982300884956</v>
      </c>
      <c r="I918" s="73">
        <f>'[1]Fliggy Store Daily Key Data'!I2585</f>
        <v>8</v>
      </c>
      <c r="J918" s="18">
        <f t="shared" si="27"/>
        <v>0.000591934887162412</v>
      </c>
      <c r="K918" s="5"/>
    </row>
    <row r="919" ht="13.85" spans="1:11">
      <c r="A919" s="156">
        <v>46027</v>
      </c>
      <c r="B919" s="150">
        <f>'[1]Fliggy Store Daily Key Data'!B2586</f>
        <v>30510</v>
      </c>
      <c r="C919" s="150">
        <f>'[1]Fliggy Store Daily Key Data'!C2586</f>
        <v>10825</v>
      </c>
      <c r="D919" s="150">
        <f>'[1]Fliggy Store Daily Key Data'!G2586</f>
        <v>4329</v>
      </c>
      <c r="E919" s="150">
        <v>39</v>
      </c>
      <c r="F919" s="150">
        <f>'[1]Fliggy Store Daily Key Data'!K2586</f>
        <v>68518</v>
      </c>
      <c r="G919" s="150">
        <v>237</v>
      </c>
      <c r="H919" s="155">
        <f t="shared" si="28"/>
        <v>0.029535864978903</v>
      </c>
      <c r="I919" s="73">
        <f>'[1]Fliggy Store Daily Key Data'!I2586</f>
        <v>7</v>
      </c>
      <c r="J919" s="18">
        <f t="shared" si="27"/>
        <v>0.000646651270207852</v>
      </c>
      <c r="K919" s="5"/>
    </row>
    <row r="920" ht="13.85" spans="1:11">
      <c r="A920" s="156">
        <v>46028</v>
      </c>
      <c r="B920" s="150">
        <f>'[1]Fliggy Store Daily Key Data'!B2587</f>
        <v>39195</v>
      </c>
      <c r="C920" s="150">
        <f>'[1]Fliggy Store Daily Key Data'!C2587</f>
        <v>16378</v>
      </c>
      <c r="D920" s="150">
        <f>'[1]Fliggy Store Daily Key Data'!G2587</f>
        <v>5790</v>
      </c>
      <c r="E920" s="150">
        <v>24</v>
      </c>
      <c r="F920" s="150">
        <f>'[1]Fliggy Store Daily Key Data'!K2587</f>
        <v>61154</v>
      </c>
      <c r="G920" s="150">
        <v>243</v>
      </c>
      <c r="H920" s="155">
        <f t="shared" si="28"/>
        <v>0.0205761316872428</v>
      </c>
      <c r="I920" s="73">
        <f>'[1]Fliggy Store Daily Key Data'!I2587</f>
        <v>5</v>
      </c>
      <c r="J920" s="18">
        <f t="shared" ref="J920:J983" si="29">I920/C920</f>
        <v>0.000305287580901209</v>
      </c>
      <c r="K920" s="5"/>
    </row>
    <row r="921" ht="13.85" spans="1:11">
      <c r="A921" s="156">
        <v>46029</v>
      </c>
      <c r="B921" s="150">
        <f>'[1]Fliggy Store Daily Key Data'!B2588</f>
        <v>40453</v>
      </c>
      <c r="C921" s="150">
        <f>'[1]Fliggy Store Daily Key Data'!C2588</f>
        <v>15597</v>
      </c>
      <c r="D921" s="150">
        <f>'[1]Fliggy Store Daily Key Data'!G2588</f>
        <v>5630</v>
      </c>
      <c r="E921" s="150">
        <v>34</v>
      </c>
      <c r="F921" s="150">
        <f>'[1]Fliggy Store Daily Key Data'!K2588</f>
        <v>86499</v>
      </c>
      <c r="G921" s="150">
        <v>194</v>
      </c>
      <c r="H921" s="155">
        <f t="shared" si="28"/>
        <v>0.0463917525773196</v>
      </c>
      <c r="I921" s="73">
        <f>'[1]Fliggy Store Daily Key Data'!I2588</f>
        <v>9</v>
      </c>
      <c r="J921" s="18">
        <f t="shared" si="29"/>
        <v>0.000577034045008655</v>
      </c>
      <c r="K921" s="5"/>
    </row>
    <row r="922" ht="13.85" spans="1:11">
      <c r="A922" s="156">
        <v>46030</v>
      </c>
      <c r="B922" s="150">
        <f>'[1]Fliggy Store Daily Key Data'!B2589</f>
        <v>41127</v>
      </c>
      <c r="C922" s="150">
        <f>'[1]Fliggy Store Daily Key Data'!C2589</f>
        <v>18309</v>
      </c>
      <c r="D922" s="150">
        <f>'[1]Fliggy Store Daily Key Data'!G2589</f>
        <v>6105</v>
      </c>
      <c r="E922" s="150">
        <v>32</v>
      </c>
      <c r="F922" s="150">
        <f>'[1]Fliggy Store Daily Key Data'!K2589</f>
        <v>127231</v>
      </c>
      <c r="G922" s="150">
        <v>201</v>
      </c>
      <c r="H922" s="155">
        <f t="shared" si="28"/>
        <v>0.0497512437810945</v>
      </c>
      <c r="I922" s="73">
        <f>'[1]Fliggy Store Daily Key Data'!I2589</f>
        <v>10</v>
      </c>
      <c r="J922" s="18">
        <f t="shared" si="29"/>
        <v>0.000546179474575345</v>
      </c>
      <c r="K922" s="5"/>
    </row>
    <row r="923" ht="13.85" spans="1:11">
      <c r="A923" s="156">
        <v>46031</v>
      </c>
      <c r="B923" s="150">
        <f>'[1]Fliggy Store Daily Key Data'!B2590</f>
        <v>55372</v>
      </c>
      <c r="C923" s="150">
        <f>'[1]Fliggy Store Daily Key Data'!C2590</f>
        <v>26058</v>
      </c>
      <c r="D923" s="150">
        <f>'[1]Fliggy Store Daily Key Data'!G2590</f>
        <v>9336</v>
      </c>
      <c r="E923" s="150">
        <v>29</v>
      </c>
      <c r="F923" s="150">
        <f>'[1]Fliggy Store Daily Key Data'!K2590</f>
        <v>61136</v>
      </c>
      <c r="G923" s="150">
        <v>201</v>
      </c>
      <c r="H923" s="155">
        <f t="shared" si="28"/>
        <v>0.0199004975124378</v>
      </c>
      <c r="I923" s="73">
        <f>'[1]Fliggy Store Daily Key Data'!I2590</f>
        <v>4</v>
      </c>
      <c r="J923" s="18">
        <f t="shared" si="29"/>
        <v>0.00015350372246527</v>
      </c>
      <c r="K923" s="5"/>
    </row>
    <row r="924" ht="13.85" spans="1:11">
      <c r="A924" s="156">
        <v>46032</v>
      </c>
      <c r="B924" s="150">
        <f>'[1]Fliggy Store Daily Key Data'!B2591</f>
        <v>52096</v>
      </c>
      <c r="C924" s="150">
        <f>'[1]Fliggy Store Daily Key Data'!C2591</f>
        <v>26800</v>
      </c>
      <c r="D924" s="150">
        <f>'[1]Fliggy Store Daily Key Data'!G2591</f>
        <v>6894</v>
      </c>
      <c r="E924" s="150">
        <v>21</v>
      </c>
      <c r="F924" s="150">
        <f>'[1]Fliggy Store Daily Key Data'!K2591</f>
        <v>62420</v>
      </c>
      <c r="G924" s="150">
        <v>160</v>
      </c>
      <c r="H924" s="155">
        <f t="shared" si="28"/>
        <v>0.03125</v>
      </c>
      <c r="I924" s="73">
        <f>'[1]Fliggy Store Daily Key Data'!I2591</f>
        <v>5</v>
      </c>
      <c r="J924" s="18">
        <f t="shared" si="29"/>
        <v>0.000186567164179104</v>
      </c>
      <c r="K924" s="5"/>
    </row>
    <row r="925" ht="13.85" spans="1:11">
      <c r="A925" s="156">
        <v>46033</v>
      </c>
      <c r="B925" s="150">
        <f>'[1]Fliggy Store Daily Key Data'!B2592</f>
        <v>53657</v>
      </c>
      <c r="C925" s="150">
        <f>'[1]Fliggy Store Daily Key Data'!C2592</f>
        <v>25631</v>
      </c>
      <c r="D925" s="150">
        <f>'[1]Fliggy Store Daily Key Data'!G2592</f>
        <v>4113</v>
      </c>
      <c r="E925" s="150">
        <v>44</v>
      </c>
      <c r="F925" s="150">
        <f>'[1]Fliggy Store Daily Key Data'!K2592</f>
        <v>49390</v>
      </c>
      <c r="G925" s="150">
        <v>173</v>
      </c>
      <c r="H925" s="155">
        <f t="shared" si="28"/>
        <v>0.0289017341040462</v>
      </c>
      <c r="I925" s="73">
        <f>'[1]Fliggy Store Daily Key Data'!I2592</f>
        <v>5</v>
      </c>
      <c r="J925" s="18">
        <f t="shared" si="29"/>
        <v>0.000195076274823456</v>
      </c>
      <c r="K925" s="5"/>
    </row>
    <row r="926" ht="13.85" spans="1:11">
      <c r="A926" s="156">
        <v>46034</v>
      </c>
      <c r="B926" s="150">
        <f>'[1]Fliggy Store Daily Key Data'!B2593</f>
        <v>64174</v>
      </c>
      <c r="C926" s="150">
        <f>'[1]Fliggy Store Daily Key Data'!C2593</f>
        <v>32553</v>
      </c>
      <c r="D926" s="150">
        <f>'[1]Fliggy Store Daily Key Data'!G2593</f>
        <v>4194</v>
      </c>
      <c r="E926" s="150">
        <v>37</v>
      </c>
      <c r="F926" s="150">
        <f>'[1]Fliggy Store Daily Key Data'!K2593</f>
        <v>116334</v>
      </c>
      <c r="G926" s="150">
        <v>194</v>
      </c>
      <c r="H926" s="155">
        <f t="shared" si="28"/>
        <v>0.0463917525773196</v>
      </c>
      <c r="I926" s="73">
        <f>'[1]Fliggy Store Daily Key Data'!I2593</f>
        <v>9</v>
      </c>
      <c r="J926" s="18">
        <f t="shared" si="29"/>
        <v>0.000276472214542438</v>
      </c>
      <c r="K926" s="5"/>
    </row>
    <row r="927" ht="13.85" spans="1:11">
      <c r="A927" s="156">
        <v>46035</v>
      </c>
      <c r="B927" s="150">
        <f>'[1]Fliggy Store Daily Key Data'!B2594</f>
        <v>68872</v>
      </c>
      <c r="C927" s="150">
        <f>'[1]Fliggy Store Daily Key Data'!C2594</f>
        <v>36161</v>
      </c>
      <c r="D927" s="150">
        <f>'[1]Fliggy Store Daily Key Data'!G2594</f>
        <v>4461</v>
      </c>
      <c r="E927" s="150">
        <v>32</v>
      </c>
      <c r="F927" s="150">
        <f>'[1]Fliggy Store Daily Key Data'!K2594</f>
        <v>201005</v>
      </c>
      <c r="G927" s="150">
        <v>182</v>
      </c>
      <c r="H927" s="155">
        <f t="shared" si="28"/>
        <v>0.0824175824175824</v>
      </c>
      <c r="I927" s="73">
        <f>'[1]Fliggy Store Daily Key Data'!I2594</f>
        <v>15</v>
      </c>
      <c r="J927" s="18">
        <f t="shared" si="29"/>
        <v>0.000414811537291557</v>
      </c>
      <c r="K927" s="5"/>
    </row>
    <row r="928" ht="13.85" spans="1:11">
      <c r="A928" s="156">
        <v>46036</v>
      </c>
      <c r="B928" s="150">
        <f>'[1]Fliggy Store Daily Key Data'!B2595</f>
        <v>63057</v>
      </c>
      <c r="C928" s="150">
        <f>'[1]Fliggy Store Daily Key Data'!C2595</f>
        <v>35955</v>
      </c>
      <c r="D928" s="150">
        <f>'[1]Fliggy Store Daily Key Data'!G2595</f>
        <v>5398</v>
      </c>
      <c r="E928" s="150">
        <v>42</v>
      </c>
      <c r="F928" s="150">
        <f>'[1]Fliggy Store Daily Key Data'!K2595</f>
        <v>83733.02</v>
      </c>
      <c r="G928" s="150">
        <v>189</v>
      </c>
      <c r="H928" s="155">
        <f t="shared" si="28"/>
        <v>0.0476190476190476</v>
      </c>
      <c r="I928" s="73">
        <f>'[1]Fliggy Store Daily Key Data'!I2595</f>
        <v>9</v>
      </c>
      <c r="J928" s="18">
        <f t="shared" si="29"/>
        <v>0.000250312891113892</v>
      </c>
      <c r="K928" s="5"/>
    </row>
    <row r="929" ht="13.85" spans="1:11">
      <c r="A929" s="156">
        <v>46037</v>
      </c>
      <c r="B929" s="150">
        <f>'[1]Fliggy Store Daily Key Data'!B2596</f>
        <v>49648</v>
      </c>
      <c r="C929" s="150">
        <f>'[1]Fliggy Store Daily Key Data'!C2596</f>
        <v>26088</v>
      </c>
      <c r="D929" s="150">
        <f>'[1]Fliggy Store Daily Key Data'!G2596</f>
        <v>3510</v>
      </c>
      <c r="E929" s="150">
        <v>23</v>
      </c>
      <c r="F929" s="150">
        <f>'[1]Fliggy Store Daily Key Data'!K2596</f>
        <v>45516</v>
      </c>
      <c r="G929" s="150">
        <v>178</v>
      </c>
      <c r="H929" s="155">
        <f t="shared" si="28"/>
        <v>0.0337078651685393</v>
      </c>
      <c r="I929" s="73">
        <f>'[1]Fliggy Store Daily Key Data'!I2596</f>
        <v>6</v>
      </c>
      <c r="J929" s="18">
        <f t="shared" si="29"/>
        <v>0.000229990800367985</v>
      </c>
      <c r="K929" s="5"/>
    </row>
    <row r="930" ht="13.85" spans="1:11">
      <c r="A930" s="156">
        <v>46038</v>
      </c>
      <c r="B930" s="150">
        <f>'[1]Fliggy Store Daily Key Data'!B2597</f>
        <v>52286</v>
      </c>
      <c r="C930" s="150">
        <f>'[1]Fliggy Store Daily Key Data'!C2597</f>
        <v>27021</v>
      </c>
      <c r="D930" s="150">
        <f>'[1]Fliggy Store Daily Key Data'!G2597</f>
        <v>3712</v>
      </c>
      <c r="E930" s="150">
        <v>63</v>
      </c>
      <c r="F930" s="150">
        <f>'[1]Fliggy Store Daily Key Data'!K2597</f>
        <v>94736</v>
      </c>
      <c r="G930" s="150">
        <v>211</v>
      </c>
      <c r="H930" s="155">
        <f t="shared" si="28"/>
        <v>0.037914691943128</v>
      </c>
      <c r="I930" s="73">
        <f>'[1]Fliggy Store Daily Key Data'!I2597</f>
        <v>8</v>
      </c>
      <c r="J930" s="18">
        <f t="shared" si="29"/>
        <v>0.000296066022723067</v>
      </c>
      <c r="K930" s="5"/>
    </row>
    <row r="931" ht="13.85" spans="1:11">
      <c r="A931" s="156">
        <v>46039</v>
      </c>
      <c r="B931" s="150">
        <f>'[1]Fliggy Store Daily Key Data'!B2598</f>
        <v>49943</v>
      </c>
      <c r="C931" s="150">
        <f>'[1]Fliggy Store Daily Key Data'!C2598</f>
        <v>22102</v>
      </c>
      <c r="D931" s="150">
        <f>'[1]Fliggy Store Daily Key Data'!G2598</f>
        <v>3858</v>
      </c>
      <c r="E931" s="150">
        <v>51</v>
      </c>
      <c r="F931" s="150">
        <f>'[1]Fliggy Store Daily Key Data'!K2598</f>
        <v>3217</v>
      </c>
      <c r="G931" s="150">
        <v>175</v>
      </c>
      <c r="H931" s="155">
        <f t="shared" si="28"/>
        <v>0</v>
      </c>
      <c r="I931" s="73">
        <f>'[1]Fliggy Store Daily Key Data'!I2598</f>
        <v>0</v>
      </c>
      <c r="J931" s="18">
        <f t="shared" si="29"/>
        <v>0</v>
      </c>
      <c r="K931" s="5"/>
    </row>
    <row r="932" ht="13.85" spans="1:11">
      <c r="A932" s="156">
        <v>46040</v>
      </c>
      <c r="B932" s="150">
        <f>'[1]Fliggy Store Daily Key Data'!B2599</f>
        <v>56413</v>
      </c>
      <c r="C932" s="150">
        <f>'[1]Fliggy Store Daily Key Data'!C2599</f>
        <v>27454</v>
      </c>
      <c r="D932" s="150">
        <f>'[1]Fliggy Store Daily Key Data'!G2599</f>
        <v>4087</v>
      </c>
      <c r="E932" s="150">
        <v>89</v>
      </c>
      <c r="F932" s="150">
        <f>'[1]Fliggy Store Daily Key Data'!K2599</f>
        <v>175115.92</v>
      </c>
      <c r="G932" s="150">
        <v>196</v>
      </c>
      <c r="H932" s="155">
        <f t="shared" si="28"/>
        <v>0.076530612244898</v>
      </c>
      <c r="I932" s="73">
        <f>'[1]Fliggy Store Daily Key Data'!I2599</f>
        <v>15</v>
      </c>
      <c r="J932" s="18">
        <f t="shared" si="29"/>
        <v>0.000546368470896773</v>
      </c>
      <c r="K932" s="5"/>
    </row>
    <row r="933" ht="13.85" spans="1:11">
      <c r="A933" s="156">
        <v>46041</v>
      </c>
      <c r="B933" s="150">
        <f>'[1]Fliggy Store Daily Key Data'!B2600</f>
        <v>81940</v>
      </c>
      <c r="C933" s="150">
        <f>'[1]Fliggy Store Daily Key Data'!C2600</f>
        <v>43402</v>
      </c>
      <c r="D933" s="150">
        <f>'[1]Fliggy Store Daily Key Data'!G2600</f>
        <v>5347</v>
      </c>
      <c r="E933" s="150">
        <v>312</v>
      </c>
      <c r="F933" s="150">
        <f>'[1]Fliggy Store Daily Key Data'!K2600</f>
        <v>174756</v>
      </c>
      <c r="G933" s="150">
        <v>236</v>
      </c>
      <c r="H933" s="155">
        <f t="shared" si="28"/>
        <v>0.0550847457627119</v>
      </c>
      <c r="I933" s="73">
        <f>'[1]Fliggy Store Daily Key Data'!I2600</f>
        <v>13</v>
      </c>
      <c r="J933" s="18">
        <f t="shared" si="29"/>
        <v>0.000299525367494586</v>
      </c>
      <c r="K933" s="5"/>
    </row>
    <row r="934" ht="13.85" spans="1:11">
      <c r="A934" s="156">
        <v>46042</v>
      </c>
      <c r="B934" s="150">
        <f>'[1]Fliggy Store Daily Key Data'!B2601</f>
        <v>79759</v>
      </c>
      <c r="C934" s="150">
        <f>'[1]Fliggy Store Daily Key Data'!C2601</f>
        <v>39264</v>
      </c>
      <c r="D934" s="150">
        <f>'[1]Fliggy Store Daily Key Data'!G2601</f>
        <v>6157</v>
      </c>
      <c r="E934" s="150">
        <v>320</v>
      </c>
      <c r="F934" s="150">
        <f>'[1]Fliggy Store Daily Key Data'!K2601</f>
        <v>90735</v>
      </c>
      <c r="G934" s="150">
        <v>257</v>
      </c>
      <c r="H934" s="155">
        <f t="shared" si="28"/>
        <v>0.0272373540856031</v>
      </c>
      <c r="I934" s="73">
        <f>'[1]Fliggy Store Daily Key Data'!I2601</f>
        <v>7</v>
      </c>
      <c r="J934" s="18">
        <f t="shared" si="29"/>
        <v>0.000178280358598207</v>
      </c>
      <c r="K934" s="5"/>
    </row>
    <row r="935" ht="13.85" spans="1:11">
      <c r="A935" s="156">
        <v>46043</v>
      </c>
      <c r="B935" s="150">
        <f>'[1]Fliggy Store Daily Key Data'!B2602</f>
        <v>107772</v>
      </c>
      <c r="C935" s="150">
        <f>'[1]Fliggy Store Daily Key Data'!C2602</f>
        <v>60533</v>
      </c>
      <c r="D935" s="150">
        <f>'[1]Fliggy Store Daily Key Data'!G2602</f>
        <v>5758</v>
      </c>
      <c r="E935" s="150">
        <v>312</v>
      </c>
      <c r="F935" s="150">
        <f>'[1]Fliggy Store Daily Key Data'!K2602</f>
        <v>156902</v>
      </c>
      <c r="G935" s="150">
        <v>335</v>
      </c>
      <c r="H935" s="155">
        <f t="shared" si="28"/>
        <v>0.0417910447761194</v>
      </c>
      <c r="I935" s="73">
        <f>'[1]Fliggy Store Daily Key Data'!I2602</f>
        <v>14</v>
      </c>
      <c r="J935" s="18">
        <f t="shared" si="29"/>
        <v>0.000231278806601358</v>
      </c>
      <c r="K935" s="5"/>
    </row>
    <row r="936" ht="13.85" spans="1:11">
      <c r="A936" s="156">
        <v>46044</v>
      </c>
      <c r="B936" s="150">
        <f>'[1]Fliggy Store Daily Key Data'!B2603</f>
        <v>179326</v>
      </c>
      <c r="C936" s="150">
        <f>'[1]Fliggy Store Daily Key Data'!C2603</f>
        <v>74263</v>
      </c>
      <c r="D936" s="150">
        <f>'[1]Fliggy Store Daily Key Data'!G2603</f>
        <v>6274</v>
      </c>
      <c r="E936" s="150">
        <v>742</v>
      </c>
      <c r="F936" s="150">
        <f>'[1]Fliggy Store Daily Key Data'!K2603</f>
        <v>225389</v>
      </c>
      <c r="G936" s="150">
        <v>280</v>
      </c>
      <c r="H936" s="155">
        <f t="shared" si="28"/>
        <v>0.0642857142857143</v>
      </c>
      <c r="I936" s="73">
        <f>'[1]Fliggy Store Daily Key Data'!I2603</f>
        <v>18</v>
      </c>
      <c r="J936" s="18">
        <f t="shared" si="29"/>
        <v>0.000242381805205823</v>
      </c>
      <c r="K936" s="5"/>
    </row>
    <row r="937" ht="13.85" spans="1:11">
      <c r="A937" s="156">
        <v>46045</v>
      </c>
      <c r="B937" s="150">
        <f>'[1]Fliggy Store Daily Key Data'!B2604</f>
        <v>183203</v>
      </c>
      <c r="C937" s="150">
        <f>'[1]Fliggy Store Daily Key Data'!C2604</f>
        <v>73100</v>
      </c>
      <c r="D937" s="150">
        <f>'[1]Fliggy Store Daily Key Data'!G2604</f>
        <v>7996</v>
      </c>
      <c r="E937" s="150">
        <v>34</v>
      </c>
      <c r="F937" s="150">
        <f>'[1]Fliggy Store Daily Key Data'!K2604</f>
        <v>98147</v>
      </c>
      <c r="G937" s="150">
        <v>231</v>
      </c>
      <c r="H937" s="155">
        <f t="shared" si="28"/>
        <v>0.038961038961039</v>
      </c>
      <c r="I937" s="73">
        <f>'[1]Fliggy Store Daily Key Data'!I2604</f>
        <v>9</v>
      </c>
      <c r="J937" s="18">
        <f t="shared" si="29"/>
        <v>0.00012311901504788</v>
      </c>
      <c r="K937" s="5"/>
    </row>
    <row r="938" ht="13.85" spans="1:11">
      <c r="A938" s="156">
        <v>46046</v>
      </c>
      <c r="B938" s="150">
        <f>'[1]Fliggy Store Daily Key Data'!B2605</f>
        <v>90901</v>
      </c>
      <c r="C938" s="150">
        <f>'[1]Fliggy Store Daily Key Data'!C2605</f>
        <v>37091</v>
      </c>
      <c r="D938" s="150">
        <f>'[1]Fliggy Store Daily Key Data'!G2605</f>
        <v>5233</v>
      </c>
      <c r="E938" s="150">
        <v>34</v>
      </c>
      <c r="F938" s="150">
        <f>'[1]Fliggy Store Daily Key Data'!K2605</f>
        <v>113424</v>
      </c>
      <c r="G938" s="150">
        <v>223</v>
      </c>
      <c r="H938" s="155">
        <f t="shared" si="28"/>
        <v>0.0403587443946188</v>
      </c>
      <c r="I938" s="73">
        <f>'[1]Fliggy Store Daily Key Data'!I2605</f>
        <v>9</v>
      </c>
      <c r="J938" s="18">
        <f t="shared" si="29"/>
        <v>0.000242646464101804</v>
      </c>
      <c r="K938" s="5"/>
    </row>
    <row r="939" ht="13.85" spans="1:11">
      <c r="A939" s="156">
        <v>46047</v>
      </c>
      <c r="B939" s="150">
        <f>'[1]Fliggy Store Daily Key Data'!B2606</f>
        <v>129452</v>
      </c>
      <c r="C939" s="150">
        <f>'[1]Fliggy Store Daily Key Data'!C2606</f>
        <v>50403</v>
      </c>
      <c r="D939" s="150">
        <f>'[1]Fliggy Store Daily Key Data'!G2606</f>
        <v>5061</v>
      </c>
      <c r="E939" s="150">
        <v>53</v>
      </c>
      <c r="F939" s="150">
        <f>'[1]Fliggy Store Daily Key Data'!K2606</f>
        <v>58008</v>
      </c>
      <c r="G939" s="150">
        <v>194</v>
      </c>
      <c r="H939" s="155">
        <f t="shared" si="28"/>
        <v>0.0257731958762887</v>
      </c>
      <c r="I939" s="73">
        <f>'[1]Fliggy Store Daily Key Data'!I2606</f>
        <v>5</v>
      </c>
      <c r="J939" s="18">
        <f t="shared" si="29"/>
        <v>9.9200444417991e-5</v>
      </c>
      <c r="K939" s="5"/>
    </row>
    <row r="940" ht="13.85" spans="1:11">
      <c r="A940" s="156">
        <v>46048</v>
      </c>
      <c r="B940" s="150">
        <f>'[1]Fliggy Store Daily Key Data'!B2607</f>
        <v>208332</v>
      </c>
      <c r="C940" s="150">
        <f>'[1]Fliggy Store Daily Key Data'!C2607</f>
        <v>65215</v>
      </c>
      <c r="D940" s="150">
        <f>'[1]Fliggy Store Daily Key Data'!G2607</f>
        <v>4216</v>
      </c>
      <c r="E940" s="150">
        <v>51</v>
      </c>
      <c r="F940" s="150">
        <f>'[1]Fliggy Store Daily Key Data'!K2607</f>
        <v>535148</v>
      </c>
      <c r="G940" s="150">
        <v>554</v>
      </c>
      <c r="H940" s="155">
        <f t="shared" si="28"/>
        <v>0.106498194945848</v>
      </c>
      <c r="I940" s="73">
        <f>'[1]Fliggy Store Daily Key Data'!I2607</f>
        <v>59</v>
      </c>
      <c r="J940" s="18">
        <f t="shared" si="29"/>
        <v>0.000904699838994096</v>
      </c>
      <c r="K940" s="5"/>
    </row>
    <row r="941" ht="13.85" spans="1:11">
      <c r="A941" s="156">
        <v>46049</v>
      </c>
      <c r="B941" s="150">
        <f>'[1]Fliggy Store Daily Key Data'!B2608</f>
        <v>87842</v>
      </c>
      <c r="C941" s="150">
        <f>'[1]Fliggy Store Daily Key Data'!C2608</f>
        <v>31711</v>
      </c>
      <c r="D941" s="150">
        <f>'[1]Fliggy Store Daily Key Data'!G2608</f>
        <v>3525</v>
      </c>
      <c r="E941" s="150">
        <v>41</v>
      </c>
      <c r="F941" s="150">
        <f>'[1]Fliggy Store Daily Key Data'!K2608</f>
        <v>472738</v>
      </c>
      <c r="G941" s="150">
        <v>304</v>
      </c>
      <c r="H941" s="155">
        <f t="shared" si="28"/>
        <v>0.167763157894737</v>
      </c>
      <c r="I941" s="73">
        <f>'[1]Fliggy Store Daily Key Data'!I2608</f>
        <v>51</v>
      </c>
      <c r="J941" s="18">
        <f t="shared" si="29"/>
        <v>0.00160827473116584</v>
      </c>
      <c r="K941" s="5"/>
    </row>
    <row r="942" ht="13.85" spans="1:11">
      <c r="A942" s="156">
        <v>46050</v>
      </c>
      <c r="B942" s="150">
        <f>'[1]Fliggy Store Daily Key Data'!B2609</f>
        <v>71617</v>
      </c>
      <c r="C942" s="150">
        <f>'[1]Fliggy Store Daily Key Data'!C2609</f>
        <v>27143</v>
      </c>
      <c r="D942" s="150">
        <f>'[1]Fliggy Store Daily Key Data'!G2609</f>
        <v>3477</v>
      </c>
      <c r="E942" s="150">
        <v>49</v>
      </c>
      <c r="F942" s="150">
        <f>'[1]Fliggy Store Daily Key Data'!K2609</f>
        <v>244200</v>
      </c>
      <c r="G942" s="150">
        <v>258</v>
      </c>
      <c r="H942" s="155">
        <f t="shared" si="28"/>
        <v>0.104651162790698</v>
      </c>
      <c r="I942" s="73">
        <f>'[1]Fliggy Store Daily Key Data'!I2609</f>
        <v>27</v>
      </c>
      <c r="J942" s="18">
        <f t="shared" si="29"/>
        <v>0.000994731606675754</v>
      </c>
      <c r="K942" s="5"/>
    </row>
    <row r="943" ht="13.85" spans="1:11">
      <c r="A943" s="156">
        <v>46051</v>
      </c>
      <c r="B943" s="150">
        <f>'[1]Fliggy Store Daily Key Data'!B2610</f>
        <v>67994</v>
      </c>
      <c r="C943" s="150">
        <f>'[1]Fliggy Store Daily Key Data'!C2610</f>
        <v>22506</v>
      </c>
      <c r="D943" s="150">
        <f>'[1]Fliggy Store Daily Key Data'!G2610</f>
        <v>3080</v>
      </c>
      <c r="E943" s="150">
        <v>35</v>
      </c>
      <c r="F943" s="150">
        <f>'[1]Fliggy Store Daily Key Data'!K2610</f>
        <v>115881</v>
      </c>
      <c r="G943" s="150">
        <v>209</v>
      </c>
      <c r="H943" s="155">
        <f t="shared" si="28"/>
        <v>0.0574162679425837</v>
      </c>
      <c r="I943" s="73">
        <f>'[1]Fliggy Store Daily Key Data'!I2610</f>
        <v>12</v>
      </c>
      <c r="J943" s="18">
        <f t="shared" si="29"/>
        <v>0.000533191149026926</v>
      </c>
      <c r="K943" s="5"/>
    </row>
    <row r="944" ht="13.85" spans="1:11">
      <c r="A944" s="156">
        <v>46052</v>
      </c>
      <c r="B944" s="150">
        <f>'[1]Fliggy Store Daily Key Data'!B2611</f>
        <v>63399</v>
      </c>
      <c r="C944" s="150">
        <f>'[1]Fliggy Store Daily Key Data'!C2611</f>
        <v>23999</v>
      </c>
      <c r="D944" s="150">
        <f>'[1]Fliggy Store Daily Key Data'!G2611</f>
        <v>3115</v>
      </c>
      <c r="E944" s="150">
        <v>33</v>
      </c>
      <c r="F944" s="150">
        <f>'[1]Fliggy Store Daily Key Data'!K2611</f>
        <v>221859</v>
      </c>
      <c r="G944" s="150">
        <v>213</v>
      </c>
      <c r="H944" s="155">
        <f t="shared" si="28"/>
        <v>0.0892018779342723</v>
      </c>
      <c r="I944" s="73">
        <f>'[1]Fliggy Store Daily Key Data'!I2611</f>
        <v>19</v>
      </c>
      <c r="J944" s="18">
        <f t="shared" si="29"/>
        <v>0.000791699654152256</v>
      </c>
      <c r="K944" s="5"/>
    </row>
    <row r="945" ht="13.85" spans="1:11">
      <c r="A945" s="156">
        <v>46053</v>
      </c>
      <c r="B945" s="150">
        <f>'[1]Fliggy Store Daily Key Data'!B2612</f>
        <v>66614</v>
      </c>
      <c r="C945" s="150">
        <f>'[1]Fliggy Store Daily Key Data'!C2612</f>
        <v>29381</v>
      </c>
      <c r="D945" s="150">
        <f>'[1]Fliggy Store Daily Key Data'!G2612</f>
        <v>3421</v>
      </c>
      <c r="E945" s="150">
        <v>29</v>
      </c>
      <c r="F945" s="150">
        <f>'[1]Fliggy Store Daily Key Data'!K2612</f>
        <v>107048</v>
      </c>
      <c r="G945" s="150">
        <v>166</v>
      </c>
      <c r="H945" s="155">
        <f t="shared" si="28"/>
        <v>0.0602409638554217</v>
      </c>
      <c r="I945" s="73">
        <f>'[1]Fliggy Store Daily Key Data'!I2612</f>
        <v>10</v>
      </c>
      <c r="J945" s="18">
        <f t="shared" si="29"/>
        <v>0.000340356012388959</v>
      </c>
      <c r="K945" s="5"/>
    </row>
    <row r="946" ht="13.85" spans="1:11">
      <c r="A946" s="156">
        <v>46054</v>
      </c>
      <c r="B946" s="150">
        <f>'[1]Fliggy Store Daily Key Data'!B2613</f>
        <v>87321</v>
      </c>
      <c r="C946" s="150">
        <f>'[1]Fliggy Store Daily Key Data'!C2613</f>
        <v>25507</v>
      </c>
      <c r="D946" s="150">
        <f>'[1]Fliggy Store Daily Key Data'!G2613</f>
        <v>2580</v>
      </c>
      <c r="E946" s="150">
        <v>46</v>
      </c>
      <c r="F946" s="150">
        <f>'[1]Fliggy Store Daily Key Data'!K2613</f>
        <v>416213</v>
      </c>
      <c r="G946" s="150">
        <v>270</v>
      </c>
      <c r="H946" s="155">
        <f t="shared" si="28"/>
        <v>0.177777777777778</v>
      </c>
      <c r="I946" s="73">
        <f>'[1]Fliggy Store Daily Key Data'!I2613</f>
        <v>48</v>
      </c>
      <c r="J946" s="18">
        <f t="shared" si="29"/>
        <v>0.00188183635864665</v>
      </c>
      <c r="K946" s="5"/>
    </row>
    <row r="947" ht="13.85" spans="1:11">
      <c r="A947" s="156">
        <v>46055</v>
      </c>
      <c r="B947" s="150">
        <f>'[1]Fliggy Store Daily Key Data'!B2614</f>
        <v>64743</v>
      </c>
      <c r="C947" s="150">
        <f>'[1]Fliggy Store Daily Key Data'!C2614</f>
        <v>18764</v>
      </c>
      <c r="D947" s="150">
        <f>'[1]Fliggy Store Daily Key Data'!G2614</f>
        <v>2532</v>
      </c>
      <c r="E947" s="150">
        <v>45</v>
      </c>
      <c r="F947" s="150">
        <f>'[1]Fliggy Store Daily Key Data'!K2614</f>
        <v>175579</v>
      </c>
      <c r="G947" s="150">
        <v>235</v>
      </c>
      <c r="H947" s="155">
        <f t="shared" si="28"/>
        <v>0.0212765957446809</v>
      </c>
      <c r="I947" s="73">
        <f>'[1]Fliggy Store Daily Key Data'!I2614</f>
        <v>5</v>
      </c>
      <c r="J947" s="18">
        <f t="shared" si="29"/>
        <v>0.000266467704114261</v>
      </c>
      <c r="K947" s="5"/>
    </row>
    <row r="948" ht="13.85" spans="1:11">
      <c r="A948" s="156">
        <v>46056</v>
      </c>
      <c r="B948" s="150">
        <f>'[1]Fliggy Store Daily Key Data'!B2615</f>
        <v>33719</v>
      </c>
      <c r="C948" s="150">
        <f>'[1]Fliggy Store Daily Key Data'!C2615</f>
        <v>10171</v>
      </c>
      <c r="D948" s="150">
        <f>'[1]Fliggy Store Daily Key Data'!G2615</f>
        <v>1519</v>
      </c>
      <c r="E948" s="150">
        <v>45</v>
      </c>
      <c r="F948" s="150">
        <f>'[1]Fliggy Store Daily Key Data'!K2615</f>
        <v>207070</v>
      </c>
      <c r="G948" s="150">
        <v>225</v>
      </c>
      <c r="H948" s="155">
        <f t="shared" si="28"/>
        <v>0.0888888888888889</v>
      </c>
      <c r="I948" s="73">
        <f>'[1]Fliggy Store Daily Key Data'!I2615</f>
        <v>20</v>
      </c>
      <c r="J948" s="18">
        <f t="shared" si="29"/>
        <v>0.00196637498771016</v>
      </c>
      <c r="K948" s="5"/>
    </row>
    <row r="949" ht="13.85" spans="1:11">
      <c r="A949" s="156">
        <v>46057</v>
      </c>
      <c r="B949" s="150">
        <f>'[1]Fliggy Store Daily Key Data'!B2616</f>
        <v>33903</v>
      </c>
      <c r="C949" s="150">
        <f>'[1]Fliggy Store Daily Key Data'!C2616</f>
        <v>11114</v>
      </c>
      <c r="D949" s="150">
        <f>'[1]Fliggy Store Daily Key Data'!G2616</f>
        <v>1972</v>
      </c>
      <c r="E949" s="150">
        <v>33</v>
      </c>
      <c r="F949" s="150">
        <f>'[1]Fliggy Store Daily Key Data'!K2616</f>
        <v>180462</v>
      </c>
      <c r="G949" s="150">
        <v>195</v>
      </c>
      <c r="H949" s="155">
        <f t="shared" si="28"/>
        <v>0.0871794871794872</v>
      </c>
      <c r="I949" s="73">
        <f>'[1]Fliggy Store Daily Key Data'!I2616</f>
        <v>17</v>
      </c>
      <c r="J949" s="18">
        <f t="shared" si="29"/>
        <v>0.00152960230340112</v>
      </c>
      <c r="K949" s="5"/>
    </row>
    <row r="950" ht="13.85" spans="1:11">
      <c r="A950" s="156">
        <v>46058</v>
      </c>
      <c r="B950" s="150">
        <f>'[1]Fliggy Store Daily Key Data'!B2617</f>
        <v>30089</v>
      </c>
      <c r="C950" s="150">
        <f>'[1]Fliggy Store Daily Key Data'!C2617</f>
        <v>9722</v>
      </c>
      <c r="D950" s="150">
        <f>'[1]Fliggy Store Daily Key Data'!G2617</f>
        <v>2014</v>
      </c>
      <c r="E950" s="150">
        <v>30</v>
      </c>
      <c r="F950" s="150">
        <f>'[1]Fliggy Store Daily Key Data'!K2617</f>
        <v>179299</v>
      </c>
      <c r="G950" s="150">
        <v>221</v>
      </c>
      <c r="H950" s="155">
        <f t="shared" si="28"/>
        <v>0.0769230769230769</v>
      </c>
      <c r="I950" s="73">
        <f>'[1]Fliggy Store Daily Key Data'!I2617</f>
        <v>17</v>
      </c>
      <c r="J950" s="18">
        <f t="shared" si="29"/>
        <v>0.00174861139683193</v>
      </c>
      <c r="K950" s="5"/>
    </row>
    <row r="951" ht="13.85" spans="1:11">
      <c r="A951" s="156">
        <v>46059</v>
      </c>
      <c r="B951" s="150">
        <f>'[1]Fliggy Store Daily Key Data'!B2618</f>
        <v>41425</v>
      </c>
      <c r="C951" s="150">
        <f>'[1]Fliggy Store Daily Key Data'!C2618</f>
        <v>13595</v>
      </c>
      <c r="D951" s="150">
        <f>'[1]Fliggy Store Daily Key Data'!G2618</f>
        <v>2755</v>
      </c>
      <c r="E951" s="150">
        <v>32</v>
      </c>
      <c r="F951" s="150">
        <f>'[1]Fliggy Store Daily Key Data'!K2618</f>
        <v>93466</v>
      </c>
      <c r="G951" s="150">
        <v>205</v>
      </c>
      <c r="H951" s="155">
        <f t="shared" si="28"/>
        <v>0.0390243902439024</v>
      </c>
      <c r="I951" s="73">
        <f>'[1]Fliggy Store Daily Key Data'!I2618</f>
        <v>8</v>
      </c>
      <c r="J951" s="18">
        <f t="shared" si="29"/>
        <v>0.000588451636631114</v>
      </c>
      <c r="K951" s="5"/>
    </row>
    <row r="952" ht="13.85" spans="1:11">
      <c r="A952" s="156">
        <v>46060</v>
      </c>
      <c r="B952" s="150">
        <f>'[1]Fliggy Store Daily Key Data'!B2619</f>
        <v>35602</v>
      </c>
      <c r="C952" s="150">
        <f>'[1]Fliggy Store Daily Key Data'!C2619</f>
        <v>12312</v>
      </c>
      <c r="D952" s="150">
        <f>'[1]Fliggy Store Daily Key Data'!G2619</f>
        <v>2489</v>
      </c>
      <c r="E952" s="150">
        <v>27</v>
      </c>
      <c r="F952" s="150">
        <f>'[1]Fliggy Store Daily Key Data'!K2619</f>
        <v>116265</v>
      </c>
      <c r="G952" s="150">
        <v>197</v>
      </c>
      <c r="H952" s="155">
        <f t="shared" si="28"/>
        <v>0.0558375634517767</v>
      </c>
      <c r="I952" s="73">
        <f>'[1]Fliggy Store Daily Key Data'!I2619</f>
        <v>11</v>
      </c>
      <c r="J952" s="18">
        <f t="shared" si="29"/>
        <v>0.000893437296946069</v>
      </c>
      <c r="K952" s="5"/>
    </row>
    <row r="953" ht="13.85" spans="1:11">
      <c r="A953" s="156">
        <v>46061</v>
      </c>
      <c r="B953" s="150">
        <f>'[1]Fliggy Store Daily Key Data'!B2620</f>
        <v>32683</v>
      </c>
      <c r="C953" s="150">
        <f>'[1]Fliggy Store Daily Key Data'!C2620</f>
        <v>12568</v>
      </c>
      <c r="D953" s="150">
        <f>'[1]Fliggy Store Daily Key Data'!G2620</f>
        <v>2793</v>
      </c>
      <c r="E953" s="150">
        <v>32</v>
      </c>
      <c r="F953" s="150">
        <f>'[1]Fliggy Store Daily Key Data'!K2620</f>
        <v>60378</v>
      </c>
      <c r="G953" s="150">
        <v>168</v>
      </c>
      <c r="H953" s="155">
        <f t="shared" si="28"/>
        <v>0.0357142857142857</v>
      </c>
      <c r="I953" s="73">
        <f>'[1]Fliggy Store Daily Key Data'!I2620</f>
        <v>6</v>
      </c>
      <c r="J953" s="18">
        <f t="shared" si="29"/>
        <v>0.000477402928071292</v>
      </c>
      <c r="K953" s="5"/>
    </row>
    <row r="954" ht="13.85" spans="1:11">
      <c r="A954" s="156">
        <v>46062</v>
      </c>
      <c r="B954" s="150">
        <f>'[1]Fliggy Store Daily Key Data'!B2621</f>
        <v>35466</v>
      </c>
      <c r="C954" s="150">
        <f>'[1]Fliggy Store Daily Key Data'!C2621</f>
        <v>11968</v>
      </c>
      <c r="D954" s="150">
        <f>'[1]Fliggy Store Daily Key Data'!G2621</f>
        <v>2929</v>
      </c>
      <c r="E954" s="150">
        <v>20</v>
      </c>
      <c r="F954" s="150">
        <f>'[1]Fliggy Store Daily Key Data'!K2621</f>
        <v>73291</v>
      </c>
      <c r="G954" s="150">
        <v>187</v>
      </c>
      <c r="H954" s="155">
        <f t="shared" si="28"/>
        <v>0.0320855614973262</v>
      </c>
      <c r="I954" s="73">
        <f>'[1]Fliggy Store Daily Key Data'!I2621</f>
        <v>6</v>
      </c>
      <c r="J954" s="18">
        <f t="shared" si="29"/>
        <v>0.000501336898395722</v>
      </c>
      <c r="K954" s="5"/>
    </row>
    <row r="955" ht="13.85" spans="1:11">
      <c r="A955" s="156">
        <v>46063</v>
      </c>
      <c r="B955" s="150">
        <f>'[1]Fliggy Store Daily Key Data'!B2622</f>
        <v>39305</v>
      </c>
      <c r="C955" s="150">
        <f>'[1]Fliggy Store Daily Key Data'!C2622</f>
        <v>16493</v>
      </c>
      <c r="D955" s="150">
        <f>'[1]Fliggy Store Daily Key Data'!G2622</f>
        <v>2726</v>
      </c>
      <c r="E955" s="150">
        <v>33</v>
      </c>
      <c r="F955" s="150">
        <f>'[1]Fliggy Store Daily Key Data'!K2622</f>
        <v>93623</v>
      </c>
      <c r="G955" s="150">
        <v>185</v>
      </c>
      <c r="H955" s="155">
        <f t="shared" si="28"/>
        <v>0.0432432432432432</v>
      </c>
      <c r="I955" s="73">
        <f>'[1]Fliggy Store Daily Key Data'!I2622</f>
        <v>8</v>
      </c>
      <c r="J955" s="18">
        <f t="shared" si="29"/>
        <v>0.000485054265445947</v>
      </c>
      <c r="K955" s="5"/>
    </row>
    <row r="956" ht="13.85" spans="1:11">
      <c r="A956" s="156">
        <v>46064</v>
      </c>
      <c r="B956" s="150">
        <f>'[1]Fliggy Store Daily Key Data'!B2623</f>
        <v>54545</v>
      </c>
      <c r="C956" s="150">
        <f>'[1]Fliggy Store Daily Key Data'!C2623</f>
        <v>27433</v>
      </c>
      <c r="D956" s="150">
        <f>'[1]Fliggy Store Daily Key Data'!G2623</f>
        <v>4424</v>
      </c>
      <c r="E956" s="150">
        <v>45</v>
      </c>
      <c r="F956" s="150">
        <f>'[1]Fliggy Store Daily Key Data'!K2623</f>
        <v>137884</v>
      </c>
      <c r="G956" s="150">
        <v>184</v>
      </c>
      <c r="H956" s="155">
        <f t="shared" si="28"/>
        <v>0.0597826086956522</v>
      </c>
      <c r="I956" s="73">
        <f>'[1]Fliggy Store Daily Key Data'!I2623</f>
        <v>11</v>
      </c>
      <c r="J956" s="18">
        <f t="shared" si="29"/>
        <v>0.000400976925600554</v>
      </c>
      <c r="K956" s="5"/>
    </row>
    <row r="957" ht="13.85" spans="1:11">
      <c r="A957" s="156">
        <v>46065</v>
      </c>
      <c r="B957" s="150">
        <f>'[1]Fliggy Store Daily Key Data'!B2624</f>
        <v>91465</v>
      </c>
      <c r="C957" s="150">
        <f>'[1]Fliggy Store Daily Key Data'!C2624</f>
        <v>59903</v>
      </c>
      <c r="D957" s="150">
        <f>'[1]Fliggy Store Daily Key Data'!G2624</f>
        <v>54234</v>
      </c>
      <c r="E957" s="150">
        <v>60</v>
      </c>
      <c r="F957" s="150">
        <f>'[1]Fliggy Store Daily Key Data'!K2624</f>
        <v>92420</v>
      </c>
      <c r="G957" s="150">
        <v>182</v>
      </c>
      <c r="H957" s="155">
        <f t="shared" si="28"/>
        <v>0.0494505494505494</v>
      </c>
      <c r="I957" s="73">
        <f>'[1]Fliggy Store Daily Key Data'!I2624</f>
        <v>9</v>
      </c>
      <c r="J957" s="18">
        <f t="shared" si="29"/>
        <v>0.000150242892676494</v>
      </c>
      <c r="K957" s="5"/>
    </row>
    <row r="958" ht="13.85" spans="1:11">
      <c r="A958" s="156">
        <v>46066</v>
      </c>
      <c r="B958" s="150">
        <f>'[1]Fliggy Store Daily Key Data'!B2625</f>
        <v>83906</v>
      </c>
      <c r="C958" s="150">
        <f>'[1]Fliggy Store Daily Key Data'!C2625</f>
        <v>54081</v>
      </c>
      <c r="D958" s="150">
        <f>'[1]Fliggy Store Daily Key Data'!G2625</f>
        <v>5012</v>
      </c>
      <c r="E958" s="150">
        <v>43</v>
      </c>
      <c r="F958" s="150">
        <f>'[1]Fliggy Store Daily Key Data'!K2625</f>
        <v>117301</v>
      </c>
      <c r="G958" s="150">
        <v>169</v>
      </c>
      <c r="H958" s="155">
        <f t="shared" si="28"/>
        <v>0.0591715976331361</v>
      </c>
      <c r="I958" s="73">
        <f>'[1]Fliggy Store Daily Key Data'!I2625</f>
        <v>10</v>
      </c>
      <c r="J958" s="18">
        <f t="shared" si="29"/>
        <v>0.00018490782345001</v>
      </c>
      <c r="K958" s="5"/>
    </row>
    <row r="959" ht="13.85" spans="1:11">
      <c r="A959" s="156">
        <v>46067</v>
      </c>
      <c r="B959" s="150">
        <f>'[1]Fliggy Store Daily Key Data'!B2626</f>
        <v>30052</v>
      </c>
      <c r="C959" s="150">
        <f>'[1]Fliggy Store Daily Key Data'!C2626</f>
        <v>13127</v>
      </c>
      <c r="D959" s="150">
        <f>'[1]Fliggy Store Daily Key Data'!G2626</f>
        <v>2074</v>
      </c>
      <c r="E959" s="150">
        <v>19</v>
      </c>
      <c r="F959" s="150">
        <f>'[1]Fliggy Store Daily Key Data'!K2626</f>
        <v>25187</v>
      </c>
      <c r="G959" s="150">
        <v>142</v>
      </c>
      <c r="H959" s="155">
        <f t="shared" si="28"/>
        <v>0.0140845070422535</v>
      </c>
      <c r="I959" s="73">
        <f>'[1]Fliggy Store Daily Key Data'!I2626</f>
        <v>2</v>
      </c>
      <c r="J959" s="18">
        <f t="shared" si="29"/>
        <v>0.000152357735964044</v>
      </c>
      <c r="K959" s="5"/>
    </row>
    <row r="960" ht="13.85" spans="1:11">
      <c r="A960" s="156">
        <v>46068</v>
      </c>
      <c r="B960" s="150">
        <f>'[1]Fliggy Store Daily Key Data'!B2627</f>
        <v>33559</v>
      </c>
      <c r="C960" s="150">
        <f>'[1]Fliggy Store Daily Key Data'!C2627</f>
        <v>13933</v>
      </c>
      <c r="D960" s="150">
        <f>'[1]Fliggy Store Daily Key Data'!G2627</f>
        <v>2420</v>
      </c>
      <c r="E960" s="150">
        <v>28</v>
      </c>
      <c r="F960" s="150">
        <f>'[1]Fliggy Store Daily Key Data'!K2627</f>
        <v>36550</v>
      </c>
      <c r="G960" s="150">
        <v>114</v>
      </c>
      <c r="H960" s="155">
        <f t="shared" si="28"/>
        <v>0.0350877192982456</v>
      </c>
      <c r="I960" s="73">
        <f>'[1]Fliggy Store Daily Key Data'!I2627</f>
        <v>4</v>
      </c>
      <c r="J960" s="18">
        <f t="shared" si="29"/>
        <v>0.000287088207851862</v>
      </c>
      <c r="K960" s="5"/>
    </row>
    <row r="961" ht="13.85" spans="1:11">
      <c r="A961" s="156">
        <v>46069</v>
      </c>
      <c r="B961" s="150">
        <f>'[1]Fliggy Store Daily Key Data'!B2628</f>
        <v>32671</v>
      </c>
      <c r="C961" s="150">
        <f>'[1]Fliggy Store Daily Key Data'!C2628</f>
        <v>12852</v>
      </c>
      <c r="D961" s="150">
        <f>'[1]Fliggy Store Daily Key Data'!G2628</f>
        <v>2458</v>
      </c>
      <c r="E961" s="150">
        <v>15</v>
      </c>
      <c r="F961" s="150">
        <f>'[1]Fliggy Store Daily Key Data'!K2628</f>
        <v>127803</v>
      </c>
      <c r="G961" s="150">
        <v>84</v>
      </c>
      <c r="H961" s="155">
        <f t="shared" si="28"/>
        <v>0.142857142857143</v>
      </c>
      <c r="I961" s="73">
        <f>'[1]Fliggy Store Daily Key Data'!I2628</f>
        <v>12</v>
      </c>
      <c r="J961" s="18">
        <f t="shared" si="29"/>
        <v>0.000933706816059757</v>
      </c>
      <c r="K961" s="5"/>
    </row>
    <row r="962" ht="13.85" spans="1:11">
      <c r="A962" s="156">
        <v>46070</v>
      </c>
      <c r="B962" s="150">
        <f>'[1]Fliggy Store Daily Key Data'!B2629</f>
        <v>37557</v>
      </c>
      <c r="C962" s="150">
        <f>'[1]Fliggy Store Daily Key Data'!C2629</f>
        <v>16178</v>
      </c>
      <c r="D962" s="150">
        <f>'[1]Fliggy Store Daily Key Data'!G2629</f>
        <v>3028</v>
      </c>
      <c r="E962" s="150">
        <v>25</v>
      </c>
      <c r="F962" s="150">
        <f>'[1]Fliggy Store Daily Key Data'!K2629</f>
        <v>25520</v>
      </c>
      <c r="G962" s="150">
        <v>77</v>
      </c>
      <c r="H962" s="155">
        <f t="shared" ref="H962:H1018" si="30">I962/G962</f>
        <v>0.038961038961039</v>
      </c>
      <c r="I962" s="73">
        <f>'[1]Fliggy Store Daily Key Data'!I2629</f>
        <v>3</v>
      </c>
      <c r="J962" s="18">
        <f t="shared" si="29"/>
        <v>0.00018543701322784</v>
      </c>
      <c r="K962" s="5"/>
    </row>
    <row r="963" ht="13.85" spans="1:11">
      <c r="A963" s="156">
        <v>46071</v>
      </c>
      <c r="B963" s="150">
        <f>'[1]Fliggy Store Daily Key Data'!B2630</f>
        <v>39856</v>
      </c>
      <c r="C963" s="150">
        <f>'[1]Fliggy Store Daily Key Data'!C2630</f>
        <v>17665</v>
      </c>
      <c r="D963" s="150">
        <f>'[1]Fliggy Store Daily Key Data'!G2630</f>
        <v>3450</v>
      </c>
      <c r="E963" s="150">
        <v>21</v>
      </c>
      <c r="F963" s="150">
        <f>'[1]Fliggy Store Daily Key Data'!K2630</f>
        <v>54960</v>
      </c>
      <c r="G963" s="150">
        <v>88</v>
      </c>
      <c r="H963" s="155">
        <f t="shared" si="30"/>
        <v>0.0568181818181818</v>
      </c>
      <c r="I963" s="73">
        <f>'[1]Fliggy Store Daily Key Data'!I2630</f>
        <v>5</v>
      </c>
      <c r="J963" s="18">
        <f t="shared" si="29"/>
        <v>0.000283045570336824</v>
      </c>
      <c r="K963" s="5"/>
    </row>
    <row r="964" ht="13.85" spans="1:11">
      <c r="A964" s="156">
        <v>46072</v>
      </c>
      <c r="B964" s="150">
        <f>'[1]Fliggy Store Daily Key Data'!B2631</f>
        <v>39182</v>
      </c>
      <c r="C964" s="150">
        <f>'[1]Fliggy Store Daily Key Data'!C2631</f>
        <v>18382</v>
      </c>
      <c r="D964" s="150">
        <f>'[1]Fliggy Store Daily Key Data'!G2631</f>
        <v>3651</v>
      </c>
      <c r="E964" s="150">
        <v>38</v>
      </c>
      <c r="F964" s="150">
        <f>'[1]Fliggy Store Daily Key Data'!K2631</f>
        <v>81286</v>
      </c>
      <c r="G964" s="150">
        <v>92</v>
      </c>
      <c r="H964" s="155">
        <f t="shared" si="30"/>
        <v>0.0760869565217391</v>
      </c>
      <c r="I964" s="73">
        <f>'[1]Fliggy Store Daily Key Data'!I2631</f>
        <v>7</v>
      </c>
      <c r="J964" s="18">
        <f t="shared" si="29"/>
        <v>0.000380807311500381</v>
      </c>
      <c r="K964" s="5"/>
    </row>
    <row r="965" ht="13.85" spans="1:11">
      <c r="A965" s="156">
        <v>46073</v>
      </c>
      <c r="B965" s="150">
        <f>'[1]Fliggy Store Daily Key Data'!B2632</f>
        <v>64002</v>
      </c>
      <c r="C965" s="150">
        <f>'[1]Fliggy Store Daily Key Data'!C2632</f>
        <v>35273</v>
      </c>
      <c r="D965" s="150">
        <f>'[1]Fliggy Store Daily Key Data'!G2632</f>
        <v>5236</v>
      </c>
      <c r="E965" s="150">
        <v>41</v>
      </c>
      <c r="F965" s="150">
        <f>'[1]Fliggy Store Daily Key Data'!K2632</f>
        <v>82650</v>
      </c>
      <c r="G965" s="150">
        <v>159</v>
      </c>
      <c r="H965" s="155">
        <f t="shared" si="30"/>
        <v>0.050314465408805</v>
      </c>
      <c r="I965" s="73">
        <f>'[1]Fliggy Store Daily Key Data'!I2632</f>
        <v>8</v>
      </c>
      <c r="J965" s="18">
        <f t="shared" si="29"/>
        <v>0.000226802370084767</v>
      </c>
      <c r="K965" s="5"/>
    </row>
    <row r="966" ht="13.85" spans="1:11">
      <c r="A966" s="156">
        <v>46074</v>
      </c>
      <c r="B966" s="150">
        <f>'[1]Fliggy Store Daily Key Data'!B2633</f>
        <v>57236</v>
      </c>
      <c r="C966" s="150">
        <f>'[1]Fliggy Store Daily Key Data'!C2633</f>
        <v>30834</v>
      </c>
      <c r="D966" s="150">
        <f>'[1]Fliggy Store Daily Key Data'!G2633</f>
        <v>4483</v>
      </c>
      <c r="E966" s="150">
        <v>48</v>
      </c>
      <c r="F966" s="150">
        <f>'[1]Fliggy Store Daily Key Data'!K2633</f>
        <v>78672</v>
      </c>
      <c r="G966" s="150">
        <v>189</v>
      </c>
      <c r="H966" s="155">
        <f t="shared" si="30"/>
        <v>0.0423280423280423</v>
      </c>
      <c r="I966" s="73">
        <f>'[1]Fliggy Store Daily Key Data'!I2633</f>
        <v>8</v>
      </c>
      <c r="J966" s="18">
        <f t="shared" si="29"/>
        <v>0.000259453849646494</v>
      </c>
      <c r="K966" s="5"/>
    </row>
    <row r="967" ht="13.85" spans="1:11">
      <c r="A967" s="156">
        <v>46075</v>
      </c>
      <c r="B967" s="150">
        <f>'[1]Fliggy Store Daily Key Data'!B2634</f>
        <v>53895</v>
      </c>
      <c r="C967" s="150">
        <f>'[1]Fliggy Store Daily Key Data'!C2634</f>
        <v>27791</v>
      </c>
      <c r="D967" s="150">
        <f>'[1]Fliggy Store Daily Key Data'!G2634</f>
        <v>4047</v>
      </c>
      <c r="E967" s="150">
        <v>43</v>
      </c>
      <c r="F967" s="150">
        <f>'[1]Fliggy Store Daily Key Data'!K2634</f>
        <v>148100</v>
      </c>
      <c r="G967" s="150">
        <v>202</v>
      </c>
      <c r="H967" s="155">
        <f t="shared" si="30"/>
        <v>0.0594059405940594</v>
      </c>
      <c r="I967" s="73">
        <f>'[1]Fliggy Store Daily Key Data'!I2634</f>
        <v>12</v>
      </c>
      <c r="J967" s="18">
        <f t="shared" si="29"/>
        <v>0.000431794465834263</v>
      </c>
      <c r="K967" s="5"/>
    </row>
    <row r="968" ht="13.85" spans="1:11">
      <c r="A968" s="156">
        <v>46076</v>
      </c>
      <c r="B968" s="150">
        <f>'[1]Fliggy Store Daily Key Data'!B2635</f>
        <v>46973</v>
      </c>
      <c r="C968" s="150">
        <f>'[1]Fliggy Store Daily Key Data'!C2635</f>
        <v>20544</v>
      </c>
      <c r="D968" s="150">
        <f>'[1]Fliggy Store Daily Key Data'!G2635</f>
        <v>3956</v>
      </c>
      <c r="E968" s="150">
        <v>35</v>
      </c>
      <c r="F968" s="150">
        <f>'[1]Fliggy Store Daily Key Data'!K2635</f>
        <v>71071.01</v>
      </c>
      <c r="G968" s="150">
        <v>208</v>
      </c>
      <c r="H968" s="155">
        <f t="shared" si="30"/>
        <v>0.0288461538461538</v>
      </c>
      <c r="I968" s="73">
        <f>'[1]Fliggy Store Daily Key Data'!I2635</f>
        <v>6</v>
      </c>
      <c r="J968" s="18">
        <f t="shared" si="29"/>
        <v>0.000292056074766355</v>
      </c>
      <c r="K968" s="5"/>
    </row>
    <row r="969" ht="13.85" spans="1:11">
      <c r="A969" s="156">
        <v>46077</v>
      </c>
      <c r="B969" s="150">
        <f>'[1]Fliggy Store Daily Key Data'!B2636</f>
        <v>53078</v>
      </c>
      <c r="C969" s="150">
        <f>'[1]Fliggy Store Daily Key Data'!C2636</f>
        <v>27332</v>
      </c>
      <c r="D969" s="150">
        <f>'[1]Fliggy Store Daily Key Data'!G2636</f>
        <v>3060</v>
      </c>
      <c r="E969" s="150">
        <v>49</v>
      </c>
      <c r="F969" s="150">
        <f>'[1]Fliggy Store Daily Key Data'!K2636</f>
        <v>168760</v>
      </c>
      <c r="G969" s="150">
        <v>333</v>
      </c>
      <c r="H969" s="155">
        <f t="shared" si="30"/>
        <v>0.042042042042042</v>
      </c>
      <c r="I969" s="73">
        <f>'[1]Fliggy Store Daily Key Data'!I2636</f>
        <v>14</v>
      </c>
      <c r="J969" s="18">
        <f t="shared" si="29"/>
        <v>0.000512220108297966</v>
      </c>
      <c r="K969" s="5"/>
    </row>
    <row r="970" ht="13.85" spans="1:11">
      <c r="A970" s="156">
        <v>46078</v>
      </c>
      <c r="B970" s="150">
        <f>'[1]Fliggy Store Daily Key Data'!B2637</f>
        <v>48803</v>
      </c>
      <c r="C970" s="150">
        <f>'[1]Fliggy Store Daily Key Data'!C2637</f>
        <v>23979</v>
      </c>
      <c r="D970" s="150">
        <f>'[1]Fliggy Store Daily Key Data'!G2637</f>
        <v>3954</v>
      </c>
      <c r="E970" s="150">
        <v>66</v>
      </c>
      <c r="F970" s="150">
        <f>'[1]Fliggy Store Daily Key Data'!K2637</f>
        <v>114441</v>
      </c>
      <c r="G970" s="150">
        <v>311</v>
      </c>
      <c r="H970" s="155">
        <f t="shared" si="30"/>
        <v>0.0418006430868167</v>
      </c>
      <c r="I970" s="73">
        <f>'[1]Fliggy Store Daily Key Data'!I2637</f>
        <v>13</v>
      </c>
      <c r="J970" s="18">
        <f t="shared" si="29"/>
        <v>0.000542141040076734</v>
      </c>
      <c r="K970" s="5"/>
    </row>
    <row r="971" ht="13.85" spans="1:11">
      <c r="A971" s="156">
        <v>46079</v>
      </c>
      <c r="B971" s="150">
        <f>'[1]Fliggy Store Daily Key Data'!B2638</f>
        <v>59036</v>
      </c>
      <c r="C971" s="150">
        <f>'[1]Fliggy Store Daily Key Data'!C2638</f>
        <v>25611</v>
      </c>
      <c r="D971" s="150">
        <f>'[1]Fliggy Store Daily Key Data'!G2638</f>
        <v>4393</v>
      </c>
      <c r="E971" s="150">
        <v>41</v>
      </c>
      <c r="F971" s="150">
        <f>'[1]Fliggy Store Daily Key Data'!K2638</f>
        <v>158015</v>
      </c>
      <c r="G971" s="150">
        <v>318</v>
      </c>
      <c r="H971" s="155">
        <f t="shared" si="30"/>
        <v>0.0408805031446541</v>
      </c>
      <c r="I971" s="73">
        <f>'[1]Fliggy Store Daily Key Data'!I2638</f>
        <v>13</v>
      </c>
      <c r="J971" s="18">
        <f t="shared" si="29"/>
        <v>0.000507594393034243</v>
      </c>
      <c r="K971" s="5"/>
    </row>
    <row r="972" ht="13.85" spans="1:11">
      <c r="A972" s="156">
        <v>46080</v>
      </c>
      <c r="B972" s="150">
        <f>'[1]Fliggy Store Daily Key Data'!B2639</f>
        <v>40527</v>
      </c>
      <c r="C972" s="150">
        <f>'[1]Fliggy Store Daily Key Data'!C2639</f>
        <v>18510</v>
      </c>
      <c r="D972" s="150">
        <f>'[1]Fliggy Store Daily Key Data'!G2639</f>
        <v>3436</v>
      </c>
      <c r="E972" s="150">
        <v>34</v>
      </c>
      <c r="F972" s="150">
        <f>'[1]Fliggy Store Daily Key Data'!K2639</f>
        <v>63511</v>
      </c>
      <c r="G972" s="150">
        <v>310</v>
      </c>
      <c r="H972" s="155">
        <f t="shared" si="30"/>
        <v>0.0193548387096774</v>
      </c>
      <c r="I972" s="73">
        <f>'[1]Fliggy Store Daily Key Data'!I2639</f>
        <v>6</v>
      </c>
      <c r="J972" s="18">
        <f t="shared" si="29"/>
        <v>0.000324149108589951</v>
      </c>
      <c r="K972" s="5"/>
    </row>
    <row r="973" ht="13.85" spans="1:11">
      <c r="A973" s="156">
        <v>46081</v>
      </c>
      <c r="B973" s="150">
        <f>'[1]Fliggy Store Daily Key Data'!B2640</f>
        <v>36783</v>
      </c>
      <c r="C973" s="150">
        <f>'[1]Fliggy Store Daily Key Data'!C2640</f>
        <v>16368</v>
      </c>
      <c r="D973" s="150">
        <f>'[1]Fliggy Store Daily Key Data'!G2640</f>
        <v>3378</v>
      </c>
      <c r="E973" s="150">
        <v>50</v>
      </c>
      <c r="F973" s="150">
        <f>'[1]Fliggy Store Daily Key Data'!K2640</f>
        <v>73417</v>
      </c>
      <c r="G973" s="150">
        <v>293</v>
      </c>
      <c r="H973" s="155">
        <f t="shared" si="30"/>
        <v>0.0238907849829352</v>
      </c>
      <c r="I973" s="73">
        <f>'[1]Fliggy Store Daily Key Data'!I2640</f>
        <v>7</v>
      </c>
      <c r="J973" s="18">
        <f t="shared" si="29"/>
        <v>0.000427663734115347</v>
      </c>
      <c r="K973" s="5"/>
    </row>
    <row r="974" ht="13.85" spans="1:11">
      <c r="A974" s="156">
        <v>46082</v>
      </c>
      <c r="B974" s="150">
        <f>'[1]Fliggy Store Daily Key Data'!B2641</f>
        <v>49342</v>
      </c>
      <c r="C974" s="150">
        <f>'[1]Fliggy Store Daily Key Data'!C2641</f>
        <v>25896</v>
      </c>
      <c r="D974" s="150">
        <f>'[1]Fliggy Store Daily Key Data'!G2641</f>
        <v>3804</v>
      </c>
      <c r="E974" s="150">
        <v>47</v>
      </c>
      <c r="F974" s="150">
        <f>'[1]Fliggy Store Daily Key Data'!K2641</f>
        <v>154073</v>
      </c>
      <c r="G974" s="150">
        <v>259</v>
      </c>
      <c r="H974" s="155">
        <f t="shared" si="30"/>
        <v>0.0501930501930502</v>
      </c>
      <c r="I974" s="73">
        <f>'[1]Fliggy Store Daily Key Data'!I2641</f>
        <v>13</v>
      </c>
      <c r="J974" s="18">
        <f t="shared" si="29"/>
        <v>0.000502008032128514</v>
      </c>
      <c r="K974" s="5"/>
    </row>
    <row r="975" ht="13.85" spans="1:11">
      <c r="A975" s="156">
        <v>46083</v>
      </c>
      <c r="B975" s="150">
        <f>'[1]Fliggy Store Daily Key Data'!B2642</f>
        <v>53688</v>
      </c>
      <c r="C975" s="150">
        <f>'[1]Fliggy Store Daily Key Data'!C2642</f>
        <v>23513</v>
      </c>
      <c r="D975" s="150">
        <f>'[1]Fliggy Store Daily Key Data'!G2642</f>
        <v>3458</v>
      </c>
      <c r="E975" s="150">
        <v>35</v>
      </c>
      <c r="F975" s="150">
        <f>'[1]Fliggy Store Daily Key Data'!K2642</f>
        <v>182972</v>
      </c>
      <c r="G975" s="150">
        <v>288</v>
      </c>
      <c r="H975" s="155">
        <f t="shared" si="30"/>
        <v>0.0590277777777778</v>
      </c>
      <c r="I975" s="73">
        <f>'[1]Fliggy Store Daily Key Data'!I2642</f>
        <v>17</v>
      </c>
      <c r="J975" s="18">
        <f t="shared" si="29"/>
        <v>0.000723004295496109</v>
      </c>
      <c r="K975" s="5"/>
    </row>
    <row r="976" ht="13.85" spans="1:11">
      <c r="A976" s="156">
        <v>46084</v>
      </c>
      <c r="B976" s="150">
        <f>'[1]Fliggy Store Daily Key Data'!B2643</f>
        <v>41665</v>
      </c>
      <c r="C976" s="150">
        <f>'[1]Fliggy Store Daily Key Data'!C2643</f>
        <v>15380</v>
      </c>
      <c r="D976" s="150">
        <f>'[1]Fliggy Store Daily Key Data'!G2643</f>
        <v>2762</v>
      </c>
      <c r="E976" s="150">
        <v>43</v>
      </c>
      <c r="F976" s="150">
        <f>'[1]Fliggy Store Daily Key Data'!K2643</f>
        <v>143603</v>
      </c>
      <c r="G976" s="150">
        <v>245</v>
      </c>
      <c r="H976" s="155">
        <f t="shared" si="30"/>
        <v>0.0612244897959184</v>
      </c>
      <c r="I976" s="73">
        <f>'[1]Fliggy Store Daily Key Data'!I2643</f>
        <v>15</v>
      </c>
      <c r="J976" s="18">
        <f t="shared" si="29"/>
        <v>0.000975292587776333</v>
      </c>
      <c r="K976" s="5"/>
    </row>
    <row r="977" ht="13.85" spans="1:11">
      <c r="A977" s="156">
        <v>46085</v>
      </c>
      <c r="B977" s="150">
        <f>'[1]Fliggy Store Daily Key Data'!B2644</f>
        <v>60286</v>
      </c>
      <c r="C977" s="150">
        <f>'[1]Fliggy Store Daily Key Data'!C2644</f>
        <v>25138</v>
      </c>
      <c r="D977" s="150">
        <f>'[1]Fliggy Store Daily Key Data'!G2644</f>
        <v>4138</v>
      </c>
      <c r="E977" s="150">
        <v>49</v>
      </c>
      <c r="F977" s="150">
        <f>'[1]Fliggy Store Daily Key Data'!K2644</f>
        <v>165534</v>
      </c>
      <c r="G977" s="150">
        <v>362</v>
      </c>
      <c r="H977" s="155">
        <f t="shared" si="30"/>
        <v>0.0386740331491713</v>
      </c>
      <c r="I977" s="73">
        <f>'[1]Fliggy Store Daily Key Data'!I2644</f>
        <v>14</v>
      </c>
      <c r="J977" s="18">
        <f t="shared" si="29"/>
        <v>0.000556925769750975</v>
      </c>
      <c r="K977" s="5"/>
    </row>
    <row r="978" ht="13.85" spans="1:11">
      <c r="A978" s="156">
        <v>46086</v>
      </c>
      <c r="B978" s="150">
        <f>'[1]Fliggy Store Daily Key Data'!B2645</f>
        <v>65685</v>
      </c>
      <c r="C978" s="150">
        <f>'[1]Fliggy Store Daily Key Data'!C2645</f>
        <v>24506</v>
      </c>
      <c r="D978" s="150">
        <f>'[1]Fliggy Store Daily Key Data'!G2645</f>
        <v>5543</v>
      </c>
      <c r="E978" s="150">
        <v>50</v>
      </c>
      <c r="F978" s="150">
        <f>'[1]Fliggy Store Daily Key Data'!K2645</f>
        <v>175596</v>
      </c>
      <c r="G978" s="150">
        <v>321</v>
      </c>
      <c r="H978" s="155">
        <f t="shared" si="30"/>
        <v>0.0373831775700935</v>
      </c>
      <c r="I978" s="73">
        <f>'[1]Fliggy Store Daily Key Data'!I2645</f>
        <v>12</v>
      </c>
      <c r="J978" s="18">
        <f t="shared" si="29"/>
        <v>0.000489675997714845</v>
      </c>
      <c r="K978" s="5"/>
    </row>
    <row r="979" ht="13.85" spans="1:11">
      <c r="A979" s="156">
        <v>46087</v>
      </c>
      <c r="B979" s="150">
        <f>'[1]Fliggy Store Daily Key Data'!B2646</f>
        <v>66464</v>
      </c>
      <c r="C979" s="150">
        <f>'[1]Fliggy Store Daily Key Data'!C2646</f>
        <v>26469</v>
      </c>
      <c r="D979" s="150">
        <f>'[1]Fliggy Store Daily Key Data'!G2646</f>
        <v>6316</v>
      </c>
      <c r="E979" s="150">
        <v>31</v>
      </c>
      <c r="F979" s="150">
        <f>'[1]Fliggy Store Daily Key Data'!K2646</f>
        <v>223535</v>
      </c>
      <c r="G979" s="150">
        <v>276</v>
      </c>
      <c r="H979" s="155">
        <f t="shared" si="30"/>
        <v>0.0652173913043478</v>
      </c>
      <c r="I979" s="73">
        <f>'[1]Fliggy Store Daily Key Data'!I2646</f>
        <v>18</v>
      </c>
      <c r="J979" s="18">
        <f t="shared" si="29"/>
        <v>0.000680040802448147</v>
      </c>
      <c r="K979" s="5"/>
    </row>
    <row r="980" ht="13.85" spans="1:11">
      <c r="A980" s="156">
        <v>46088</v>
      </c>
      <c r="B980" s="150">
        <f>'[1]Fliggy Store Daily Key Data'!B2647</f>
        <v>67496</v>
      </c>
      <c r="C980" s="150">
        <f>'[1]Fliggy Store Daily Key Data'!C2647</f>
        <v>29524</v>
      </c>
      <c r="D980" s="150">
        <f>'[1]Fliggy Store Daily Key Data'!G2647</f>
        <v>6702</v>
      </c>
      <c r="E980" s="150">
        <v>36</v>
      </c>
      <c r="F980" s="150">
        <f>'[1]Fliggy Store Daily Key Data'!K2647</f>
        <v>122052</v>
      </c>
      <c r="G980" s="150">
        <v>225</v>
      </c>
      <c r="H980" s="155">
        <f t="shared" si="30"/>
        <v>0.0488888888888889</v>
      </c>
      <c r="I980" s="73">
        <f>'[1]Fliggy Store Daily Key Data'!I2647</f>
        <v>11</v>
      </c>
      <c r="J980" s="18">
        <f t="shared" si="29"/>
        <v>0.0003725782414307</v>
      </c>
      <c r="K980" s="5"/>
    </row>
    <row r="981" ht="13.85" spans="1:11">
      <c r="A981" s="156">
        <v>46089</v>
      </c>
      <c r="B981" s="150">
        <f>'[1]Fliggy Store Daily Key Data'!B2648</f>
        <v>75189</v>
      </c>
      <c r="C981" s="150">
        <f>'[1]Fliggy Store Daily Key Data'!C2648</f>
        <v>34469</v>
      </c>
      <c r="D981" s="150">
        <f>'[1]Fliggy Store Daily Key Data'!G2648</f>
        <v>7111</v>
      </c>
      <c r="E981" s="150">
        <v>43</v>
      </c>
      <c r="F981" s="150">
        <f>'[1]Fliggy Store Daily Key Data'!K2648</f>
        <v>105104</v>
      </c>
      <c r="G981" s="150">
        <v>232</v>
      </c>
      <c r="H981" s="155">
        <f t="shared" si="30"/>
        <v>0.0301724137931034</v>
      </c>
      <c r="I981" s="73">
        <f>'[1]Fliggy Store Daily Key Data'!I2648</f>
        <v>7</v>
      </c>
      <c r="J981" s="18">
        <f t="shared" si="29"/>
        <v>0.000203081029330703</v>
      </c>
      <c r="K981" s="5"/>
    </row>
    <row r="982" ht="13.85" spans="1:11">
      <c r="A982" s="156">
        <v>46090</v>
      </c>
      <c r="B982" s="150">
        <f>'[1]Fliggy Store Daily Key Data'!B2649</f>
        <v>60949</v>
      </c>
      <c r="C982" s="150">
        <f>'[1]Fliggy Store Daily Key Data'!C2649</f>
        <v>24536</v>
      </c>
      <c r="D982" s="150">
        <f>'[1]Fliggy Store Daily Key Data'!G2649</f>
        <v>5433</v>
      </c>
      <c r="E982" s="150">
        <v>39</v>
      </c>
      <c r="F982" s="150">
        <f>'[1]Fliggy Store Daily Key Data'!K2649</f>
        <v>201837</v>
      </c>
      <c r="G982" s="150">
        <v>229</v>
      </c>
      <c r="H982" s="155">
        <f t="shared" si="30"/>
        <v>0.074235807860262</v>
      </c>
      <c r="I982" s="73">
        <f>'[1]Fliggy Store Daily Key Data'!I2649</f>
        <v>17</v>
      </c>
      <c r="J982" s="18">
        <f t="shared" si="29"/>
        <v>0.000692859471796544</v>
      </c>
      <c r="K982" s="5"/>
    </row>
    <row r="983" ht="13.85" spans="1:11">
      <c r="A983" s="156">
        <v>46091</v>
      </c>
      <c r="B983" s="150">
        <f>'[1]Fliggy Store Daily Key Data'!B2650</f>
        <v>55930</v>
      </c>
      <c r="C983" s="150">
        <f>'[1]Fliggy Store Daily Key Data'!C2650</f>
        <v>22989</v>
      </c>
      <c r="D983" s="150">
        <f>'[1]Fliggy Store Daily Key Data'!G2650</f>
        <v>5511</v>
      </c>
      <c r="E983" s="150">
        <v>45</v>
      </c>
      <c r="F983" s="150">
        <f>'[1]Fliggy Store Daily Key Data'!K2650</f>
        <v>97042</v>
      </c>
      <c r="G983" s="150">
        <v>251</v>
      </c>
      <c r="H983" s="155">
        <f t="shared" si="30"/>
        <v>0.0358565737051793</v>
      </c>
      <c r="I983" s="73">
        <f>'[1]Fliggy Store Daily Key Data'!I2650</f>
        <v>9</v>
      </c>
      <c r="J983" s="18">
        <f t="shared" si="29"/>
        <v>0.000391491582930967</v>
      </c>
      <c r="K983" s="5"/>
    </row>
    <row r="984" ht="13.85" spans="1:11">
      <c r="A984" s="156">
        <v>46092</v>
      </c>
      <c r="B984" s="150">
        <f>'[1]Fliggy Store Daily Key Data'!B2651</f>
        <v>106981</v>
      </c>
      <c r="C984" s="150">
        <f>'[1]Fliggy Store Daily Key Data'!C2651</f>
        <v>52871</v>
      </c>
      <c r="D984" s="150">
        <f>'[1]Fliggy Store Daily Key Data'!G2651</f>
        <v>7088</v>
      </c>
      <c r="E984" s="150">
        <v>53</v>
      </c>
      <c r="F984" s="150">
        <f>'[1]Fliggy Store Daily Key Data'!K2651</f>
        <v>173054</v>
      </c>
      <c r="G984" s="150">
        <v>262</v>
      </c>
      <c r="H984" s="155">
        <f t="shared" si="30"/>
        <v>0.0534351145038168</v>
      </c>
      <c r="I984" s="73">
        <f>'[1]Fliggy Store Daily Key Data'!I2651</f>
        <v>14</v>
      </c>
      <c r="J984" s="18">
        <f t="shared" ref="J984:J1018" si="31">I984/C984</f>
        <v>0.000264795445518337</v>
      </c>
      <c r="K984" s="5"/>
    </row>
    <row r="985" ht="13.85" spans="1:11">
      <c r="A985" s="156">
        <v>46093</v>
      </c>
      <c r="B985" s="150">
        <f>'[1]Fliggy Store Daily Key Data'!B2652</f>
        <v>159934</v>
      </c>
      <c r="C985" s="150">
        <f>'[1]Fliggy Store Daily Key Data'!C2652</f>
        <v>75666</v>
      </c>
      <c r="D985" s="150">
        <f>'[1]Fliggy Store Daily Key Data'!G2652</f>
        <v>9164</v>
      </c>
      <c r="E985" s="150">
        <v>49</v>
      </c>
      <c r="F985" s="150">
        <f>'[1]Fliggy Store Daily Key Data'!K2652</f>
        <v>119036</v>
      </c>
      <c r="G985" s="150">
        <v>274</v>
      </c>
      <c r="H985" s="155">
        <f t="shared" si="30"/>
        <v>0.0364963503649635</v>
      </c>
      <c r="I985" s="73">
        <f>'[1]Fliggy Store Daily Key Data'!I2652</f>
        <v>10</v>
      </c>
      <c r="J985" s="18">
        <f t="shared" si="31"/>
        <v>0.000132159754711495</v>
      </c>
      <c r="K985" s="5"/>
    </row>
    <row r="986" ht="13.85" spans="1:11">
      <c r="A986" s="156">
        <v>46094</v>
      </c>
      <c r="B986" s="150">
        <f>'[1]Fliggy Store Daily Key Data'!B2653</f>
        <v>131997</v>
      </c>
      <c r="C986" s="150">
        <f>'[1]Fliggy Store Daily Key Data'!C2653</f>
        <v>76526</v>
      </c>
      <c r="D986" s="150">
        <f>'[1]Fliggy Store Daily Key Data'!G2653</f>
        <v>9823</v>
      </c>
      <c r="E986" s="150">
        <v>44</v>
      </c>
      <c r="F986" s="150">
        <f>'[1]Fliggy Store Daily Key Data'!K2653</f>
        <v>57896</v>
      </c>
      <c r="G986" s="150">
        <v>217</v>
      </c>
      <c r="H986" s="155">
        <f t="shared" si="30"/>
        <v>0.0276497695852535</v>
      </c>
      <c r="I986" s="73">
        <f>'[1]Fliggy Store Daily Key Data'!I2653</f>
        <v>6</v>
      </c>
      <c r="J986" s="18">
        <f t="shared" si="31"/>
        <v>7.84047251914382e-5</v>
      </c>
      <c r="K986" s="5"/>
    </row>
    <row r="987" ht="13.85" spans="1:11">
      <c r="A987" s="156">
        <v>46095</v>
      </c>
      <c r="B987" s="150">
        <f>'[1]Fliggy Store Daily Key Data'!B2654</f>
        <v>115844</v>
      </c>
      <c r="C987" s="150">
        <f>'[1]Fliggy Store Daily Key Data'!C2654</f>
        <v>69290</v>
      </c>
      <c r="D987" s="150">
        <f>'[1]Fliggy Store Daily Key Data'!G2654</f>
        <v>9021</v>
      </c>
      <c r="E987" s="150">
        <v>36</v>
      </c>
      <c r="F987" s="150">
        <f>'[1]Fliggy Store Daily Key Data'!K2654</f>
        <v>39622</v>
      </c>
      <c r="G987" s="150">
        <v>179</v>
      </c>
      <c r="H987" s="155">
        <f t="shared" si="30"/>
        <v>0.0111731843575419</v>
      </c>
      <c r="I987" s="73">
        <f>'[1]Fliggy Store Daily Key Data'!I2654</f>
        <v>2</v>
      </c>
      <c r="J987" s="18">
        <f t="shared" si="31"/>
        <v>2.88641939673835e-5</v>
      </c>
      <c r="K987" s="5"/>
    </row>
    <row r="988" ht="13.85" spans="1:11">
      <c r="A988" s="156">
        <v>46096</v>
      </c>
      <c r="B988" s="150">
        <f>'[1]Fliggy Store Daily Key Data'!B2655</f>
        <v>34852</v>
      </c>
      <c r="C988" s="150">
        <f>'[1]Fliggy Store Daily Key Data'!C2655</f>
        <v>17563</v>
      </c>
      <c r="D988" s="150">
        <f>'[1]Fliggy Store Daily Key Data'!G2655</f>
        <v>2444</v>
      </c>
      <c r="E988" s="150">
        <v>61</v>
      </c>
      <c r="F988" s="150">
        <f>'[1]Fliggy Store Daily Key Data'!K2655</f>
        <v>178218</v>
      </c>
      <c r="G988" s="150">
        <v>211</v>
      </c>
      <c r="H988" s="155">
        <f t="shared" si="30"/>
        <v>0.0758293838862559</v>
      </c>
      <c r="I988" s="73">
        <f>'[1]Fliggy Store Daily Key Data'!I2655</f>
        <v>16</v>
      </c>
      <c r="J988" s="18">
        <f t="shared" si="31"/>
        <v>0.000911006092353243</v>
      </c>
      <c r="K988" s="5"/>
    </row>
    <row r="989" ht="13.85" spans="1:11">
      <c r="A989" s="156">
        <v>46097</v>
      </c>
      <c r="B989" s="150">
        <f>'[1]Fliggy Store Daily Key Data'!B2656</f>
        <v>27052</v>
      </c>
      <c r="C989" s="150">
        <f>'[1]Fliggy Store Daily Key Data'!C2656</f>
        <v>12064</v>
      </c>
      <c r="D989" s="150">
        <f>'[1]Fliggy Store Daily Key Data'!G2656</f>
        <v>1978</v>
      </c>
      <c r="E989" s="150">
        <v>38</v>
      </c>
      <c r="F989" s="150">
        <f>'[1]Fliggy Store Daily Key Data'!K2656</f>
        <v>180486</v>
      </c>
      <c r="G989" s="150">
        <v>200</v>
      </c>
      <c r="H989" s="155">
        <f t="shared" si="30"/>
        <v>0.085</v>
      </c>
      <c r="I989" s="73">
        <f>'[1]Fliggy Store Daily Key Data'!I2656</f>
        <v>17</v>
      </c>
      <c r="J989" s="18">
        <f t="shared" si="31"/>
        <v>0.00140915119363395</v>
      </c>
      <c r="K989" s="5"/>
    </row>
    <row r="990" ht="13.85" spans="1:11">
      <c r="A990" s="156">
        <v>46098</v>
      </c>
      <c r="B990" s="150">
        <f>'[1]Fliggy Store Daily Key Data'!B2657</f>
        <v>128426</v>
      </c>
      <c r="C990" s="150">
        <f>'[1]Fliggy Store Daily Key Data'!C2657</f>
        <v>65033</v>
      </c>
      <c r="D990" s="150">
        <f>'[1]Fliggy Store Daily Key Data'!G2657</f>
        <v>17368</v>
      </c>
      <c r="E990" s="150">
        <v>55</v>
      </c>
      <c r="F990" s="150">
        <f>'[1]Fliggy Store Daily Key Data'!K2657</f>
        <v>134621</v>
      </c>
      <c r="G990" s="150">
        <v>266</v>
      </c>
      <c r="H990" s="155">
        <f t="shared" si="30"/>
        <v>0.0413533834586466</v>
      </c>
      <c r="I990" s="73">
        <f>'[1]Fliggy Store Daily Key Data'!I2657</f>
        <v>11</v>
      </c>
      <c r="J990" s="18">
        <f t="shared" si="31"/>
        <v>0.000169144895668353</v>
      </c>
      <c r="K990" s="5"/>
    </row>
    <row r="991" ht="13.85" spans="1:11">
      <c r="A991" s="156">
        <v>46099</v>
      </c>
      <c r="B991" s="150">
        <f>'[1]Fliggy Store Daily Key Data'!B2658</f>
        <v>122044</v>
      </c>
      <c r="C991" s="150">
        <f>'[1]Fliggy Store Daily Key Data'!C2658</f>
        <v>72362</v>
      </c>
      <c r="D991" s="150">
        <f>'[1]Fliggy Store Daily Key Data'!G2658</f>
        <v>11300</v>
      </c>
      <c r="E991" s="150">
        <v>53</v>
      </c>
      <c r="F991" s="150">
        <f>'[1]Fliggy Store Daily Key Data'!K2658</f>
        <v>181588</v>
      </c>
      <c r="G991" s="150">
        <v>241</v>
      </c>
      <c r="H991" s="155">
        <f t="shared" si="30"/>
        <v>0.0580912863070539</v>
      </c>
      <c r="I991" s="73">
        <f>'[1]Fliggy Store Daily Key Data'!I2658</f>
        <v>14</v>
      </c>
      <c r="J991" s="18">
        <f t="shared" si="31"/>
        <v>0.000193471711671872</v>
      </c>
      <c r="K991" s="5"/>
    </row>
    <row r="992" ht="13.85" spans="1:11">
      <c r="A992" s="156">
        <v>46100</v>
      </c>
      <c r="B992" s="150">
        <f>'[1]Fliggy Store Daily Key Data'!B2659</f>
        <v>188291</v>
      </c>
      <c r="C992" s="150">
        <f>'[1]Fliggy Store Daily Key Data'!C2659</f>
        <v>94461</v>
      </c>
      <c r="D992" s="150">
        <f>'[1]Fliggy Store Daily Key Data'!G2659</f>
        <v>12812</v>
      </c>
      <c r="E992" s="150">
        <v>29</v>
      </c>
      <c r="F992" s="150">
        <f>'[1]Fliggy Store Daily Key Data'!K2659</f>
        <v>48645</v>
      </c>
      <c r="G992" s="150">
        <v>182</v>
      </c>
      <c r="H992" s="155">
        <f t="shared" si="30"/>
        <v>0.0384615384615385</v>
      </c>
      <c r="I992" s="73">
        <f>'[1]Fliggy Store Daily Key Data'!I2659</f>
        <v>7</v>
      </c>
      <c r="J992" s="18">
        <f t="shared" si="31"/>
        <v>7.41046569483702e-5</v>
      </c>
      <c r="K992" s="5"/>
    </row>
    <row r="993" ht="13.85" spans="1:11">
      <c r="A993" s="156">
        <v>46101</v>
      </c>
      <c r="B993" s="150">
        <f>'[1]Fliggy Store Daily Key Data'!B2660</f>
        <v>174470</v>
      </c>
      <c r="C993" s="150">
        <f>'[1]Fliggy Store Daily Key Data'!C2660</f>
        <v>89753</v>
      </c>
      <c r="D993" s="150">
        <f>'[1]Fliggy Store Daily Key Data'!G2660</f>
        <v>13686</v>
      </c>
      <c r="E993" s="150">
        <v>37</v>
      </c>
      <c r="F993" s="150">
        <f>'[1]Fliggy Store Daily Key Data'!K2660</f>
        <v>57</v>
      </c>
      <c r="G993" s="150">
        <v>173</v>
      </c>
      <c r="H993" s="155">
        <f t="shared" si="30"/>
        <v>0</v>
      </c>
      <c r="I993" s="73">
        <f>'[1]Fliggy Store Daily Key Data'!I2660</f>
        <v>0</v>
      </c>
      <c r="J993" s="18">
        <f t="shared" si="31"/>
        <v>0</v>
      </c>
      <c r="K993" s="5"/>
    </row>
    <row r="994" ht="13.85" spans="1:11">
      <c r="A994" s="156">
        <v>46102</v>
      </c>
      <c r="B994" s="150">
        <f>'[1]Fliggy Store Daily Key Data'!B2661</f>
        <v>128613</v>
      </c>
      <c r="C994" s="150">
        <f>'[1]Fliggy Store Daily Key Data'!C2661</f>
        <v>67278</v>
      </c>
      <c r="D994" s="150">
        <f>'[1]Fliggy Store Daily Key Data'!G2661</f>
        <v>5667</v>
      </c>
      <c r="E994" s="150">
        <v>31</v>
      </c>
      <c r="F994" s="150">
        <f>'[1]Fliggy Store Daily Key Data'!K2661</f>
        <v>24684</v>
      </c>
      <c r="G994" s="150">
        <v>198</v>
      </c>
      <c r="H994" s="155">
        <f t="shared" si="30"/>
        <v>0.0101010101010101</v>
      </c>
      <c r="I994" s="73">
        <f>'[1]Fliggy Store Daily Key Data'!I2661</f>
        <v>2</v>
      </c>
      <c r="J994" s="18">
        <f t="shared" si="31"/>
        <v>2.97273997443444e-5</v>
      </c>
      <c r="K994" s="5"/>
    </row>
    <row r="995" ht="13.85" spans="1:11">
      <c r="A995" s="156">
        <v>46103</v>
      </c>
      <c r="B995" s="150">
        <f>'[1]Fliggy Store Daily Key Data'!B2662</f>
        <v>157610</v>
      </c>
      <c r="C995" s="150">
        <f>'[1]Fliggy Store Daily Key Data'!C2662</f>
        <v>63013</v>
      </c>
      <c r="D995" s="150">
        <f>'[1]Fliggy Store Daily Key Data'!G2662</f>
        <v>5917</v>
      </c>
      <c r="E995" s="150">
        <v>55</v>
      </c>
      <c r="F995" s="150">
        <f>'[1]Fliggy Store Daily Key Data'!K2662</f>
        <v>863162</v>
      </c>
      <c r="G995" s="150">
        <v>372</v>
      </c>
      <c r="H995" s="155">
        <f t="shared" si="30"/>
        <v>0.217741935483871</v>
      </c>
      <c r="I995" s="73">
        <f>'[1]Fliggy Store Daily Key Data'!I2662</f>
        <v>81</v>
      </c>
      <c r="J995" s="18">
        <f t="shared" si="31"/>
        <v>0.00128544903432625</v>
      </c>
      <c r="K995" s="5"/>
    </row>
    <row r="996" ht="13.85" spans="1:11">
      <c r="A996" s="156">
        <v>46104</v>
      </c>
      <c r="B996" s="150">
        <f>'[1]Fliggy Store Daily Key Data'!B2663</f>
        <v>85484</v>
      </c>
      <c r="C996" s="150">
        <f>'[1]Fliggy Store Daily Key Data'!C2663</f>
        <v>41306</v>
      </c>
      <c r="D996" s="150">
        <f>'[1]Fliggy Store Daily Key Data'!G2663</f>
        <v>5554</v>
      </c>
      <c r="E996" s="150">
        <v>31</v>
      </c>
      <c r="F996" s="150">
        <f>'[1]Fliggy Store Daily Key Data'!K2663</f>
        <v>228989</v>
      </c>
      <c r="G996" s="150">
        <v>223</v>
      </c>
      <c r="H996" s="155">
        <f t="shared" si="30"/>
        <v>0.0986547085201794</v>
      </c>
      <c r="I996" s="73">
        <f>'[1]Fliggy Store Daily Key Data'!I2663</f>
        <v>22</v>
      </c>
      <c r="J996" s="18">
        <f t="shared" si="31"/>
        <v>0.000532610274536387</v>
      </c>
      <c r="K996" s="5"/>
    </row>
    <row r="997" ht="13.85" spans="1:11">
      <c r="A997" s="156">
        <v>46105</v>
      </c>
      <c r="B997" s="150">
        <f>'[1]Fliggy Store Daily Key Data'!B2664</f>
        <v>73802</v>
      </c>
      <c r="C997" s="150">
        <f>'[1]Fliggy Store Daily Key Data'!C2664</f>
        <v>37101</v>
      </c>
      <c r="D997" s="150">
        <f>'[1]Fliggy Store Daily Key Data'!G2664</f>
        <v>4704</v>
      </c>
      <c r="E997" s="150">
        <v>33</v>
      </c>
      <c r="F997" s="150">
        <f>'[1]Fliggy Store Daily Key Data'!K2664</f>
        <v>133123</v>
      </c>
      <c r="G997" s="150">
        <v>180</v>
      </c>
      <c r="H997" s="155">
        <f t="shared" si="30"/>
        <v>0.0611111111111111</v>
      </c>
      <c r="I997" s="73">
        <f>'[1]Fliggy Store Daily Key Data'!I2664</f>
        <v>11</v>
      </c>
      <c r="J997" s="18">
        <f t="shared" si="31"/>
        <v>0.000296487965283955</v>
      </c>
      <c r="K997" s="5"/>
    </row>
    <row r="998" ht="13.85" spans="1:11">
      <c r="A998" s="156">
        <v>46106</v>
      </c>
      <c r="B998" s="150">
        <f>'[1]Fliggy Store Daily Key Data'!B2665</f>
        <v>87658</v>
      </c>
      <c r="C998" s="150">
        <f>'[1]Fliggy Store Daily Key Data'!C2665</f>
        <v>43393</v>
      </c>
      <c r="D998" s="150">
        <f>'[1]Fliggy Store Daily Key Data'!G2665</f>
        <v>4384</v>
      </c>
      <c r="E998" s="150">
        <v>37</v>
      </c>
      <c r="F998" s="150">
        <f>'[1]Fliggy Store Daily Key Data'!K2665</f>
        <v>1098280</v>
      </c>
      <c r="G998" s="150">
        <v>270</v>
      </c>
      <c r="H998" s="155">
        <f t="shared" si="30"/>
        <v>0.333333333333333</v>
      </c>
      <c r="I998" s="73">
        <f>'[1]Fliggy Store Daily Key Data'!I2665</f>
        <v>90</v>
      </c>
      <c r="J998" s="18">
        <f t="shared" si="31"/>
        <v>0.00207406724586915</v>
      </c>
      <c r="K998" s="5"/>
    </row>
    <row r="999" ht="13.85" spans="1:11">
      <c r="A999" s="156">
        <v>46107</v>
      </c>
      <c r="B999" s="150">
        <f>'[1]Fliggy Store Daily Key Data'!B2666</f>
        <v>88293</v>
      </c>
      <c r="C999" s="150">
        <f>'[1]Fliggy Store Daily Key Data'!C2666</f>
        <v>44998</v>
      </c>
      <c r="D999" s="150">
        <f>'[1]Fliggy Store Daily Key Data'!G2666</f>
        <v>4623</v>
      </c>
      <c r="E999" s="150">
        <v>30</v>
      </c>
      <c r="F999" s="150">
        <f>'[1]Fliggy Store Daily Key Data'!K2666</f>
        <v>325282.01</v>
      </c>
      <c r="G999" s="150">
        <v>235</v>
      </c>
      <c r="H999" s="155">
        <f t="shared" si="30"/>
        <v>0.123404255319149</v>
      </c>
      <c r="I999" s="73">
        <f>'[1]Fliggy Store Daily Key Data'!I2666</f>
        <v>29</v>
      </c>
      <c r="J999" s="18">
        <f t="shared" si="31"/>
        <v>0.000644473087692786</v>
      </c>
      <c r="K999" s="5"/>
    </row>
    <row r="1000" ht="13.85" spans="1:11">
      <c r="A1000" s="156">
        <v>46108</v>
      </c>
      <c r="B1000" s="150">
        <f>'[1]Fliggy Store Daily Key Data'!B2667</f>
        <v>71245</v>
      </c>
      <c r="C1000" s="150">
        <f>'[1]Fliggy Store Daily Key Data'!C2667</f>
        <v>32363</v>
      </c>
      <c r="D1000" s="150">
        <f>'[1]Fliggy Store Daily Key Data'!G2667</f>
        <v>4082</v>
      </c>
      <c r="E1000" s="150">
        <v>28</v>
      </c>
      <c r="F1000" s="150">
        <f>'[1]Fliggy Store Daily Key Data'!K2667</f>
        <v>333662</v>
      </c>
      <c r="G1000" s="150">
        <v>204</v>
      </c>
      <c r="H1000" s="155">
        <f t="shared" si="30"/>
        <v>0.147058823529412</v>
      </c>
      <c r="I1000" s="73">
        <f>'[1]Fliggy Store Daily Key Data'!I2667</f>
        <v>30</v>
      </c>
      <c r="J1000" s="18">
        <f t="shared" si="31"/>
        <v>0.000926984519358527</v>
      </c>
      <c r="K1000" s="5"/>
    </row>
    <row r="1001" ht="13.85" spans="1:11">
      <c r="A1001" s="156">
        <v>46109</v>
      </c>
      <c r="B1001" s="150">
        <f>'[1]Fliggy Store Daily Key Data'!B2668</f>
        <v>58725</v>
      </c>
      <c r="C1001" s="150">
        <f>'[1]Fliggy Store Daily Key Data'!C2668</f>
        <v>30567</v>
      </c>
      <c r="D1001" s="150">
        <f>'[1]Fliggy Store Daily Key Data'!G2668</f>
        <v>4294</v>
      </c>
      <c r="E1001" s="150">
        <v>26</v>
      </c>
      <c r="F1001" s="150">
        <f>'[1]Fliggy Store Daily Key Data'!K2668</f>
        <v>208182</v>
      </c>
      <c r="G1001" s="150">
        <v>165</v>
      </c>
      <c r="H1001" s="155">
        <f t="shared" si="30"/>
        <v>0.121212121212121</v>
      </c>
      <c r="I1001" s="73">
        <f>'[1]Fliggy Store Daily Key Data'!I2668</f>
        <v>20</v>
      </c>
      <c r="J1001" s="18">
        <f t="shared" si="31"/>
        <v>0.000654300389308732</v>
      </c>
      <c r="K1001" s="5"/>
    </row>
    <row r="1002" ht="13.85" spans="1:11">
      <c r="A1002" s="156">
        <v>46110</v>
      </c>
      <c r="B1002" s="150">
        <f>'[1]Fliggy Store Daily Key Data'!B2669</f>
        <v>65717</v>
      </c>
      <c r="C1002" s="150">
        <f>'[1]Fliggy Store Daily Key Data'!C2669</f>
        <v>36040</v>
      </c>
      <c r="D1002" s="150">
        <f>'[1]Fliggy Store Daily Key Data'!G2669</f>
        <v>3722</v>
      </c>
      <c r="E1002" s="150">
        <v>23</v>
      </c>
      <c r="F1002" s="150">
        <f>'[1]Fliggy Store Daily Key Data'!K2669</f>
        <v>248557</v>
      </c>
      <c r="G1002" s="150">
        <v>180</v>
      </c>
      <c r="H1002" s="155">
        <f t="shared" si="30"/>
        <v>0.116666666666667</v>
      </c>
      <c r="I1002" s="73">
        <f>'[1]Fliggy Store Daily Key Data'!I2669</f>
        <v>21</v>
      </c>
      <c r="J1002" s="18">
        <f t="shared" si="31"/>
        <v>0.000582685904550499</v>
      </c>
      <c r="K1002" s="5"/>
    </row>
    <row r="1003" ht="13.85" spans="1:11">
      <c r="A1003" s="156">
        <v>46111</v>
      </c>
      <c r="B1003" s="150">
        <f>'[1]Fliggy Store Daily Key Data'!B2670</f>
        <v>84671</v>
      </c>
      <c r="C1003" s="150">
        <f>'[1]Fliggy Store Daily Key Data'!C2670</f>
        <v>33915</v>
      </c>
      <c r="D1003" s="150">
        <f>'[1]Fliggy Store Daily Key Data'!G2670</f>
        <v>3893</v>
      </c>
      <c r="E1003" s="150">
        <v>35</v>
      </c>
      <c r="F1003" s="150">
        <f>'[1]Fliggy Store Daily Key Data'!K2670</f>
        <v>440044</v>
      </c>
      <c r="G1003" s="150">
        <v>253</v>
      </c>
      <c r="H1003" s="155">
        <f t="shared" si="30"/>
        <v>0.150197628458498</v>
      </c>
      <c r="I1003" s="73">
        <f>'[1]Fliggy Store Daily Key Data'!I2670</f>
        <v>38</v>
      </c>
      <c r="J1003" s="18">
        <f t="shared" si="31"/>
        <v>0.00112044817927171</v>
      </c>
      <c r="K1003" s="5"/>
    </row>
    <row r="1004" ht="13.85" spans="1:11">
      <c r="A1004" s="156">
        <v>46112</v>
      </c>
      <c r="B1004" s="150">
        <f>'[1]Fliggy Store Daily Key Data'!B2671</f>
        <v>73146</v>
      </c>
      <c r="C1004" s="150">
        <f>'[1]Fliggy Store Daily Key Data'!C2671</f>
        <v>36442</v>
      </c>
      <c r="D1004" s="150">
        <f>'[1]Fliggy Store Daily Key Data'!G2671</f>
        <v>3625</v>
      </c>
      <c r="E1004" s="150">
        <v>29</v>
      </c>
      <c r="F1004" s="150">
        <f>'[1]Fliggy Store Daily Key Data'!K2671</f>
        <v>335410</v>
      </c>
      <c r="G1004" s="150">
        <v>227</v>
      </c>
      <c r="H1004" s="155">
        <f t="shared" si="30"/>
        <v>0.145374449339207</v>
      </c>
      <c r="I1004" s="73">
        <f>'[1]Fliggy Store Daily Key Data'!I2671</f>
        <v>33</v>
      </c>
      <c r="J1004" s="18">
        <f t="shared" si="31"/>
        <v>0.000905548542890072</v>
      </c>
      <c r="K1004" s="5"/>
    </row>
    <row r="1005" ht="13.85" spans="1:11">
      <c r="A1005" s="156">
        <v>46113</v>
      </c>
      <c r="B1005" s="150">
        <f>'[1]Fliggy Store Daily Key Data'!B2672</f>
        <v>72962</v>
      </c>
      <c r="C1005" s="150">
        <f>'[1]Fliggy Store Daily Key Data'!C2672</f>
        <v>40541</v>
      </c>
      <c r="D1005" s="150">
        <f>'[1]Fliggy Store Daily Key Data'!G2672</f>
        <v>3993</v>
      </c>
      <c r="E1005" s="150">
        <v>27</v>
      </c>
      <c r="F1005" s="150">
        <f>'[1]Fliggy Store Daily Key Data'!K2672</f>
        <v>153000.02</v>
      </c>
      <c r="G1005" s="150">
        <v>217</v>
      </c>
      <c r="H1005" s="155">
        <f t="shared" si="30"/>
        <v>0.0599078341013825</v>
      </c>
      <c r="I1005" s="73">
        <f>'[1]Fliggy Store Daily Key Data'!I2672</f>
        <v>13</v>
      </c>
      <c r="J1005" s="18">
        <f t="shared" si="31"/>
        <v>0.000320663032485632</v>
      </c>
      <c r="K1005" s="5"/>
    </row>
    <row r="1006" ht="13.85" spans="1:11">
      <c r="A1006" s="156">
        <v>46114</v>
      </c>
      <c r="B1006" s="150">
        <f>'[1]Fliggy Store Daily Key Data'!B2673</f>
        <v>79215</v>
      </c>
      <c r="C1006" s="150">
        <f>'[1]Fliggy Store Daily Key Data'!C2673</f>
        <v>43897</v>
      </c>
      <c r="D1006" s="150">
        <f>'[1]Fliggy Store Daily Key Data'!G2673</f>
        <v>5019</v>
      </c>
      <c r="E1006" s="150">
        <v>31</v>
      </c>
      <c r="F1006" s="150">
        <f>'[1]Fliggy Store Daily Key Data'!K2673</f>
        <v>168167.02</v>
      </c>
      <c r="G1006" s="150">
        <v>195</v>
      </c>
      <c r="H1006" s="155">
        <f t="shared" si="30"/>
        <v>0.0871794871794872</v>
      </c>
      <c r="I1006" s="73">
        <f>'[1]Fliggy Store Daily Key Data'!I2673</f>
        <v>17</v>
      </c>
      <c r="J1006" s="18">
        <f t="shared" si="31"/>
        <v>0.000387270200697086</v>
      </c>
      <c r="K1006" s="5"/>
    </row>
    <row r="1007" ht="13.85" spans="1:11">
      <c r="A1007" s="156">
        <v>46115</v>
      </c>
      <c r="B1007" s="150">
        <f>'[1]Fliggy Store Daily Key Data'!B2674</f>
        <v>77344</v>
      </c>
      <c r="C1007" s="150">
        <f>'[1]Fliggy Store Daily Key Data'!C2674</f>
        <v>43772</v>
      </c>
      <c r="D1007" s="150">
        <f>'[1]Fliggy Store Daily Key Data'!G2674</f>
        <v>4580</v>
      </c>
      <c r="E1007" s="150">
        <v>38</v>
      </c>
      <c r="F1007" s="150">
        <f>'[1]Fliggy Store Daily Key Data'!K2674</f>
        <v>106944.02</v>
      </c>
      <c r="G1007" s="150">
        <v>179</v>
      </c>
      <c r="H1007" s="155">
        <f t="shared" si="30"/>
        <v>0.0558659217877095</v>
      </c>
      <c r="I1007" s="73">
        <f>'[1]Fliggy Store Daily Key Data'!I2674</f>
        <v>10</v>
      </c>
      <c r="J1007" s="18">
        <f t="shared" si="31"/>
        <v>0.000228456547564653</v>
      </c>
      <c r="K1007" s="5"/>
    </row>
    <row r="1008" ht="13.85" spans="1:11">
      <c r="A1008" s="156">
        <v>46116</v>
      </c>
      <c r="B1008" s="150">
        <f>'[1]Fliggy Store Daily Key Data'!B2675</f>
        <v>75875</v>
      </c>
      <c r="C1008" s="150">
        <f>'[1]Fliggy Store Daily Key Data'!C2675</f>
        <v>42404</v>
      </c>
      <c r="D1008" s="150">
        <f>'[1]Fliggy Store Daily Key Data'!G2675</f>
        <v>5198</v>
      </c>
      <c r="E1008" s="150">
        <v>26</v>
      </c>
      <c r="F1008" s="150">
        <f>'[1]Fliggy Store Daily Key Data'!K2675</f>
        <v>131276.04</v>
      </c>
      <c r="G1008" s="150">
        <v>148</v>
      </c>
      <c r="H1008" s="155">
        <f t="shared" si="30"/>
        <v>0.0945945945945946</v>
      </c>
      <c r="I1008" s="73">
        <f>'[1]Fliggy Store Daily Key Data'!I2675</f>
        <v>14</v>
      </c>
      <c r="J1008" s="18">
        <f t="shared" si="31"/>
        <v>0.000330157532308273</v>
      </c>
      <c r="K1008" s="5"/>
    </row>
    <row r="1009" ht="13.85" spans="1:11">
      <c r="A1009" s="156">
        <v>46117</v>
      </c>
      <c r="B1009" s="150">
        <f>'[1]Fliggy Store Daily Key Data'!B2676</f>
        <v>84380</v>
      </c>
      <c r="C1009" s="150">
        <f>'[1]Fliggy Store Daily Key Data'!C2676</f>
        <v>51257</v>
      </c>
      <c r="D1009" s="150">
        <f>'[1]Fliggy Store Daily Key Data'!G2676</f>
        <v>5843</v>
      </c>
      <c r="E1009" s="150">
        <v>61</v>
      </c>
      <c r="F1009" s="150">
        <f>'[1]Fliggy Store Daily Key Data'!K2676</f>
        <v>156595</v>
      </c>
      <c r="G1009" s="150">
        <v>159</v>
      </c>
      <c r="H1009" s="155">
        <f t="shared" si="30"/>
        <v>0.0880503144654088</v>
      </c>
      <c r="I1009" s="73">
        <f>'[1]Fliggy Store Daily Key Data'!I2676</f>
        <v>14</v>
      </c>
      <c r="J1009" s="18">
        <f t="shared" si="31"/>
        <v>0.000273133425678444</v>
      </c>
      <c r="K1009" s="5"/>
    </row>
    <row r="1010" ht="13.85" spans="1:11">
      <c r="A1010" s="156">
        <v>46118</v>
      </c>
      <c r="B1010" s="150">
        <f>'[1]Fliggy Store Daily Key Data'!B2677</f>
        <v>87599</v>
      </c>
      <c r="C1010" s="150">
        <f>'[1]Fliggy Store Daily Key Data'!C2677</f>
        <v>47674</v>
      </c>
      <c r="D1010" s="150">
        <f>'[1]Fliggy Store Daily Key Data'!G2677</f>
        <v>6496</v>
      </c>
      <c r="E1010" s="150">
        <v>78</v>
      </c>
      <c r="F1010" s="150">
        <f>'[1]Fliggy Store Daily Key Data'!K2677</f>
        <v>96429</v>
      </c>
      <c r="G1010" s="150">
        <v>229</v>
      </c>
      <c r="H1010" s="155">
        <f t="shared" si="30"/>
        <v>0.0393013100436681</v>
      </c>
      <c r="I1010" s="73">
        <f>'[1]Fliggy Store Daily Key Data'!I2677</f>
        <v>9</v>
      </c>
      <c r="J1010" s="18">
        <f t="shared" si="31"/>
        <v>0.000188782145404204</v>
      </c>
      <c r="K1010" s="5"/>
    </row>
    <row r="1011" ht="13.85" spans="1:11">
      <c r="A1011" s="156">
        <v>46119</v>
      </c>
      <c r="B1011" s="150">
        <f>'[1]Fliggy Store Daily Key Data'!B2678</f>
        <v>70641</v>
      </c>
      <c r="C1011" s="150">
        <f>'[1]Fliggy Store Daily Key Data'!C2678</f>
        <v>38182</v>
      </c>
      <c r="D1011" s="150">
        <f>'[1]Fliggy Store Daily Key Data'!G2678</f>
        <v>4618</v>
      </c>
      <c r="E1011" s="150">
        <v>69</v>
      </c>
      <c r="F1011" s="150">
        <f>'[1]Fliggy Store Daily Key Data'!K2678</f>
        <v>285736</v>
      </c>
      <c r="G1011" s="150">
        <v>265</v>
      </c>
      <c r="H1011" s="155">
        <f t="shared" si="30"/>
        <v>0.0339622641509434</v>
      </c>
      <c r="I1011" s="73">
        <f>'[1]Fliggy Store Daily Key Data'!I2678</f>
        <v>9</v>
      </c>
      <c r="J1011" s="18">
        <f t="shared" si="31"/>
        <v>0.000235713163270651</v>
      </c>
      <c r="K1011" s="5"/>
    </row>
    <row r="1012" ht="13.85" spans="1:11">
      <c r="A1012" s="156">
        <v>46120</v>
      </c>
      <c r="B1012" s="150">
        <f>'[1]Fliggy Store Daily Key Data'!B2679</f>
        <v>46666</v>
      </c>
      <c r="C1012" s="150">
        <f>'[1]Fliggy Store Daily Key Data'!C2679</f>
        <v>25900</v>
      </c>
      <c r="D1012" s="150">
        <f>'[1]Fliggy Store Daily Key Data'!G2679</f>
        <v>3431</v>
      </c>
      <c r="E1012" s="150">
        <v>22</v>
      </c>
      <c r="F1012" s="150">
        <f>'[1]Fliggy Store Daily Key Data'!K2679</f>
        <v>61265.04</v>
      </c>
      <c r="G1012" s="150">
        <v>201</v>
      </c>
      <c r="H1012" s="155">
        <f t="shared" si="30"/>
        <v>0.0298507462686567</v>
      </c>
      <c r="I1012" s="73">
        <f>'[1]Fliggy Store Daily Key Data'!I2679</f>
        <v>6</v>
      </c>
      <c r="J1012" s="18">
        <f t="shared" si="31"/>
        <v>0.000231660231660232</v>
      </c>
      <c r="K1012" s="5"/>
    </row>
    <row r="1013" ht="13.85" spans="1:11">
      <c r="A1013" s="156">
        <v>46121</v>
      </c>
      <c r="B1013" s="150">
        <f>'[1]Fliggy Store Daily Key Data'!B2680</f>
        <v>31699</v>
      </c>
      <c r="C1013" s="150">
        <f>'[1]Fliggy Store Daily Key Data'!C2680</f>
        <v>16273</v>
      </c>
      <c r="D1013" s="150">
        <f>'[1]Fliggy Store Daily Key Data'!G2680</f>
        <v>2759</v>
      </c>
      <c r="E1013" s="150">
        <v>28</v>
      </c>
      <c r="F1013" s="150">
        <f>'[1]Fliggy Store Daily Key Data'!K2680</f>
        <v>85135.03</v>
      </c>
      <c r="G1013" s="150">
        <v>190</v>
      </c>
      <c r="H1013" s="155">
        <f t="shared" si="30"/>
        <v>0.0421052631578947</v>
      </c>
      <c r="I1013" s="73">
        <f>'[1]Fliggy Store Daily Key Data'!I2680</f>
        <v>8</v>
      </c>
      <c r="J1013" s="18">
        <f t="shared" si="31"/>
        <v>0.000491611872426719</v>
      </c>
      <c r="K1013" s="5"/>
    </row>
    <row r="1014" ht="13.85" spans="1:11">
      <c r="A1014" s="156">
        <v>46122</v>
      </c>
      <c r="B1014" s="150">
        <f>'[1]Fliggy Store Daily Key Data'!B2681</f>
        <v>49183</v>
      </c>
      <c r="C1014" s="150">
        <f>'[1]Fliggy Store Daily Key Data'!C2681</f>
        <v>25158</v>
      </c>
      <c r="D1014" s="150">
        <f>'[1]Fliggy Store Daily Key Data'!G2681</f>
        <v>4241</v>
      </c>
      <c r="E1014" s="150">
        <v>31</v>
      </c>
      <c r="F1014" s="150">
        <f>'[1]Fliggy Store Daily Key Data'!K2681</f>
        <v>128809.08</v>
      </c>
      <c r="G1014" s="150">
        <v>147</v>
      </c>
      <c r="H1014" s="155">
        <f t="shared" si="30"/>
        <v>0.054421768707483</v>
      </c>
      <c r="I1014" s="73">
        <f>'[1]Fliggy Store Daily Key Data'!I2681</f>
        <v>8</v>
      </c>
      <c r="J1014" s="18">
        <f t="shared" si="31"/>
        <v>0.00031799030129581</v>
      </c>
      <c r="K1014" s="5"/>
    </row>
    <row r="1015" ht="13.85" spans="1:11">
      <c r="A1015" s="156">
        <v>46123</v>
      </c>
      <c r="B1015" s="150">
        <f>'[1]Fliggy Store Daily Key Data'!B2682</f>
        <v>44755</v>
      </c>
      <c r="C1015" s="150">
        <f>'[1]Fliggy Store Daily Key Data'!C2682</f>
        <v>24013</v>
      </c>
      <c r="D1015" s="150">
        <f>'[1]Fliggy Store Daily Key Data'!G2682</f>
        <v>3630</v>
      </c>
      <c r="E1015" s="150">
        <v>24</v>
      </c>
      <c r="F1015" s="150">
        <f>'[1]Fliggy Store Daily Key Data'!K2682</f>
        <v>154192.02</v>
      </c>
      <c r="G1015" s="150">
        <v>56</v>
      </c>
      <c r="H1015" s="155">
        <f t="shared" si="30"/>
        <v>0.232142857142857</v>
      </c>
      <c r="I1015" s="73">
        <f>'[1]Fliggy Store Daily Key Data'!I2682</f>
        <v>13</v>
      </c>
      <c r="J1015" s="18">
        <f t="shared" si="31"/>
        <v>0.000541373422729355</v>
      </c>
      <c r="K1015" s="5"/>
    </row>
    <row r="1016" ht="13.85" spans="1:11">
      <c r="A1016" s="156">
        <v>46124</v>
      </c>
      <c r="B1016" s="150">
        <f>'[1]Fliggy Store Daily Key Data'!B2683</f>
        <v>47133</v>
      </c>
      <c r="C1016" s="150">
        <f>'[1]Fliggy Store Daily Key Data'!C2683</f>
        <v>25491</v>
      </c>
      <c r="D1016" s="150">
        <f>'[1]Fliggy Store Daily Key Data'!G2683</f>
        <v>4210</v>
      </c>
      <c r="E1016" s="150">
        <v>33</v>
      </c>
      <c r="F1016" s="150">
        <f>'[1]Fliggy Store Daily Key Data'!K2683</f>
        <v>27484</v>
      </c>
      <c r="G1016" s="150">
        <v>140</v>
      </c>
      <c r="H1016" s="155">
        <f t="shared" si="30"/>
        <v>0.0214285714285714</v>
      </c>
      <c r="I1016" s="73">
        <f>'[1]Fliggy Store Daily Key Data'!I2683</f>
        <v>3</v>
      </c>
      <c r="J1016" s="18">
        <f t="shared" si="31"/>
        <v>0.00011768859597505</v>
      </c>
      <c r="K1016" s="5"/>
    </row>
    <row r="1017" ht="13.85" spans="1:11">
      <c r="A1017" s="156">
        <v>46125</v>
      </c>
      <c r="B1017" s="150">
        <f>'[1]Fliggy Store Daily Key Data'!B2684</f>
        <v>49303</v>
      </c>
      <c r="C1017" s="150">
        <f>'[1]Fliggy Store Daily Key Data'!C2684</f>
        <v>26203</v>
      </c>
      <c r="D1017" s="150">
        <f>'[1]Fliggy Store Daily Key Data'!G2684</f>
        <v>4129</v>
      </c>
      <c r="E1017" s="150">
        <v>32</v>
      </c>
      <c r="F1017" s="150">
        <f>'[1]Fliggy Store Daily Key Data'!K2684</f>
        <v>181899.09</v>
      </c>
      <c r="G1017" s="150">
        <v>158</v>
      </c>
      <c r="H1017" s="155">
        <f t="shared" si="30"/>
        <v>0.0886075949367089</v>
      </c>
      <c r="I1017" s="73">
        <f>'[1]Fliggy Store Daily Key Data'!I2684</f>
        <v>14</v>
      </c>
      <c r="J1017" s="18">
        <f t="shared" si="31"/>
        <v>0.000534289966797695</v>
      </c>
      <c r="K1017" s="5"/>
    </row>
    <row r="1018" ht="13.85" spans="1:11">
      <c r="A1018" s="156">
        <v>46126</v>
      </c>
      <c r="B1018" s="150">
        <f>'[1]Fliggy Store Daily Key Data'!B2685</f>
        <v>23657</v>
      </c>
      <c r="C1018" s="150">
        <f>'[1]Fliggy Store Daily Key Data'!C2685</f>
        <v>9000</v>
      </c>
      <c r="D1018" s="150">
        <f>'[1]Fliggy Store Daily Key Data'!G2685</f>
        <v>1948</v>
      </c>
      <c r="E1018" s="150">
        <v>27</v>
      </c>
      <c r="F1018" s="150">
        <f>'[1]Fliggy Store Daily Key Data'!K2685</f>
        <v>92907</v>
      </c>
      <c r="G1018" s="150">
        <v>160</v>
      </c>
      <c r="H1018" s="155">
        <f t="shared" si="30"/>
        <v>0.05625</v>
      </c>
      <c r="I1018" s="73">
        <f>'[1]Fliggy Store Daily Key Data'!I2685</f>
        <v>9</v>
      </c>
      <c r="J1018" s="18">
        <f t="shared" si="31"/>
        <v>0.001</v>
      </c>
      <c r="K1018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店铺数据每日登记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ZouYuchang</dc:creator>
  <cp:lastModifiedBy>邹宇畅</cp:lastModifiedBy>
  <dcterms:created xsi:type="dcterms:W3CDTF">2026-04-18T14:25:15Z</dcterms:created>
  <dcterms:modified xsi:type="dcterms:W3CDTF">2026-04-18T14:25:44Z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2B3034B84225437DB84911173C4E8657_11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