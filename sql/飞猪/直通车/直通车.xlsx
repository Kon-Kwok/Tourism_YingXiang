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8390"/>
  </bookViews>
  <sheets>
    <sheet name="直通车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<sst xmlns="http://schemas.openxmlformats.org/spreadsheetml/2006/main" count="361" uniqueCount="17">
  <si>
    <t>Date
时间</t>
  </si>
  <si>
    <t>Cost
花费</t>
  </si>
  <si>
    <t>IMP
展示</t>
  </si>
  <si>
    <t>Click
点击</t>
  </si>
  <si>
    <t>Order
订单</t>
  </si>
  <si>
    <t>Sales
销量GMV</t>
  </si>
  <si>
    <t>ShoppingCart
加入购物车</t>
  </si>
  <si>
    <t>Bookmark-Product
宝贝收藏</t>
  </si>
  <si>
    <t>Bookmark-Store
店铺收藏</t>
  </si>
  <si>
    <t>CTR
点击率</t>
  </si>
  <si>
    <t>CPC
点击成本</t>
  </si>
  <si>
    <t>ROI
投资回报率</t>
  </si>
  <si>
    <t>CVR
点击转化率</t>
  </si>
  <si>
    <t>ASP
订单均价</t>
  </si>
  <si>
    <t>Cporder
订单成本</t>
  </si>
  <si>
    <t>CPshopping cart
加购成本</t>
  </si>
  <si>
    <t>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</si>
</sst>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\¥#,##0_);[Red]&quot;(¥&quot;#,##0\)"/>
    <numFmt numFmtId="178" formatCode="_ \¥* #,##0.00_ ;_ \¥* \-#,##0.00_ ;_ \¥* &quot;-&quot;??_ ;_ @_ "/>
    <numFmt numFmtId="179" formatCode="0.0%"/>
    <numFmt numFmtId="180" formatCode="_ * #,##0_ ;_ * \-#,##0_ ;_ * &quot;-&quot;??_ ;_ @_ "/>
    <numFmt numFmtId="181" formatCode="0.00_ "/>
    <numFmt numFmtId="182" formatCode="0_);[Red]\(0\)"/>
    <numFmt numFmtId="183" formatCode="0_ "/>
    <numFmt numFmtId="184" formatCode="\¥#,##0.00_);[Red]\(\¥#,##0.00\)"/>
    <numFmt numFmtId="185" formatCode="&quot;￥&quot;#,##0.00_);[Red]\(&quot;￥&quot;#,##0.00\)"/>
  </numFmts>
  <fonts count="28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0"/>
      <color theme="0" tint="-0.0499893185216834"/>
      <name val="微软雅黑"/>
      <charset val="134"/>
    </font>
    <font>
      <sz val="11"/>
      <name val="等线"/>
      <charset val="134"/>
    </font>
    <font>
      <sz val="11"/>
      <color theme="1"/>
      <name val="宋体"/>
      <charset val="134"/>
    </font>
    <font>
      <sz val="10"/>
      <color theme="1"/>
      <name val="等线"/>
      <charset val="134"/>
    </font>
    <font>
      <sz val="11"/>
      <color theme="1"/>
      <name val="等线"/>
      <charset val="134"/>
    </font>
    <font>
      <sz val="11"/>
      <color rgb="FF000000"/>
      <name val="等线"/>
      <charset val="134"/>
    </font>
    <font>
      <sz val="11"/>
      <color rgb="FF333333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-0.249977111117893"/>
        <bgColor rgb="FFE2F0D9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 tint="-0.149998474074526"/>
      </right>
      <top style="thin">
        <color theme="0" tint="-0.149998474074526"/>
      </top>
      <bottom style="thin">
        <color theme="0" tint="-0.14999847407452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7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0" fillId="0" borderId="0"/>
  </cellStyleXfs>
  <cellXfs count="111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7" fontId="0" fillId="0" borderId="0" xfId="2" applyNumberFormat="1" applyFont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0" fontId="0" fillId="0" borderId="0" xfId="3" applyNumberFormat="1" applyFont="1" applyAlignment="1">
      <alignment horizontal="center" vertical="center"/>
    </xf>
    <xf numFmtId="7" fontId="0" fillId="0" borderId="0" xfId="0" applyNumberFormat="1" applyFill="1" applyAlignment="1">
      <alignment horizontal="center" vertical="center"/>
    </xf>
    <xf numFmtId="38" fontId="0" fillId="0" borderId="0" xfId="0" applyNumberFormat="1" applyFill="1" applyAlignment="1">
      <alignment horizontal="center" vertical="center"/>
    </xf>
    <xf numFmtId="177" fontId="2" fillId="2" borderId="1" xfId="0" applyNumberFormat="1" applyFont="1" applyFill="1" applyBorder="1" applyAlignment="1">
      <alignment horizontal="center" vertical="center" wrapText="1"/>
    </xf>
    <xf numFmtId="7" fontId="2" fillId="2" borderId="1" xfId="2" applyNumberFormat="1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10" fontId="2" fillId="2" borderId="1" xfId="3" applyNumberFormat="1" applyFont="1" applyFill="1" applyBorder="1" applyAlignment="1">
      <alignment horizontal="center" vertical="center" wrapText="1"/>
    </xf>
    <xf numFmtId="7" fontId="2" fillId="2" borderId="1" xfId="0" applyNumberFormat="1" applyFont="1" applyFill="1" applyBorder="1" applyAlignment="1">
      <alignment horizontal="center" vertical="center" wrapText="1"/>
    </xf>
    <xf numFmtId="38" fontId="2" fillId="2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vertical="center"/>
    </xf>
    <xf numFmtId="7" fontId="0" fillId="0" borderId="1" xfId="2" applyNumberFormat="1" applyFont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0" fontId="0" fillId="0" borderId="1" xfId="3" applyNumberFormat="1" applyFont="1" applyBorder="1" applyAlignment="1">
      <alignment horizontal="center" vertical="center"/>
    </xf>
    <xf numFmtId="7" fontId="0" fillId="0" borderId="1" xfId="0" applyNumberFormat="1" applyFill="1" applyBorder="1" applyAlignment="1">
      <alignment horizontal="center" vertical="center"/>
    </xf>
    <xf numFmtId="7" fontId="0" fillId="0" borderId="1" xfId="2" applyNumberFormat="1" applyFont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10" fontId="0" fillId="0" borderId="1" xfId="3" applyNumberFormat="1" applyFont="1" applyBorder="1" applyAlignment="1">
      <alignment horizontal="center" vertical="center"/>
    </xf>
    <xf numFmtId="178" fontId="0" fillId="0" borderId="0" xfId="2" applyNumberFormat="1" applyFont="1">
      <alignment vertical="center"/>
    </xf>
    <xf numFmtId="0" fontId="0" fillId="0" borderId="1" xfId="0" applyFill="1" applyBorder="1" applyAlignment="1">
      <alignment horizontal="center" vertical="center"/>
    </xf>
    <xf numFmtId="178" fontId="0" fillId="0" borderId="1" xfId="0" applyNumberFormat="1" applyFill="1" applyBorder="1" applyAlignment="1">
      <alignment horizontal="center" vertical="center"/>
    </xf>
    <xf numFmtId="7" fontId="0" fillId="0" borderId="1" xfId="0" applyNumberFormat="1" applyFill="1" applyBorder="1" applyAlignment="1">
      <alignment horizontal="center" vertical="center"/>
    </xf>
    <xf numFmtId="178" fontId="0" fillId="0" borderId="1" xfId="2" applyNumberFormat="1" applyFont="1" applyBorder="1" applyAlignment="1">
      <alignment horizontal="center" vertical="center"/>
    </xf>
    <xf numFmtId="38" fontId="0" fillId="0" borderId="1" xfId="2" applyNumberFormat="1" applyFont="1" applyBorder="1" applyAlignment="1">
      <alignment horizontal="center" vertical="center"/>
    </xf>
    <xf numFmtId="176" fontId="0" fillId="0" borderId="1" xfId="1" applyNumberFormat="1" applyFont="1" applyBorder="1" applyAlignment="1">
      <alignment horizontal="center" vertical="center"/>
    </xf>
    <xf numFmtId="176" fontId="0" fillId="0" borderId="1" xfId="1" applyNumberFormat="1" applyFont="1" applyFill="1" applyBorder="1" applyAlignment="1">
      <alignment horizontal="center" vertical="center"/>
    </xf>
    <xf numFmtId="176" fontId="0" fillId="0" borderId="1" xfId="2" applyNumberFormat="1" applyFont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10" fontId="0" fillId="0" borderId="1" xfId="3" applyNumberFormat="1" applyFont="1" applyFill="1" applyBorder="1" applyAlignment="1">
      <alignment horizontal="center" vertical="center"/>
    </xf>
    <xf numFmtId="179" fontId="0" fillId="0" borderId="1" xfId="3" applyNumberFormat="1" applyFont="1" applyFill="1" applyBorder="1" applyAlignment="1">
      <alignment horizontal="center" vertical="center"/>
    </xf>
    <xf numFmtId="40" fontId="0" fillId="0" borderId="1" xfId="2" applyNumberFormat="1" applyFont="1" applyBorder="1" applyAlignment="1">
      <alignment horizontal="center" vertical="center"/>
    </xf>
    <xf numFmtId="179" fontId="0" fillId="0" borderId="1" xfId="3" applyNumberFormat="1" applyFont="1" applyBorder="1" applyAlignment="1">
      <alignment horizontal="center" vertical="center"/>
    </xf>
    <xf numFmtId="180" fontId="0" fillId="0" borderId="1" xfId="1" applyNumberFormat="1" applyFont="1" applyFill="1" applyBorder="1" applyAlignment="1">
      <alignment horizontal="center" vertical="center"/>
    </xf>
    <xf numFmtId="7" fontId="0" fillId="0" borderId="1" xfId="1" applyNumberFormat="1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7" fontId="3" fillId="0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0" fontId="3" fillId="0" borderId="1" xfId="0" applyNumberFormat="1" applyFont="1" applyFill="1" applyBorder="1" applyAlignment="1">
      <alignment horizontal="center" vertical="center"/>
    </xf>
    <xf numFmtId="181" fontId="3" fillId="0" borderId="1" xfId="0" applyNumberFormat="1" applyFont="1" applyFill="1" applyBorder="1" applyAlignment="1">
      <alignment horizontal="center" vertical="center"/>
    </xf>
    <xf numFmtId="182" fontId="3" fillId="0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7" fontId="3" fillId="0" borderId="1" xfId="2" applyNumberFormat="1" applyFont="1" applyFill="1" applyBorder="1" applyAlignment="1">
      <alignment horizontal="center" vertical="center"/>
    </xf>
    <xf numFmtId="7" fontId="0" fillId="0" borderId="1" xfId="2" applyNumberFormat="1" applyFont="1" applyFill="1" applyBorder="1" applyAlignment="1">
      <alignment horizontal="center" vertical="center"/>
    </xf>
    <xf numFmtId="7" fontId="0" fillId="0" borderId="1" xfId="49" applyNumberFormat="1" applyFill="1" applyBorder="1" applyAlignment="1">
      <alignment horizontal="center" vertical="center"/>
    </xf>
    <xf numFmtId="176" fontId="0" fillId="0" borderId="1" xfId="49" applyNumberFormat="1" applyFill="1" applyBorder="1" applyAlignment="1">
      <alignment horizontal="center" vertical="center"/>
    </xf>
    <xf numFmtId="7" fontId="0" fillId="0" borderId="1" xfId="49" applyNumberFormat="1" applyFill="1" applyBorder="1" applyAlignment="1">
      <alignment horizontal="center" vertical="center"/>
    </xf>
    <xf numFmtId="176" fontId="0" fillId="0" borderId="1" xfId="49" applyNumberFormat="1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 wrapText="1"/>
    </xf>
    <xf numFmtId="7" fontId="0" fillId="0" borderId="1" xfId="2" applyNumberFormat="1" applyFont="1" applyFill="1" applyBorder="1" applyAlignment="1">
      <alignment horizontal="center" vertical="center"/>
    </xf>
    <xf numFmtId="183" fontId="0" fillId="0" borderId="1" xfId="0" applyNumberFormat="1" applyFill="1" applyBorder="1" applyAlignment="1">
      <alignment horizontal="distributed" vertical="center"/>
    </xf>
    <xf numFmtId="7" fontId="0" fillId="0" borderId="1" xfId="0" applyNumberFormat="1" applyFill="1" applyBorder="1" applyAlignment="1">
      <alignment horizontal="distributed" vertical="center" wrapText="1"/>
    </xf>
    <xf numFmtId="7" fontId="4" fillId="0" borderId="1" xfId="0" applyNumberFormat="1" applyFont="1" applyFill="1" applyBorder="1" applyAlignment="1">
      <alignment horizontal="distributed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184" fontId="5" fillId="0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83" fontId="0" fillId="0" borderId="2" xfId="2" applyNumberFormat="1" applyFont="1" applyFill="1" applyBorder="1" applyAlignment="1">
      <alignment horizontal="center" vertical="center"/>
    </xf>
    <xf numFmtId="7" fontId="5" fillId="0" borderId="1" xfId="0" applyNumberFormat="1" applyFont="1" applyFill="1" applyBorder="1" applyAlignment="1">
      <alignment horizontal="center"/>
    </xf>
    <xf numFmtId="176" fontId="5" fillId="0" borderId="1" xfId="0" applyNumberFormat="1" applyFont="1" applyFill="1" applyBorder="1" applyAlignment="1">
      <alignment horizontal="center"/>
    </xf>
    <xf numFmtId="0" fontId="0" fillId="0" borderId="2" xfId="0" applyFill="1" applyBorder="1" applyAlignment="1">
      <alignment vertical="center"/>
    </xf>
    <xf numFmtId="7" fontId="5" fillId="0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/>
    </xf>
    <xf numFmtId="7" fontId="0" fillId="0" borderId="1" xfId="0" applyNumberFormat="1" applyFill="1" applyBorder="1" applyAlignment="1">
      <alignment horizontal="center"/>
    </xf>
    <xf numFmtId="7" fontId="0" fillId="0" borderId="1" xfId="0" applyNumberFormat="1" applyFill="1" applyBorder="1" applyAlignment="1">
      <alignment horizontal="center" vertical="center" wrapText="1"/>
    </xf>
    <xf numFmtId="7" fontId="0" fillId="0" borderId="1" xfId="0" applyNumberFormat="1" applyFill="1" applyBorder="1" applyAlignment="1">
      <alignment horizontal="center" vertical="center" wrapText="1"/>
    </xf>
    <xf numFmtId="176" fontId="0" fillId="0" borderId="1" xfId="0" applyNumberFormat="1" applyFill="1" applyBorder="1" applyAlignment="1">
      <alignment horizontal="center" vertical="center" wrapText="1"/>
    </xf>
    <xf numFmtId="7" fontId="6" fillId="0" borderId="1" xfId="0" applyNumberFormat="1" applyFont="1" applyFill="1" applyBorder="1" applyAlignment="1">
      <alignment horizontal="center"/>
    </xf>
    <xf numFmtId="176" fontId="1" fillId="0" borderId="1" xfId="0" applyNumberFormat="1" applyFont="1" applyFill="1" applyBorder="1" applyAlignment="1">
      <alignment horizontal="center"/>
    </xf>
    <xf numFmtId="185" fontId="0" fillId="0" borderId="1" xfId="0" applyNumberFormat="1" applyFill="1" applyBorder="1" applyAlignment="1">
      <alignment horizontal="center"/>
    </xf>
    <xf numFmtId="176" fontId="6" fillId="0" borderId="1" xfId="0" applyNumberFormat="1" applyFont="1" applyFill="1" applyBorder="1" applyAlignment="1">
      <alignment horizontal="center"/>
    </xf>
    <xf numFmtId="176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7" fontId="6" fillId="0" borderId="1" xfId="2" applyNumberFormat="1" applyFont="1" applyFill="1" applyBorder="1" applyAlignment="1">
      <alignment horizontal="center" vertical="center"/>
    </xf>
    <xf numFmtId="185" fontId="6" fillId="0" borderId="1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14" fontId="6" fillId="0" borderId="1" xfId="0" applyNumberFormat="1" applyFont="1" applyFill="1" applyBorder="1" applyAlignment="1">
      <alignment horizontal="center" vertical="center"/>
    </xf>
    <xf numFmtId="7" fontId="6" fillId="0" borderId="1" xfId="2" applyNumberFormat="1" applyFont="1" applyFill="1" applyBorder="1" applyAlignment="1">
      <alignment horizontal="center" vertical="center"/>
    </xf>
    <xf numFmtId="7" fontId="6" fillId="0" borderId="1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176" fontId="6" fillId="0" borderId="1" xfId="0" applyNumberFormat="1" applyFont="1" applyFill="1" applyBorder="1" applyAlignment="1">
      <alignment horizontal="center" vertical="center" wrapText="1"/>
    </xf>
    <xf numFmtId="7" fontId="6" fillId="0" borderId="1" xfId="49" applyNumberFormat="1" applyFont="1" applyFill="1" applyBorder="1" applyAlignment="1">
      <alignment horizontal="center" vertical="center"/>
    </xf>
    <xf numFmtId="7" fontId="6" fillId="0" borderId="1" xfId="0" applyNumberFormat="1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horizontal="center" vertical="center" wrapText="1"/>
    </xf>
    <xf numFmtId="7" fontId="0" fillId="0" borderId="1" xfId="49" applyNumberFormat="1" applyBorder="1" applyAlignment="1">
      <alignment horizontal="center" vertical="center"/>
    </xf>
    <xf numFmtId="10" fontId="3" fillId="0" borderId="1" xfId="0" applyNumberFormat="1" applyFont="1" applyFill="1" applyBorder="1" applyAlignment="1">
      <alignment horizontal="center" vertical="center"/>
    </xf>
    <xf numFmtId="7" fontId="3" fillId="0" borderId="1" xfId="0" applyNumberFormat="1" applyFont="1" applyFill="1" applyBorder="1" applyAlignment="1">
      <alignment horizontal="center" vertical="center"/>
    </xf>
    <xf numFmtId="181" fontId="3" fillId="0" borderId="1" xfId="0" applyNumberFormat="1" applyFont="1" applyFill="1" applyBorder="1" applyAlignment="1">
      <alignment horizontal="center" vertical="center"/>
    </xf>
    <xf numFmtId="182" fontId="0" fillId="0" borderId="1" xfId="2" applyNumberFormat="1" applyFont="1" applyBorder="1" applyAlignment="1">
      <alignment horizontal="center" vertical="center"/>
    </xf>
    <xf numFmtId="182" fontId="0" fillId="0" borderId="0" xfId="0" applyNumberFormat="1" applyFill="1" applyAlignment="1">
      <alignment horizontal="right" vertical="center"/>
    </xf>
    <xf numFmtId="179" fontId="0" fillId="0" borderId="0" xfId="3" applyNumberFormat="1">
      <alignment vertical="center"/>
    </xf>
    <xf numFmtId="7" fontId="7" fillId="0" borderId="1" xfId="2" applyNumberFormat="1" applyFont="1" applyFill="1" applyBorder="1" applyAlignment="1" applyProtection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3" fontId="7" fillId="0" borderId="1" xfId="0" applyNumberFormat="1" applyFont="1" applyFill="1" applyBorder="1" applyAlignment="1">
      <alignment horizontal="center" vertical="center"/>
    </xf>
    <xf numFmtId="10" fontId="7" fillId="0" borderId="1" xfId="3" applyNumberFormat="1" applyFont="1" applyFill="1" applyBorder="1" applyAlignment="1" applyProtection="1">
      <alignment horizontal="center" vertical="center"/>
    </xf>
    <xf numFmtId="7" fontId="7" fillId="0" borderId="1" xfId="0" applyNumberFormat="1" applyFont="1" applyFill="1" applyBorder="1" applyAlignment="1">
      <alignment horizontal="center" vertical="center"/>
    </xf>
    <xf numFmtId="40" fontId="7" fillId="0" borderId="1" xfId="0" applyNumberFormat="1" applyFont="1" applyFill="1" applyBorder="1" applyAlignment="1">
      <alignment horizontal="center" vertical="center"/>
    </xf>
    <xf numFmtId="38" fontId="7" fillId="0" borderId="1" xfId="0" applyNumberFormat="1" applyFont="1" applyFill="1" applyBorder="1" applyAlignment="1">
      <alignment horizontal="center" vertical="center"/>
    </xf>
    <xf numFmtId="38" fontId="0" fillId="0" borderId="1" xfId="0" applyNumberFormat="1" applyFill="1" applyBorder="1" applyAlignment="1">
      <alignment horizontal="center" vertical="center"/>
    </xf>
    <xf numFmtId="14" fontId="7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/>
    </xf>
    <xf numFmtId="7" fontId="7" fillId="0" borderId="1" xfId="0" applyNumberFormat="1" applyFont="1" applyFill="1" applyBorder="1" applyAlignment="1">
      <alignment horizontal="center" vertical="center"/>
    </xf>
    <xf numFmtId="38" fontId="7" fillId="0" borderId="1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1479"/>
  <sheetViews>
    <sheetView tabSelected="1" topLeftCell="XDU1" workbookViewId="0">
      <selection activeCell="XER16" sqref="XER16"/>
    </sheetView>
  </sheetViews>
  <sheetFormatPr defaultColWidth="9" defaultRowHeight="14"/>
  <cols>
    <col min="1" max="1" width="23.3363636363636" style="3" customWidth="1"/>
    <col min="2" max="2" width="11.1181818181818" style="4" customWidth="1"/>
    <col min="3" max="3" width="12.4454545454545" style="5" customWidth="1"/>
    <col min="4" max="4" width="10.6636363636364" style="5"/>
    <col min="5" max="5" width="12.8818181818182" style="3" customWidth="1"/>
    <col min="6" max="6" width="13.7818181818182" style="4" customWidth="1"/>
    <col min="7" max="7" width="11" style="3" customWidth="1"/>
    <col min="8" max="8" width="10" style="3" customWidth="1"/>
    <col min="9" max="9" width="9" style="3"/>
    <col min="10" max="10" width="8.66363636363636" style="6"/>
    <col min="11" max="11" width="12.8818181818182" style="7"/>
    <col min="12" max="12" width="12.8818181818182" style="8"/>
    <col min="13" max="13" width="9.11818181818182" style="6"/>
    <col min="14" max="14" width="10.4454545454545" style="4" customWidth="1"/>
    <col min="15" max="15" width="11.1636363636364" style="4"/>
    <col min="16" max="16" width="12.8818181818182" style="4"/>
    <col min="17" max="16384" width="9" style="2"/>
  </cols>
  <sheetData>
    <row r="1" s="1" customFormat="1" ht="43.5" spans="1:17">
      <c r="A1" s="9" t="s">
        <v>0</v>
      </c>
      <c r="B1" s="10" t="s">
        <v>1</v>
      </c>
      <c r="C1" s="11" t="s">
        <v>2</v>
      </c>
      <c r="D1" s="11" t="s">
        <v>3</v>
      </c>
      <c r="E1" s="9" t="s">
        <v>4</v>
      </c>
      <c r="F1" s="10" t="s">
        <v>5</v>
      </c>
      <c r="G1" s="9" t="s">
        <v>6</v>
      </c>
      <c r="H1" s="9" t="s">
        <v>7</v>
      </c>
      <c r="I1" s="9" t="s">
        <v>8</v>
      </c>
      <c r="J1" s="12" t="s">
        <v>9</v>
      </c>
      <c r="K1" s="13" t="s">
        <v>10</v>
      </c>
      <c r="L1" s="14" t="s">
        <v>11</v>
      </c>
      <c r="M1" s="12" t="s">
        <v>12</v>
      </c>
      <c r="N1" s="10" t="s">
        <v>13</v>
      </c>
      <c r="O1" s="10" t="s">
        <v>14</v>
      </c>
      <c r="P1" s="10" t="s">
        <v>15</v>
      </c>
    </row>
    <row r="2" s="2" customFormat="1" spans="1:17">
      <c r="A2" s="15">
        <v>44197</v>
      </c>
      <c r="B2" s="16">
        <v>110.86</v>
      </c>
      <c r="C2" s="17">
        <v>5918</v>
      </c>
      <c r="D2" s="17">
        <v>80</v>
      </c>
      <c r="E2" s="18">
        <v>0</v>
      </c>
      <c r="F2" s="16">
        <v>0</v>
      </c>
      <c r="G2" s="18">
        <v>2</v>
      </c>
      <c r="H2" s="18">
        <v>0</v>
      </c>
      <c r="I2" s="18">
        <v>0</v>
      </c>
      <c r="J2" s="19">
        <f t="shared" ref="J2:J65" si="0">D2/C2</f>
        <v>0.0135180804325786</v>
      </c>
      <c r="K2" s="20">
        <v>1.39</v>
      </c>
      <c r="L2" s="18">
        <f>F2/B2</f>
        <v>0</v>
      </c>
      <c r="M2" s="19">
        <v>0</v>
      </c>
      <c r="N2" s="16" t="e">
        <f t="shared" ref="N2:N65" si="1">F2/E2</f>
        <v>#DIV/0!</v>
      </c>
      <c r="O2" s="16" t="e">
        <f t="shared" ref="O2:O65" si="2">B2/E2</f>
        <v>#DIV/0!</v>
      </c>
      <c r="P2" s="16">
        <f t="shared" ref="P2:P65" si="3">B2/G2</f>
        <v>55.43</v>
      </c>
    </row>
    <row r="3" s="2" customFormat="1" spans="1:17">
      <c r="A3" s="15">
        <v>44198</v>
      </c>
      <c r="B3" s="16">
        <v>99.61</v>
      </c>
      <c r="C3" s="17">
        <v>6436</v>
      </c>
      <c r="D3" s="17">
        <v>77</v>
      </c>
      <c r="E3" s="18">
        <v>0</v>
      </c>
      <c r="F3" s="16">
        <v>0</v>
      </c>
      <c r="G3" s="18">
        <v>1</v>
      </c>
      <c r="H3" s="18">
        <v>3</v>
      </c>
      <c r="I3" s="18">
        <v>1</v>
      </c>
      <c r="J3" s="19">
        <f t="shared" si="0"/>
        <v>0.011963952765693</v>
      </c>
      <c r="K3" s="20">
        <v>1.29</v>
      </c>
      <c r="L3" s="18">
        <v>0</v>
      </c>
      <c r="M3" s="19">
        <v>0</v>
      </c>
      <c r="N3" s="16" t="e">
        <f t="shared" si="1"/>
        <v>#DIV/0!</v>
      </c>
      <c r="O3" s="16" t="e">
        <f t="shared" si="2"/>
        <v>#DIV/0!</v>
      </c>
      <c r="P3" s="16">
        <f t="shared" si="3"/>
        <v>99.61</v>
      </c>
    </row>
    <row r="4" s="2" customFormat="1" spans="1:17">
      <c r="A4" s="15">
        <v>44199</v>
      </c>
      <c r="B4" s="16">
        <v>130.39</v>
      </c>
      <c r="C4" s="17">
        <v>6733</v>
      </c>
      <c r="D4" s="17">
        <v>87</v>
      </c>
      <c r="E4" s="18">
        <v>0</v>
      </c>
      <c r="F4" s="16">
        <v>0</v>
      </c>
      <c r="G4" s="18">
        <v>1</v>
      </c>
      <c r="H4" s="18">
        <v>0</v>
      </c>
      <c r="I4" s="18">
        <v>2</v>
      </c>
      <c r="J4" s="19">
        <f t="shared" si="0"/>
        <v>0.0129214317540472</v>
      </c>
      <c r="K4" s="20">
        <v>1.5</v>
      </c>
      <c r="L4" s="18">
        <v>0</v>
      </c>
      <c r="M4" s="19">
        <v>0</v>
      </c>
      <c r="N4" s="16" t="e">
        <f t="shared" si="1"/>
        <v>#DIV/0!</v>
      </c>
      <c r="O4" s="16" t="e">
        <f t="shared" si="2"/>
        <v>#DIV/0!</v>
      </c>
      <c r="P4" s="16">
        <f t="shared" si="3"/>
        <v>130.39</v>
      </c>
    </row>
    <row r="5" s="2" customFormat="1" spans="1:17">
      <c r="A5" s="15">
        <v>44200</v>
      </c>
      <c r="B5" s="16">
        <v>96.83</v>
      </c>
      <c r="C5" s="17">
        <v>6249</v>
      </c>
      <c r="D5" s="17">
        <v>72</v>
      </c>
      <c r="E5" s="18">
        <v>0</v>
      </c>
      <c r="F5" s="16">
        <v>0</v>
      </c>
      <c r="G5" s="18">
        <v>1</v>
      </c>
      <c r="H5" s="18">
        <v>0</v>
      </c>
      <c r="I5" s="18">
        <v>0</v>
      </c>
      <c r="J5" s="19">
        <f t="shared" si="0"/>
        <v>0.0115218434949592</v>
      </c>
      <c r="K5" s="20">
        <v>1.34</v>
      </c>
      <c r="L5" s="18">
        <v>0</v>
      </c>
      <c r="M5" s="19">
        <v>0</v>
      </c>
      <c r="N5" s="16" t="e">
        <f t="shared" si="1"/>
        <v>#DIV/0!</v>
      </c>
      <c r="O5" s="16" t="e">
        <f t="shared" si="2"/>
        <v>#DIV/0!</v>
      </c>
      <c r="P5" s="16">
        <f t="shared" si="3"/>
        <v>96.83</v>
      </c>
    </row>
    <row r="6" s="2" customFormat="1" spans="1:17">
      <c r="A6" s="15">
        <v>44201</v>
      </c>
      <c r="B6" s="16">
        <v>123.41</v>
      </c>
      <c r="C6" s="17">
        <v>5251</v>
      </c>
      <c r="D6" s="17">
        <v>89</v>
      </c>
      <c r="E6" s="18">
        <v>0</v>
      </c>
      <c r="F6" s="16">
        <v>0</v>
      </c>
      <c r="G6" s="18">
        <v>1</v>
      </c>
      <c r="H6" s="18">
        <v>0</v>
      </c>
      <c r="I6" s="18">
        <v>0</v>
      </c>
      <c r="J6" s="19">
        <f t="shared" si="0"/>
        <v>0.0169491525423729</v>
      </c>
      <c r="K6" s="20">
        <v>1.39</v>
      </c>
      <c r="L6" s="18">
        <v>0</v>
      </c>
      <c r="M6" s="19">
        <v>0</v>
      </c>
      <c r="N6" s="16" t="e">
        <f t="shared" si="1"/>
        <v>#DIV/0!</v>
      </c>
      <c r="O6" s="16" t="e">
        <f t="shared" si="2"/>
        <v>#DIV/0!</v>
      </c>
      <c r="P6" s="16">
        <f t="shared" si="3"/>
        <v>123.41</v>
      </c>
    </row>
    <row r="7" s="2" customFormat="1" spans="1:17">
      <c r="A7" s="15">
        <v>44202</v>
      </c>
      <c r="B7" s="16">
        <v>236.6</v>
      </c>
      <c r="C7" s="17">
        <v>3547</v>
      </c>
      <c r="D7" s="17">
        <v>132</v>
      </c>
      <c r="E7" s="18">
        <v>0</v>
      </c>
      <c r="F7" s="16">
        <v>0</v>
      </c>
      <c r="G7" s="18">
        <v>2</v>
      </c>
      <c r="H7" s="18">
        <v>1</v>
      </c>
      <c r="I7" s="18">
        <v>1</v>
      </c>
      <c r="J7" s="19">
        <f t="shared" si="0"/>
        <v>0.0372145475049337</v>
      </c>
      <c r="K7" s="20">
        <v>1.79</v>
      </c>
      <c r="L7" s="18">
        <v>0</v>
      </c>
      <c r="M7" s="19">
        <v>0</v>
      </c>
      <c r="N7" s="16" t="e">
        <f t="shared" si="1"/>
        <v>#DIV/0!</v>
      </c>
      <c r="O7" s="16" t="e">
        <f t="shared" si="2"/>
        <v>#DIV/0!</v>
      </c>
      <c r="P7" s="16">
        <f t="shared" si="3"/>
        <v>118.3</v>
      </c>
    </row>
    <row r="8" s="2" customFormat="1" spans="1:17">
      <c r="A8" s="15">
        <v>44203</v>
      </c>
      <c r="B8" s="16">
        <v>300</v>
      </c>
      <c r="C8" s="17">
        <v>2606</v>
      </c>
      <c r="D8" s="17">
        <v>124</v>
      </c>
      <c r="E8" s="18">
        <v>0</v>
      </c>
      <c r="F8" s="16">
        <v>0</v>
      </c>
      <c r="G8" s="18">
        <v>1</v>
      </c>
      <c r="H8" s="18">
        <v>0</v>
      </c>
      <c r="I8" s="18">
        <v>0</v>
      </c>
      <c r="J8" s="19">
        <f t="shared" si="0"/>
        <v>0.0475825019186493</v>
      </c>
      <c r="K8" s="20">
        <v>2.42</v>
      </c>
      <c r="L8" s="18">
        <v>0</v>
      </c>
      <c r="M8" s="19">
        <v>0</v>
      </c>
      <c r="N8" s="16" t="e">
        <f t="shared" si="1"/>
        <v>#DIV/0!</v>
      </c>
      <c r="O8" s="16" t="e">
        <f t="shared" si="2"/>
        <v>#DIV/0!</v>
      </c>
      <c r="P8" s="16">
        <f t="shared" si="3"/>
        <v>300</v>
      </c>
    </row>
    <row r="9" s="2" customFormat="1" spans="1:17">
      <c r="A9" s="15">
        <v>44204</v>
      </c>
      <c r="B9" s="16">
        <v>449.36</v>
      </c>
      <c r="C9" s="17">
        <v>6075</v>
      </c>
      <c r="D9" s="17">
        <v>195</v>
      </c>
      <c r="E9" s="18">
        <v>1</v>
      </c>
      <c r="F9" s="16">
        <v>200</v>
      </c>
      <c r="G9" s="18">
        <v>1</v>
      </c>
      <c r="H9" s="18">
        <v>0</v>
      </c>
      <c r="I9" s="18">
        <v>0</v>
      </c>
      <c r="J9" s="19">
        <f t="shared" si="0"/>
        <v>0.0320987654320988</v>
      </c>
      <c r="K9" s="20">
        <v>2.3</v>
      </c>
      <c r="L9" s="18">
        <v>0.45</v>
      </c>
      <c r="M9" s="19">
        <f t="shared" ref="M9:M15" si="4">E9/D9</f>
        <v>0.00512820512820513</v>
      </c>
      <c r="N9" s="16">
        <f t="shared" si="1"/>
        <v>200</v>
      </c>
      <c r="O9" s="16">
        <f t="shared" si="2"/>
        <v>449.36</v>
      </c>
      <c r="P9" s="16">
        <f t="shared" si="3"/>
        <v>449.36</v>
      </c>
    </row>
    <row r="10" s="2" customFormat="1" spans="1:17">
      <c r="A10" s="15">
        <v>44205</v>
      </c>
      <c r="B10" s="16">
        <v>415.34</v>
      </c>
      <c r="C10" s="17">
        <v>7328</v>
      </c>
      <c r="D10" s="17">
        <v>234</v>
      </c>
      <c r="E10" s="18">
        <v>0</v>
      </c>
      <c r="F10" s="16">
        <v>0</v>
      </c>
      <c r="G10" s="18">
        <v>5</v>
      </c>
      <c r="H10" s="18">
        <v>1</v>
      </c>
      <c r="I10" s="18">
        <v>0</v>
      </c>
      <c r="J10" s="19">
        <f t="shared" si="0"/>
        <v>0.0319323144104803</v>
      </c>
      <c r="K10" s="20">
        <v>1.77</v>
      </c>
      <c r="L10" s="18">
        <v>0</v>
      </c>
      <c r="M10" s="19">
        <f t="shared" si="4"/>
        <v>0</v>
      </c>
      <c r="N10" s="16" t="e">
        <f t="shared" si="1"/>
        <v>#DIV/0!</v>
      </c>
      <c r="O10" s="16" t="e">
        <f t="shared" si="2"/>
        <v>#DIV/0!</v>
      </c>
      <c r="P10" s="16">
        <f t="shared" si="3"/>
        <v>83.068</v>
      </c>
    </row>
    <row r="11" s="2" customFormat="1" ht="14.55" customHeight="1" spans="1:17">
      <c r="A11" s="15">
        <v>44206</v>
      </c>
      <c r="B11" s="16">
        <v>450</v>
      </c>
      <c r="C11" s="17">
        <v>8236</v>
      </c>
      <c r="D11" s="17">
        <v>277</v>
      </c>
      <c r="E11" s="18">
        <v>0</v>
      </c>
      <c r="F11" s="16">
        <v>0</v>
      </c>
      <c r="G11" s="18">
        <v>2</v>
      </c>
      <c r="H11" s="18">
        <v>2</v>
      </c>
      <c r="I11" s="18">
        <v>0</v>
      </c>
      <c r="J11" s="19">
        <f t="shared" si="0"/>
        <v>0.0336328314715882</v>
      </c>
      <c r="K11" s="20">
        <v>1.62</v>
      </c>
      <c r="L11" s="18">
        <v>0</v>
      </c>
      <c r="M11" s="19">
        <f t="shared" si="4"/>
        <v>0</v>
      </c>
      <c r="N11" s="16" t="e">
        <f t="shared" si="1"/>
        <v>#DIV/0!</v>
      </c>
      <c r="O11" s="16" t="e">
        <f t="shared" si="2"/>
        <v>#DIV/0!</v>
      </c>
      <c r="P11" s="16">
        <f t="shared" si="3"/>
        <v>225</v>
      </c>
    </row>
    <row r="12" s="2" customFormat="1" spans="1:17">
      <c r="A12" s="15">
        <v>44207</v>
      </c>
      <c r="B12" s="16">
        <v>436.22</v>
      </c>
      <c r="C12" s="17">
        <v>16851</v>
      </c>
      <c r="D12" s="17">
        <v>297</v>
      </c>
      <c r="E12" s="18">
        <v>0</v>
      </c>
      <c r="F12" s="16">
        <v>0</v>
      </c>
      <c r="G12" s="18">
        <v>5</v>
      </c>
      <c r="H12" s="18">
        <v>3</v>
      </c>
      <c r="I12" s="18">
        <v>1</v>
      </c>
      <c r="J12" s="19">
        <f t="shared" si="0"/>
        <v>0.0176250667616165</v>
      </c>
      <c r="K12" s="20">
        <v>1.47</v>
      </c>
      <c r="L12" s="18">
        <v>0</v>
      </c>
      <c r="M12" s="19">
        <f t="shared" si="4"/>
        <v>0</v>
      </c>
      <c r="N12" s="16" t="e">
        <f t="shared" si="1"/>
        <v>#DIV/0!</v>
      </c>
      <c r="O12" s="16" t="e">
        <f t="shared" si="2"/>
        <v>#DIV/0!</v>
      </c>
      <c r="P12" s="16">
        <f t="shared" si="3"/>
        <v>87.244</v>
      </c>
    </row>
    <row r="13" s="2" customFormat="1" spans="1:17">
      <c r="A13" s="15">
        <v>44208</v>
      </c>
      <c r="B13" s="21">
        <v>333.5</v>
      </c>
      <c r="C13" s="22">
        <v>19534</v>
      </c>
      <c r="D13" s="17">
        <v>222</v>
      </c>
      <c r="E13" s="18">
        <v>0</v>
      </c>
      <c r="F13" s="16">
        <v>0</v>
      </c>
      <c r="G13" s="18">
        <v>2</v>
      </c>
      <c r="H13" s="18">
        <v>3</v>
      </c>
      <c r="I13" s="18">
        <v>1</v>
      </c>
      <c r="J13" s="23">
        <f t="shared" si="0"/>
        <v>0.0113647998361831</v>
      </c>
      <c r="K13" s="20">
        <v>1.95</v>
      </c>
      <c r="L13" s="18">
        <v>0</v>
      </c>
      <c r="M13" s="19">
        <f t="shared" si="4"/>
        <v>0</v>
      </c>
      <c r="N13" s="16" t="e">
        <f t="shared" si="1"/>
        <v>#DIV/0!</v>
      </c>
      <c r="O13" s="16" t="e">
        <f t="shared" si="2"/>
        <v>#DIV/0!</v>
      </c>
      <c r="P13" s="21">
        <f t="shared" si="3"/>
        <v>166.75</v>
      </c>
    </row>
    <row r="14" s="2" customFormat="1" spans="1:17">
      <c r="A14" s="15">
        <v>44209</v>
      </c>
      <c r="B14" s="21">
        <v>150</v>
      </c>
      <c r="C14" s="22">
        <v>6603</v>
      </c>
      <c r="D14" s="17">
        <v>77</v>
      </c>
      <c r="E14" s="18">
        <v>0</v>
      </c>
      <c r="F14" s="16">
        <v>0</v>
      </c>
      <c r="G14" s="18">
        <v>1</v>
      </c>
      <c r="H14" s="18">
        <v>1</v>
      </c>
      <c r="I14" s="18">
        <v>0</v>
      </c>
      <c r="J14" s="23">
        <f t="shared" si="0"/>
        <v>0.0116613660457368</v>
      </c>
      <c r="K14" s="20">
        <v>1.5</v>
      </c>
      <c r="L14" s="18">
        <v>0</v>
      </c>
      <c r="M14" s="19">
        <f t="shared" si="4"/>
        <v>0</v>
      </c>
      <c r="N14" s="16" t="e">
        <f t="shared" si="1"/>
        <v>#DIV/0!</v>
      </c>
      <c r="O14" s="16" t="e">
        <f t="shared" si="2"/>
        <v>#DIV/0!</v>
      </c>
      <c r="P14" s="21">
        <f t="shared" si="3"/>
        <v>150</v>
      </c>
      <c r="Q14" s="24"/>
    </row>
    <row r="15" s="2" customFormat="1" spans="1:17">
      <c r="A15" s="15">
        <v>44210</v>
      </c>
      <c r="B15" s="21">
        <v>150</v>
      </c>
      <c r="C15" s="22">
        <v>6592</v>
      </c>
      <c r="D15" s="17">
        <v>71</v>
      </c>
      <c r="E15" s="18">
        <v>0</v>
      </c>
      <c r="F15" s="21">
        <v>0</v>
      </c>
      <c r="G15" s="18">
        <v>1</v>
      </c>
      <c r="H15" s="18">
        <v>0</v>
      </c>
      <c r="I15" s="18">
        <v>1</v>
      </c>
      <c r="J15" s="23">
        <f t="shared" si="0"/>
        <v>0.0107706310679612</v>
      </c>
      <c r="K15" s="20">
        <v>2.11</v>
      </c>
      <c r="L15" s="18">
        <v>0</v>
      </c>
      <c r="M15" s="23">
        <f t="shared" si="4"/>
        <v>0</v>
      </c>
      <c r="N15" s="21" t="e">
        <f t="shared" si="1"/>
        <v>#DIV/0!</v>
      </c>
      <c r="O15" s="21" t="e">
        <f t="shared" si="2"/>
        <v>#DIV/0!</v>
      </c>
      <c r="P15" s="21">
        <f t="shared" si="3"/>
        <v>150</v>
      </c>
    </row>
    <row r="16" s="2" customFormat="1" spans="1:17">
      <c r="A16" s="15">
        <v>44211</v>
      </c>
      <c r="B16" s="21">
        <v>300</v>
      </c>
      <c r="C16" s="22">
        <v>12239</v>
      </c>
      <c r="D16" s="17">
        <v>152</v>
      </c>
      <c r="E16" s="25">
        <v>0</v>
      </c>
      <c r="F16" s="21">
        <v>0</v>
      </c>
      <c r="G16" s="18">
        <v>1</v>
      </c>
      <c r="H16" s="18">
        <v>0</v>
      </c>
      <c r="I16" s="18">
        <v>0</v>
      </c>
      <c r="J16" s="23">
        <f t="shared" si="0"/>
        <v>0.0124193153035379</v>
      </c>
      <c r="K16" s="20">
        <v>1.97</v>
      </c>
      <c r="L16" s="18">
        <v>0</v>
      </c>
      <c r="M16" s="23">
        <v>0</v>
      </c>
      <c r="N16" s="21" t="e">
        <f t="shared" si="1"/>
        <v>#DIV/0!</v>
      </c>
      <c r="O16" s="21" t="e">
        <f t="shared" si="2"/>
        <v>#DIV/0!</v>
      </c>
      <c r="P16" s="21">
        <f t="shared" si="3"/>
        <v>300</v>
      </c>
    </row>
    <row r="17" s="2" customFormat="1" spans="1:17">
      <c r="A17" s="15">
        <v>44212</v>
      </c>
      <c r="B17" s="21">
        <v>300</v>
      </c>
      <c r="C17" s="22">
        <v>8888</v>
      </c>
      <c r="D17" s="17">
        <v>159</v>
      </c>
      <c r="E17" s="25">
        <v>0</v>
      </c>
      <c r="F17" s="21">
        <v>0</v>
      </c>
      <c r="G17" s="18">
        <v>5</v>
      </c>
      <c r="H17" s="18">
        <v>0</v>
      </c>
      <c r="I17" s="18">
        <v>0</v>
      </c>
      <c r="J17" s="23">
        <f t="shared" si="0"/>
        <v>0.0178892889288929</v>
      </c>
      <c r="K17" s="20">
        <v>1.89</v>
      </c>
      <c r="L17" s="26">
        <v>0</v>
      </c>
      <c r="M17" s="23">
        <v>0</v>
      </c>
      <c r="N17" s="21" t="e">
        <f t="shared" si="1"/>
        <v>#DIV/0!</v>
      </c>
      <c r="O17" s="21" t="e">
        <f t="shared" si="2"/>
        <v>#DIV/0!</v>
      </c>
      <c r="P17" s="21">
        <f t="shared" si="3"/>
        <v>60</v>
      </c>
    </row>
    <row r="18" s="2" customFormat="1" spans="1:17">
      <c r="A18" s="15">
        <v>44213</v>
      </c>
      <c r="B18" s="21">
        <v>300</v>
      </c>
      <c r="C18" s="22">
        <v>13642</v>
      </c>
      <c r="D18" s="17">
        <v>216</v>
      </c>
      <c r="E18" s="25">
        <v>0</v>
      </c>
      <c r="F18" s="21">
        <v>0</v>
      </c>
      <c r="G18" s="18">
        <v>3</v>
      </c>
      <c r="H18" s="25">
        <v>1</v>
      </c>
      <c r="I18" s="18">
        <v>0</v>
      </c>
      <c r="J18" s="23">
        <f t="shared" si="0"/>
        <v>0.0158334555050579</v>
      </c>
      <c r="K18" s="20">
        <v>1.39</v>
      </c>
      <c r="L18" s="18">
        <v>0</v>
      </c>
      <c r="M18" s="23">
        <v>0</v>
      </c>
      <c r="N18" s="21" t="e">
        <f t="shared" si="1"/>
        <v>#DIV/0!</v>
      </c>
      <c r="O18" s="21" t="e">
        <f t="shared" si="2"/>
        <v>#DIV/0!</v>
      </c>
      <c r="P18" s="21">
        <f t="shared" si="3"/>
        <v>100</v>
      </c>
    </row>
    <row r="19" s="2" customFormat="1" spans="1:17">
      <c r="A19" s="15">
        <v>44214</v>
      </c>
      <c r="B19" s="21">
        <v>300</v>
      </c>
      <c r="C19" s="22">
        <v>15538</v>
      </c>
      <c r="D19" s="17">
        <v>203</v>
      </c>
      <c r="E19" s="25">
        <v>0</v>
      </c>
      <c r="F19" s="21">
        <v>0</v>
      </c>
      <c r="G19" s="18">
        <v>3</v>
      </c>
      <c r="H19" s="25">
        <v>0</v>
      </c>
      <c r="I19" s="18">
        <v>0</v>
      </c>
      <c r="J19" s="23">
        <f t="shared" si="0"/>
        <v>0.0130647444973613</v>
      </c>
      <c r="K19" s="27">
        <f t="shared" ref="K19:K25" si="5">B19/D19</f>
        <v>1.47783251231527</v>
      </c>
      <c r="L19" s="25">
        <f t="shared" ref="L19:L82" si="6">F19/B19</f>
        <v>0</v>
      </c>
      <c r="M19" s="23">
        <f t="shared" ref="M19:M82" si="7">E19/D19</f>
        <v>0</v>
      </c>
      <c r="N19" s="21" t="e">
        <f t="shared" si="1"/>
        <v>#DIV/0!</v>
      </c>
      <c r="O19" s="21" t="e">
        <f t="shared" si="2"/>
        <v>#DIV/0!</v>
      </c>
      <c r="P19" s="21">
        <f t="shared" si="3"/>
        <v>100</v>
      </c>
    </row>
    <row r="20" s="2" customFormat="1" spans="1:17">
      <c r="A20" s="15">
        <v>44215</v>
      </c>
      <c r="B20" s="21">
        <v>300</v>
      </c>
      <c r="C20" s="22">
        <v>16331</v>
      </c>
      <c r="D20" s="17">
        <v>141</v>
      </c>
      <c r="E20" s="25">
        <v>0</v>
      </c>
      <c r="F20" s="21">
        <v>0</v>
      </c>
      <c r="G20" s="18">
        <v>0</v>
      </c>
      <c r="H20" s="25">
        <v>2</v>
      </c>
      <c r="I20" s="25">
        <v>1</v>
      </c>
      <c r="J20" s="23">
        <f t="shared" si="0"/>
        <v>0.00863388647357786</v>
      </c>
      <c r="K20" s="27">
        <f t="shared" si="5"/>
        <v>2.12765957446808</v>
      </c>
      <c r="L20" s="25">
        <f t="shared" si="6"/>
        <v>0</v>
      </c>
      <c r="M20" s="23">
        <f t="shared" si="7"/>
        <v>0</v>
      </c>
      <c r="N20" s="21" t="e">
        <f t="shared" si="1"/>
        <v>#DIV/0!</v>
      </c>
      <c r="O20" s="21" t="e">
        <f t="shared" si="2"/>
        <v>#DIV/0!</v>
      </c>
      <c r="P20" s="21" t="e">
        <f t="shared" si="3"/>
        <v>#DIV/0!</v>
      </c>
    </row>
    <row r="21" s="2" customFormat="1" spans="1:17">
      <c r="A21" s="15">
        <v>44216</v>
      </c>
      <c r="B21" s="21">
        <v>300</v>
      </c>
      <c r="C21" s="22">
        <v>16383</v>
      </c>
      <c r="D21" s="17">
        <v>155</v>
      </c>
      <c r="E21" s="25">
        <v>0</v>
      </c>
      <c r="F21" s="21">
        <v>0</v>
      </c>
      <c r="G21" s="25">
        <v>3</v>
      </c>
      <c r="H21" s="25">
        <v>1</v>
      </c>
      <c r="I21" s="25">
        <v>1</v>
      </c>
      <c r="J21" s="23">
        <f t="shared" si="0"/>
        <v>0.00946102667399133</v>
      </c>
      <c r="K21" s="27">
        <f t="shared" si="5"/>
        <v>1.93548387096774</v>
      </c>
      <c r="L21" s="25">
        <f t="shared" si="6"/>
        <v>0</v>
      </c>
      <c r="M21" s="23">
        <f t="shared" si="7"/>
        <v>0</v>
      </c>
      <c r="N21" s="21" t="e">
        <f t="shared" si="1"/>
        <v>#DIV/0!</v>
      </c>
      <c r="O21" s="21" t="e">
        <f t="shared" si="2"/>
        <v>#DIV/0!</v>
      </c>
      <c r="P21" s="21">
        <f t="shared" si="3"/>
        <v>100</v>
      </c>
    </row>
    <row r="22" s="2" customFormat="1" spans="1:17">
      <c r="A22" s="15">
        <v>44217</v>
      </c>
      <c r="B22" s="21">
        <v>296.95</v>
      </c>
      <c r="C22" s="22">
        <v>18441</v>
      </c>
      <c r="D22" s="17">
        <v>173</v>
      </c>
      <c r="E22" s="25">
        <v>0</v>
      </c>
      <c r="F22" s="21">
        <v>0</v>
      </c>
      <c r="G22" s="25">
        <v>0</v>
      </c>
      <c r="H22" s="25">
        <v>0</v>
      </c>
      <c r="I22" s="25">
        <v>0</v>
      </c>
      <c r="J22" s="23">
        <f t="shared" si="0"/>
        <v>0.00938126999620411</v>
      </c>
      <c r="K22" s="27">
        <f t="shared" si="5"/>
        <v>1.71647398843931</v>
      </c>
      <c r="L22" s="25">
        <f t="shared" si="6"/>
        <v>0</v>
      </c>
      <c r="M22" s="23">
        <f t="shared" si="7"/>
        <v>0</v>
      </c>
      <c r="N22" s="21" t="e">
        <f t="shared" si="1"/>
        <v>#DIV/0!</v>
      </c>
      <c r="O22" s="21" t="e">
        <f t="shared" si="2"/>
        <v>#DIV/0!</v>
      </c>
      <c r="P22" s="21" t="e">
        <f t="shared" si="3"/>
        <v>#DIV/0!</v>
      </c>
    </row>
    <row r="23" s="2" customFormat="1" spans="1:17">
      <c r="A23" s="15">
        <v>44218</v>
      </c>
      <c r="B23" s="21">
        <v>257.3</v>
      </c>
      <c r="C23" s="22">
        <v>13320</v>
      </c>
      <c r="D23" s="17">
        <v>213</v>
      </c>
      <c r="E23" s="25">
        <v>0</v>
      </c>
      <c r="F23" s="21">
        <v>0</v>
      </c>
      <c r="G23" s="25">
        <v>4</v>
      </c>
      <c r="H23" s="25">
        <v>0</v>
      </c>
      <c r="I23" s="25">
        <v>0</v>
      </c>
      <c r="J23" s="23">
        <f t="shared" si="0"/>
        <v>0.015990990990991</v>
      </c>
      <c r="K23" s="27">
        <f t="shared" si="5"/>
        <v>1.20798122065728</v>
      </c>
      <c r="L23" s="25">
        <f t="shared" si="6"/>
        <v>0</v>
      </c>
      <c r="M23" s="23">
        <f t="shared" si="7"/>
        <v>0</v>
      </c>
      <c r="N23" s="21" t="e">
        <f t="shared" si="1"/>
        <v>#DIV/0!</v>
      </c>
      <c r="O23" s="21" t="e">
        <f t="shared" si="2"/>
        <v>#DIV/0!</v>
      </c>
      <c r="P23" s="21">
        <f t="shared" si="3"/>
        <v>64.325</v>
      </c>
    </row>
    <row r="24" s="2" customFormat="1" spans="1:17">
      <c r="A24" s="15">
        <v>44219</v>
      </c>
      <c r="B24" s="21">
        <v>271.28</v>
      </c>
      <c r="C24" s="22">
        <v>14263</v>
      </c>
      <c r="D24" s="17">
        <v>237</v>
      </c>
      <c r="E24" s="25">
        <v>0</v>
      </c>
      <c r="F24" s="21">
        <v>0</v>
      </c>
      <c r="G24" s="25">
        <v>3</v>
      </c>
      <c r="H24" s="25">
        <v>0</v>
      </c>
      <c r="I24" s="25">
        <v>0</v>
      </c>
      <c r="J24" s="23">
        <f t="shared" si="0"/>
        <v>0.0166164201079717</v>
      </c>
      <c r="K24" s="27">
        <f t="shared" si="5"/>
        <v>1.14464135021097</v>
      </c>
      <c r="L24" s="25">
        <f t="shared" si="6"/>
        <v>0</v>
      </c>
      <c r="M24" s="23">
        <f t="shared" si="7"/>
        <v>0</v>
      </c>
      <c r="N24" s="21" t="e">
        <f t="shared" si="1"/>
        <v>#DIV/0!</v>
      </c>
      <c r="O24" s="21" t="e">
        <f t="shared" si="2"/>
        <v>#DIV/0!</v>
      </c>
      <c r="P24" s="21">
        <f t="shared" si="3"/>
        <v>90.4266666666667</v>
      </c>
    </row>
    <row r="25" s="2" customFormat="1" spans="1:17">
      <c r="A25" s="15">
        <v>44220</v>
      </c>
      <c r="B25" s="21">
        <v>200.22</v>
      </c>
      <c r="C25" s="22">
        <v>8266</v>
      </c>
      <c r="D25" s="17">
        <v>167</v>
      </c>
      <c r="E25" s="25">
        <v>0</v>
      </c>
      <c r="F25" s="21">
        <v>0</v>
      </c>
      <c r="G25" s="25">
        <v>2</v>
      </c>
      <c r="H25" s="25">
        <v>0</v>
      </c>
      <c r="I25" s="25">
        <v>0</v>
      </c>
      <c r="J25" s="23">
        <f t="shared" si="0"/>
        <v>0.0202032421969514</v>
      </c>
      <c r="K25" s="27">
        <f t="shared" si="5"/>
        <v>1.19892215568862</v>
      </c>
      <c r="L25" s="25">
        <f t="shared" si="6"/>
        <v>0</v>
      </c>
      <c r="M25" s="23">
        <f t="shared" si="7"/>
        <v>0</v>
      </c>
      <c r="N25" s="21" t="e">
        <f t="shared" si="1"/>
        <v>#DIV/0!</v>
      </c>
      <c r="O25" s="21" t="e">
        <f t="shared" si="2"/>
        <v>#DIV/0!</v>
      </c>
      <c r="P25" s="21">
        <f t="shared" si="3"/>
        <v>100.11</v>
      </c>
    </row>
    <row r="26" s="2" customFormat="1" spans="1:17">
      <c r="A26" s="15">
        <v>44221</v>
      </c>
      <c r="B26" s="21">
        <v>0</v>
      </c>
      <c r="C26" s="22">
        <v>2</v>
      </c>
      <c r="D26" s="17">
        <v>0</v>
      </c>
      <c r="E26" s="25">
        <v>0</v>
      </c>
      <c r="F26" s="21">
        <v>0</v>
      </c>
      <c r="G26" s="25">
        <v>0</v>
      </c>
      <c r="H26" s="25">
        <v>0</v>
      </c>
      <c r="I26" s="25">
        <v>0</v>
      </c>
      <c r="J26" s="23">
        <f t="shared" si="0"/>
        <v>0</v>
      </c>
      <c r="K26" s="21">
        <v>0</v>
      </c>
      <c r="L26" s="28" t="e">
        <f t="shared" si="6"/>
        <v>#DIV/0!</v>
      </c>
      <c r="M26" s="23" t="e">
        <f t="shared" si="7"/>
        <v>#DIV/0!</v>
      </c>
      <c r="N26" s="21" t="e">
        <f t="shared" si="1"/>
        <v>#DIV/0!</v>
      </c>
      <c r="O26" s="21" t="e">
        <f t="shared" si="2"/>
        <v>#DIV/0!</v>
      </c>
      <c r="P26" s="21" t="e">
        <f t="shared" si="3"/>
        <v>#DIV/0!</v>
      </c>
      <c r="Q26" s="24"/>
    </row>
    <row r="27" s="2" customFormat="1" spans="1:17">
      <c r="A27" s="15">
        <v>44222</v>
      </c>
      <c r="B27" s="21">
        <v>0</v>
      </c>
      <c r="C27" s="22">
        <v>0</v>
      </c>
      <c r="D27" s="17">
        <v>0</v>
      </c>
      <c r="E27" s="25">
        <v>0</v>
      </c>
      <c r="F27" s="21">
        <v>0</v>
      </c>
      <c r="G27" s="25">
        <v>0</v>
      </c>
      <c r="H27" s="25">
        <v>0</v>
      </c>
      <c r="I27" s="25">
        <v>0</v>
      </c>
      <c r="J27" s="23" t="e">
        <f t="shared" si="0"/>
        <v>#DIV/0!</v>
      </c>
      <c r="K27" s="21">
        <v>0</v>
      </c>
      <c r="L27" s="28" t="e">
        <f t="shared" si="6"/>
        <v>#DIV/0!</v>
      </c>
      <c r="M27" s="23" t="e">
        <f t="shared" si="7"/>
        <v>#DIV/0!</v>
      </c>
      <c r="N27" s="21" t="e">
        <f t="shared" si="1"/>
        <v>#DIV/0!</v>
      </c>
      <c r="O27" s="21" t="e">
        <f t="shared" si="2"/>
        <v>#DIV/0!</v>
      </c>
      <c r="P27" s="21" t="e">
        <f t="shared" si="3"/>
        <v>#DIV/0!</v>
      </c>
      <c r="Q27" s="24"/>
    </row>
    <row r="28" s="2" customFormat="1" spans="1:17">
      <c r="A28" s="15">
        <v>44223</v>
      </c>
      <c r="B28" s="21">
        <v>0</v>
      </c>
      <c r="C28" s="22">
        <v>0</v>
      </c>
      <c r="D28" s="17">
        <v>0</v>
      </c>
      <c r="E28" s="25">
        <v>0</v>
      </c>
      <c r="F28" s="21">
        <v>0</v>
      </c>
      <c r="G28" s="25">
        <v>0</v>
      </c>
      <c r="H28" s="25">
        <v>0</v>
      </c>
      <c r="I28" s="25">
        <v>0</v>
      </c>
      <c r="J28" s="23" t="e">
        <f t="shared" si="0"/>
        <v>#DIV/0!</v>
      </c>
      <c r="K28" s="21">
        <v>0</v>
      </c>
      <c r="L28" s="28" t="e">
        <f t="shared" si="6"/>
        <v>#DIV/0!</v>
      </c>
      <c r="M28" s="23" t="e">
        <f t="shared" si="7"/>
        <v>#DIV/0!</v>
      </c>
      <c r="N28" s="21" t="e">
        <f t="shared" si="1"/>
        <v>#DIV/0!</v>
      </c>
      <c r="O28" s="21" t="e">
        <f t="shared" si="2"/>
        <v>#DIV/0!</v>
      </c>
      <c r="P28" s="21" t="e">
        <f t="shared" si="3"/>
        <v>#DIV/0!</v>
      </c>
      <c r="Q28" s="24"/>
    </row>
    <row r="29" s="2" customFormat="1" spans="1:17">
      <c r="A29" s="15">
        <v>44224</v>
      </c>
      <c r="B29" s="21">
        <v>276.73</v>
      </c>
      <c r="C29" s="22">
        <v>16117</v>
      </c>
      <c r="D29" s="17">
        <v>177</v>
      </c>
      <c r="E29" s="25">
        <v>0</v>
      </c>
      <c r="F29" s="21">
        <v>0</v>
      </c>
      <c r="G29" s="25">
        <v>0</v>
      </c>
      <c r="H29" s="25">
        <v>0</v>
      </c>
      <c r="I29" s="25">
        <v>0</v>
      </c>
      <c r="J29" s="23">
        <f t="shared" si="0"/>
        <v>0.010982192715766</v>
      </c>
      <c r="K29" s="21">
        <f t="shared" ref="K29:K31" si="8">B29/D29</f>
        <v>1.56344632768362</v>
      </c>
      <c r="L29" s="28">
        <f t="shared" si="6"/>
        <v>0</v>
      </c>
      <c r="M29" s="23">
        <f t="shared" si="7"/>
        <v>0</v>
      </c>
      <c r="N29" s="21" t="e">
        <f t="shared" si="1"/>
        <v>#DIV/0!</v>
      </c>
      <c r="O29" s="21" t="e">
        <f t="shared" si="2"/>
        <v>#DIV/0!</v>
      </c>
      <c r="P29" s="21" t="e">
        <f t="shared" si="3"/>
        <v>#DIV/0!</v>
      </c>
      <c r="Q29" s="24"/>
    </row>
    <row r="30" s="2" customFormat="1" spans="1:17">
      <c r="A30" s="15">
        <v>44225</v>
      </c>
      <c r="B30" s="21">
        <v>300</v>
      </c>
      <c r="C30" s="22">
        <v>15678</v>
      </c>
      <c r="D30" s="17">
        <v>129</v>
      </c>
      <c r="E30" s="25">
        <v>0</v>
      </c>
      <c r="F30" s="21">
        <v>0</v>
      </c>
      <c r="G30" s="25">
        <v>2</v>
      </c>
      <c r="H30" s="25">
        <v>0</v>
      </c>
      <c r="I30" s="25">
        <v>1</v>
      </c>
      <c r="J30" s="23">
        <f t="shared" si="0"/>
        <v>0.00822809031764256</v>
      </c>
      <c r="K30" s="21">
        <f t="shared" si="8"/>
        <v>2.32558139534884</v>
      </c>
      <c r="L30" s="28">
        <f t="shared" si="6"/>
        <v>0</v>
      </c>
      <c r="M30" s="23">
        <f t="shared" si="7"/>
        <v>0</v>
      </c>
      <c r="N30" s="21" t="e">
        <f t="shared" si="1"/>
        <v>#DIV/0!</v>
      </c>
      <c r="O30" s="21" t="e">
        <f t="shared" si="2"/>
        <v>#DIV/0!</v>
      </c>
      <c r="P30" s="21">
        <f t="shared" si="3"/>
        <v>150</v>
      </c>
      <c r="Q30" s="24"/>
    </row>
    <row r="31" s="2" customFormat="1" spans="1:17">
      <c r="A31" s="15">
        <v>44226</v>
      </c>
      <c r="B31" s="21">
        <v>94.91</v>
      </c>
      <c r="C31" s="22">
        <v>6764</v>
      </c>
      <c r="D31" s="17">
        <v>69</v>
      </c>
      <c r="E31" s="25">
        <v>0</v>
      </c>
      <c r="F31" s="21">
        <v>0</v>
      </c>
      <c r="G31" s="25">
        <v>0</v>
      </c>
      <c r="H31" s="25">
        <v>0</v>
      </c>
      <c r="I31" s="25">
        <v>0</v>
      </c>
      <c r="J31" s="23">
        <f t="shared" si="0"/>
        <v>0.0102010644589001</v>
      </c>
      <c r="K31" s="21">
        <f t="shared" si="8"/>
        <v>1.37550724637681</v>
      </c>
      <c r="L31" s="28">
        <f t="shared" si="6"/>
        <v>0</v>
      </c>
      <c r="M31" s="23">
        <f t="shared" si="7"/>
        <v>0</v>
      </c>
      <c r="N31" s="21" t="e">
        <f t="shared" si="1"/>
        <v>#DIV/0!</v>
      </c>
      <c r="O31" s="21" t="e">
        <f t="shared" si="2"/>
        <v>#DIV/0!</v>
      </c>
      <c r="P31" s="21" t="e">
        <f t="shared" si="3"/>
        <v>#DIV/0!</v>
      </c>
      <c r="Q31" s="24"/>
    </row>
    <row r="32" s="2" customFormat="1" spans="1:17">
      <c r="A32" s="15">
        <v>44227</v>
      </c>
      <c r="B32" s="21">
        <v>0</v>
      </c>
      <c r="C32" s="22">
        <v>0</v>
      </c>
      <c r="D32" s="17">
        <v>0</v>
      </c>
      <c r="E32" s="25">
        <v>0</v>
      </c>
      <c r="F32" s="21">
        <v>0</v>
      </c>
      <c r="G32" s="25">
        <v>0</v>
      </c>
      <c r="H32" s="25">
        <v>0</v>
      </c>
      <c r="I32" s="25">
        <v>0</v>
      </c>
      <c r="J32" s="23" t="e">
        <f t="shared" si="0"/>
        <v>#DIV/0!</v>
      </c>
      <c r="K32" s="21">
        <v>0</v>
      </c>
      <c r="L32" s="28" t="e">
        <f t="shared" si="6"/>
        <v>#DIV/0!</v>
      </c>
      <c r="M32" s="23" t="e">
        <f t="shared" si="7"/>
        <v>#DIV/0!</v>
      </c>
      <c r="N32" s="21" t="e">
        <f t="shared" si="1"/>
        <v>#DIV/0!</v>
      </c>
      <c r="O32" s="21" t="e">
        <f t="shared" si="2"/>
        <v>#DIV/0!</v>
      </c>
      <c r="P32" s="21" t="e">
        <f t="shared" si="3"/>
        <v>#DIV/0!</v>
      </c>
      <c r="Q32" s="24"/>
    </row>
    <row r="33" s="2" customFormat="1" spans="1:16">
      <c r="A33" s="15">
        <f t="shared" ref="A33:A96" si="9">A32+1</f>
        <v>44228</v>
      </c>
      <c r="B33" s="16">
        <v>188.02</v>
      </c>
      <c r="C33" s="17">
        <v>7543</v>
      </c>
      <c r="D33" s="17">
        <v>131</v>
      </c>
      <c r="E33" s="18">
        <v>0</v>
      </c>
      <c r="F33" s="16">
        <v>0</v>
      </c>
      <c r="G33" s="18">
        <v>2</v>
      </c>
      <c r="H33" s="18">
        <v>0</v>
      </c>
      <c r="I33" s="18">
        <v>0</v>
      </c>
      <c r="J33" s="23">
        <f t="shared" si="0"/>
        <v>0.0173670953201644</v>
      </c>
      <c r="K33" s="21">
        <f t="shared" ref="K33:K43" si="10">B33/D33</f>
        <v>1.43526717557252</v>
      </c>
      <c r="L33" s="29">
        <f t="shared" si="6"/>
        <v>0</v>
      </c>
      <c r="M33" s="23">
        <f t="shared" si="7"/>
        <v>0</v>
      </c>
      <c r="N33" s="21" t="e">
        <f t="shared" si="1"/>
        <v>#DIV/0!</v>
      </c>
      <c r="O33" s="21" t="e">
        <f t="shared" si="2"/>
        <v>#DIV/0!</v>
      </c>
      <c r="P33" s="16">
        <f t="shared" si="3"/>
        <v>94.01</v>
      </c>
    </row>
    <row r="34" s="2" customFormat="1" spans="1:16">
      <c r="A34" s="15">
        <f t="shared" si="9"/>
        <v>44229</v>
      </c>
      <c r="B34" s="16">
        <v>300</v>
      </c>
      <c r="C34" s="17">
        <v>12623</v>
      </c>
      <c r="D34" s="17">
        <v>188</v>
      </c>
      <c r="E34" s="18">
        <v>0</v>
      </c>
      <c r="F34" s="16">
        <v>0</v>
      </c>
      <c r="G34" s="18">
        <v>3</v>
      </c>
      <c r="H34" s="18">
        <v>4</v>
      </c>
      <c r="I34" s="18">
        <v>1</v>
      </c>
      <c r="J34" s="23">
        <f t="shared" si="0"/>
        <v>0.0148934484670839</v>
      </c>
      <c r="K34" s="21">
        <f t="shared" si="10"/>
        <v>1.59574468085106</v>
      </c>
      <c r="L34" s="29">
        <f t="shared" si="6"/>
        <v>0</v>
      </c>
      <c r="M34" s="23">
        <f t="shared" si="7"/>
        <v>0</v>
      </c>
      <c r="N34" s="21" t="e">
        <f t="shared" si="1"/>
        <v>#DIV/0!</v>
      </c>
      <c r="O34" s="21" t="e">
        <f t="shared" si="2"/>
        <v>#DIV/0!</v>
      </c>
      <c r="P34" s="16">
        <f t="shared" si="3"/>
        <v>100</v>
      </c>
    </row>
    <row r="35" s="2" customFormat="1" spans="1:16">
      <c r="A35" s="15">
        <f t="shared" si="9"/>
        <v>44230</v>
      </c>
      <c r="B35" s="16">
        <v>300</v>
      </c>
      <c r="C35" s="17">
        <v>12677</v>
      </c>
      <c r="D35" s="17">
        <v>175</v>
      </c>
      <c r="E35" s="18">
        <v>0</v>
      </c>
      <c r="F35" s="16">
        <v>0</v>
      </c>
      <c r="G35" s="18">
        <v>1</v>
      </c>
      <c r="H35" s="18">
        <v>1</v>
      </c>
      <c r="I35" s="18">
        <v>1</v>
      </c>
      <c r="J35" s="23">
        <f t="shared" si="0"/>
        <v>0.0138045278851463</v>
      </c>
      <c r="K35" s="21">
        <f t="shared" si="10"/>
        <v>1.71428571428571</v>
      </c>
      <c r="L35" s="29">
        <f t="shared" si="6"/>
        <v>0</v>
      </c>
      <c r="M35" s="23">
        <f t="shared" si="7"/>
        <v>0</v>
      </c>
      <c r="N35" s="21" t="e">
        <f t="shared" si="1"/>
        <v>#DIV/0!</v>
      </c>
      <c r="O35" s="21" t="e">
        <f t="shared" si="2"/>
        <v>#DIV/0!</v>
      </c>
      <c r="P35" s="16">
        <f t="shared" si="3"/>
        <v>300</v>
      </c>
    </row>
    <row r="36" s="2" customFormat="1" spans="1:16">
      <c r="A36" s="15">
        <f t="shared" si="9"/>
        <v>44231</v>
      </c>
      <c r="B36" s="16">
        <v>300</v>
      </c>
      <c r="C36" s="17">
        <v>15785</v>
      </c>
      <c r="D36" s="17">
        <v>162</v>
      </c>
      <c r="E36" s="18">
        <v>0</v>
      </c>
      <c r="F36" s="16">
        <v>0</v>
      </c>
      <c r="G36" s="18">
        <v>2</v>
      </c>
      <c r="H36" s="18">
        <v>4</v>
      </c>
      <c r="I36" s="18">
        <v>1</v>
      </c>
      <c r="J36" s="23">
        <f t="shared" si="0"/>
        <v>0.0102629078238834</v>
      </c>
      <c r="K36" s="21">
        <f t="shared" si="10"/>
        <v>1.85185185185185</v>
      </c>
      <c r="L36" s="29">
        <f t="shared" si="6"/>
        <v>0</v>
      </c>
      <c r="M36" s="23">
        <f t="shared" si="7"/>
        <v>0</v>
      </c>
      <c r="N36" s="21" t="e">
        <f t="shared" si="1"/>
        <v>#DIV/0!</v>
      </c>
      <c r="O36" s="21" t="e">
        <f t="shared" si="2"/>
        <v>#DIV/0!</v>
      </c>
      <c r="P36" s="16">
        <f t="shared" si="3"/>
        <v>150</v>
      </c>
    </row>
    <row r="37" s="2" customFormat="1" spans="1:16">
      <c r="A37" s="15">
        <f t="shared" si="9"/>
        <v>44232</v>
      </c>
      <c r="B37" s="16">
        <v>300</v>
      </c>
      <c r="C37" s="17">
        <v>15287</v>
      </c>
      <c r="D37" s="17">
        <v>152</v>
      </c>
      <c r="E37" s="18">
        <v>1</v>
      </c>
      <c r="F37" s="16">
        <v>6000</v>
      </c>
      <c r="G37" s="18">
        <v>3</v>
      </c>
      <c r="H37" s="18">
        <v>2</v>
      </c>
      <c r="I37" s="18">
        <v>0</v>
      </c>
      <c r="J37" s="23">
        <f t="shared" si="0"/>
        <v>0.00994308889906457</v>
      </c>
      <c r="K37" s="21">
        <f t="shared" si="10"/>
        <v>1.97368421052632</v>
      </c>
      <c r="L37" s="29">
        <f t="shared" si="6"/>
        <v>20</v>
      </c>
      <c r="M37" s="23">
        <f t="shared" si="7"/>
        <v>0.00657894736842105</v>
      </c>
      <c r="N37" s="21">
        <f t="shared" si="1"/>
        <v>6000</v>
      </c>
      <c r="O37" s="21">
        <f t="shared" si="2"/>
        <v>300</v>
      </c>
      <c r="P37" s="16">
        <f t="shared" si="3"/>
        <v>100</v>
      </c>
    </row>
    <row r="38" s="2" customFormat="1" spans="1:16">
      <c r="A38" s="15">
        <f t="shared" si="9"/>
        <v>44233</v>
      </c>
      <c r="B38" s="16">
        <v>291.1</v>
      </c>
      <c r="C38" s="17">
        <v>16307</v>
      </c>
      <c r="D38" s="17">
        <v>148</v>
      </c>
      <c r="E38" s="18">
        <v>0</v>
      </c>
      <c r="F38" s="16">
        <v>0</v>
      </c>
      <c r="G38" s="18">
        <v>1</v>
      </c>
      <c r="H38" s="18">
        <v>0</v>
      </c>
      <c r="I38" s="18">
        <v>0</v>
      </c>
      <c r="J38" s="23">
        <f t="shared" si="0"/>
        <v>0.00907585699392899</v>
      </c>
      <c r="K38" s="21">
        <f t="shared" si="10"/>
        <v>1.96689189189189</v>
      </c>
      <c r="L38" s="29">
        <f t="shared" si="6"/>
        <v>0</v>
      </c>
      <c r="M38" s="23">
        <f t="shared" si="7"/>
        <v>0</v>
      </c>
      <c r="N38" s="21" t="e">
        <f t="shared" si="1"/>
        <v>#DIV/0!</v>
      </c>
      <c r="O38" s="21" t="e">
        <f t="shared" si="2"/>
        <v>#DIV/0!</v>
      </c>
      <c r="P38" s="16">
        <f t="shared" si="3"/>
        <v>291.1</v>
      </c>
    </row>
    <row r="39" s="2" customFormat="1" spans="1:16">
      <c r="A39" s="15">
        <f t="shared" si="9"/>
        <v>44234</v>
      </c>
      <c r="B39" s="16">
        <v>295.57</v>
      </c>
      <c r="C39" s="17">
        <v>15673</v>
      </c>
      <c r="D39" s="17">
        <v>129</v>
      </c>
      <c r="E39" s="18">
        <v>0</v>
      </c>
      <c r="F39" s="16">
        <v>0</v>
      </c>
      <c r="G39" s="18">
        <v>4</v>
      </c>
      <c r="H39" s="18">
        <v>4</v>
      </c>
      <c r="I39" s="18">
        <v>0</v>
      </c>
      <c r="J39" s="23">
        <f t="shared" si="0"/>
        <v>0.0082307152427742</v>
      </c>
      <c r="K39" s="21">
        <f t="shared" si="10"/>
        <v>2.29124031007752</v>
      </c>
      <c r="L39" s="29">
        <f t="shared" si="6"/>
        <v>0</v>
      </c>
      <c r="M39" s="23">
        <f t="shared" si="7"/>
        <v>0</v>
      </c>
      <c r="N39" s="21" t="e">
        <f t="shared" si="1"/>
        <v>#DIV/0!</v>
      </c>
      <c r="O39" s="21" t="e">
        <f t="shared" si="2"/>
        <v>#DIV/0!</v>
      </c>
      <c r="P39" s="16">
        <f t="shared" si="3"/>
        <v>73.8925</v>
      </c>
    </row>
    <row r="40" s="2" customFormat="1" spans="1:16">
      <c r="A40" s="15">
        <f t="shared" si="9"/>
        <v>44235</v>
      </c>
      <c r="B40" s="16">
        <v>293.48</v>
      </c>
      <c r="C40" s="17">
        <v>23805</v>
      </c>
      <c r="D40" s="17">
        <v>149</v>
      </c>
      <c r="E40" s="18">
        <v>0</v>
      </c>
      <c r="F40" s="16">
        <v>0</v>
      </c>
      <c r="G40" s="18">
        <v>2</v>
      </c>
      <c r="H40" s="18">
        <v>1</v>
      </c>
      <c r="I40" s="18">
        <v>0</v>
      </c>
      <c r="J40" s="23">
        <f t="shared" si="0"/>
        <v>0.00625918924595673</v>
      </c>
      <c r="K40" s="21">
        <f t="shared" si="10"/>
        <v>1.9696644295302</v>
      </c>
      <c r="L40" s="29">
        <f t="shared" si="6"/>
        <v>0</v>
      </c>
      <c r="M40" s="23">
        <f t="shared" si="7"/>
        <v>0</v>
      </c>
      <c r="N40" s="21" t="e">
        <f t="shared" si="1"/>
        <v>#DIV/0!</v>
      </c>
      <c r="O40" s="21" t="e">
        <f t="shared" si="2"/>
        <v>#DIV/0!</v>
      </c>
      <c r="P40" s="16">
        <f t="shared" si="3"/>
        <v>146.74</v>
      </c>
    </row>
    <row r="41" s="2" customFormat="1" spans="1:16">
      <c r="A41" s="15">
        <f t="shared" si="9"/>
        <v>44236</v>
      </c>
      <c r="B41" s="16">
        <v>300</v>
      </c>
      <c r="C41" s="17">
        <v>22151</v>
      </c>
      <c r="D41" s="17">
        <v>157</v>
      </c>
      <c r="E41" s="18">
        <v>0</v>
      </c>
      <c r="F41" s="16">
        <v>0</v>
      </c>
      <c r="G41" s="18">
        <v>2</v>
      </c>
      <c r="H41" s="18">
        <v>3</v>
      </c>
      <c r="I41" s="18">
        <v>1</v>
      </c>
      <c r="J41" s="23">
        <f t="shared" si="0"/>
        <v>0.00708771613019728</v>
      </c>
      <c r="K41" s="21">
        <f t="shared" si="10"/>
        <v>1.91082802547771</v>
      </c>
      <c r="L41" s="29">
        <f t="shared" si="6"/>
        <v>0</v>
      </c>
      <c r="M41" s="23">
        <f t="shared" si="7"/>
        <v>0</v>
      </c>
      <c r="N41" s="21" t="e">
        <f t="shared" si="1"/>
        <v>#DIV/0!</v>
      </c>
      <c r="O41" s="21" t="e">
        <f t="shared" si="2"/>
        <v>#DIV/0!</v>
      </c>
      <c r="P41" s="16">
        <f t="shared" si="3"/>
        <v>150</v>
      </c>
    </row>
    <row r="42" s="2" customFormat="1" spans="1:16">
      <c r="A42" s="15">
        <f t="shared" si="9"/>
        <v>44237</v>
      </c>
      <c r="B42" s="16">
        <v>300</v>
      </c>
      <c r="C42" s="17">
        <v>13365</v>
      </c>
      <c r="D42" s="17">
        <v>131</v>
      </c>
      <c r="E42" s="18">
        <v>0</v>
      </c>
      <c r="F42" s="16">
        <v>0</v>
      </c>
      <c r="G42" s="18">
        <v>4</v>
      </c>
      <c r="H42" s="18">
        <v>4</v>
      </c>
      <c r="I42" s="18">
        <v>1</v>
      </c>
      <c r="J42" s="23">
        <f t="shared" si="0"/>
        <v>0.00980172091283202</v>
      </c>
      <c r="K42" s="21">
        <f t="shared" si="10"/>
        <v>2.29007633587786</v>
      </c>
      <c r="L42" s="29">
        <f t="shared" si="6"/>
        <v>0</v>
      </c>
      <c r="M42" s="23">
        <f t="shared" si="7"/>
        <v>0</v>
      </c>
      <c r="N42" s="21" t="e">
        <f t="shared" si="1"/>
        <v>#DIV/0!</v>
      </c>
      <c r="O42" s="21" t="e">
        <f t="shared" si="2"/>
        <v>#DIV/0!</v>
      </c>
      <c r="P42" s="16">
        <f t="shared" si="3"/>
        <v>75</v>
      </c>
    </row>
    <row r="43" s="2" customFormat="1" spans="1:16">
      <c r="A43" s="15">
        <f t="shared" si="9"/>
        <v>44238</v>
      </c>
      <c r="B43" s="16">
        <v>18.65</v>
      </c>
      <c r="C43" s="17">
        <v>590</v>
      </c>
      <c r="D43" s="17">
        <v>7</v>
      </c>
      <c r="E43" s="18">
        <v>0</v>
      </c>
      <c r="F43" s="16">
        <v>0</v>
      </c>
      <c r="G43" s="18">
        <v>0</v>
      </c>
      <c r="H43" s="18">
        <v>0</v>
      </c>
      <c r="I43" s="18">
        <v>0</v>
      </c>
      <c r="J43" s="23">
        <f t="shared" si="0"/>
        <v>0.011864406779661</v>
      </c>
      <c r="K43" s="21">
        <f t="shared" si="10"/>
        <v>2.66428571428571</v>
      </c>
      <c r="L43" s="29">
        <f t="shared" si="6"/>
        <v>0</v>
      </c>
      <c r="M43" s="23">
        <f t="shared" si="7"/>
        <v>0</v>
      </c>
      <c r="N43" s="21" t="e">
        <f t="shared" si="1"/>
        <v>#DIV/0!</v>
      </c>
      <c r="O43" s="21" t="e">
        <f t="shared" si="2"/>
        <v>#DIV/0!</v>
      </c>
      <c r="P43" s="16" t="e">
        <f t="shared" si="3"/>
        <v>#DIV/0!</v>
      </c>
    </row>
    <row r="44" s="2" customFormat="1" spans="1:16">
      <c r="A44" s="15">
        <f t="shared" si="9"/>
        <v>44239</v>
      </c>
      <c r="B44" s="16">
        <v>0</v>
      </c>
      <c r="C44" s="17">
        <v>0</v>
      </c>
      <c r="D44" s="17">
        <v>0</v>
      </c>
      <c r="E44" s="18">
        <v>0</v>
      </c>
      <c r="F44" s="16">
        <v>0</v>
      </c>
      <c r="G44" s="18">
        <v>0</v>
      </c>
      <c r="H44" s="18">
        <v>0</v>
      </c>
      <c r="I44" s="18">
        <v>0</v>
      </c>
      <c r="J44" s="23" t="e">
        <f t="shared" si="0"/>
        <v>#DIV/0!</v>
      </c>
      <c r="K44" s="21">
        <v>0</v>
      </c>
      <c r="L44" s="29" t="e">
        <f t="shared" si="6"/>
        <v>#DIV/0!</v>
      </c>
      <c r="M44" s="23" t="e">
        <f t="shared" si="7"/>
        <v>#DIV/0!</v>
      </c>
      <c r="N44" s="21" t="e">
        <f t="shared" si="1"/>
        <v>#DIV/0!</v>
      </c>
      <c r="O44" s="21" t="e">
        <f t="shared" si="2"/>
        <v>#DIV/0!</v>
      </c>
      <c r="P44" s="16" t="e">
        <f t="shared" si="3"/>
        <v>#DIV/0!</v>
      </c>
    </row>
    <row r="45" s="2" customFormat="1" spans="1:16">
      <c r="A45" s="15">
        <f t="shared" si="9"/>
        <v>44240</v>
      </c>
      <c r="B45" s="16">
        <v>0</v>
      </c>
      <c r="C45" s="17">
        <v>0</v>
      </c>
      <c r="D45" s="17">
        <v>0</v>
      </c>
      <c r="E45" s="18">
        <v>0</v>
      </c>
      <c r="F45" s="16">
        <v>0</v>
      </c>
      <c r="G45" s="18">
        <v>0</v>
      </c>
      <c r="H45" s="18">
        <v>0</v>
      </c>
      <c r="I45" s="18">
        <v>0</v>
      </c>
      <c r="J45" s="23" t="e">
        <f t="shared" si="0"/>
        <v>#DIV/0!</v>
      </c>
      <c r="K45" s="21">
        <v>0</v>
      </c>
      <c r="L45" s="29" t="e">
        <f t="shared" si="6"/>
        <v>#DIV/0!</v>
      </c>
      <c r="M45" s="23" t="e">
        <f t="shared" si="7"/>
        <v>#DIV/0!</v>
      </c>
      <c r="N45" s="21" t="e">
        <f t="shared" si="1"/>
        <v>#DIV/0!</v>
      </c>
      <c r="O45" s="21" t="e">
        <f t="shared" si="2"/>
        <v>#DIV/0!</v>
      </c>
      <c r="P45" s="16" t="e">
        <f t="shared" si="3"/>
        <v>#DIV/0!</v>
      </c>
    </row>
    <row r="46" s="2" customFormat="1" spans="1:16">
      <c r="A46" s="15">
        <f t="shared" si="9"/>
        <v>44241</v>
      </c>
      <c r="B46" s="16">
        <v>0</v>
      </c>
      <c r="C46" s="17">
        <v>0</v>
      </c>
      <c r="D46" s="17">
        <v>0</v>
      </c>
      <c r="E46" s="18">
        <v>0</v>
      </c>
      <c r="F46" s="16">
        <v>0</v>
      </c>
      <c r="G46" s="18">
        <v>0</v>
      </c>
      <c r="H46" s="18">
        <v>0</v>
      </c>
      <c r="I46" s="18">
        <v>0</v>
      </c>
      <c r="J46" s="23" t="e">
        <f t="shared" si="0"/>
        <v>#DIV/0!</v>
      </c>
      <c r="K46" s="21">
        <v>0</v>
      </c>
      <c r="L46" s="29" t="e">
        <f t="shared" si="6"/>
        <v>#DIV/0!</v>
      </c>
      <c r="M46" s="23" t="e">
        <f t="shared" si="7"/>
        <v>#DIV/0!</v>
      </c>
      <c r="N46" s="21" t="e">
        <f t="shared" si="1"/>
        <v>#DIV/0!</v>
      </c>
      <c r="O46" s="21" t="e">
        <f t="shared" si="2"/>
        <v>#DIV/0!</v>
      </c>
      <c r="P46" s="16" t="e">
        <f t="shared" si="3"/>
        <v>#DIV/0!</v>
      </c>
    </row>
    <row r="47" s="2" customFormat="1" spans="1:16">
      <c r="A47" s="15">
        <f t="shared" si="9"/>
        <v>44242</v>
      </c>
      <c r="B47" s="16">
        <v>0</v>
      </c>
      <c r="C47" s="17">
        <v>0</v>
      </c>
      <c r="D47" s="17">
        <v>0</v>
      </c>
      <c r="E47" s="18">
        <v>0</v>
      </c>
      <c r="F47" s="16">
        <v>0</v>
      </c>
      <c r="G47" s="18">
        <v>0</v>
      </c>
      <c r="H47" s="18">
        <v>0</v>
      </c>
      <c r="I47" s="18">
        <v>0</v>
      </c>
      <c r="J47" s="23" t="e">
        <f t="shared" si="0"/>
        <v>#DIV/0!</v>
      </c>
      <c r="K47" s="21">
        <v>0</v>
      </c>
      <c r="L47" s="29" t="e">
        <f t="shared" si="6"/>
        <v>#DIV/0!</v>
      </c>
      <c r="M47" s="23" t="e">
        <f t="shared" si="7"/>
        <v>#DIV/0!</v>
      </c>
      <c r="N47" s="21" t="e">
        <f t="shared" si="1"/>
        <v>#DIV/0!</v>
      </c>
      <c r="O47" s="21" t="e">
        <f t="shared" si="2"/>
        <v>#DIV/0!</v>
      </c>
      <c r="P47" s="16" t="e">
        <f t="shared" si="3"/>
        <v>#DIV/0!</v>
      </c>
    </row>
    <row r="48" s="2" customFormat="1" spans="1:16">
      <c r="A48" s="15">
        <f t="shared" si="9"/>
        <v>44243</v>
      </c>
      <c r="B48" s="16">
        <v>0</v>
      </c>
      <c r="C48" s="17">
        <v>0</v>
      </c>
      <c r="D48" s="17">
        <v>0</v>
      </c>
      <c r="E48" s="18">
        <v>0</v>
      </c>
      <c r="F48" s="16">
        <v>0</v>
      </c>
      <c r="G48" s="18">
        <v>0</v>
      </c>
      <c r="H48" s="18">
        <v>0</v>
      </c>
      <c r="I48" s="18">
        <v>0</v>
      </c>
      <c r="J48" s="23" t="e">
        <f t="shared" si="0"/>
        <v>#DIV/0!</v>
      </c>
      <c r="K48" s="21">
        <v>0</v>
      </c>
      <c r="L48" s="29" t="e">
        <f t="shared" si="6"/>
        <v>#DIV/0!</v>
      </c>
      <c r="M48" s="23" t="e">
        <f t="shared" si="7"/>
        <v>#DIV/0!</v>
      </c>
      <c r="N48" s="21" t="e">
        <f t="shared" si="1"/>
        <v>#DIV/0!</v>
      </c>
      <c r="O48" s="21" t="e">
        <f t="shared" si="2"/>
        <v>#DIV/0!</v>
      </c>
      <c r="P48" s="16" t="e">
        <f t="shared" si="3"/>
        <v>#DIV/0!</v>
      </c>
    </row>
    <row r="49" s="2" customFormat="1" spans="1:16">
      <c r="A49" s="15">
        <f t="shared" si="9"/>
        <v>44244</v>
      </c>
      <c r="B49" s="16">
        <v>0</v>
      </c>
      <c r="C49" s="17">
        <v>0</v>
      </c>
      <c r="D49" s="17">
        <v>0</v>
      </c>
      <c r="E49" s="18">
        <v>0</v>
      </c>
      <c r="F49" s="16">
        <v>0</v>
      </c>
      <c r="G49" s="18">
        <v>0</v>
      </c>
      <c r="H49" s="18">
        <v>0</v>
      </c>
      <c r="I49" s="18">
        <v>0</v>
      </c>
      <c r="J49" s="23" t="e">
        <f t="shared" si="0"/>
        <v>#DIV/0!</v>
      </c>
      <c r="K49" s="21">
        <v>0</v>
      </c>
      <c r="L49" s="29" t="e">
        <f t="shared" si="6"/>
        <v>#DIV/0!</v>
      </c>
      <c r="M49" s="23" t="e">
        <f t="shared" si="7"/>
        <v>#DIV/0!</v>
      </c>
      <c r="N49" s="21" t="e">
        <f t="shared" si="1"/>
        <v>#DIV/0!</v>
      </c>
      <c r="O49" s="21" t="e">
        <f t="shared" si="2"/>
        <v>#DIV/0!</v>
      </c>
      <c r="P49" s="16" t="e">
        <f t="shared" si="3"/>
        <v>#DIV/0!</v>
      </c>
    </row>
    <row r="50" s="2" customFormat="1" spans="1:16">
      <c r="A50" s="15">
        <f t="shared" si="9"/>
        <v>44245</v>
      </c>
      <c r="B50" s="16">
        <v>298.9</v>
      </c>
      <c r="C50" s="22">
        <v>11984</v>
      </c>
      <c r="D50" s="17">
        <v>187</v>
      </c>
      <c r="E50" s="18">
        <v>0</v>
      </c>
      <c r="F50" s="16">
        <v>0</v>
      </c>
      <c r="G50" s="18">
        <v>9</v>
      </c>
      <c r="H50" s="18">
        <v>1</v>
      </c>
      <c r="I50" s="18">
        <v>0</v>
      </c>
      <c r="J50" s="23">
        <f t="shared" si="0"/>
        <v>0.0156041388518024</v>
      </c>
      <c r="K50" s="21">
        <f t="shared" ref="K50:K81" si="11">B50/D50</f>
        <v>1.59839572192513</v>
      </c>
      <c r="L50" s="29">
        <f t="shared" si="6"/>
        <v>0</v>
      </c>
      <c r="M50" s="23">
        <f t="shared" si="7"/>
        <v>0</v>
      </c>
      <c r="N50" s="21" t="e">
        <f t="shared" si="1"/>
        <v>#DIV/0!</v>
      </c>
      <c r="O50" s="21" t="e">
        <f t="shared" si="2"/>
        <v>#DIV/0!</v>
      </c>
      <c r="P50" s="16">
        <f t="shared" si="3"/>
        <v>33.2111111111111</v>
      </c>
    </row>
    <row r="51" s="2" customFormat="1" spans="1:16">
      <c r="A51" s="15">
        <f t="shared" si="9"/>
        <v>44246</v>
      </c>
      <c r="B51" s="16">
        <v>300</v>
      </c>
      <c r="C51" s="22">
        <v>18239</v>
      </c>
      <c r="D51" s="17">
        <v>176</v>
      </c>
      <c r="E51" s="18">
        <v>0</v>
      </c>
      <c r="F51" s="16">
        <v>0</v>
      </c>
      <c r="G51" s="18">
        <v>1</v>
      </c>
      <c r="H51" s="18">
        <v>2</v>
      </c>
      <c r="I51" s="18">
        <v>0</v>
      </c>
      <c r="J51" s="23">
        <f t="shared" si="0"/>
        <v>0.00964965184494764</v>
      </c>
      <c r="K51" s="21">
        <f t="shared" si="11"/>
        <v>1.70454545454545</v>
      </c>
      <c r="L51" s="29">
        <f t="shared" si="6"/>
        <v>0</v>
      </c>
      <c r="M51" s="23">
        <f t="shared" si="7"/>
        <v>0</v>
      </c>
      <c r="N51" s="21" t="e">
        <f t="shared" si="1"/>
        <v>#DIV/0!</v>
      </c>
      <c r="O51" s="21" t="e">
        <f t="shared" si="2"/>
        <v>#DIV/0!</v>
      </c>
      <c r="P51" s="16">
        <f t="shared" si="3"/>
        <v>300</v>
      </c>
    </row>
    <row r="52" s="2" customFormat="1" spans="1:16">
      <c r="A52" s="15">
        <f t="shared" si="9"/>
        <v>44247</v>
      </c>
      <c r="B52" s="16">
        <v>300</v>
      </c>
      <c r="C52" s="22">
        <v>9241</v>
      </c>
      <c r="D52" s="17">
        <v>157</v>
      </c>
      <c r="E52" s="18">
        <v>0</v>
      </c>
      <c r="F52" s="16">
        <v>0</v>
      </c>
      <c r="G52" s="18">
        <v>3</v>
      </c>
      <c r="H52" s="18">
        <v>1</v>
      </c>
      <c r="I52" s="18">
        <v>0</v>
      </c>
      <c r="J52" s="23">
        <f t="shared" si="0"/>
        <v>0.0169895033005086</v>
      </c>
      <c r="K52" s="21">
        <f t="shared" si="11"/>
        <v>1.91082802547771</v>
      </c>
      <c r="L52" s="29">
        <f t="shared" si="6"/>
        <v>0</v>
      </c>
      <c r="M52" s="23">
        <f t="shared" si="7"/>
        <v>0</v>
      </c>
      <c r="N52" s="21" t="e">
        <f t="shared" si="1"/>
        <v>#DIV/0!</v>
      </c>
      <c r="O52" s="21" t="e">
        <f t="shared" si="2"/>
        <v>#DIV/0!</v>
      </c>
      <c r="P52" s="16">
        <f t="shared" si="3"/>
        <v>100</v>
      </c>
    </row>
    <row r="53" s="2" customFormat="1" spans="1:16">
      <c r="A53" s="15">
        <f t="shared" si="9"/>
        <v>44248</v>
      </c>
      <c r="B53" s="21">
        <v>297.43</v>
      </c>
      <c r="C53" s="22">
        <v>12656</v>
      </c>
      <c r="D53" s="17">
        <v>146</v>
      </c>
      <c r="E53" s="18">
        <v>0</v>
      </c>
      <c r="F53" s="16">
        <v>0</v>
      </c>
      <c r="G53" s="18">
        <v>12</v>
      </c>
      <c r="H53" s="18">
        <v>0</v>
      </c>
      <c r="I53" s="18">
        <v>0</v>
      </c>
      <c r="J53" s="23">
        <f t="shared" si="0"/>
        <v>0.0115360303413401</v>
      </c>
      <c r="K53" s="21">
        <f t="shared" si="11"/>
        <v>2.03719178082192</v>
      </c>
      <c r="L53" s="29">
        <f t="shared" si="6"/>
        <v>0</v>
      </c>
      <c r="M53" s="23">
        <f t="shared" si="7"/>
        <v>0</v>
      </c>
      <c r="N53" s="21" t="e">
        <f t="shared" si="1"/>
        <v>#DIV/0!</v>
      </c>
      <c r="O53" s="21" t="e">
        <f t="shared" si="2"/>
        <v>#DIV/0!</v>
      </c>
      <c r="P53" s="16">
        <f t="shared" si="3"/>
        <v>24.7858333333333</v>
      </c>
    </row>
    <row r="54" s="2" customFormat="1" spans="1:16">
      <c r="A54" s="15">
        <f t="shared" si="9"/>
        <v>44249</v>
      </c>
      <c r="B54" s="21">
        <v>300</v>
      </c>
      <c r="C54" s="22">
        <v>21201</v>
      </c>
      <c r="D54" s="17">
        <v>191</v>
      </c>
      <c r="E54" s="18">
        <v>0</v>
      </c>
      <c r="F54" s="16">
        <v>0</v>
      </c>
      <c r="G54" s="18">
        <v>5</v>
      </c>
      <c r="H54" s="18">
        <v>9</v>
      </c>
      <c r="I54" s="18">
        <v>2</v>
      </c>
      <c r="J54" s="23">
        <f t="shared" si="0"/>
        <v>0.00900900900900901</v>
      </c>
      <c r="K54" s="21">
        <f t="shared" si="11"/>
        <v>1.57068062827225</v>
      </c>
      <c r="L54" s="29">
        <f t="shared" si="6"/>
        <v>0</v>
      </c>
      <c r="M54" s="23">
        <f t="shared" si="7"/>
        <v>0</v>
      </c>
      <c r="N54" s="21" t="e">
        <f t="shared" si="1"/>
        <v>#DIV/0!</v>
      </c>
      <c r="O54" s="21" t="e">
        <f t="shared" si="2"/>
        <v>#DIV/0!</v>
      </c>
      <c r="P54" s="16">
        <f t="shared" si="3"/>
        <v>60</v>
      </c>
    </row>
    <row r="55" s="2" customFormat="1" spans="1:16">
      <c r="A55" s="15">
        <f t="shared" si="9"/>
        <v>44250</v>
      </c>
      <c r="B55" s="21">
        <v>279.38</v>
      </c>
      <c r="C55" s="22">
        <v>22519</v>
      </c>
      <c r="D55" s="17">
        <v>176</v>
      </c>
      <c r="E55" s="18">
        <v>0</v>
      </c>
      <c r="F55" s="16">
        <v>0</v>
      </c>
      <c r="G55" s="18">
        <v>1</v>
      </c>
      <c r="H55" s="18">
        <v>1</v>
      </c>
      <c r="I55" s="18">
        <v>0</v>
      </c>
      <c r="J55" s="23">
        <f t="shared" si="0"/>
        <v>0.00781562236333763</v>
      </c>
      <c r="K55" s="21">
        <f t="shared" si="11"/>
        <v>1.58738636363636</v>
      </c>
      <c r="L55" s="29">
        <f t="shared" si="6"/>
        <v>0</v>
      </c>
      <c r="M55" s="23">
        <f t="shared" si="7"/>
        <v>0</v>
      </c>
      <c r="N55" s="21" t="e">
        <f t="shared" si="1"/>
        <v>#DIV/0!</v>
      </c>
      <c r="O55" s="21" t="e">
        <f t="shared" si="2"/>
        <v>#DIV/0!</v>
      </c>
      <c r="P55" s="16">
        <f t="shared" si="3"/>
        <v>279.38</v>
      </c>
    </row>
    <row r="56" s="2" customFormat="1" spans="1:16">
      <c r="A56" s="15">
        <f t="shared" si="9"/>
        <v>44251</v>
      </c>
      <c r="B56" s="21">
        <v>266.56</v>
      </c>
      <c r="C56" s="22">
        <v>22296</v>
      </c>
      <c r="D56" s="17">
        <v>209</v>
      </c>
      <c r="E56" s="18">
        <v>0</v>
      </c>
      <c r="F56" s="16">
        <v>0</v>
      </c>
      <c r="G56" s="18">
        <v>5</v>
      </c>
      <c r="H56" s="18">
        <v>0</v>
      </c>
      <c r="I56" s="18">
        <v>0</v>
      </c>
      <c r="J56" s="23">
        <f t="shared" si="0"/>
        <v>0.00937387872264083</v>
      </c>
      <c r="K56" s="21">
        <f t="shared" si="11"/>
        <v>1.27540669856459</v>
      </c>
      <c r="L56" s="29">
        <f t="shared" si="6"/>
        <v>0</v>
      </c>
      <c r="M56" s="23">
        <f t="shared" si="7"/>
        <v>0</v>
      </c>
      <c r="N56" s="21" t="e">
        <f t="shared" si="1"/>
        <v>#DIV/0!</v>
      </c>
      <c r="O56" s="21" t="e">
        <f t="shared" si="2"/>
        <v>#DIV/0!</v>
      </c>
      <c r="P56" s="16">
        <f t="shared" si="3"/>
        <v>53.312</v>
      </c>
    </row>
    <row r="57" s="2" customFormat="1" spans="1:16">
      <c r="A57" s="15">
        <f t="shared" si="9"/>
        <v>44252</v>
      </c>
      <c r="B57" s="21">
        <v>285.34</v>
      </c>
      <c r="C57" s="22">
        <v>19618</v>
      </c>
      <c r="D57" s="17">
        <v>176</v>
      </c>
      <c r="E57" s="18">
        <v>0</v>
      </c>
      <c r="F57" s="16">
        <v>0</v>
      </c>
      <c r="G57" s="18">
        <v>4</v>
      </c>
      <c r="H57" s="18">
        <v>1</v>
      </c>
      <c r="I57" s="18">
        <v>0</v>
      </c>
      <c r="J57" s="23">
        <f t="shared" si="0"/>
        <v>0.00897135283922928</v>
      </c>
      <c r="K57" s="21">
        <f t="shared" si="11"/>
        <v>1.62125</v>
      </c>
      <c r="L57" s="29">
        <f t="shared" si="6"/>
        <v>0</v>
      </c>
      <c r="M57" s="23">
        <f t="shared" si="7"/>
        <v>0</v>
      </c>
      <c r="N57" s="21" t="e">
        <f t="shared" si="1"/>
        <v>#DIV/0!</v>
      </c>
      <c r="O57" s="21" t="e">
        <f t="shared" si="2"/>
        <v>#DIV/0!</v>
      </c>
      <c r="P57" s="16">
        <f t="shared" si="3"/>
        <v>71.335</v>
      </c>
    </row>
    <row r="58" s="2" customFormat="1" spans="1:16">
      <c r="A58" s="15">
        <f t="shared" si="9"/>
        <v>44253</v>
      </c>
      <c r="B58" s="21">
        <v>253.63</v>
      </c>
      <c r="C58" s="22">
        <v>18313</v>
      </c>
      <c r="D58" s="17">
        <v>166</v>
      </c>
      <c r="E58" s="18">
        <v>0</v>
      </c>
      <c r="F58" s="16">
        <v>0</v>
      </c>
      <c r="G58" s="18">
        <v>1</v>
      </c>
      <c r="H58" s="18">
        <v>0</v>
      </c>
      <c r="I58" s="18">
        <v>0</v>
      </c>
      <c r="J58" s="23">
        <f t="shared" si="0"/>
        <v>0.00906459891880085</v>
      </c>
      <c r="K58" s="21">
        <f t="shared" si="11"/>
        <v>1.52789156626506</v>
      </c>
      <c r="L58" s="29">
        <f t="shared" si="6"/>
        <v>0</v>
      </c>
      <c r="M58" s="23">
        <f t="shared" si="7"/>
        <v>0</v>
      </c>
      <c r="N58" s="21" t="e">
        <f t="shared" si="1"/>
        <v>#DIV/0!</v>
      </c>
      <c r="O58" s="21" t="e">
        <f t="shared" si="2"/>
        <v>#DIV/0!</v>
      </c>
      <c r="P58" s="16">
        <f t="shared" si="3"/>
        <v>253.63</v>
      </c>
    </row>
    <row r="59" s="2" customFormat="1" spans="1:16">
      <c r="A59" s="15">
        <f t="shared" si="9"/>
        <v>44254</v>
      </c>
      <c r="B59" s="21">
        <v>291.27</v>
      </c>
      <c r="C59" s="22">
        <v>18977</v>
      </c>
      <c r="D59" s="17">
        <v>190</v>
      </c>
      <c r="E59" s="18">
        <v>0</v>
      </c>
      <c r="F59" s="16">
        <v>0</v>
      </c>
      <c r="G59" s="18">
        <v>6</v>
      </c>
      <c r="H59" s="18">
        <v>1</v>
      </c>
      <c r="I59" s="18">
        <v>0</v>
      </c>
      <c r="J59" s="23">
        <f t="shared" si="0"/>
        <v>0.0100121199346577</v>
      </c>
      <c r="K59" s="21">
        <f t="shared" si="11"/>
        <v>1.533</v>
      </c>
      <c r="L59" s="29">
        <f t="shared" si="6"/>
        <v>0</v>
      </c>
      <c r="M59" s="23">
        <f t="shared" si="7"/>
        <v>0</v>
      </c>
      <c r="N59" s="21" t="e">
        <f t="shared" si="1"/>
        <v>#DIV/0!</v>
      </c>
      <c r="O59" s="21" t="e">
        <f t="shared" si="2"/>
        <v>#DIV/0!</v>
      </c>
      <c r="P59" s="16">
        <f t="shared" si="3"/>
        <v>48.545</v>
      </c>
    </row>
    <row r="60" s="2" customFormat="1" spans="1:16">
      <c r="A60" s="15">
        <f t="shared" si="9"/>
        <v>44255</v>
      </c>
      <c r="B60" s="21">
        <v>300</v>
      </c>
      <c r="C60" s="22">
        <v>15687</v>
      </c>
      <c r="D60" s="17">
        <v>143</v>
      </c>
      <c r="E60" s="18">
        <v>0</v>
      </c>
      <c r="F60" s="16">
        <v>0</v>
      </c>
      <c r="G60" s="18">
        <v>5</v>
      </c>
      <c r="H60" s="18">
        <v>0</v>
      </c>
      <c r="I60" s="18">
        <v>0</v>
      </c>
      <c r="J60" s="23">
        <f t="shared" si="0"/>
        <v>0.00911582839293683</v>
      </c>
      <c r="K60" s="21">
        <f t="shared" si="11"/>
        <v>2.0979020979021</v>
      </c>
      <c r="L60" s="29">
        <f t="shared" si="6"/>
        <v>0</v>
      </c>
      <c r="M60" s="23">
        <f t="shared" si="7"/>
        <v>0</v>
      </c>
      <c r="N60" s="21" t="e">
        <f t="shared" si="1"/>
        <v>#DIV/0!</v>
      </c>
      <c r="O60" s="21" t="e">
        <f t="shared" si="2"/>
        <v>#DIV/0!</v>
      </c>
      <c r="P60" s="16">
        <f t="shared" si="3"/>
        <v>60</v>
      </c>
    </row>
    <row r="61" s="2" customFormat="1" spans="1:16">
      <c r="A61" s="15">
        <f t="shared" si="9"/>
        <v>44256</v>
      </c>
      <c r="B61" s="21">
        <v>281.95</v>
      </c>
      <c r="C61" s="22">
        <v>18716</v>
      </c>
      <c r="D61" s="17">
        <v>163</v>
      </c>
      <c r="E61" s="18">
        <v>0</v>
      </c>
      <c r="F61" s="16">
        <v>0</v>
      </c>
      <c r="G61" s="18">
        <v>1</v>
      </c>
      <c r="H61" s="18">
        <v>2</v>
      </c>
      <c r="I61" s="18">
        <v>0</v>
      </c>
      <c r="J61" s="23">
        <f t="shared" si="0"/>
        <v>0.00870912588159863</v>
      </c>
      <c r="K61" s="21">
        <f t="shared" si="11"/>
        <v>1.72975460122699</v>
      </c>
      <c r="L61" s="29">
        <f t="shared" si="6"/>
        <v>0</v>
      </c>
      <c r="M61" s="23">
        <f t="shared" si="7"/>
        <v>0</v>
      </c>
      <c r="N61" s="21" t="e">
        <f t="shared" si="1"/>
        <v>#DIV/0!</v>
      </c>
      <c r="O61" s="21" t="e">
        <f t="shared" si="2"/>
        <v>#DIV/0!</v>
      </c>
      <c r="P61" s="16">
        <f t="shared" si="3"/>
        <v>281.95</v>
      </c>
    </row>
    <row r="62" s="2" customFormat="1" spans="1:16">
      <c r="A62" s="15">
        <f t="shared" si="9"/>
        <v>44257</v>
      </c>
      <c r="B62" s="21">
        <v>298.63</v>
      </c>
      <c r="C62" s="22">
        <v>13998</v>
      </c>
      <c r="D62" s="17">
        <v>184</v>
      </c>
      <c r="E62" s="18">
        <v>0</v>
      </c>
      <c r="F62" s="16">
        <v>0</v>
      </c>
      <c r="G62" s="18">
        <v>2</v>
      </c>
      <c r="H62" s="18">
        <v>2</v>
      </c>
      <c r="I62" s="18">
        <v>0</v>
      </c>
      <c r="J62" s="23">
        <f t="shared" si="0"/>
        <v>0.0131447349621374</v>
      </c>
      <c r="K62" s="21">
        <f t="shared" si="11"/>
        <v>1.62298913043478</v>
      </c>
      <c r="L62" s="29">
        <f t="shared" si="6"/>
        <v>0</v>
      </c>
      <c r="M62" s="23">
        <f t="shared" si="7"/>
        <v>0</v>
      </c>
      <c r="N62" s="21" t="e">
        <f t="shared" si="1"/>
        <v>#DIV/0!</v>
      </c>
      <c r="O62" s="21" t="e">
        <f t="shared" si="2"/>
        <v>#DIV/0!</v>
      </c>
      <c r="P62" s="16">
        <f t="shared" si="3"/>
        <v>149.315</v>
      </c>
    </row>
    <row r="63" s="2" customFormat="1" spans="1:16">
      <c r="A63" s="15">
        <f t="shared" si="9"/>
        <v>44258</v>
      </c>
      <c r="B63" s="21">
        <v>300</v>
      </c>
      <c r="C63" s="22">
        <v>11084</v>
      </c>
      <c r="D63" s="17">
        <v>187</v>
      </c>
      <c r="E63" s="18">
        <v>0</v>
      </c>
      <c r="F63" s="16">
        <v>0</v>
      </c>
      <c r="G63" s="18">
        <v>7</v>
      </c>
      <c r="H63" s="18">
        <v>0</v>
      </c>
      <c r="I63" s="18">
        <v>1</v>
      </c>
      <c r="J63" s="23">
        <f t="shared" si="0"/>
        <v>0.0168711656441718</v>
      </c>
      <c r="K63" s="21">
        <f t="shared" si="11"/>
        <v>1.60427807486631</v>
      </c>
      <c r="L63" s="29">
        <f t="shared" si="6"/>
        <v>0</v>
      </c>
      <c r="M63" s="23">
        <f t="shared" si="7"/>
        <v>0</v>
      </c>
      <c r="N63" s="21" t="e">
        <f t="shared" si="1"/>
        <v>#DIV/0!</v>
      </c>
      <c r="O63" s="21" t="e">
        <f t="shared" si="2"/>
        <v>#DIV/0!</v>
      </c>
      <c r="P63" s="16">
        <f t="shared" si="3"/>
        <v>42.8571428571429</v>
      </c>
    </row>
    <row r="64" s="2" customFormat="1" spans="1:16">
      <c r="A64" s="15">
        <f t="shared" si="9"/>
        <v>44259</v>
      </c>
      <c r="B64" s="21">
        <v>300</v>
      </c>
      <c r="C64" s="22">
        <v>17958</v>
      </c>
      <c r="D64" s="17">
        <v>178</v>
      </c>
      <c r="E64" s="18">
        <v>0</v>
      </c>
      <c r="F64" s="16">
        <v>0</v>
      </c>
      <c r="G64" s="18">
        <v>4</v>
      </c>
      <c r="H64" s="18">
        <v>0</v>
      </c>
      <c r="I64" s="18">
        <v>1</v>
      </c>
      <c r="J64" s="23">
        <f t="shared" si="0"/>
        <v>0.00991201692838846</v>
      </c>
      <c r="K64" s="21">
        <f t="shared" si="11"/>
        <v>1.68539325842697</v>
      </c>
      <c r="L64" s="29">
        <f t="shared" si="6"/>
        <v>0</v>
      </c>
      <c r="M64" s="23">
        <f t="shared" si="7"/>
        <v>0</v>
      </c>
      <c r="N64" s="21" t="e">
        <f t="shared" si="1"/>
        <v>#DIV/0!</v>
      </c>
      <c r="O64" s="21" t="e">
        <f t="shared" si="2"/>
        <v>#DIV/0!</v>
      </c>
      <c r="P64" s="16">
        <f t="shared" si="3"/>
        <v>75</v>
      </c>
    </row>
    <row r="65" s="2" customFormat="1" spans="1:16">
      <c r="A65" s="15">
        <f t="shared" si="9"/>
        <v>44260</v>
      </c>
      <c r="B65" s="21">
        <v>300</v>
      </c>
      <c r="C65" s="22">
        <v>13577</v>
      </c>
      <c r="D65" s="17">
        <v>185</v>
      </c>
      <c r="E65" s="18">
        <v>0</v>
      </c>
      <c r="F65" s="16">
        <v>0</v>
      </c>
      <c r="G65" s="18">
        <v>6</v>
      </c>
      <c r="H65" s="18">
        <v>1</v>
      </c>
      <c r="I65" s="18">
        <v>0</v>
      </c>
      <c r="J65" s="23">
        <f t="shared" si="0"/>
        <v>0.0136259851218973</v>
      </c>
      <c r="K65" s="21">
        <f t="shared" si="11"/>
        <v>1.62162162162162</v>
      </c>
      <c r="L65" s="29">
        <f t="shared" si="6"/>
        <v>0</v>
      </c>
      <c r="M65" s="23">
        <f t="shared" si="7"/>
        <v>0</v>
      </c>
      <c r="N65" s="21" t="e">
        <f t="shared" si="1"/>
        <v>#DIV/0!</v>
      </c>
      <c r="O65" s="21" t="e">
        <f t="shared" si="2"/>
        <v>#DIV/0!</v>
      </c>
      <c r="P65" s="16">
        <f t="shared" si="3"/>
        <v>50</v>
      </c>
    </row>
    <row r="66" s="2" customFormat="1" spans="1:16">
      <c r="A66" s="15">
        <f t="shared" si="9"/>
        <v>44261</v>
      </c>
      <c r="B66" s="21">
        <v>300</v>
      </c>
      <c r="C66" s="22">
        <v>12058</v>
      </c>
      <c r="D66" s="17">
        <v>179</v>
      </c>
      <c r="E66" s="18">
        <v>0</v>
      </c>
      <c r="F66" s="16">
        <v>0</v>
      </c>
      <c r="G66" s="18">
        <v>7</v>
      </c>
      <c r="H66" s="18">
        <v>3</v>
      </c>
      <c r="I66" s="18">
        <v>2</v>
      </c>
      <c r="J66" s="23">
        <f t="shared" ref="J66:J81" si="12">D66/C66</f>
        <v>0.0148449162381821</v>
      </c>
      <c r="K66" s="21">
        <f t="shared" si="11"/>
        <v>1.67597765363128</v>
      </c>
      <c r="L66" s="29">
        <f t="shared" si="6"/>
        <v>0</v>
      </c>
      <c r="M66" s="23">
        <f t="shared" si="7"/>
        <v>0</v>
      </c>
      <c r="N66" s="21" t="e">
        <f t="shared" ref="N66:N129" si="13">F66/E66</f>
        <v>#DIV/0!</v>
      </c>
      <c r="O66" s="21" t="e">
        <f t="shared" ref="O66:O129" si="14">B66/E66</f>
        <v>#DIV/0!</v>
      </c>
      <c r="P66" s="16">
        <f t="shared" ref="P66:P129" si="15">B66/G66</f>
        <v>42.8571428571429</v>
      </c>
    </row>
    <row r="67" s="2" customFormat="1" spans="1:16">
      <c r="A67" s="15">
        <f t="shared" si="9"/>
        <v>44262</v>
      </c>
      <c r="B67" s="21">
        <v>300</v>
      </c>
      <c r="C67" s="22">
        <v>11038</v>
      </c>
      <c r="D67" s="17">
        <v>161</v>
      </c>
      <c r="E67" s="18">
        <v>0</v>
      </c>
      <c r="F67" s="16">
        <v>0</v>
      </c>
      <c r="G67" s="18">
        <v>3</v>
      </c>
      <c r="H67" s="18">
        <v>3</v>
      </c>
      <c r="I67" s="18">
        <v>0</v>
      </c>
      <c r="J67" s="23">
        <f t="shared" si="12"/>
        <v>0.0145859757202392</v>
      </c>
      <c r="K67" s="21">
        <f t="shared" si="11"/>
        <v>1.86335403726708</v>
      </c>
      <c r="L67" s="29">
        <f t="shared" si="6"/>
        <v>0</v>
      </c>
      <c r="M67" s="23">
        <f t="shared" si="7"/>
        <v>0</v>
      </c>
      <c r="N67" s="21" t="e">
        <f t="shared" si="13"/>
        <v>#DIV/0!</v>
      </c>
      <c r="O67" s="21" t="e">
        <f t="shared" si="14"/>
        <v>#DIV/0!</v>
      </c>
      <c r="P67" s="16">
        <f t="shared" si="15"/>
        <v>100</v>
      </c>
    </row>
    <row r="68" s="2" customFormat="1" spans="1:16">
      <c r="A68" s="15">
        <f t="shared" si="9"/>
        <v>44263</v>
      </c>
      <c r="B68" s="21">
        <v>300</v>
      </c>
      <c r="C68" s="22">
        <v>11568</v>
      </c>
      <c r="D68" s="17">
        <v>131</v>
      </c>
      <c r="E68" s="18">
        <v>0</v>
      </c>
      <c r="F68" s="16">
        <v>0</v>
      </c>
      <c r="G68" s="18">
        <v>3</v>
      </c>
      <c r="H68" s="18">
        <v>2</v>
      </c>
      <c r="I68" s="18">
        <v>0</v>
      </c>
      <c r="J68" s="23">
        <f t="shared" si="12"/>
        <v>0.0113243430152144</v>
      </c>
      <c r="K68" s="21">
        <f t="shared" si="11"/>
        <v>2.29007633587786</v>
      </c>
      <c r="L68" s="29">
        <f t="shared" si="6"/>
        <v>0</v>
      </c>
      <c r="M68" s="23">
        <f t="shared" si="7"/>
        <v>0</v>
      </c>
      <c r="N68" s="21" t="e">
        <f t="shared" si="13"/>
        <v>#DIV/0!</v>
      </c>
      <c r="O68" s="21" t="e">
        <f t="shared" si="14"/>
        <v>#DIV/0!</v>
      </c>
      <c r="P68" s="16">
        <f t="shared" si="15"/>
        <v>100</v>
      </c>
    </row>
    <row r="69" s="2" customFormat="1" spans="1:16">
      <c r="A69" s="15">
        <f t="shared" si="9"/>
        <v>44264</v>
      </c>
      <c r="B69" s="21">
        <v>300</v>
      </c>
      <c r="C69" s="22">
        <v>11352</v>
      </c>
      <c r="D69" s="17">
        <v>167</v>
      </c>
      <c r="E69" s="18">
        <v>0</v>
      </c>
      <c r="F69" s="16">
        <v>0</v>
      </c>
      <c r="G69" s="18">
        <v>2</v>
      </c>
      <c r="H69" s="18">
        <v>2</v>
      </c>
      <c r="I69" s="18">
        <v>0</v>
      </c>
      <c r="J69" s="23">
        <f t="shared" si="12"/>
        <v>0.0147110641296688</v>
      </c>
      <c r="K69" s="21">
        <f t="shared" si="11"/>
        <v>1.79640718562874</v>
      </c>
      <c r="L69" s="29">
        <f t="shared" si="6"/>
        <v>0</v>
      </c>
      <c r="M69" s="23">
        <f t="shared" si="7"/>
        <v>0</v>
      </c>
      <c r="N69" s="21" t="e">
        <f t="shared" si="13"/>
        <v>#DIV/0!</v>
      </c>
      <c r="O69" s="21" t="e">
        <f t="shared" si="14"/>
        <v>#DIV/0!</v>
      </c>
      <c r="P69" s="16">
        <f t="shared" si="15"/>
        <v>150</v>
      </c>
    </row>
    <row r="70" s="2" customFormat="1" spans="1:16">
      <c r="A70" s="15">
        <f t="shared" si="9"/>
        <v>44265</v>
      </c>
      <c r="B70" s="21">
        <v>300</v>
      </c>
      <c r="C70" s="22">
        <v>12671</v>
      </c>
      <c r="D70" s="17">
        <v>162</v>
      </c>
      <c r="E70" s="18">
        <v>0</v>
      </c>
      <c r="F70" s="16">
        <v>0</v>
      </c>
      <c r="G70" s="18">
        <v>0</v>
      </c>
      <c r="H70" s="18">
        <v>4</v>
      </c>
      <c r="I70" s="18">
        <v>0</v>
      </c>
      <c r="J70" s="23">
        <f t="shared" si="12"/>
        <v>0.0127850998342672</v>
      </c>
      <c r="K70" s="21">
        <f t="shared" si="11"/>
        <v>1.85185185185185</v>
      </c>
      <c r="L70" s="29">
        <f t="shared" si="6"/>
        <v>0</v>
      </c>
      <c r="M70" s="23">
        <f t="shared" si="7"/>
        <v>0</v>
      </c>
      <c r="N70" s="21" t="e">
        <f t="shared" si="13"/>
        <v>#DIV/0!</v>
      </c>
      <c r="O70" s="21" t="e">
        <f t="shared" si="14"/>
        <v>#DIV/0!</v>
      </c>
      <c r="P70" s="16" t="e">
        <f t="shared" si="15"/>
        <v>#DIV/0!</v>
      </c>
    </row>
    <row r="71" s="2" customFormat="1" spans="1:16">
      <c r="A71" s="15">
        <f t="shared" si="9"/>
        <v>44266</v>
      </c>
      <c r="B71" s="21">
        <v>593.01</v>
      </c>
      <c r="C71" s="22">
        <v>22031</v>
      </c>
      <c r="D71" s="17">
        <v>317</v>
      </c>
      <c r="E71" s="18">
        <v>0</v>
      </c>
      <c r="F71" s="16">
        <v>0</v>
      </c>
      <c r="G71" s="18">
        <v>7</v>
      </c>
      <c r="H71" s="18">
        <v>2</v>
      </c>
      <c r="I71" s="18">
        <v>0</v>
      </c>
      <c r="J71" s="23">
        <f t="shared" si="12"/>
        <v>0.0143888157596115</v>
      </c>
      <c r="K71" s="21">
        <f t="shared" si="11"/>
        <v>1.87069400630915</v>
      </c>
      <c r="L71" s="29">
        <f t="shared" si="6"/>
        <v>0</v>
      </c>
      <c r="M71" s="23">
        <f t="shared" si="7"/>
        <v>0</v>
      </c>
      <c r="N71" s="21" t="e">
        <f t="shared" si="13"/>
        <v>#DIV/0!</v>
      </c>
      <c r="O71" s="21" t="e">
        <f t="shared" si="14"/>
        <v>#DIV/0!</v>
      </c>
      <c r="P71" s="16">
        <f t="shared" si="15"/>
        <v>84.7157142857143</v>
      </c>
    </row>
    <row r="72" s="2" customFormat="1" spans="1:16">
      <c r="A72" s="15">
        <f t="shared" si="9"/>
        <v>44267</v>
      </c>
      <c r="B72" s="21">
        <v>568.56</v>
      </c>
      <c r="C72" s="22">
        <v>25652</v>
      </c>
      <c r="D72" s="17">
        <v>322</v>
      </c>
      <c r="E72" s="18">
        <v>0</v>
      </c>
      <c r="F72" s="16">
        <v>0</v>
      </c>
      <c r="G72" s="18">
        <v>11</v>
      </c>
      <c r="H72" s="18">
        <v>2</v>
      </c>
      <c r="I72" s="18">
        <v>2</v>
      </c>
      <c r="J72" s="23">
        <f t="shared" si="12"/>
        <v>0.0125526274754405</v>
      </c>
      <c r="K72" s="21">
        <f t="shared" si="11"/>
        <v>1.76571428571429</v>
      </c>
      <c r="L72" s="29">
        <f t="shared" si="6"/>
        <v>0</v>
      </c>
      <c r="M72" s="23">
        <f t="shared" si="7"/>
        <v>0</v>
      </c>
      <c r="N72" s="21" t="e">
        <f t="shared" si="13"/>
        <v>#DIV/0!</v>
      </c>
      <c r="O72" s="21" t="e">
        <f t="shared" si="14"/>
        <v>#DIV/0!</v>
      </c>
      <c r="P72" s="16">
        <f t="shared" si="15"/>
        <v>51.6872727272727</v>
      </c>
    </row>
    <row r="73" s="2" customFormat="1" spans="1:16">
      <c r="A73" s="15">
        <f t="shared" si="9"/>
        <v>44268</v>
      </c>
      <c r="B73" s="21">
        <v>600</v>
      </c>
      <c r="C73" s="22">
        <v>23776</v>
      </c>
      <c r="D73" s="17">
        <v>357</v>
      </c>
      <c r="E73" s="18">
        <v>0</v>
      </c>
      <c r="F73" s="16">
        <v>0</v>
      </c>
      <c r="G73" s="18">
        <v>6</v>
      </c>
      <c r="H73" s="18">
        <v>3</v>
      </c>
      <c r="I73" s="18">
        <v>0</v>
      </c>
      <c r="J73" s="23">
        <f t="shared" si="12"/>
        <v>0.0150151413189771</v>
      </c>
      <c r="K73" s="21">
        <f t="shared" si="11"/>
        <v>1.68067226890756</v>
      </c>
      <c r="L73" s="29">
        <f t="shared" si="6"/>
        <v>0</v>
      </c>
      <c r="M73" s="23">
        <f t="shared" si="7"/>
        <v>0</v>
      </c>
      <c r="N73" s="21" t="e">
        <f t="shared" si="13"/>
        <v>#DIV/0!</v>
      </c>
      <c r="O73" s="21" t="e">
        <f t="shared" si="14"/>
        <v>#DIV/0!</v>
      </c>
      <c r="P73" s="16">
        <f t="shared" si="15"/>
        <v>100</v>
      </c>
    </row>
    <row r="74" s="2" customFormat="1" spans="1:16">
      <c r="A74" s="15">
        <f t="shared" si="9"/>
        <v>44269</v>
      </c>
      <c r="B74" s="21">
        <v>571.51</v>
      </c>
      <c r="C74" s="22">
        <v>30037</v>
      </c>
      <c r="D74" s="17">
        <v>335</v>
      </c>
      <c r="E74" s="18">
        <v>0</v>
      </c>
      <c r="F74" s="16">
        <v>0</v>
      </c>
      <c r="G74" s="18">
        <v>2</v>
      </c>
      <c r="H74" s="18">
        <v>1</v>
      </c>
      <c r="I74" s="18">
        <v>0</v>
      </c>
      <c r="J74" s="23">
        <f t="shared" si="12"/>
        <v>0.0111529114092619</v>
      </c>
      <c r="K74" s="21">
        <f t="shared" si="11"/>
        <v>1.706</v>
      </c>
      <c r="L74" s="29">
        <f t="shared" si="6"/>
        <v>0</v>
      </c>
      <c r="M74" s="23">
        <f t="shared" si="7"/>
        <v>0</v>
      </c>
      <c r="N74" s="21" t="e">
        <f t="shared" si="13"/>
        <v>#DIV/0!</v>
      </c>
      <c r="O74" s="21" t="e">
        <f t="shared" si="14"/>
        <v>#DIV/0!</v>
      </c>
      <c r="P74" s="16">
        <f t="shared" si="15"/>
        <v>285.755</v>
      </c>
    </row>
    <row r="75" s="2" customFormat="1" spans="1:16">
      <c r="A75" s="15">
        <f t="shared" si="9"/>
        <v>44270</v>
      </c>
      <c r="B75" s="21">
        <v>598.3</v>
      </c>
      <c r="C75" s="22">
        <v>25320</v>
      </c>
      <c r="D75" s="17">
        <v>325</v>
      </c>
      <c r="E75" s="18">
        <v>0</v>
      </c>
      <c r="F75" s="16">
        <v>0</v>
      </c>
      <c r="G75" s="18">
        <v>9</v>
      </c>
      <c r="H75" s="18">
        <v>4</v>
      </c>
      <c r="I75" s="18">
        <v>0</v>
      </c>
      <c r="J75" s="23">
        <f t="shared" si="12"/>
        <v>0.0128357030015798</v>
      </c>
      <c r="K75" s="21">
        <f t="shared" si="11"/>
        <v>1.84092307692308</v>
      </c>
      <c r="L75" s="29">
        <f t="shared" si="6"/>
        <v>0</v>
      </c>
      <c r="M75" s="23">
        <f t="shared" si="7"/>
        <v>0</v>
      </c>
      <c r="N75" s="21" t="e">
        <f t="shared" si="13"/>
        <v>#DIV/0!</v>
      </c>
      <c r="O75" s="21" t="e">
        <f t="shared" si="14"/>
        <v>#DIV/0!</v>
      </c>
      <c r="P75" s="16">
        <f t="shared" si="15"/>
        <v>66.4777777777778</v>
      </c>
    </row>
    <row r="76" s="2" customFormat="1" spans="1:16">
      <c r="A76" s="15">
        <f t="shared" si="9"/>
        <v>44271</v>
      </c>
      <c r="B76" s="21">
        <v>557.74</v>
      </c>
      <c r="C76" s="22">
        <v>31879</v>
      </c>
      <c r="D76" s="17">
        <v>363</v>
      </c>
      <c r="E76" s="18">
        <v>0</v>
      </c>
      <c r="F76" s="16">
        <v>0</v>
      </c>
      <c r="G76" s="18">
        <v>14</v>
      </c>
      <c r="H76" s="18">
        <v>3</v>
      </c>
      <c r="I76" s="18">
        <v>1</v>
      </c>
      <c r="J76" s="23">
        <f t="shared" si="12"/>
        <v>0.0113868063615546</v>
      </c>
      <c r="K76" s="21">
        <f t="shared" si="11"/>
        <v>1.5364738292011</v>
      </c>
      <c r="L76" s="29">
        <f t="shared" si="6"/>
        <v>0</v>
      </c>
      <c r="M76" s="23">
        <f t="shared" si="7"/>
        <v>0</v>
      </c>
      <c r="N76" s="21" t="e">
        <f t="shared" si="13"/>
        <v>#DIV/0!</v>
      </c>
      <c r="O76" s="21" t="e">
        <f t="shared" si="14"/>
        <v>#DIV/0!</v>
      </c>
      <c r="P76" s="16">
        <f t="shared" si="15"/>
        <v>39.8385714285714</v>
      </c>
    </row>
    <row r="77" s="2" customFormat="1" spans="1:16">
      <c r="A77" s="15">
        <f t="shared" si="9"/>
        <v>44272</v>
      </c>
      <c r="B77" s="21">
        <v>470.62</v>
      </c>
      <c r="C77" s="22">
        <v>40183</v>
      </c>
      <c r="D77" s="17">
        <v>357</v>
      </c>
      <c r="E77" s="18">
        <v>0</v>
      </c>
      <c r="F77" s="16">
        <v>0</v>
      </c>
      <c r="G77" s="18">
        <v>19</v>
      </c>
      <c r="H77" s="18">
        <v>1</v>
      </c>
      <c r="I77" s="18">
        <v>2</v>
      </c>
      <c r="J77" s="23">
        <f t="shared" si="12"/>
        <v>0.00888435408008362</v>
      </c>
      <c r="K77" s="21">
        <f t="shared" si="11"/>
        <v>1.31826330532213</v>
      </c>
      <c r="L77" s="29">
        <f t="shared" si="6"/>
        <v>0</v>
      </c>
      <c r="M77" s="23">
        <f t="shared" si="7"/>
        <v>0</v>
      </c>
      <c r="N77" s="21" t="e">
        <f t="shared" si="13"/>
        <v>#DIV/0!</v>
      </c>
      <c r="O77" s="21" t="e">
        <f t="shared" si="14"/>
        <v>#DIV/0!</v>
      </c>
      <c r="P77" s="16">
        <f t="shared" si="15"/>
        <v>24.7694736842105</v>
      </c>
    </row>
    <row r="78" s="2" customFormat="1" spans="1:16">
      <c r="A78" s="15">
        <f t="shared" si="9"/>
        <v>44273</v>
      </c>
      <c r="B78" s="21">
        <v>453.8</v>
      </c>
      <c r="C78" s="22">
        <v>30368</v>
      </c>
      <c r="D78" s="17">
        <v>290</v>
      </c>
      <c r="E78" s="18">
        <v>0</v>
      </c>
      <c r="F78" s="16">
        <v>0</v>
      </c>
      <c r="G78" s="18">
        <v>9</v>
      </c>
      <c r="H78" s="18">
        <v>0</v>
      </c>
      <c r="I78" s="18">
        <v>2</v>
      </c>
      <c r="J78" s="23">
        <f t="shared" si="12"/>
        <v>0.0095495258166491</v>
      </c>
      <c r="K78" s="21">
        <f t="shared" si="11"/>
        <v>1.5648275862069</v>
      </c>
      <c r="L78" s="29">
        <f t="shared" si="6"/>
        <v>0</v>
      </c>
      <c r="M78" s="23">
        <f t="shared" si="7"/>
        <v>0</v>
      </c>
      <c r="N78" s="21" t="e">
        <f t="shared" si="13"/>
        <v>#DIV/0!</v>
      </c>
      <c r="O78" s="21" t="e">
        <f t="shared" si="14"/>
        <v>#DIV/0!</v>
      </c>
      <c r="P78" s="16">
        <f t="shared" si="15"/>
        <v>50.4222222222222</v>
      </c>
    </row>
    <row r="79" s="2" customFormat="1" spans="1:16">
      <c r="A79" s="15">
        <f t="shared" si="9"/>
        <v>44274</v>
      </c>
      <c r="B79" s="21">
        <v>427.83</v>
      </c>
      <c r="C79" s="22">
        <v>25397</v>
      </c>
      <c r="D79" s="17">
        <v>270</v>
      </c>
      <c r="E79" s="18">
        <v>0</v>
      </c>
      <c r="F79" s="16">
        <v>0</v>
      </c>
      <c r="G79" s="18">
        <v>8</v>
      </c>
      <c r="H79" s="18">
        <v>2</v>
      </c>
      <c r="I79" s="18">
        <v>0</v>
      </c>
      <c r="J79" s="23">
        <f t="shared" si="12"/>
        <v>0.0106311769106587</v>
      </c>
      <c r="K79" s="21">
        <f t="shared" si="11"/>
        <v>1.58455555555556</v>
      </c>
      <c r="L79" s="29">
        <f t="shared" si="6"/>
        <v>0</v>
      </c>
      <c r="M79" s="23">
        <f t="shared" si="7"/>
        <v>0</v>
      </c>
      <c r="N79" s="21" t="e">
        <f t="shared" si="13"/>
        <v>#DIV/0!</v>
      </c>
      <c r="O79" s="21" t="e">
        <f t="shared" si="14"/>
        <v>#DIV/0!</v>
      </c>
      <c r="P79" s="16">
        <f t="shared" si="15"/>
        <v>53.47875</v>
      </c>
    </row>
    <row r="80" s="2" customFormat="1" spans="1:16">
      <c r="A80" s="15">
        <f t="shared" si="9"/>
        <v>44275</v>
      </c>
      <c r="B80" s="21">
        <v>462.42</v>
      </c>
      <c r="C80" s="22">
        <v>22624</v>
      </c>
      <c r="D80" s="17">
        <v>295</v>
      </c>
      <c r="E80" s="18">
        <v>0</v>
      </c>
      <c r="F80" s="16">
        <v>0</v>
      </c>
      <c r="G80" s="18">
        <v>7</v>
      </c>
      <c r="H80" s="18">
        <v>1</v>
      </c>
      <c r="I80" s="18">
        <v>0</v>
      </c>
      <c r="J80" s="23">
        <f t="shared" si="12"/>
        <v>0.0130392503536068</v>
      </c>
      <c r="K80" s="21">
        <f t="shared" si="11"/>
        <v>1.56752542372881</v>
      </c>
      <c r="L80" s="29">
        <f t="shared" si="6"/>
        <v>0</v>
      </c>
      <c r="M80" s="23">
        <f t="shared" si="7"/>
        <v>0</v>
      </c>
      <c r="N80" s="21" t="e">
        <f t="shared" si="13"/>
        <v>#DIV/0!</v>
      </c>
      <c r="O80" s="21" t="e">
        <f t="shared" si="14"/>
        <v>#DIV/0!</v>
      </c>
      <c r="P80" s="16">
        <f t="shared" si="15"/>
        <v>66.06</v>
      </c>
    </row>
    <row r="81" s="2" customFormat="1" spans="1:16">
      <c r="A81" s="15">
        <f t="shared" si="9"/>
        <v>44276</v>
      </c>
      <c r="B81" s="21">
        <v>443.92</v>
      </c>
      <c r="C81" s="22">
        <v>24657</v>
      </c>
      <c r="D81" s="17">
        <v>291</v>
      </c>
      <c r="E81" s="18">
        <v>0</v>
      </c>
      <c r="F81" s="16">
        <v>0</v>
      </c>
      <c r="G81" s="18">
        <v>7</v>
      </c>
      <c r="H81" s="18">
        <v>2</v>
      </c>
      <c r="I81" s="18">
        <v>0</v>
      </c>
      <c r="J81" s="23">
        <f t="shared" si="12"/>
        <v>0.0118019223749848</v>
      </c>
      <c r="K81" s="21">
        <f t="shared" si="11"/>
        <v>1.52549828178694</v>
      </c>
      <c r="L81" s="29">
        <f t="shared" si="6"/>
        <v>0</v>
      </c>
      <c r="M81" s="23">
        <f t="shared" si="7"/>
        <v>0</v>
      </c>
      <c r="N81" s="21" t="e">
        <f t="shared" si="13"/>
        <v>#DIV/0!</v>
      </c>
      <c r="O81" s="21" t="e">
        <f t="shared" si="14"/>
        <v>#DIV/0!</v>
      </c>
      <c r="P81" s="16">
        <f t="shared" si="15"/>
        <v>63.4171428571429</v>
      </c>
    </row>
    <row r="82" s="2" customFormat="1" spans="1:16">
      <c r="A82" s="15">
        <f t="shared" si="9"/>
        <v>44277</v>
      </c>
      <c r="B82" s="21">
        <v>422.02</v>
      </c>
      <c r="C82" s="30">
        <v>29886</v>
      </c>
      <c r="D82" s="30">
        <v>265</v>
      </c>
      <c r="E82" s="18">
        <v>0</v>
      </c>
      <c r="F82" s="21">
        <v>0</v>
      </c>
      <c r="G82" s="18">
        <v>6</v>
      </c>
      <c r="H82" s="18">
        <v>3</v>
      </c>
      <c r="I82" s="18">
        <v>0</v>
      </c>
      <c r="J82" s="23">
        <v>0.0089</v>
      </c>
      <c r="K82" s="21">
        <v>1.59</v>
      </c>
      <c r="L82" s="29">
        <f t="shared" si="6"/>
        <v>0</v>
      </c>
      <c r="M82" s="23">
        <f t="shared" si="7"/>
        <v>0</v>
      </c>
      <c r="N82" s="21" t="e">
        <f t="shared" si="13"/>
        <v>#DIV/0!</v>
      </c>
      <c r="O82" s="21" t="e">
        <f t="shared" si="14"/>
        <v>#DIV/0!</v>
      </c>
      <c r="P82" s="16">
        <f t="shared" si="15"/>
        <v>70.3366666666667</v>
      </c>
    </row>
    <row r="83" s="2" customFormat="1" spans="1:16">
      <c r="A83" s="15">
        <f t="shared" si="9"/>
        <v>44278</v>
      </c>
      <c r="B83" s="21">
        <v>422.29</v>
      </c>
      <c r="C83" s="30">
        <v>32761</v>
      </c>
      <c r="D83" s="30">
        <v>282</v>
      </c>
      <c r="E83" s="18">
        <v>2</v>
      </c>
      <c r="F83" s="21">
        <v>10449</v>
      </c>
      <c r="G83" s="18">
        <v>9</v>
      </c>
      <c r="H83" s="18">
        <v>4</v>
      </c>
      <c r="I83" s="18">
        <v>1</v>
      </c>
      <c r="J83" s="23">
        <v>0.0154</v>
      </c>
      <c r="K83" s="21">
        <v>1.28</v>
      </c>
      <c r="L83" s="29">
        <f t="shared" ref="L83:L146" si="16">F83/B83</f>
        <v>24.7436595704374</v>
      </c>
      <c r="M83" s="23">
        <f t="shared" ref="M83:M146" si="17">E83/D83</f>
        <v>0.00709219858156028</v>
      </c>
      <c r="N83" s="21">
        <f t="shared" si="13"/>
        <v>5224.5</v>
      </c>
      <c r="O83" s="21">
        <f t="shared" si="14"/>
        <v>211.145</v>
      </c>
      <c r="P83" s="16">
        <f t="shared" si="15"/>
        <v>46.9211111111111</v>
      </c>
    </row>
    <row r="84" s="2" customFormat="1" spans="1:16">
      <c r="A84" s="15">
        <f t="shared" si="9"/>
        <v>44279</v>
      </c>
      <c r="B84" s="21">
        <v>484.63</v>
      </c>
      <c r="C84" s="30">
        <v>24550</v>
      </c>
      <c r="D84" s="30">
        <v>321</v>
      </c>
      <c r="E84" s="25">
        <v>0</v>
      </c>
      <c r="F84" s="21">
        <v>0</v>
      </c>
      <c r="G84" s="18">
        <v>0</v>
      </c>
      <c r="H84" s="25">
        <v>4</v>
      </c>
      <c r="I84" s="25">
        <v>0</v>
      </c>
      <c r="J84" s="23">
        <v>0.0131</v>
      </c>
      <c r="K84" s="21">
        <v>1.51</v>
      </c>
      <c r="L84" s="29">
        <f t="shared" si="16"/>
        <v>0</v>
      </c>
      <c r="M84" s="23">
        <f t="shared" si="17"/>
        <v>0</v>
      </c>
      <c r="N84" s="21" t="e">
        <f t="shared" si="13"/>
        <v>#DIV/0!</v>
      </c>
      <c r="O84" s="21" t="e">
        <f t="shared" si="14"/>
        <v>#DIV/0!</v>
      </c>
      <c r="P84" s="16" t="e">
        <f t="shared" si="15"/>
        <v>#DIV/0!</v>
      </c>
    </row>
    <row r="85" s="2" customFormat="1" spans="1:16">
      <c r="A85" s="15">
        <f t="shared" si="9"/>
        <v>44280</v>
      </c>
      <c r="B85" s="21">
        <v>485.44</v>
      </c>
      <c r="C85" s="30">
        <v>25538</v>
      </c>
      <c r="D85" s="30">
        <v>361</v>
      </c>
      <c r="E85" s="25">
        <v>0</v>
      </c>
      <c r="F85" s="21">
        <v>0</v>
      </c>
      <c r="G85" s="18">
        <v>6</v>
      </c>
      <c r="H85" s="25">
        <v>7</v>
      </c>
      <c r="I85" s="25">
        <v>2</v>
      </c>
      <c r="J85" s="23">
        <v>0.0141</v>
      </c>
      <c r="K85" s="21">
        <v>1.34</v>
      </c>
      <c r="L85" s="29">
        <f t="shared" si="16"/>
        <v>0</v>
      </c>
      <c r="M85" s="23">
        <f t="shared" si="17"/>
        <v>0</v>
      </c>
      <c r="N85" s="21" t="e">
        <f t="shared" si="13"/>
        <v>#DIV/0!</v>
      </c>
      <c r="O85" s="21" t="e">
        <f t="shared" si="14"/>
        <v>#DIV/0!</v>
      </c>
      <c r="P85" s="16">
        <f t="shared" si="15"/>
        <v>80.9066666666667</v>
      </c>
    </row>
    <row r="86" s="2" customFormat="1" spans="1:16">
      <c r="A86" s="15">
        <f t="shared" si="9"/>
        <v>44281</v>
      </c>
      <c r="B86" s="21">
        <v>457.5</v>
      </c>
      <c r="C86" s="30">
        <v>34836</v>
      </c>
      <c r="D86" s="30">
        <v>356</v>
      </c>
      <c r="E86" s="25">
        <v>1</v>
      </c>
      <c r="F86" s="21">
        <v>1</v>
      </c>
      <c r="G86" s="25">
        <v>2</v>
      </c>
      <c r="H86" s="25">
        <v>3</v>
      </c>
      <c r="I86" s="25">
        <v>2</v>
      </c>
      <c r="J86" s="23">
        <v>0.0102</v>
      </c>
      <c r="K86" s="21">
        <v>1.29</v>
      </c>
      <c r="L86" s="29">
        <f t="shared" si="16"/>
        <v>0.00218579234972678</v>
      </c>
      <c r="M86" s="23">
        <f t="shared" si="17"/>
        <v>0.00280898876404494</v>
      </c>
      <c r="N86" s="21">
        <f t="shared" si="13"/>
        <v>1</v>
      </c>
      <c r="O86" s="21">
        <f t="shared" si="14"/>
        <v>457.5</v>
      </c>
      <c r="P86" s="16">
        <f t="shared" si="15"/>
        <v>228.75</v>
      </c>
    </row>
    <row r="87" s="2" customFormat="1" spans="1:16">
      <c r="A87" s="15">
        <f t="shared" si="9"/>
        <v>44282</v>
      </c>
      <c r="B87" s="21">
        <v>474.78</v>
      </c>
      <c r="C87" s="30">
        <v>29830</v>
      </c>
      <c r="D87" s="30">
        <v>353</v>
      </c>
      <c r="E87" s="25">
        <v>0</v>
      </c>
      <c r="F87" s="21">
        <v>0</v>
      </c>
      <c r="G87" s="25">
        <v>9</v>
      </c>
      <c r="H87" s="25">
        <v>1</v>
      </c>
      <c r="I87" s="25">
        <v>1</v>
      </c>
      <c r="J87" s="23">
        <v>0.0118</v>
      </c>
      <c r="K87" s="21">
        <v>1.34</v>
      </c>
      <c r="L87" s="29">
        <f t="shared" si="16"/>
        <v>0</v>
      </c>
      <c r="M87" s="23">
        <f t="shared" si="17"/>
        <v>0</v>
      </c>
      <c r="N87" s="21" t="e">
        <f t="shared" si="13"/>
        <v>#DIV/0!</v>
      </c>
      <c r="O87" s="21" t="e">
        <f t="shared" si="14"/>
        <v>#DIV/0!</v>
      </c>
      <c r="P87" s="16">
        <f t="shared" si="15"/>
        <v>52.7533333333333</v>
      </c>
    </row>
    <row r="88" s="2" customFormat="1" spans="1:16">
      <c r="A88" s="15">
        <f t="shared" si="9"/>
        <v>44283</v>
      </c>
      <c r="B88" s="21">
        <v>493.28</v>
      </c>
      <c r="C88" s="30">
        <v>24937</v>
      </c>
      <c r="D88" s="30">
        <v>385</v>
      </c>
      <c r="E88" s="25">
        <v>0</v>
      </c>
      <c r="F88" s="21">
        <v>0</v>
      </c>
      <c r="G88" s="25">
        <v>11</v>
      </c>
      <c r="H88" s="25">
        <v>4</v>
      </c>
      <c r="I88" s="25">
        <v>1</v>
      </c>
      <c r="J88" s="23">
        <v>0.0154</v>
      </c>
      <c r="K88" s="21">
        <v>1.28</v>
      </c>
      <c r="L88" s="29">
        <f t="shared" si="16"/>
        <v>0</v>
      </c>
      <c r="M88" s="23">
        <f t="shared" si="17"/>
        <v>0</v>
      </c>
      <c r="N88" s="21" t="e">
        <f t="shared" si="13"/>
        <v>#DIV/0!</v>
      </c>
      <c r="O88" s="21" t="e">
        <f t="shared" si="14"/>
        <v>#DIV/0!</v>
      </c>
      <c r="P88" s="16">
        <f t="shared" si="15"/>
        <v>44.8436363636364</v>
      </c>
    </row>
    <row r="89" s="2" customFormat="1" spans="1:16">
      <c r="A89" s="15">
        <f t="shared" si="9"/>
        <v>44284</v>
      </c>
      <c r="B89" s="21">
        <v>500</v>
      </c>
      <c r="C89" s="22">
        <v>27841</v>
      </c>
      <c r="D89" s="31">
        <v>298</v>
      </c>
      <c r="E89" s="25">
        <v>0</v>
      </c>
      <c r="F89" s="16">
        <v>0</v>
      </c>
      <c r="G89" s="25">
        <v>2</v>
      </c>
      <c r="H89" s="25">
        <v>1</v>
      </c>
      <c r="I89" s="25">
        <v>0</v>
      </c>
      <c r="J89" s="23">
        <v>0.0107</v>
      </c>
      <c r="K89" s="21">
        <v>1.68</v>
      </c>
      <c r="L89" s="29">
        <f t="shared" si="16"/>
        <v>0</v>
      </c>
      <c r="M89" s="23">
        <f t="shared" si="17"/>
        <v>0</v>
      </c>
      <c r="N89" s="21" t="e">
        <f t="shared" si="13"/>
        <v>#DIV/0!</v>
      </c>
      <c r="O89" s="21" t="e">
        <f t="shared" si="14"/>
        <v>#DIV/0!</v>
      </c>
      <c r="P89" s="16">
        <f t="shared" si="15"/>
        <v>250</v>
      </c>
    </row>
    <row r="90" s="2" customFormat="1" spans="1:16">
      <c r="A90" s="15">
        <f t="shared" si="9"/>
        <v>44285</v>
      </c>
      <c r="B90" s="21">
        <v>500</v>
      </c>
      <c r="C90" s="22">
        <v>21271</v>
      </c>
      <c r="D90" s="31">
        <v>251</v>
      </c>
      <c r="E90" s="25">
        <v>0</v>
      </c>
      <c r="F90" s="16">
        <v>0</v>
      </c>
      <c r="G90" s="25">
        <v>2</v>
      </c>
      <c r="H90" s="25">
        <v>2</v>
      </c>
      <c r="I90" s="25">
        <v>2</v>
      </c>
      <c r="J90" s="23">
        <v>0.0118</v>
      </c>
      <c r="K90" s="21">
        <v>1.99</v>
      </c>
      <c r="L90" s="29">
        <f t="shared" si="16"/>
        <v>0</v>
      </c>
      <c r="M90" s="23">
        <f t="shared" si="17"/>
        <v>0</v>
      </c>
      <c r="N90" s="21" t="e">
        <f t="shared" si="13"/>
        <v>#DIV/0!</v>
      </c>
      <c r="O90" s="21" t="e">
        <f t="shared" si="14"/>
        <v>#DIV/0!</v>
      </c>
      <c r="P90" s="16">
        <f t="shared" si="15"/>
        <v>250</v>
      </c>
    </row>
    <row r="91" s="2" customFormat="1" spans="1:16">
      <c r="A91" s="15">
        <f t="shared" si="9"/>
        <v>44286</v>
      </c>
      <c r="B91" s="21">
        <v>470.72</v>
      </c>
      <c r="C91" s="22">
        <v>24105</v>
      </c>
      <c r="D91" s="31">
        <v>289</v>
      </c>
      <c r="E91" s="25">
        <v>0</v>
      </c>
      <c r="F91" s="16">
        <v>0</v>
      </c>
      <c r="G91" s="25">
        <v>13</v>
      </c>
      <c r="H91" s="25">
        <v>6</v>
      </c>
      <c r="I91" s="25">
        <v>2</v>
      </c>
      <c r="J91" s="23">
        <v>0.0146</v>
      </c>
      <c r="K91" s="21">
        <v>1.64</v>
      </c>
      <c r="L91" s="29">
        <f t="shared" si="16"/>
        <v>0</v>
      </c>
      <c r="M91" s="23">
        <f t="shared" si="17"/>
        <v>0</v>
      </c>
      <c r="N91" s="21" t="e">
        <f t="shared" si="13"/>
        <v>#DIV/0!</v>
      </c>
      <c r="O91" s="21" t="e">
        <f t="shared" si="14"/>
        <v>#DIV/0!</v>
      </c>
      <c r="P91" s="16">
        <f t="shared" si="15"/>
        <v>36.2092307692308</v>
      </c>
    </row>
    <row r="92" s="2" customFormat="1" spans="1:16">
      <c r="A92" s="15">
        <f t="shared" si="9"/>
        <v>44287</v>
      </c>
      <c r="B92" s="21">
        <v>550.73</v>
      </c>
      <c r="C92" s="22">
        <v>18435</v>
      </c>
      <c r="D92" s="31">
        <v>333</v>
      </c>
      <c r="E92" s="25">
        <v>0</v>
      </c>
      <c r="F92" s="16">
        <v>0</v>
      </c>
      <c r="G92" s="25">
        <v>9</v>
      </c>
      <c r="H92" s="25">
        <v>4</v>
      </c>
      <c r="I92" s="25">
        <v>2</v>
      </c>
      <c r="J92" s="23">
        <v>0.0181</v>
      </c>
      <c r="K92" s="21">
        <v>1.65</v>
      </c>
      <c r="L92" s="29">
        <f t="shared" si="16"/>
        <v>0</v>
      </c>
      <c r="M92" s="23">
        <f t="shared" si="17"/>
        <v>0</v>
      </c>
      <c r="N92" s="21" t="e">
        <f t="shared" si="13"/>
        <v>#DIV/0!</v>
      </c>
      <c r="O92" s="21" t="e">
        <f t="shared" si="14"/>
        <v>#DIV/0!</v>
      </c>
      <c r="P92" s="16">
        <f t="shared" si="15"/>
        <v>61.1922222222222</v>
      </c>
    </row>
    <row r="93" s="2" customFormat="1" spans="1:16">
      <c r="A93" s="15">
        <f t="shared" si="9"/>
        <v>44288</v>
      </c>
      <c r="B93" s="21">
        <v>546.65</v>
      </c>
      <c r="C93" s="22">
        <v>20623</v>
      </c>
      <c r="D93" s="31">
        <v>335</v>
      </c>
      <c r="E93" s="25">
        <v>0</v>
      </c>
      <c r="F93" s="16">
        <v>0</v>
      </c>
      <c r="G93" s="25">
        <v>6</v>
      </c>
      <c r="H93" s="25">
        <v>5</v>
      </c>
      <c r="I93" s="25">
        <v>0</v>
      </c>
      <c r="J93" s="23">
        <v>0.0162</v>
      </c>
      <c r="K93" s="21">
        <v>1.63</v>
      </c>
      <c r="L93" s="29">
        <f t="shared" si="16"/>
        <v>0</v>
      </c>
      <c r="M93" s="23">
        <f t="shared" si="17"/>
        <v>0</v>
      </c>
      <c r="N93" s="21" t="e">
        <f t="shared" si="13"/>
        <v>#DIV/0!</v>
      </c>
      <c r="O93" s="21" t="e">
        <f t="shared" si="14"/>
        <v>#DIV/0!</v>
      </c>
      <c r="P93" s="16">
        <f t="shared" si="15"/>
        <v>91.1083333333333</v>
      </c>
    </row>
    <row r="94" s="2" customFormat="1" spans="1:16">
      <c r="A94" s="15">
        <f t="shared" si="9"/>
        <v>44289</v>
      </c>
      <c r="B94" s="21">
        <v>579.76</v>
      </c>
      <c r="C94" s="22">
        <v>27406</v>
      </c>
      <c r="D94" s="31">
        <v>361</v>
      </c>
      <c r="E94" s="25">
        <v>0</v>
      </c>
      <c r="F94" s="16">
        <v>0</v>
      </c>
      <c r="G94" s="25">
        <v>6</v>
      </c>
      <c r="H94" s="25">
        <v>4</v>
      </c>
      <c r="I94" s="25">
        <v>0</v>
      </c>
      <c r="J94" s="23">
        <v>0.0132</v>
      </c>
      <c r="K94" s="21">
        <v>1.61</v>
      </c>
      <c r="L94" s="29">
        <f t="shared" si="16"/>
        <v>0</v>
      </c>
      <c r="M94" s="23">
        <f t="shared" si="17"/>
        <v>0</v>
      </c>
      <c r="N94" s="21" t="e">
        <f t="shared" si="13"/>
        <v>#DIV/0!</v>
      </c>
      <c r="O94" s="21" t="e">
        <f t="shared" si="14"/>
        <v>#DIV/0!</v>
      </c>
      <c r="P94" s="16">
        <f t="shared" si="15"/>
        <v>96.6266666666667</v>
      </c>
    </row>
    <row r="95" s="2" customFormat="1" spans="1:16">
      <c r="A95" s="15">
        <f t="shared" si="9"/>
        <v>44290</v>
      </c>
      <c r="B95" s="21">
        <v>554.23</v>
      </c>
      <c r="C95" s="22">
        <v>20786</v>
      </c>
      <c r="D95" s="31">
        <v>368</v>
      </c>
      <c r="E95" s="25">
        <v>0</v>
      </c>
      <c r="F95" s="16">
        <v>0</v>
      </c>
      <c r="G95" s="25">
        <v>7</v>
      </c>
      <c r="H95" s="25">
        <v>3</v>
      </c>
      <c r="I95" s="25">
        <v>2</v>
      </c>
      <c r="J95" s="23">
        <v>0.0177</v>
      </c>
      <c r="K95" s="21">
        <v>1.51</v>
      </c>
      <c r="L95" s="29">
        <f t="shared" si="16"/>
        <v>0</v>
      </c>
      <c r="M95" s="23">
        <f t="shared" si="17"/>
        <v>0</v>
      </c>
      <c r="N95" s="21" t="e">
        <f t="shared" si="13"/>
        <v>#DIV/0!</v>
      </c>
      <c r="O95" s="21" t="e">
        <f t="shared" si="14"/>
        <v>#DIV/0!</v>
      </c>
      <c r="P95" s="16">
        <f t="shared" si="15"/>
        <v>79.1757142857143</v>
      </c>
    </row>
    <row r="96" s="2" customFormat="1" spans="1:16">
      <c r="A96" s="15">
        <f t="shared" si="9"/>
        <v>44291</v>
      </c>
      <c r="B96" s="21">
        <v>726.8</v>
      </c>
      <c r="C96" s="22">
        <v>16962</v>
      </c>
      <c r="D96" s="31">
        <v>429</v>
      </c>
      <c r="E96" s="25">
        <v>0</v>
      </c>
      <c r="F96" s="16">
        <v>0</v>
      </c>
      <c r="G96" s="25">
        <v>17</v>
      </c>
      <c r="H96" s="25">
        <v>9</v>
      </c>
      <c r="I96" s="25">
        <v>0</v>
      </c>
      <c r="J96" s="23">
        <v>0.0253</v>
      </c>
      <c r="K96" s="21">
        <v>2.53</v>
      </c>
      <c r="L96" s="29">
        <f t="shared" si="16"/>
        <v>0</v>
      </c>
      <c r="M96" s="23">
        <f t="shared" si="17"/>
        <v>0</v>
      </c>
      <c r="N96" s="21" t="e">
        <f t="shared" si="13"/>
        <v>#DIV/0!</v>
      </c>
      <c r="O96" s="21" t="e">
        <f t="shared" si="14"/>
        <v>#DIV/0!</v>
      </c>
      <c r="P96" s="16">
        <f t="shared" si="15"/>
        <v>42.7529411764706</v>
      </c>
    </row>
    <row r="97" s="2" customFormat="1" spans="1:16">
      <c r="A97" s="15">
        <f t="shared" ref="A97:A160" si="18">A96+1</f>
        <v>44292</v>
      </c>
      <c r="B97" s="21">
        <v>656.33</v>
      </c>
      <c r="C97" s="22">
        <v>23909</v>
      </c>
      <c r="D97" s="31">
        <v>406</v>
      </c>
      <c r="E97" s="25">
        <v>0</v>
      </c>
      <c r="F97" s="16">
        <v>0</v>
      </c>
      <c r="G97" s="25">
        <v>10</v>
      </c>
      <c r="H97" s="25">
        <v>6</v>
      </c>
      <c r="I97" s="25">
        <v>2</v>
      </c>
      <c r="J97" s="23">
        <v>0.017</v>
      </c>
      <c r="K97" s="21">
        <v>1.7</v>
      </c>
      <c r="L97" s="29">
        <f t="shared" si="16"/>
        <v>0</v>
      </c>
      <c r="M97" s="23">
        <f t="shared" si="17"/>
        <v>0</v>
      </c>
      <c r="N97" s="21" t="e">
        <f t="shared" si="13"/>
        <v>#DIV/0!</v>
      </c>
      <c r="O97" s="21" t="e">
        <f t="shared" si="14"/>
        <v>#DIV/0!</v>
      </c>
      <c r="P97" s="16">
        <f t="shared" si="15"/>
        <v>65.633</v>
      </c>
    </row>
    <row r="98" s="2" customFormat="1" spans="1:16">
      <c r="A98" s="15">
        <f t="shared" si="18"/>
        <v>44293</v>
      </c>
      <c r="B98" s="21">
        <v>564.95</v>
      </c>
      <c r="C98" s="22">
        <v>30903</v>
      </c>
      <c r="D98" s="31">
        <v>352</v>
      </c>
      <c r="E98" s="25">
        <v>0</v>
      </c>
      <c r="F98" s="16">
        <v>0</v>
      </c>
      <c r="G98" s="25">
        <v>7</v>
      </c>
      <c r="H98" s="25">
        <v>0</v>
      </c>
      <c r="I98" s="25">
        <v>1</v>
      </c>
      <c r="J98" s="23">
        <v>0.0114</v>
      </c>
      <c r="K98" s="21">
        <v>1.14</v>
      </c>
      <c r="L98" s="29">
        <f t="shared" si="16"/>
        <v>0</v>
      </c>
      <c r="M98" s="23">
        <f t="shared" si="17"/>
        <v>0</v>
      </c>
      <c r="N98" s="21" t="e">
        <f t="shared" si="13"/>
        <v>#DIV/0!</v>
      </c>
      <c r="O98" s="21" t="e">
        <f t="shared" si="14"/>
        <v>#DIV/0!</v>
      </c>
      <c r="P98" s="16">
        <f t="shared" si="15"/>
        <v>80.7071428571429</v>
      </c>
    </row>
    <row r="99" s="2" customFormat="1" spans="1:16">
      <c r="A99" s="15">
        <f t="shared" si="18"/>
        <v>44294</v>
      </c>
      <c r="B99" s="21">
        <v>499.06</v>
      </c>
      <c r="C99" s="22">
        <v>10471</v>
      </c>
      <c r="D99" s="31">
        <v>232</v>
      </c>
      <c r="E99" s="25">
        <v>0</v>
      </c>
      <c r="F99" s="16">
        <v>0</v>
      </c>
      <c r="G99" s="25">
        <v>3</v>
      </c>
      <c r="H99" s="25">
        <v>1</v>
      </c>
      <c r="I99" s="25">
        <v>0</v>
      </c>
      <c r="J99" s="23">
        <v>0.0222</v>
      </c>
      <c r="K99" s="21">
        <v>2.22</v>
      </c>
      <c r="L99" s="29">
        <f t="shared" si="16"/>
        <v>0</v>
      </c>
      <c r="M99" s="23">
        <f t="shared" si="17"/>
        <v>0</v>
      </c>
      <c r="N99" s="21" t="e">
        <f t="shared" si="13"/>
        <v>#DIV/0!</v>
      </c>
      <c r="O99" s="21" t="e">
        <f t="shared" si="14"/>
        <v>#DIV/0!</v>
      </c>
      <c r="P99" s="16">
        <f t="shared" si="15"/>
        <v>166.353333333333</v>
      </c>
    </row>
    <row r="100" s="2" customFormat="1" spans="1:16">
      <c r="A100" s="15">
        <f t="shared" si="18"/>
        <v>44295</v>
      </c>
      <c r="B100" s="21">
        <v>500</v>
      </c>
      <c r="C100" s="22">
        <v>11049</v>
      </c>
      <c r="D100" s="31">
        <v>211</v>
      </c>
      <c r="E100" s="25">
        <v>0</v>
      </c>
      <c r="F100" s="16">
        <v>0</v>
      </c>
      <c r="G100" s="25">
        <v>7</v>
      </c>
      <c r="H100" s="25">
        <v>1</v>
      </c>
      <c r="I100" s="25">
        <v>0</v>
      </c>
      <c r="J100" s="23">
        <v>0.0191</v>
      </c>
      <c r="K100" s="21">
        <v>1.91</v>
      </c>
      <c r="L100" s="29">
        <f t="shared" si="16"/>
        <v>0</v>
      </c>
      <c r="M100" s="23">
        <f t="shared" si="17"/>
        <v>0</v>
      </c>
      <c r="N100" s="21" t="e">
        <f t="shared" si="13"/>
        <v>#DIV/0!</v>
      </c>
      <c r="O100" s="21" t="e">
        <f t="shared" si="14"/>
        <v>#DIV/0!</v>
      </c>
      <c r="P100" s="16">
        <f t="shared" si="15"/>
        <v>71.4285714285714</v>
      </c>
    </row>
    <row r="101" s="2" customFormat="1" spans="1:16">
      <c r="A101" s="15">
        <f t="shared" si="18"/>
        <v>44296</v>
      </c>
      <c r="B101" s="21">
        <v>500</v>
      </c>
      <c r="C101" s="22">
        <v>13900</v>
      </c>
      <c r="D101" s="31">
        <v>287</v>
      </c>
      <c r="E101" s="25">
        <v>0</v>
      </c>
      <c r="F101" s="16">
        <v>0</v>
      </c>
      <c r="G101" s="25">
        <v>15</v>
      </c>
      <c r="H101" s="25">
        <v>3</v>
      </c>
      <c r="I101" s="25">
        <v>0</v>
      </c>
      <c r="J101" s="23">
        <v>0.0206</v>
      </c>
      <c r="K101" s="21">
        <v>2.06</v>
      </c>
      <c r="L101" s="29">
        <f t="shared" si="16"/>
        <v>0</v>
      </c>
      <c r="M101" s="23">
        <f t="shared" si="17"/>
        <v>0</v>
      </c>
      <c r="N101" s="21" t="e">
        <f t="shared" si="13"/>
        <v>#DIV/0!</v>
      </c>
      <c r="O101" s="21" t="e">
        <f t="shared" si="14"/>
        <v>#DIV/0!</v>
      </c>
      <c r="P101" s="16">
        <f t="shared" si="15"/>
        <v>33.3333333333333</v>
      </c>
    </row>
    <row r="102" s="2" customFormat="1" spans="1:16">
      <c r="A102" s="15">
        <f t="shared" si="18"/>
        <v>44297</v>
      </c>
      <c r="B102" s="21">
        <v>500</v>
      </c>
      <c r="C102" s="22">
        <v>12659</v>
      </c>
      <c r="D102" s="31">
        <v>285</v>
      </c>
      <c r="E102" s="25">
        <v>0</v>
      </c>
      <c r="F102" s="16">
        <v>0</v>
      </c>
      <c r="G102" s="25">
        <v>15</v>
      </c>
      <c r="H102" s="25">
        <v>2</v>
      </c>
      <c r="I102" s="25">
        <v>2</v>
      </c>
      <c r="J102" s="23">
        <v>0.0225</v>
      </c>
      <c r="K102" s="21">
        <v>2.25</v>
      </c>
      <c r="L102" s="29">
        <f t="shared" si="16"/>
        <v>0</v>
      </c>
      <c r="M102" s="23">
        <f t="shared" si="17"/>
        <v>0</v>
      </c>
      <c r="N102" s="21" t="e">
        <f t="shared" si="13"/>
        <v>#DIV/0!</v>
      </c>
      <c r="O102" s="21" t="e">
        <f t="shared" si="14"/>
        <v>#DIV/0!</v>
      </c>
      <c r="P102" s="16">
        <f t="shared" si="15"/>
        <v>33.3333333333333</v>
      </c>
    </row>
    <row r="103" s="2" customFormat="1" spans="1:16">
      <c r="A103" s="15">
        <f t="shared" si="18"/>
        <v>44298</v>
      </c>
      <c r="B103" s="21">
        <v>300</v>
      </c>
      <c r="C103" s="22">
        <v>10387</v>
      </c>
      <c r="D103" s="31">
        <v>183</v>
      </c>
      <c r="E103" s="25">
        <v>0</v>
      </c>
      <c r="F103" s="16">
        <v>0</v>
      </c>
      <c r="G103" s="25">
        <v>6</v>
      </c>
      <c r="H103" s="25">
        <v>0</v>
      </c>
      <c r="I103" s="25">
        <v>0</v>
      </c>
      <c r="J103" s="23">
        <v>0.0176</v>
      </c>
      <c r="K103" s="21">
        <v>1.64</v>
      </c>
      <c r="L103" s="29">
        <f t="shared" si="16"/>
        <v>0</v>
      </c>
      <c r="M103" s="23">
        <f t="shared" si="17"/>
        <v>0</v>
      </c>
      <c r="N103" s="21" t="e">
        <f t="shared" si="13"/>
        <v>#DIV/0!</v>
      </c>
      <c r="O103" s="21" t="e">
        <f t="shared" si="14"/>
        <v>#DIV/0!</v>
      </c>
      <c r="P103" s="16">
        <f t="shared" si="15"/>
        <v>50</v>
      </c>
    </row>
    <row r="104" s="2" customFormat="1" spans="1:16">
      <c r="A104" s="15">
        <f t="shared" si="18"/>
        <v>44299</v>
      </c>
      <c r="B104" s="21">
        <v>298.48</v>
      </c>
      <c r="C104" s="22">
        <v>10020</v>
      </c>
      <c r="D104" s="31">
        <v>185</v>
      </c>
      <c r="E104" s="25">
        <v>0</v>
      </c>
      <c r="F104" s="16">
        <v>0</v>
      </c>
      <c r="G104" s="25">
        <v>3</v>
      </c>
      <c r="H104" s="25">
        <v>0</v>
      </c>
      <c r="I104" s="25">
        <v>1</v>
      </c>
      <c r="J104" s="23">
        <v>0.0185</v>
      </c>
      <c r="K104" s="21">
        <v>1.61</v>
      </c>
      <c r="L104" s="29">
        <f t="shared" si="16"/>
        <v>0</v>
      </c>
      <c r="M104" s="23">
        <f t="shared" si="17"/>
        <v>0</v>
      </c>
      <c r="N104" s="21" t="e">
        <f t="shared" si="13"/>
        <v>#DIV/0!</v>
      </c>
      <c r="O104" s="21" t="e">
        <f t="shared" si="14"/>
        <v>#DIV/0!</v>
      </c>
      <c r="P104" s="16">
        <f t="shared" si="15"/>
        <v>99.4933333333333</v>
      </c>
    </row>
    <row r="105" s="2" customFormat="1" spans="1:16">
      <c r="A105" s="15">
        <f t="shared" si="18"/>
        <v>44300</v>
      </c>
      <c r="B105" s="21">
        <v>300</v>
      </c>
      <c r="C105" s="22">
        <v>8877</v>
      </c>
      <c r="D105" s="31">
        <v>172</v>
      </c>
      <c r="E105" s="25">
        <v>2</v>
      </c>
      <c r="F105" s="16">
        <v>0.2</v>
      </c>
      <c r="G105" s="25">
        <v>9</v>
      </c>
      <c r="H105" s="25">
        <v>6</v>
      </c>
      <c r="I105" s="25">
        <v>1</v>
      </c>
      <c r="J105" s="23">
        <v>0.0194</v>
      </c>
      <c r="K105" s="21">
        <v>1.74</v>
      </c>
      <c r="L105" s="29">
        <f t="shared" si="16"/>
        <v>0.000666666666666667</v>
      </c>
      <c r="M105" s="23">
        <f t="shared" si="17"/>
        <v>0.0116279069767442</v>
      </c>
      <c r="N105" s="21">
        <f t="shared" si="13"/>
        <v>0.1</v>
      </c>
      <c r="O105" s="21">
        <f t="shared" si="14"/>
        <v>150</v>
      </c>
      <c r="P105" s="16">
        <f t="shared" si="15"/>
        <v>33.3333333333333</v>
      </c>
    </row>
    <row r="106" s="2" customFormat="1" spans="1:16">
      <c r="A106" s="15">
        <f t="shared" si="18"/>
        <v>44301</v>
      </c>
      <c r="B106" s="21">
        <v>300</v>
      </c>
      <c r="C106" s="22">
        <v>8176</v>
      </c>
      <c r="D106" s="31">
        <v>187</v>
      </c>
      <c r="E106" s="25">
        <v>0</v>
      </c>
      <c r="F106" s="16">
        <v>0</v>
      </c>
      <c r="G106" s="25">
        <v>4</v>
      </c>
      <c r="H106" s="25">
        <v>1</v>
      </c>
      <c r="I106" s="25">
        <v>1</v>
      </c>
      <c r="J106" s="23">
        <v>0.0229</v>
      </c>
      <c r="K106" s="21">
        <v>1.6</v>
      </c>
      <c r="L106" s="29">
        <f t="shared" si="16"/>
        <v>0</v>
      </c>
      <c r="M106" s="23">
        <f t="shared" si="17"/>
        <v>0</v>
      </c>
      <c r="N106" s="21" t="e">
        <f t="shared" si="13"/>
        <v>#DIV/0!</v>
      </c>
      <c r="O106" s="21" t="e">
        <f t="shared" si="14"/>
        <v>#DIV/0!</v>
      </c>
      <c r="P106" s="16">
        <f t="shared" si="15"/>
        <v>75</v>
      </c>
    </row>
    <row r="107" s="2" customFormat="1" spans="1:16">
      <c r="A107" s="15">
        <f t="shared" si="18"/>
        <v>44302</v>
      </c>
      <c r="B107" s="21">
        <v>300</v>
      </c>
      <c r="C107" s="22">
        <v>7470</v>
      </c>
      <c r="D107" s="31">
        <v>185</v>
      </c>
      <c r="E107" s="25">
        <v>0</v>
      </c>
      <c r="F107" s="16">
        <v>0</v>
      </c>
      <c r="G107" s="25">
        <v>3</v>
      </c>
      <c r="H107" s="25">
        <v>3</v>
      </c>
      <c r="I107" s="25">
        <v>0</v>
      </c>
      <c r="J107" s="23">
        <v>0.0248</v>
      </c>
      <c r="K107" s="21">
        <v>1.62</v>
      </c>
      <c r="L107" s="29">
        <f t="shared" si="16"/>
        <v>0</v>
      </c>
      <c r="M107" s="23">
        <f t="shared" si="17"/>
        <v>0</v>
      </c>
      <c r="N107" s="21" t="e">
        <f t="shared" si="13"/>
        <v>#DIV/0!</v>
      </c>
      <c r="O107" s="21" t="e">
        <f t="shared" si="14"/>
        <v>#DIV/0!</v>
      </c>
      <c r="P107" s="16">
        <f t="shared" si="15"/>
        <v>100</v>
      </c>
    </row>
    <row r="108" s="2" customFormat="1" spans="1:16">
      <c r="A108" s="15">
        <f t="shared" si="18"/>
        <v>44303</v>
      </c>
      <c r="B108" s="21">
        <v>298.7</v>
      </c>
      <c r="C108" s="22">
        <v>8383</v>
      </c>
      <c r="D108" s="31">
        <v>186</v>
      </c>
      <c r="E108" s="25">
        <v>0</v>
      </c>
      <c r="F108" s="16">
        <v>0</v>
      </c>
      <c r="G108" s="25">
        <v>3</v>
      </c>
      <c r="H108" s="25">
        <v>1</v>
      </c>
      <c r="I108" s="25">
        <v>1</v>
      </c>
      <c r="J108" s="23">
        <v>0.0222</v>
      </c>
      <c r="K108" s="21">
        <v>1.61</v>
      </c>
      <c r="L108" s="29">
        <f t="shared" si="16"/>
        <v>0</v>
      </c>
      <c r="M108" s="23">
        <f t="shared" si="17"/>
        <v>0</v>
      </c>
      <c r="N108" s="21" t="e">
        <f t="shared" si="13"/>
        <v>#DIV/0!</v>
      </c>
      <c r="O108" s="21" t="e">
        <f t="shared" si="14"/>
        <v>#DIV/0!</v>
      </c>
      <c r="P108" s="16">
        <f t="shared" si="15"/>
        <v>99.5666666666667</v>
      </c>
    </row>
    <row r="109" s="2" customFormat="1" spans="1:16">
      <c r="A109" s="15">
        <f t="shared" si="18"/>
        <v>44304</v>
      </c>
      <c r="B109" s="21">
        <v>300</v>
      </c>
      <c r="C109" s="22">
        <v>8398</v>
      </c>
      <c r="D109" s="31">
        <v>187</v>
      </c>
      <c r="E109" s="25">
        <v>0</v>
      </c>
      <c r="F109" s="16">
        <v>0</v>
      </c>
      <c r="G109" s="25">
        <v>0</v>
      </c>
      <c r="H109" s="25">
        <v>5</v>
      </c>
      <c r="I109" s="25">
        <v>0</v>
      </c>
      <c r="J109" s="23">
        <v>0.0223</v>
      </c>
      <c r="K109" s="21">
        <v>1.6</v>
      </c>
      <c r="L109" s="29">
        <f t="shared" si="16"/>
        <v>0</v>
      </c>
      <c r="M109" s="23">
        <f t="shared" si="17"/>
        <v>0</v>
      </c>
      <c r="N109" s="21" t="e">
        <f t="shared" si="13"/>
        <v>#DIV/0!</v>
      </c>
      <c r="O109" s="21" t="e">
        <f t="shared" si="14"/>
        <v>#DIV/0!</v>
      </c>
      <c r="P109" s="16" t="e">
        <f t="shared" si="15"/>
        <v>#DIV/0!</v>
      </c>
    </row>
    <row r="110" s="2" customFormat="1" spans="1:16">
      <c r="A110" s="15">
        <f t="shared" si="18"/>
        <v>44305</v>
      </c>
      <c r="B110" s="21">
        <v>300</v>
      </c>
      <c r="C110" s="22">
        <v>10662</v>
      </c>
      <c r="D110" s="31">
        <v>190</v>
      </c>
      <c r="E110" s="25">
        <v>0</v>
      </c>
      <c r="F110" s="16">
        <v>0</v>
      </c>
      <c r="G110" s="25">
        <v>4</v>
      </c>
      <c r="H110" s="25">
        <v>3</v>
      </c>
      <c r="I110" s="25">
        <v>1</v>
      </c>
      <c r="J110" s="23">
        <v>0.0178</v>
      </c>
      <c r="K110" s="21">
        <v>1.58</v>
      </c>
      <c r="L110" s="29">
        <f t="shared" si="16"/>
        <v>0</v>
      </c>
      <c r="M110" s="23">
        <f t="shared" si="17"/>
        <v>0</v>
      </c>
      <c r="N110" s="21" t="e">
        <f t="shared" si="13"/>
        <v>#DIV/0!</v>
      </c>
      <c r="O110" s="21" t="e">
        <f t="shared" si="14"/>
        <v>#DIV/0!</v>
      </c>
      <c r="P110" s="16">
        <f t="shared" si="15"/>
        <v>75</v>
      </c>
    </row>
    <row r="111" s="2" customFormat="1" spans="1:16">
      <c r="A111" s="15">
        <f t="shared" si="18"/>
        <v>44306</v>
      </c>
      <c r="B111" s="21">
        <v>300</v>
      </c>
      <c r="C111" s="22">
        <v>6545</v>
      </c>
      <c r="D111" s="31">
        <v>171</v>
      </c>
      <c r="E111" s="25">
        <v>0</v>
      </c>
      <c r="F111" s="16">
        <v>0</v>
      </c>
      <c r="G111" s="25">
        <v>6</v>
      </c>
      <c r="H111" s="25">
        <v>7</v>
      </c>
      <c r="I111" s="25">
        <v>0</v>
      </c>
      <c r="J111" s="23">
        <v>0.0261</v>
      </c>
      <c r="K111" s="21">
        <v>1.75</v>
      </c>
      <c r="L111" s="29">
        <f t="shared" si="16"/>
        <v>0</v>
      </c>
      <c r="M111" s="23">
        <f t="shared" si="17"/>
        <v>0</v>
      </c>
      <c r="N111" s="21" t="e">
        <f t="shared" si="13"/>
        <v>#DIV/0!</v>
      </c>
      <c r="O111" s="21" t="e">
        <f t="shared" si="14"/>
        <v>#DIV/0!</v>
      </c>
      <c r="P111" s="16">
        <f t="shared" si="15"/>
        <v>50</v>
      </c>
    </row>
    <row r="112" s="2" customFormat="1" spans="1:16">
      <c r="A112" s="15">
        <f t="shared" si="18"/>
        <v>44307</v>
      </c>
      <c r="B112" s="21">
        <v>300</v>
      </c>
      <c r="C112" s="22">
        <v>5604</v>
      </c>
      <c r="D112" s="31">
        <v>161</v>
      </c>
      <c r="E112" s="25">
        <v>0</v>
      </c>
      <c r="F112" s="16">
        <v>0</v>
      </c>
      <c r="G112" s="25">
        <v>5</v>
      </c>
      <c r="H112" s="25">
        <v>2</v>
      </c>
      <c r="I112" s="25">
        <v>1</v>
      </c>
      <c r="J112" s="23">
        <v>0.0287</v>
      </c>
      <c r="K112" s="21">
        <v>1.86</v>
      </c>
      <c r="L112" s="29">
        <f t="shared" si="16"/>
        <v>0</v>
      </c>
      <c r="M112" s="23">
        <f t="shared" si="17"/>
        <v>0</v>
      </c>
      <c r="N112" s="21" t="e">
        <f t="shared" si="13"/>
        <v>#DIV/0!</v>
      </c>
      <c r="O112" s="21" t="e">
        <f t="shared" si="14"/>
        <v>#DIV/0!</v>
      </c>
      <c r="P112" s="16">
        <f t="shared" si="15"/>
        <v>60</v>
      </c>
    </row>
    <row r="113" s="2" customFormat="1" spans="1:16">
      <c r="A113" s="15">
        <f t="shared" si="18"/>
        <v>44308</v>
      </c>
      <c r="B113" s="21">
        <v>300</v>
      </c>
      <c r="C113" s="22">
        <v>6885</v>
      </c>
      <c r="D113" s="31">
        <v>192</v>
      </c>
      <c r="E113" s="25">
        <v>0</v>
      </c>
      <c r="F113" s="16">
        <v>0</v>
      </c>
      <c r="G113" s="25">
        <v>4</v>
      </c>
      <c r="H113" s="25">
        <v>2</v>
      </c>
      <c r="I113" s="25">
        <v>1</v>
      </c>
      <c r="J113" s="23">
        <v>0.0279</v>
      </c>
      <c r="K113" s="21">
        <v>1.56</v>
      </c>
      <c r="L113" s="29">
        <f t="shared" si="16"/>
        <v>0</v>
      </c>
      <c r="M113" s="23">
        <f t="shared" si="17"/>
        <v>0</v>
      </c>
      <c r="N113" s="21" t="e">
        <f t="shared" si="13"/>
        <v>#DIV/0!</v>
      </c>
      <c r="O113" s="21" t="e">
        <f t="shared" si="14"/>
        <v>#DIV/0!</v>
      </c>
      <c r="P113" s="16">
        <f t="shared" si="15"/>
        <v>75</v>
      </c>
    </row>
    <row r="114" s="2" customFormat="1" spans="1:16">
      <c r="A114" s="15">
        <f t="shared" si="18"/>
        <v>44309</v>
      </c>
      <c r="B114" s="21">
        <v>300</v>
      </c>
      <c r="C114" s="22">
        <v>6222</v>
      </c>
      <c r="D114" s="31">
        <v>167</v>
      </c>
      <c r="E114" s="25">
        <v>0</v>
      </c>
      <c r="F114" s="16">
        <v>0</v>
      </c>
      <c r="G114" s="25">
        <v>0</v>
      </c>
      <c r="H114" s="25">
        <v>1</v>
      </c>
      <c r="I114" s="25">
        <v>1</v>
      </c>
      <c r="J114" s="23">
        <v>0.0268</v>
      </c>
      <c r="K114" s="21">
        <v>1.8</v>
      </c>
      <c r="L114" s="29">
        <f t="shared" si="16"/>
        <v>0</v>
      </c>
      <c r="M114" s="23">
        <f t="shared" si="17"/>
        <v>0</v>
      </c>
      <c r="N114" s="21" t="e">
        <f t="shared" si="13"/>
        <v>#DIV/0!</v>
      </c>
      <c r="O114" s="21" t="e">
        <f t="shared" si="14"/>
        <v>#DIV/0!</v>
      </c>
      <c r="P114" s="16" t="e">
        <f t="shared" si="15"/>
        <v>#DIV/0!</v>
      </c>
    </row>
    <row r="115" s="2" customFormat="1" spans="1:16">
      <c r="A115" s="15">
        <f t="shared" si="18"/>
        <v>44310</v>
      </c>
      <c r="B115" s="21">
        <v>300</v>
      </c>
      <c r="C115" s="22">
        <v>6426</v>
      </c>
      <c r="D115" s="31">
        <v>144</v>
      </c>
      <c r="E115" s="25">
        <v>0</v>
      </c>
      <c r="F115" s="16">
        <v>0</v>
      </c>
      <c r="G115" s="25">
        <v>2</v>
      </c>
      <c r="H115" s="25">
        <v>3</v>
      </c>
      <c r="I115" s="25">
        <v>0</v>
      </c>
      <c r="J115" s="23">
        <v>0.0224</v>
      </c>
      <c r="K115" s="21">
        <v>2.08</v>
      </c>
      <c r="L115" s="29">
        <f t="shared" si="16"/>
        <v>0</v>
      </c>
      <c r="M115" s="23">
        <f t="shared" si="17"/>
        <v>0</v>
      </c>
      <c r="N115" s="21" t="e">
        <f t="shared" si="13"/>
        <v>#DIV/0!</v>
      </c>
      <c r="O115" s="21" t="e">
        <f t="shared" si="14"/>
        <v>#DIV/0!</v>
      </c>
      <c r="P115" s="16">
        <f t="shared" si="15"/>
        <v>150</v>
      </c>
    </row>
    <row r="116" s="2" customFormat="1" spans="1:16">
      <c r="A116" s="15">
        <f t="shared" si="18"/>
        <v>44311</v>
      </c>
      <c r="B116" s="21">
        <v>300</v>
      </c>
      <c r="C116" s="22">
        <v>12026</v>
      </c>
      <c r="D116" s="31">
        <v>171</v>
      </c>
      <c r="E116" s="25">
        <v>0</v>
      </c>
      <c r="F116" s="16">
        <v>0</v>
      </c>
      <c r="G116" s="25">
        <v>6</v>
      </c>
      <c r="H116" s="25">
        <v>3</v>
      </c>
      <c r="I116" s="25">
        <v>0</v>
      </c>
      <c r="J116" s="23">
        <v>0.0142</v>
      </c>
      <c r="K116" s="21">
        <v>1.75</v>
      </c>
      <c r="L116" s="29">
        <f t="shared" si="16"/>
        <v>0</v>
      </c>
      <c r="M116" s="23">
        <f t="shared" si="17"/>
        <v>0</v>
      </c>
      <c r="N116" s="21" t="e">
        <f t="shared" si="13"/>
        <v>#DIV/0!</v>
      </c>
      <c r="O116" s="21" t="e">
        <f t="shared" si="14"/>
        <v>#DIV/0!</v>
      </c>
      <c r="P116" s="16">
        <f t="shared" si="15"/>
        <v>50</v>
      </c>
    </row>
    <row r="117" s="2" customFormat="1" spans="1:16">
      <c r="A117" s="15">
        <f t="shared" si="18"/>
        <v>44312</v>
      </c>
      <c r="B117" s="21">
        <v>300</v>
      </c>
      <c r="C117" s="22">
        <v>11566</v>
      </c>
      <c r="D117" s="31">
        <v>181</v>
      </c>
      <c r="E117" s="25">
        <v>0</v>
      </c>
      <c r="F117" s="16">
        <v>0</v>
      </c>
      <c r="G117" s="25">
        <v>9</v>
      </c>
      <c r="H117" s="25">
        <v>5</v>
      </c>
      <c r="I117" s="25">
        <v>2</v>
      </c>
      <c r="J117" s="23">
        <v>0.0156</v>
      </c>
      <c r="K117" s="21">
        <v>1.66</v>
      </c>
      <c r="L117" s="29">
        <f t="shared" si="16"/>
        <v>0</v>
      </c>
      <c r="M117" s="23">
        <f t="shared" si="17"/>
        <v>0</v>
      </c>
      <c r="N117" s="21" t="e">
        <f t="shared" si="13"/>
        <v>#DIV/0!</v>
      </c>
      <c r="O117" s="21" t="e">
        <f t="shared" si="14"/>
        <v>#DIV/0!</v>
      </c>
      <c r="P117" s="16">
        <f t="shared" si="15"/>
        <v>33.3333333333333</v>
      </c>
    </row>
    <row r="118" s="2" customFormat="1" spans="1:16">
      <c r="A118" s="15">
        <f t="shared" si="18"/>
        <v>44313</v>
      </c>
      <c r="B118" s="21">
        <v>300</v>
      </c>
      <c r="C118" s="22">
        <v>13292</v>
      </c>
      <c r="D118" s="31">
        <v>194</v>
      </c>
      <c r="E118" s="25">
        <v>0</v>
      </c>
      <c r="F118" s="16">
        <v>0</v>
      </c>
      <c r="G118" s="25">
        <v>3</v>
      </c>
      <c r="H118" s="25">
        <v>3</v>
      </c>
      <c r="I118" s="25">
        <v>0</v>
      </c>
      <c r="J118" s="23">
        <v>0.0146</v>
      </c>
      <c r="K118" s="21">
        <v>1.55</v>
      </c>
      <c r="L118" s="29">
        <f t="shared" si="16"/>
        <v>0</v>
      </c>
      <c r="M118" s="23">
        <f t="shared" si="17"/>
        <v>0</v>
      </c>
      <c r="N118" s="21" t="e">
        <f t="shared" si="13"/>
        <v>#DIV/0!</v>
      </c>
      <c r="O118" s="21" t="e">
        <f t="shared" si="14"/>
        <v>#DIV/0!</v>
      </c>
      <c r="P118" s="16">
        <f t="shared" si="15"/>
        <v>100</v>
      </c>
    </row>
    <row r="119" s="2" customFormat="1" spans="1:16">
      <c r="A119" s="15">
        <f t="shared" si="18"/>
        <v>44314</v>
      </c>
      <c r="B119" s="21">
        <v>300</v>
      </c>
      <c r="C119" s="22">
        <v>12390</v>
      </c>
      <c r="D119" s="31">
        <v>155</v>
      </c>
      <c r="E119" s="25">
        <v>0</v>
      </c>
      <c r="F119" s="16">
        <v>0</v>
      </c>
      <c r="G119" s="25">
        <v>7</v>
      </c>
      <c r="H119" s="25">
        <v>2</v>
      </c>
      <c r="I119" s="25">
        <v>0</v>
      </c>
      <c r="J119" s="23">
        <v>0.0125</v>
      </c>
      <c r="K119" s="21">
        <v>1.94</v>
      </c>
      <c r="L119" s="29">
        <f t="shared" si="16"/>
        <v>0</v>
      </c>
      <c r="M119" s="23">
        <f t="shared" si="17"/>
        <v>0</v>
      </c>
      <c r="N119" s="21" t="e">
        <f t="shared" si="13"/>
        <v>#DIV/0!</v>
      </c>
      <c r="O119" s="21" t="e">
        <f t="shared" si="14"/>
        <v>#DIV/0!</v>
      </c>
      <c r="P119" s="16">
        <f t="shared" si="15"/>
        <v>42.8571428571429</v>
      </c>
    </row>
    <row r="120" s="2" customFormat="1" spans="1:16">
      <c r="A120" s="15">
        <f t="shared" si="18"/>
        <v>44315</v>
      </c>
      <c r="B120" s="21">
        <v>300</v>
      </c>
      <c r="C120" s="22">
        <v>14661</v>
      </c>
      <c r="D120" s="31">
        <v>178</v>
      </c>
      <c r="E120" s="25">
        <v>0</v>
      </c>
      <c r="F120" s="16">
        <v>0</v>
      </c>
      <c r="G120" s="25">
        <v>3</v>
      </c>
      <c r="H120" s="25">
        <v>2</v>
      </c>
      <c r="I120" s="25">
        <v>1</v>
      </c>
      <c r="J120" s="23">
        <v>0.0121</v>
      </c>
      <c r="K120" s="21">
        <v>1.69</v>
      </c>
      <c r="L120" s="29">
        <f t="shared" si="16"/>
        <v>0</v>
      </c>
      <c r="M120" s="23">
        <f t="shared" si="17"/>
        <v>0</v>
      </c>
      <c r="N120" s="21" t="e">
        <f t="shared" si="13"/>
        <v>#DIV/0!</v>
      </c>
      <c r="O120" s="21" t="e">
        <f t="shared" si="14"/>
        <v>#DIV/0!</v>
      </c>
      <c r="P120" s="16">
        <f t="shared" si="15"/>
        <v>100</v>
      </c>
    </row>
    <row r="121" s="2" customFormat="1" spans="1:16">
      <c r="A121" s="15">
        <f t="shared" si="18"/>
        <v>44316</v>
      </c>
      <c r="B121" s="21">
        <v>300</v>
      </c>
      <c r="C121" s="22">
        <v>18887</v>
      </c>
      <c r="D121" s="31">
        <v>175</v>
      </c>
      <c r="E121" s="25">
        <v>1</v>
      </c>
      <c r="F121" s="16">
        <v>17068</v>
      </c>
      <c r="G121" s="25">
        <v>6</v>
      </c>
      <c r="H121" s="25">
        <v>0</v>
      </c>
      <c r="I121" s="25">
        <v>0</v>
      </c>
      <c r="J121" s="23">
        <v>0.0093</v>
      </c>
      <c r="K121" s="21">
        <v>1.71</v>
      </c>
      <c r="L121" s="29">
        <f t="shared" si="16"/>
        <v>56.8933333333333</v>
      </c>
      <c r="M121" s="23">
        <f t="shared" si="17"/>
        <v>0.00571428571428571</v>
      </c>
      <c r="N121" s="21">
        <f t="shared" si="13"/>
        <v>17068</v>
      </c>
      <c r="O121" s="21">
        <f t="shared" si="14"/>
        <v>300</v>
      </c>
      <c r="P121" s="16">
        <f t="shared" si="15"/>
        <v>50</v>
      </c>
    </row>
    <row r="122" s="2" customFormat="1" spans="1:16">
      <c r="A122" s="15">
        <f t="shared" si="18"/>
        <v>44317</v>
      </c>
      <c r="B122" s="21">
        <v>300</v>
      </c>
      <c r="C122" s="22">
        <v>19411</v>
      </c>
      <c r="D122" s="31">
        <v>166</v>
      </c>
      <c r="E122" s="25">
        <v>0</v>
      </c>
      <c r="F122" s="16">
        <v>0</v>
      </c>
      <c r="G122" s="25">
        <v>2</v>
      </c>
      <c r="H122" s="25">
        <v>0</v>
      </c>
      <c r="I122" s="25">
        <v>2</v>
      </c>
      <c r="J122" s="23">
        <v>0.0086</v>
      </c>
      <c r="K122" s="21">
        <v>1.81</v>
      </c>
      <c r="L122" s="29">
        <f t="shared" si="16"/>
        <v>0</v>
      </c>
      <c r="M122" s="23">
        <f t="shared" si="17"/>
        <v>0</v>
      </c>
      <c r="N122" s="21" t="e">
        <f t="shared" si="13"/>
        <v>#DIV/0!</v>
      </c>
      <c r="O122" s="21" t="e">
        <f t="shared" si="14"/>
        <v>#DIV/0!</v>
      </c>
      <c r="P122" s="16">
        <f t="shared" si="15"/>
        <v>150</v>
      </c>
    </row>
    <row r="123" s="2" customFormat="1" spans="1:16">
      <c r="A123" s="15">
        <f t="shared" si="18"/>
        <v>44318</v>
      </c>
      <c r="B123" s="21">
        <v>300</v>
      </c>
      <c r="C123" s="22">
        <v>14775</v>
      </c>
      <c r="D123" s="31">
        <v>183</v>
      </c>
      <c r="E123" s="25">
        <v>0</v>
      </c>
      <c r="F123" s="16">
        <v>0</v>
      </c>
      <c r="G123" s="25">
        <v>4</v>
      </c>
      <c r="H123" s="25">
        <v>0</v>
      </c>
      <c r="I123" s="25">
        <v>1</v>
      </c>
      <c r="J123" s="23">
        <v>0.0124</v>
      </c>
      <c r="K123" s="21">
        <v>1.64</v>
      </c>
      <c r="L123" s="29">
        <f t="shared" si="16"/>
        <v>0</v>
      </c>
      <c r="M123" s="23">
        <f t="shared" si="17"/>
        <v>0</v>
      </c>
      <c r="N123" s="21" t="e">
        <f t="shared" si="13"/>
        <v>#DIV/0!</v>
      </c>
      <c r="O123" s="21" t="e">
        <f t="shared" si="14"/>
        <v>#DIV/0!</v>
      </c>
      <c r="P123" s="16">
        <f t="shared" si="15"/>
        <v>75</v>
      </c>
    </row>
    <row r="124" s="2" customFormat="1" spans="1:16">
      <c r="A124" s="15">
        <f t="shared" si="18"/>
        <v>44319</v>
      </c>
      <c r="B124" s="21">
        <v>300</v>
      </c>
      <c r="C124" s="22">
        <v>12663</v>
      </c>
      <c r="D124" s="31">
        <v>192</v>
      </c>
      <c r="E124" s="25">
        <v>1</v>
      </c>
      <c r="F124" s="16">
        <v>3000</v>
      </c>
      <c r="G124" s="25">
        <v>1</v>
      </c>
      <c r="H124" s="25">
        <v>3</v>
      </c>
      <c r="I124" s="25">
        <v>1</v>
      </c>
      <c r="J124" s="23">
        <v>0.0152</v>
      </c>
      <c r="K124" s="21">
        <v>1.56</v>
      </c>
      <c r="L124" s="29">
        <f t="shared" si="16"/>
        <v>10</v>
      </c>
      <c r="M124" s="23">
        <f t="shared" si="17"/>
        <v>0.00520833333333333</v>
      </c>
      <c r="N124" s="21">
        <f t="shared" si="13"/>
        <v>3000</v>
      </c>
      <c r="O124" s="21">
        <f t="shared" si="14"/>
        <v>300</v>
      </c>
      <c r="P124" s="16">
        <f t="shared" si="15"/>
        <v>300</v>
      </c>
    </row>
    <row r="125" s="2" customFormat="1" spans="1:16">
      <c r="A125" s="15">
        <f t="shared" si="18"/>
        <v>44320</v>
      </c>
      <c r="B125" s="21">
        <v>300</v>
      </c>
      <c r="C125" s="22">
        <v>12228</v>
      </c>
      <c r="D125" s="31">
        <v>183</v>
      </c>
      <c r="E125" s="25">
        <v>0</v>
      </c>
      <c r="F125" s="16">
        <v>0</v>
      </c>
      <c r="G125" s="25">
        <v>7</v>
      </c>
      <c r="H125" s="25">
        <v>1</v>
      </c>
      <c r="I125" s="25">
        <v>3</v>
      </c>
      <c r="J125" s="23">
        <v>0.015</v>
      </c>
      <c r="K125" s="21">
        <v>1.64</v>
      </c>
      <c r="L125" s="29">
        <f t="shared" si="16"/>
        <v>0</v>
      </c>
      <c r="M125" s="23">
        <f t="shared" si="17"/>
        <v>0</v>
      </c>
      <c r="N125" s="21" t="e">
        <f t="shared" si="13"/>
        <v>#DIV/0!</v>
      </c>
      <c r="O125" s="21" t="e">
        <f t="shared" si="14"/>
        <v>#DIV/0!</v>
      </c>
      <c r="P125" s="16">
        <f t="shared" si="15"/>
        <v>42.8571428571429</v>
      </c>
    </row>
    <row r="126" s="2" customFormat="1" spans="1:16">
      <c r="A126" s="15">
        <f t="shared" si="18"/>
        <v>44321</v>
      </c>
      <c r="B126" s="21">
        <v>300</v>
      </c>
      <c r="C126" s="22">
        <v>11940</v>
      </c>
      <c r="D126" s="31">
        <v>205</v>
      </c>
      <c r="E126" s="25">
        <v>0</v>
      </c>
      <c r="F126" s="16">
        <v>0</v>
      </c>
      <c r="G126" s="25">
        <v>3</v>
      </c>
      <c r="H126" s="25">
        <v>1</v>
      </c>
      <c r="I126" s="25">
        <v>1</v>
      </c>
      <c r="J126" s="23">
        <v>0.0172</v>
      </c>
      <c r="K126" s="21">
        <v>1.46</v>
      </c>
      <c r="L126" s="29">
        <f t="shared" si="16"/>
        <v>0</v>
      </c>
      <c r="M126" s="23">
        <f t="shared" si="17"/>
        <v>0</v>
      </c>
      <c r="N126" s="21" t="e">
        <f t="shared" si="13"/>
        <v>#DIV/0!</v>
      </c>
      <c r="O126" s="21" t="e">
        <f t="shared" si="14"/>
        <v>#DIV/0!</v>
      </c>
      <c r="P126" s="16">
        <f t="shared" si="15"/>
        <v>100</v>
      </c>
    </row>
    <row r="127" s="2" customFormat="1" spans="1:16">
      <c r="A127" s="15">
        <f t="shared" si="18"/>
        <v>44322</v>
      </c>
      <c r="B127" s="21">
        <v>397.42</v>
      </c>
      <c r="C127" s="22">
        <v>19656</v>
      </c>
      <c r="D127" s="31">
        <v>256</v>
      </c>
      <c r="E127" s="25">
        <v>0</v>
      </c>
      <c r="F127" s="16">
        <v>0</v>
      </c>
      <c r="G127" s="25">
        <v>5</v>
      </c>
      <c r="H127" s="25">
        <v>0</v>
      </c>
      <c r="I127" s="25">
        <v>0</v>
      </c>
      <c r="J127" s="23">
        <v>0.013</v>
      </c>
      <c r="K127" s="21">
        <v>1.55</v>
      </c>
      <c r="L127" s="29">
        <f t="shared" si="16"/>
        <v>0</v>
      </c>
      <c r="M127" s="23">
        <f t="shared" si="17"/>
        <v>0</v>
      </c>
      <c r="N127" s="21" t="e">
        <f t="shared" si="13"/>
        <v>#DIV/0!</v>
      </c>
      <c r="O127" s="21" t="e">
        <f t="shared" si="14"/>
        <v>#DIV/0!</v>
      </c>
      <c r="P127" s="16">
        <f t="shared" si="15"/>
        <v>79.484</v>
      </c>
    </row>
    <row r="128" s="2" customFormat="1" spans="1:16">
      <c r="A128" s="15">
        <f t="shared" si="18"/>
        <v>44323</v>
      </c>
      <c r="B128" s="21">
        <v>529.77</v>
      </c>
      <c r="C128" s="22">
        <v>24959</v>
      </c>
      <c r="D128" s="31">
        <v>333</v>
      </c>
      <c r="E128" s="25">
        <v>0</v>
      </c>
      <c r="F128" s="16">
        <v>0</v>
      </c>
      <c r="G128" s="25">
        <v>5</v>
      </c>
      <c r="H128" s="25">
        <v>0</v>
      </c>
      <c r="I128" s="25">
        <v>1</v>
      </c>
      <c r="J128" s="23">
        <v>0.0133</v>
      </c>
      <c r="K128" s="21">
        <v>1.59</v>
      </c>
      <c r="L128" s="29">
        <f t="shared" si="16"/>
        <v>0</v>
      </c>
      <c r="M128" s="23">
        <f t="shared" si="17"/>
        <v>0</v>
      </c>
      <c r="N128" s="21" t="e">
        <f t="shared" si="13"/>
        <v>#DIV/0!</v>
      </c>
      <c r="O128" s="21" t="e">
        <f t="shared" si="14"/>
        <v>#DIV/0!</v>
      </c>
      <c r="P128" s="16">
        <f t="shared" si="15"/>
        <v>105.954</v>
      </c>
    </row>
    <row r="129" s="2" customFormat="1" spans="1:16">
      <c r="A129" s="15">
        <f t="shared" si="18"/>
        <v>44324</v>
      </c>
      <c r="B129" s="21">
        <v>559.78</v>
      </c>
      <c r="C129" s="22">
        <v>23115</v>
      </c>
      <c r="D129" s="31">
        <v>326</v>
      </c>
      <c r="E129" s="25">
        <v>0</v>
      </c>
      <c r="F129" s="16">
        <v>0</v>
      </c>
      <c r="G129" s="25">
        <v>5</v>
      </c>
      <c r="H129" s="25">
        <v>0</v>
      </c>
      <c r="I129" s="25">
        <v>1</v>
      </c>
      <c r="J129" s="23">
        <v>0.0141</v>
      </c>
      <c r="K129" s="21">
        <v>1.72</v>
      </c>
      <c r="L129" s="29">
        <f t="shared" si="16"/>
        <v>0</v>
      </c>
      <c r="M129" s="23">
        <f t="shared" si="17"/>
        <v>0</v>
      </c>
      <c r="N129" s="21" t="e">
        <f t="shared" si="13"/>
        <v>#DIV/0!</v>
      </c>
      <c r="O129" s="21" t="e">
        <f t="shared" si="14"/>
        <v>#DIV/0!</v>
      </c>
      <c r="P129" s="16">
        <f t="shared" si="15"/>
        <v>111.956</v>
      </c>
    </row>
    <row r="130" s="2" customFormat="1" spans="1:16">
      <c r="A130" s="15">
        <f t="shared" si="18"/>
        <v>44325</v>
      </c>
      <c r="B130" s="21">
        <v>476.54</v>
      </c>
      <c r="C130" s="22">
        <v>25144</v>
      </c>
      <c r="D130" s="31">
        <v>305</v>
      </c>
      <c r="E130" s="25">
        <v>0</v>
      </c>
      <c r="F130" s="16">
        <v>0</v>
      </c>
      <c r="G130" s="25">
        <v>9</v>
      </c>
      <c r="H130" s="25">
        <v>0</v>
      </c>
      <c r="I130" s="25">
        <v>0</v>
      </c>
      <c r="J130" s="23">
        <v>0.0121</v>
      </c>
      <c r="K130" s="21">
        <v>1.56</v>
      </c>
      <c r="L130" s="29">
        <f t="shared" si="16"/>
        <v>0</v>
      </c>
      <c r="M130" s="23">
        <f t="shared" si="17"/>
        <v>0</v>
      </c>
      <c r="N130" s="21" t="e">
        <f t="shared" ref="N130:N193" si="19">F130/E130</f>
        <v>#DIV/0!</v>
      </c>
      <c r="O130" s="21" t="e">
        <f t="shared" ref="O130:O193" si="20">B130/E130</f>
        <v>#DIV/0!</v>
      </c>
      <c r="P130" s="16">
        <f t="shared" ref="P130:P193" si="21">B130/G130</f>
        <v>52.9488888888889</v>
      </c>
    </row>
    <row r="131" s="2" customFormat="1" spans="1:16">
      <c r="A131" s="15">
        <f t="shared" si="18"/>
        <v>44326</v>
      </c>
      <c r="B131" s="21">
        <v>592.11</v>
      </c>
      <c r="C131" s="22">
        <v>32012</v>
      </c>
      <c r="D131" s="31">
        <v>312</v>
      </c>
      <c r="E131" s="25">
        <v>0</v>
      </c>
      <c r="F131" s="16">
        <v>0</v>
      </c>
      <c r="G131" s="25">
        <v>9</v>
      </c>
      <c r="H131" s="25">
        <v>1</v>
      </c>
      <c r="I131" s="25">
        <v>3</v>
      </c>
      <c r="J131" s="23">
        <v>0.0097</v>
      </c>
      <c r="K131" s="21">
        <v>1.9</v>
      </c>
      <c r="L131" s="29">
        <f t="shared" si="16"/>
        <v>0</v>
      </c>
      <c r="M131" s="23">
        <f t="shared" si="17"/>
        <v>0</v>
      </c>
      <c r="N131" s="21" t="e">
        <f t="shared" si="19"/>
        <v>#DIV/0!</v>
      </c>
      <c r="O131" s="21" t="e">
        <f t="shared" si="20"/>
        <v>#DIV/0!</v>
      </c>
      <c r="P131" s="16">
        <f t="shared" si="21"/>
        <v>65.79</v>
      </c>
    </row>
    <row r="132" s="2" customFormat="1" spans="1:16">
      <c r="A132" s="15">
        <f t="shared" si="18"/>
        <v>44327</v>
      </c>
      <c r="B132" s="21">
        <v>600</v>
      </c>
      <c r="C132" s="22">
        <v>21751</v>
      </c>
      <c r="D132" s="31">
        <v>287</v>
      </c>
      <c r="E132" s="25">
        <v>0</v>
      </c>
      <c r="F132" s="16">
        <v>0</v>
      </c>
      <c r="G132" s="25">
        <v>3</v>
      </c>
      <c r="H132" s="25">
        <v>1</v>
      </c>
      <c r="I132" s="25">
        <v>0</v>
      </c>
      <c r="J132" s="23">
        <v>0.0132</v>
      </c>
      <c r="K132" s="21">
        <v>2.09</v>
      </c>
      <c r="L132" s="29">
        <f t="shared" si="16"/>
        <v>0</v>
      </c>
      <c r="M132" s="23">
        <f t="shared" si="17"/>
        <v>0</v>
      </c>
      <c r="N132" s="21" t="e">
        <f t="shared" si="19"/>
        <v>#DIV/0!</v>
      </c>
      <c r="O132" s="21" t="e">
        <f t="shared" si="20"/>
        <v>#DIV/0!</v>
      </c>
      <c r="P132" s="16">
        <f t="shared" si="21"/>
        <v>200</v>
      </c>
    </row>
    <row r="133" s="2" customFormat="1" spans="1:16">
      <c r="A133" s="15">
        <f t="shared" si="18"/>
        <v>44328</v>
      </c>
      <c r="B133" s="21">
        <v>600</v>
      </c>
      <c r="C133" s="22">
        <v>36293</v>
      </c>
      <c r="D133" s="31">
        <v>269</v>
      </c>
      <c r="E133" s="25">
        <v>0</v>
      </c>
      <c r="F133" s="16">
        <v>0</v>
      </c>
      <c r="G133" s="25">
        <v>2</v>
      </c>
      <c r="H133" s="25">
        <v>2</v>
      </c>
      <c r="I133" s="25">
        <v>1</v>
      </c>
      <c r="J133" s="23">
        <v>0.0074</v>
      </c>
      <c r="K133" s="21">
        <v>2.23</v>
      </c>
      <c r="L133" s="29">
        <f t="shared" si="16"/>
        <v>0</v>
      </c>
      <c r="M133" s="23">
        <f t="shared" si="17"/>
        <v>0</v>
      </c>
      <c r="N133" s="21" t="e">
        <f t="shared" si="19"/>
        <v>#DIV/0!</v>
      </c>
      <c r="O133" s="21" t="e">
        <f t="shared" si="20"/>
        <v>#DIV/0!</v>
      </c>
      <c r="P133" s="16">
        <f t="shared" si="21"/>
        <v>300</v>
      </c>
    </row>
    <row r="134" s="2" customFormat="1" spans="1:16">
      <c r="A134" s="15">
        <f t="shared" si="18"/>
        <v>44329</v>
      </c>
      <c r="B134" s="21">
        <v>600</v>
      </c>
      <c r="C134" s="22">
        <v>27589</v>
      </c>
      <c r="D134" s="31">
        <v>301</v>
      </c>
      <c r="E134" s="25">
        <v>0</v>
      </c>
      <c r="F134" s="16">
        <v>0</v>
      </c>
      <c r="G134" s="25">
        <v>3</v>
      </c>
      <c r="H134" s="25">
        <v>1</v>
      </c>
      <c r="I134" s="25">
        <v>2</v>
      </c>
      <c r="J134" s="23">
        <v>0.0109</v>
      </c>
      <c r="K134" s="21">
        <v>1.99</v>
      </c>
      <c r="L134" s="29">
        <f t="shared" si="16"/>
        <v>0</v>
      </c>
      <c r="M134" s="23">
        <f t="shared" si="17"/>
        <v>0</v>
      </c>
      <c r="N134" s="21" t="e">
        <f t="shared" si="19"/>
        <v>#DIV/0!</v>
      </c>
      <c r="O134" s="21" t="e">
        <f t="shared" si="20"/>
        <v>#DIV/0!</v>
      </c>
      <c r="P134" s="16">
        <f t="shared" si="21"/>
        <v>200</v>
      </c>
    </row>
    <row r="135" s="2" customFormat="1" spans="1:16">
      <c r="A135" s="15">
        <f t="shared" si="18"/>
        <v>44330</v>
      </c>
      <c r="B135" s="21">
        <v>600</v>
      </c>
      <c r="C135" s="22">
        <v>23654</v>
      </c>
      <c r="D135" s="31">
        <v>267</v>
      </c>
      <c r="E135" s="25">
        <v>0</v>
      </c>
      <c r="F135" s="16">
        <v>0</v>
      </c>
      <c r="G135" s="25">
        <v>0</v>
      </c>
      <c r="H135" s="25">
        <v>2</v>
      </c>
      <c r="I135" s="25">
        <v>0</v>
      </c>
      <c r="J135" s="23">
        <v>0.0113</v>
      </c>
      <c r="K135" s="21">
        <v>2.25</v>
      </c>
      <c r="L135" s="29">
        <f t="shared" si="16"/>
        <v>0</v>
      </c>
      <c r="M135" s="23">
        <f t="shared" si="17"/>
        <v>0</v>
      </c>
      <c r="N135" s="21" t="e">
        <f t="shared" si="19"/>
        <v>#DIV/0!</v>
      </c>
      <c r="O135" s="21" t="e">
        <f t="shared" si="20"/>
        <v>#DIV/0!</v>
      </c>
      <c r="P135" s="16" t="e">
        <f t="shared" si="21"/>
        <v>#DIV/0!</v>
      </c>
    </row>
    <row r="136" s="2" customFormat="1" spans="1:16">
      <c r="A136" s="15">
        <f t="shared" si="18"/>
        <v>44331</v>
      </c>
      <c r="B136" s="21">
        <v>598.69</v>
      </c>
      <c r="C136" s="22">
        <v>20635</v>
      </c>
      <c r="D136" s="31">
        <v>311</v>
      </c>
      <c r="E136" s="25">
        <v>0</v>
      </c>
      <c r="F136" s="16">
        <v>0</v>
      </c>
      <c r="G136" s="25">
        <v>2</v>
      </c>
      <c r="H136" s="25">
        <v>2</v>
      </c>
      <c r="I136" s="25">
        <v>0</v>
      </c>
      <c r="J136" s="23">
        <v>0.0151</v>
      </c>
      <c r="K136" s="21">
        <v>1.93</v>
      </c>
      <c r="L136" s="29">
        <f t="shared" si="16"/>
        <v>0</v>
      </c>
      <c r="M136" s="23">
        <f t="shared" si="17"/>
        <v>0</v>
      </c>
      <c r="N136" s="21" t="e">
        <f t="shared" si="19"/>
        <v>#DIV/0!</v>
      </c>
      <c r="O136" s="21" t="e">
        <f t="shared" si="20"/>
        <v>#DIV/0!</v>
      </c>
      <c r="P136" s="16">
        <f t="shared" si="21"/>
        <v>299.345</v>
      </c>
    </row>
    <row r="137" s="2" customFormat="1" spans="1:16">
      <c r="A137" s="15">
        <f t="shared" si="18"/>
        <v>44332</v>
      </c>
      <c r="B137" s="21">
        <v>600</v>
      </c>
      <c r="C137" s="22">
        <v>22315</v>
      </c>
      <c r="D137" s="31">
        <v>329</v>
      </c>
      <c r="E137" s="25">
        <v>0</v>
      </c>
      <c r="F137" s="16">
        <v>0</v>
      </c>
      <c r="G137" s="25">
        <v>3</v>
      </c>
      <c r="H137" s="25">
        <v>3</v>
      </c>
      <c r="I137" s="25">
        <v>0</v>
      </c>
      <c r="J137" s="23">
        <v>0.0147</v>
      </c>
      <c r="K137" s="21">
        <v>1.82</v>
      </c>
      <c r="L137" s="29">
        <f t="shared" si="16"/>
        <v>0</v>
      </c>
      <c r="M137" s="23">
        <f t="shared" si="17"/>
        <v>0</v>
      </c>
      <c r="N137" s="21" t="e">
        <f t="shared" si="19"/>
        <v>#DIV/0!</v>
      </c>
      <c r="O137" s="21" t="e">
        <f t="shared" si="20"/>
        <v>#DIV/0!</v>
      </c>
      <c r="P137" s="16">
        <f t="shared" si="21"/>
        <v>200</v>
      </c>
    </row>
    <row r="138" s="2" customFormat="1" spans="1:16">
      <c r="A138" s="15">
        <f t="shared" si="18"/>
        <v>44333</v>
      </c>
      <c r="B138" s="21">
        <v>600</v>
      </c>
      <c r="C138" s="22">
        <v>25812</v>
      </c>
      <c r="D138" s="31">
        <v>321</v>
      </c>
      <c r="E138" s="25">
        <v>2</v>
      </c>
      <c r="F138" s="16">
        <v>3001</v>
      </c>
      <c r="G138" s="25">
        <v>5</v>
      </c>
      <c r="H138" s="25">
        <v>2</v>
      </c>
      <c r="I138" s="25">
        <v>1</v>
      </c>
      <c r="J138" s="23">
        <v>0.0124</v>
      </c>
      <c r="K138" s="21">
        <v>1.87</v>
      </c>
      <c r="L138" s="29">
        <f t="shared" si="16"/>
        <v>5.00166666666667</v>
      </c>
      <c r="M138" s="23">
        <f t="shared" si="17"/>
        <v>0.00623052959501558</v>
      </c>
      <c r="N138" s="21">
        <f t="shared" si="19"/>
        <v>1500.5</v>
      </c>
      <c r="O138" s="21">
        <f t="shared" si="20"/>
        <v>300</v>
      </c>
      <c r="P138" s="16">
        <f t="shared" si="21"/>
        <v>120</v>
      </c>
    </row>
    <row r="139" s="2" customFormat="1" spans="1:16">
      <c r="A139" s="15">
        <f t="shared" si="18"/>
        <v>44334</v>
      </c>
      <c r="B139" s="21">
        <v>506.04</v>
      </c>
      <c r="C139" s="22">
        <v>28439</v>
      </c>
      <c r="D139" s="31">
        <v>303</v>
      </c>
      <c r="E139" s="25">
        <v>0</v>
      </c>
      <c r="F139" s="16">
        <v>0</v>
      </c>
      <c r="G139" s="25">
        <v>6</v>
      </c>
      <c r="H139" s="25">
        <v>0</v>
      </c>
      <c r="I139" s="25">
        <v>0</v>
      </c>
      <c r="J139" s="23">
        <v>0.0107</v>
      </c>
      <c r="K139" s="21">
        <v>1.67</v>
      </c>
      <c r="L139" s="29">
        <f t="shared" si="16"/>
        <v>0</v>
      </c>
      <c r="M139" s="23">
        <f t="shared" si="17"/>
        <v>0</v>
      </c>
      <c r="N139" s="21" t="e">
        <f t="shared" si="19"/>
        <v>#DIV/0!</v>
      </c>
      <c r="O139" s="21" t="e">
        <f t="shared" si="20"/>
        <v>#DIV/0!</v>
      </c>
      <c r="P139" s="16">
        <f t="shared" si="21"/>
        <v>84.34</v>
      </c>
    </row>
    <row r="140" s="2" customFormat="1" spans="1:16">
      <c r="A140" s="15">
        <f t="shared" si="18"/>
        <v>44335</v>
      </c>
      <c r="B140" s="21">
        <v>580.37</v>
      </c>
      <c r="C140" s="22">
        <v>20783</v>
      </c>
      <c r="D140" s="31">
        <v>321</v>
      </c>
      <c r="E140" s="25">
        <v>0</v>
      </c>
      <c r="F140" s="16">
        <v>0</v>
      </c>
      <c r="G140" s="25">
        <v>4</v>
      </c>
      <c r="H140" s="25">
        <v>5</v>
      </c>
      <c r="I140" s="25">
        <v>0</v>
      </c>
      <c r="J140" s="23">
        <v>0.0154</v>
      </c>
      <c r="K140" s="21">
        <v>1.81</v>
      </c>
      <c r="L140" s="29">
        <f t="shared" si="16"/>
        <v>0</v>
      </c>
      <c r="M140" s="23">
        <f t="shared" si="17"/>
        <v>0</v>
      </c>
      <c r="N140" s="21" t="e">
        <f t="shared" si="19"/>
        <v>#DIV/0!</v>
      </c>
      <c r="O140" s="21" t="e">
        <f t="shared" si="20"/>
        <v>#DIV/0!</v>
      </c>
      <c r="P140" s="16">
        <f t="shared" si="21"/>
        <v>145.0925</v>
      </c>
    </row>
    <row r="141" s="2" customFormat="1" spans="1:16">
      <c r="A141" s="15">
        <f t="shared" si="18"/>
        <v>44336</v>
      </c>
      <c r="B141" s="21">
        <v>337.93</v>
      </c>
      <c r="C141" s="22">
        <v>19294</v>
      </c>
      <c r="D141" s="31">
        <v>260</v>
      </c>
      <c r="E141" s="25">
        <v>0</v>
      </c>
      <c r="F141" s="16">
        <v>0</v>
      </c>
      <c r="G141" s="25">
        <v>2</v>
      </c>
      <c r="H141" s="25">
        <v>1</v>
      </c>
      <c r="I141" s="25">
        <v>0</v>
      </c>
      <c r="J141" s="23">
        <v>0.0135</v>
      </c>
      <c r="K141" s="21">
        <v>1.3</v>
      </c>
      <c r="L141" s="29">
        <f t="shared" si="16"/>
        <v>0</v>
      </c>
      <c r="M141" s="23">
        <f t="shared" si="17"/>
        <v>0</v>
      </c>
      <c r="N141" s="21" t="e">
        <f t="shared" si="19"/>
        <v>#DIV/0!</v>
      </c>
      <c r="O141" s="21" t="e">
        <f t="shared" si="20"/>
        <v>#DIV/0!</v>
      </c>
      <c r="P141" s="16">
        <f t="shared" si="21"/>
        <v>168.965</v>
      </c>
    </row>
    <row r="142" s="2" customFormat="1" spans="1:16">
      <c r="A142" s="15">
        <f t="shared" si="18"/>
        <v>44337</v>
      </c>
      <c r="B142" s="21">
        <v>305.25</v>
      </c>
      <c r="C142" s="22">
        <v>17252</v>
      </c>
      <c r="D142" s="31">
        <v>251</v>
      </c>
      <c r="E142" s="25">
        <v>0</v>
      </c>
      <c r="F142" s="16">
        <v>0</v>
      </c>
      <c r="G142" s="25">
        <v>3</v>
      </c>
      <c r="H142" s="25">
        <v>3</v>
      </c>
      <c r="I142" s="25">
        <v>0</v>
      </c>
      <c r="J142" s="23">
        <v>0.0145</v>
      </c>
      <c r="K142" s="21">
        <v>1.22</v>
      </c>
      <c r="L142" s="29">
        <f t="shared" si="16"/>
        <v>0</v>
      </c>
      <c r="M142" s="23">
        <f t="shared" si="17"/>
        <v>0</v>
      </c>
      <c r="N142" s="21" t="e">
        <f t="shared" si="19"/>
        <v>#DIV/0!</v>
      </c>
      <c r="O142" s="21" t="e">
        <f t="shared" si="20"/>
        <v>#DIV/0!</v>
      </c>
      <c r="P142" s="16">
        <f t="shared" si="21"/>
        <v>101.75</v>
      </c>
    </row>
    <row r="143" s="2" customFormat="1" spans="1:16">
      <c r="A143" s="15">
        <f t="shared" si="18"/>
        <v>44338</v>
      </c>
      <c r="B143" s="21">
        <v>458.86</v>
      </c>
      <c r="C143" s="22">
        <v>16282</v>
      </c>
      <c r="D143" s="31">
        <v>272</v>
      </c>
      <c r="E143" s="25">
        <v>0</v>
      </c>
      <c r="F143" s="16">
        <v>0</v>
      </c>
      <c r="G143" s="25">
        <v>8</v>
      </c>
      <c r="H143" s="25">
        <v>3</v>
      </c>
      <c r="I143" s="25">
        <v>1</v>
      </c>
      <c r="J143" s="23">
        <v>0.0167</v>
      </c>
      <c r="K143" s="21">
        <v>1.69</v>
      </c>
      <c r="L143" s="29">
        <f t="shared" si="16"/>
        <v>0</v>
      </c>
      <c r="M143" s="23">
        <f t="shared" si="17"/>
        <v>0</v>
      </c>
      <c r="N143" s="21" t="e">
        <f t="shared" si="19"/>
        <v>#DIV/0!</v>
      </c>
      <c r="O143" s="21" t="e">
        <f t="shared" si="20"/>
        <v>#DIV/0!</v>
      </c>
      <c r="P143" s="16">
        <f t="shared" si="21"/>
        <v>57.3575</v>
      </c>
    </row>
    <row r="144" s="2" customFormat="1" spans="1:16">
      <c r="A144" s="15">
        <f t="shared" si="18"/>
        <v>44339</v>
      </c>
      <c r="B144" s="21">
        <v>410.31</v>
      </c>
      <c r="C144" s="22">
        <v>18803</v>
      </c>
      <c r="D144" s="31">
        <v>264</v>
      </c>
      <c r="E144" s="25">
        <v>0</v>
      </c>
      <c r="F144" s="16">
        <v>0</v>
      </c>
      <c r="G144" s="25">
        <v>2</v>
      </c>
      <c r="H144" s="25">
        <v>0</v>
      </c>
      <c r="I144" s="25">
        <v>0</v>
      </c>
      <c r="J144" s="23">
        <v>0.014</v>
      </c>
      <c r="K144" s="21">
        <v>1.55</v>
      </c>
      <c r="L144" s="29">
        <f t="shared" si="16"/>
        <v>0</v>
      </c>
      <c r="M144" s="23">
        <f t="shared" si="17"/>
        <v>0</v>
      </c>
      <c r="N144" s="21" t="e">
        <f t="shared" si="19"/>
        <v>#DIV/0!</v>
      </c>
      <c r="O144" s="21" t="e">
        <f t="shared" si="20"/>
        <v>#DIV/0!</v>
      </c>
      <c r="P144" s="16">
        <f t="shared" si="21"/>
        <v>205.155</v>
      </c>
    </row>
    <row r="145" s="2" customFormat="1" spans="1:16">
      <c r="A145" s="15">
        <f t="shared" si="18"/>
        <v>44340</v>
      </c>
      <c r="B145" s="21">
        <v>473.51</v>
      </c>
      <c r="C145" s="22">
        <v>22322</v>
      </c>
      <c r="D145" s="31">
        <v>308</v>
      </c>
      <c r="E145" s="25">
        <v>0</v>
      </c>
      <c r="F145" s="16">
        <v>0</v>
      </c>
      <c r="G145" s="25">
        <v>3</v>
      </c>
      <c r="H145" s="25">
        <v>0</v>
      </c>
      <c r="I145" s="25">
        <v>0</v>
      </c>
      <c r="J145" s="23">
        <v>0.0138</v>
      </c>
      <c r="K145" s="21">
        <v>1.54</v>
      </c>
      <c r="L145" s="29">
        <f t="shared" si="16"/>
        <v>0</v>
      </c>
      <c r="M145" s="23">
        <f t="shared" si="17"/>
        <v>0</v>
      </c>
      <c r="N145" s="21" t="e">
        <f t="shared" si="19"/>
        <v>#DIV/0!</v>
      </c>
      <c r="O145" s="21" t="e">
        <f t="shared" si="20"/>
        <v>#DIV/0!</v>
      </c>
      <c r="P145" s="16">
        <f t="shared" si="21"/>
        <v>157.836666666667</v>
      </c>
    </row>
    <row r="146" s="2" customFormat="1" spans="1:16">
      <c r="A146" s="15">
        <f t="shared" si="18"/>
        <v>44341</v>
      </c>
      <c r="B146" s="21">
        <v>511.77</v>
      </c>
      <c r="C146" s="22">
        <v>23453</v>
      </c>
      <c r="D146" s="31">
        <v>337</v>
      </c>
      <c r="E146" s="25">
        <v>0</v>
      </c>
      <c r="F146" s="16">
        <v>0</v>
      </c>
      <c r="G146" s="25">
        <v>5</v>
      </c>
      <c r="H146" s="25">
        <v>1</v>
      </c>
      <c r="I146" s="25">
        <v>1</v>
      </c>
      <c r="J146" s="23">
        <v>0.0144</v>
      </c>
      <c r="K146" s="21">
        <v>1.52</v>
      </c>
      <c r="L146" s="29">
        <f t="shared" si="16"/>
        <v>0</v>
      </c>
      <c r="M146" s="23">
        <f t="shared" si="17"/>
        <v>0</v>
      </c>
      <c r="N146" s="21" t="e">
        <f t="shared" si="19"/>
        <v>#DIV/0!</v>
      </c>
      <c r="O146" s="21" t="e">
        <f t="shared" si="20"/>
        <v>#DIV/0!</v>
      </c>
      <c r="P146" s="16">
        <f t="shared" si="21"/>
        <v>102.354</v>
      </c>
    </row>
    <row r="147" s="2" customFormat="1" spans="1:16">
      <c r="A147" s="15">
        <f t="shared" si="18"/>
        <v>44342</v>
      </c>
      <c r="B147" s="21">
        <v>483.11</v>
      </c>
      <c r="C147" s="22">
        <v>25608</v>
      </c>
      <c r="D147" s="31">
        <v>316</v>
      </c>
      <c r="E147" s="25">
        <v>0</v>
      </c>
      <c r="F147" s="16">
        <v>0</v>
      </c>
      <c r="G147" s="25">
        <v>6</v>
      </c>
      <c r="H147" s="25">
        <v>2</v>
      </c>
      <c r="I147" s="25">
        <v>1</v>
      </c>
      <c r="J147" s="23">
        <v>0.0123</v>
      </c>
      <c r="K147" s="21">
        <v>1.53</v>
      </c>
      <c r="L147" s="29">
        <f t="shared" ref="L147:L210" si="22">F147/B147</f>
        <v>0</v>
      </c>
      <c r="M147" s="23">
        <f t="shared" ref="M147:M210" si="23">E147/D147</f>
        <v>0</v>
      </c>
      <c r="N147" s="21" t="e">
        <f t="shared" si="19"/>
        <v>#DIV/0!</v>
      </c>
      <c r="O147" s="21" t="e">
        <f t="shared" si="20"/>
        <v>#DIV/0!</v>
      </c>
      <c r="P147" s="16">
        <f t="shared" si="21"/>
        <v>80.5183333333333</v>
      </c>
    </row>
    <row r="148" s="2" customFormat="1" spans="1:16">
      <c r="A148" s="15">
        <f t="shared" si="18"/>
        <v>44343</v>
      </c>
      <c r="B148" s="21">
        <v>528.9</v>
      </c>
      <c r="C148" s="22">
        <v>25047</v>
      </c>
      <c r="D148" s="31">
        <v>319</v>
      </c>
      <c r="E148" s="25">
        <v>0</v>
      </c>
      <c r="F148" s="16">
        <v>0</v>
      </c>
      <c r="G148" s="25">
        <v>12</v>
      </c>
      <c r="H148" s="25">
        <v>4</v>
      </c>
      <c r="I148" s="25">
        <v>0</v>
      </c>
      <c r="J148" s="23">
        <v>0.0127</v>
      </c>
      <c r="K148" s="21">
        <v>1.66</v>
      </c>
      <c r="L148" s="29">
        <f t="shared" si="22"/>
        <v>0</v>
      </c>
      <c r="M148" s="23">
        <f t="shared" si="23"/>
        <v>0</v>
      </c>
      <c r="N148" s="21" t="e">
        <f t="shared" si="19"/>
        <v>#DIV/0!</v>
      </c>
      <c r="O148" s="21" t="e">
        <f t="shared" si="20"/>
        <v>#DIV/0!</v>
      </c>
      <c r="P148" s="16">
        <f t="shared" si="21"/>
        <v>44.075</v>
      </c>
    </row>
    <row r="149" s="2" customFormat="1" spans="1:16">
      <c r="A149" s="15">
        <f t="shared" si="18"/>
        <v>44344</v>
      </c>
      <c r="B149" s="21">
        <v>411.98</v>
      </c>
      <c r="C149" s="22">
        <v>31538</v>
      </c>
      <c r="D149" s="31">
        <v>275</v>
      </c>
      <c r="E149" s="25">
        <v>0</v>
      </c>
      <c r="F149" s="16">
        <v>0</v>
      </c>
      <c r="G149" s="25">
        <v>7</v>
      </c>
      <c r="H149" s="25">
        <v>5</v>
      </c>
      <c r="I149" s="25">
        <v>1</v>
      </c>
      <c r="J149" s="23">
        <v>0.0087</v>
      </c>
      <c r="K149" s="21">
        <v>1.61</v>
      </c>
      <c r="L149" s="29">
        <f t="shared" si="22"/>
        <v>0</v>
      </c>
      <c r="M149" s="23">
        <f t="shared" si="23"/>
        <v>0</v>
      </c>
      <c r="N149" s="21" t="e">
        <f t="shared" si="19"/>
        <v>#DIV/0!</v>
      </c>
      <c r="O149" s="21" t="e">
        <f t="shared" si="20"/>
        <v>#DIV/0!</v>
      </c>
      <c r="P149" s="16">
        <f t="shared" si="21"/>
        <v>58.8542857142857</v>
      </c>
    </row>
    <row r="150" s="2" customFormat="1" spans="1:16">
      <c r="A150" s="15">
        <f t="shared" si="18"/>
        <v>44345</v>
      </c>
      <c r="B150" s="21">
        <v>375.76</v>
      </c>
      <c r="C150" s="22">
        <v>33048</v>
      </c>
      <c r="D150" s="31">
        <v>281</v>
      </c>
      <c r="E150" s="25">
        <v>0</v>
      </c>
      <c r="F150" s="16">
        <v>0</v>
      </c>
      <c r="G150" s="25">
        <v>5</v>
      </c>
      <c r="H150" s="25">
        <v>0</v>
      </c>
      <c r="I150" s="25">
        <v>2</v>
      </c>
      <c r="J150" s="23">
        <v>0.0085</v>
      </c>
      <c r="K150" s="21">
        <v>1.34</v>
      </c>
      <c r="L150" s="29">
        <f t="shared" si="22"/>
        <v>0</v>
      </c>
      <c r="M150" s="23">
        <f t="shared" si="23"/>
        <v>0</v>
      </c>
      <c r="N150" s="21" t="e">
        <f t="shared" si="19"/>
        <v>#DIV/0!</v>
      </c>
      <c r="O150" s="21" t="e">
        <f t="shared" si="20"/>
        <v>#DIV/0!</v>
      </c>
      <c r="P150" s="16">
        <f t="shared" si="21"/>
        <v>75.152</v>
      </c>
    </row>
    <row r="151" s="2" customFormat="1" spans="1:16">
      <c r="A151" s="15">
        <f t="shared" si="18"/>
        <v>44346</v>
      </c>
      <c r="B151" s="21">
        <v>489.07</v>
      </c>
      <c r="C151" s="22">
        <v>24436</v>
      </c>
      <c r="D151" s="31">
        <v>346</v>
      </c>
      <c r="E151" s="25">
        <v>0</v>
      </c>
      <c r="F151" s="16">
        <v>0</v>
      </c>
      <c r="G151" s="25">
        <v>4</v>
      </c>
      <c r="H151" s="25">
        <v>2</v>
      </c>
      <c r="I151" s="25">
        <v>2</v>
      </c>
      <c r="J151" s="23">
        <v>0.0142</v>
      </c>
      <c r="K151" s="21">
        <v>1.41</v>
      </c>
      <c r="L151" s="29">
        <f t="shared" si="22"/>
        <v>0</v>
      </c>
      <c r="M151" s="23">
        <f t="shared" si="23"/>
        <v>0</v>
      </c>
      <c r="N151" s="21" t="e">
        <f t="shared" si="19"/>
        <v>#DIV/0!</v>
      </c>
      <c r="O151" s="21" t="e">
        <f t="shared" si="20"/>
        <v>#DIV/0!</v>
      </c>
      <c r="P151" s="16">
        <f t="shared" si="21"/>
        <v>122.2675</v>
      </c>
    </row>
    <row r="152" s="2" customFormat="1" spans="1:16">
      <c r="A152" s="15">
        <f t="shared" si="18"/>
        <v>44347</v>
      </c>
      <c r="B152" s="21">
        <v>400</v>
      </c>
      <c r="C152" s="22">
        <v>16719</v>
      </c>
      <c r="D152" s="31">
        <v>255</v>
      </c>
      <c r="E152" s="25">
        <v>0</v>
      </c>
      <c r="F152" s="16">
        <v>0</v>
      </c>
      <c r="G152" s="25">
        <v>3</v>
      </c>
      <c r="H152" s="25">
        <v>1</v>
      </c>
      <c r="I152" s="25">
        <v>0</v>
      </c>
      <c r="J152" s="23">
        <v>0.0153</v>
      </c>
      <c r="K152" s="21">
        <v>1.57</v>
      </c>
      <c r="L152" s="29">
        <f t="shared" si="22"/>
        <v>0</v>
      </c>
      <c r="M152" s="23">
        <f t="shared" si="23"/>
        <v>0</v>
      </c>
      <c r="N152" s="21" t="e">
        <f t="shared" si="19"/>
        <v>#DIV/0!</v>
      </c>
      <c r="O152" s="21" t="e">
        <f t="shared" si="20"/>
        <v>#DIV/0!</v>
      </c>
      <c r="P152" s="16">
        <f t="shared" si="21"/>
        <v>133.333333333333</v>
      </c>
    </row>
    <row r="153" s="2" customFormat="1" spans="1:16">
      <c r="A153" s="15">
        <f t="shared" si="18"/>
        <v>44348</v>
      </c>
      <c r="B153" s="21">
        <v>400</v>
      </c>
      <c r="C153" s="22">
        <v>13738</v>
      </c>
      <c r="D153" s="31">
        <v>231</v>
      </c>
      <c r="E153" s="25">
        <v>0</v>
      </c>
      <c r="F153" s="16">
        <v>0</v>
      </c>
      <c r="G153" s="25">
        <v>5</v>
      </c>
      <c r="H153" s="25">
        <v>1</v>
      </c>
      <c r="I153" s="25">
        <v>0</v>
      </c>
      <c r="J153" s="23">
        <v>0.0168</v>
      </c>
      <c r="K153" s="21">
        <v>1.73</v>
      </c>
      <c r="L153" s="29">
        <f t="shared" si="22"/>
        <v>0</v>
      </c>
      <c r="M153" s="23">
        <f t="shared" si="23"/>
        <v>0</v>
      </c>
      <c r="N153" s="21" t="e">
        <f t="shared" si="19"/>
        <v>#DIV/0!</v>
      </c>
      <c r="O153" s="21" t="e">
        <f t="shared" si="20"/>
        <v>#DIV/0!</v>
      </c>
      <c r="P153" s="16">
        <f t="shared" si="21"/>
        <v>80</v>
      </c>
    </row>
    <row r="154" s="2" customFormat="1" spans="1:16">
      <c r="A154" s="15">
        <f t="shared" si="18"/>
        <v>44349</v>
      </c>
      <c r="B154" s="21">
        <v>400</v>
      </c>
      <c r="C154" s="22">
        <v>14539</v>
      </c>
      <c r="D154" s="31">
        <v>247</v>
      </c>
      <c r="E154" s="25">
        <v>0</v>
      </c>
      <c r="F154" s="16">
        <v>0</v>
      </c>
      <c r="G154" s="25">
        <v>8</v>
      </c>
      <c r="H154" s="25">
        <v>2</v>
      </c>
      <c r="I154" s="25">
        <v>2</v>
      </c>
      <c r="J154" s="23">
        <v>0.017</v>
      </c>
      <c r="K154" s="21">
        <v>1.62</v>
      </c>
      <c r="L154" s="29">
        <f t="shared" si="22"/>
        <v>0</v>
      </c>
      <c r="M154" s="23">
        <f t="shared" si="23"/>
        <v>0</v>
      </c>
      <c r="N154" s="21" t="e">
        <f t="shared" si="19"/>
        <v>#DIV/0!</v>
      </c>
      <c r="O154" s="21" t="e">
        <f t="shared" si="20"/>
        <v>#DIV/0!</v>
      </c>
      <c r="P154" s="16">
        <f t="shared" si="21"/>
        <v>50</v>
      </c>
    </row>
    <row r="155" s="2" customFormat="1" spans="1:16">
      <c r="A155" s="15">
        <f t="shared" si="18"/>
        <v>44350</v>
      </c>
      <c r="B155" s="21">
        <v>400</v>
      </c>
      <c r="C155" s="22">
        <v>14326</v>
      </c>
      <c r="D155" s="31">
        <v>225</v>
      </c>
      <c r="E155" s="25">
        <v>0</v>
      </c>
      <c r="F155" s="16">
        <v>0</v>
      </c>
      <c r="G155" s="25">
        <v>4</v>
      </c>
      <c r="H155" s="25">
        <v>2</v>
      </c>
      <c r="I155" s="25">
        <v>0</v>
      </c>
      <c r="J155" s="23">
        <v>0.0157</v>
      </c>
      <c r="K155" s="21">
        <v>1.78</v>
      </c>
      <c r="L155" s="29">
        <f t="shared" si="22"/>
        <v>0</v>
      </c>
      <c r="M155" s="23">
        <f t="shared" si="23"/>
        <v>0</v>
      </c>
      <c r="N155" s="21" t="e">
        <f t="shared" si="19"/>
        <v>#DIV/0!</v>
      </c>
      <c r="O155" s="21" t="e">
        <f t="shared" si="20"/>
        <v>#DIV/0!</v>
      </c>
      <c r="P155" s="16">
        <f t="shared" si="21"/>
        <v>100</v>
      </c>
    </row>
    <row r="156" s="2" customFormat="1" spans="1:16">
      <c r="A156" s="15">
        <f t="shared" si="18"/>
        <v>44351</v>
      </c>
      <c r="B156" s="21">
        <v>399.06</v>
      </c>
      <c r="C156" s="22">
        <v>18010</v>
      </c>
      <c r="D156" s="31">
        <v>250</v>
      </c>
      <c r="E156" s="25">
        <v>0</v>
      </c>
      <c r="F156" s="16">
        <v>0</v>
      </c>
      <c r="G156" s="25">
        <v>4</v>
      </c>
      <c r="H156" s="25">
        <v>5</v>
      </c>
      <c r="I156" s="25">
        <v>2</v>
      </c>
      <c r="J156" s="23">
        <v>0.0139</v>
      </c>
      <c r="K156" s="21">
        <v>1.6</v>
      </c>
      <c r="L156" s="29">
        <f t="shared" si="22"/>
        <v>0</v>
      </c>
      <c r="M156" s="23">
        <f t="shared" si="23"/>
        <v>0</v>
      </c>
      <c r="N156" s="21" t="e">
        <f t="shared" si="19"/>
        <v>#DIV/0!</v>
      </c>
      <c r="O156" s="21" t="e">
        <f t="shared" si="20"/>
        <v>#DIV/0!</v>
      </c>
      <c r="P156" s="16">
        <f t="shared" si="21"/>
        <v>99.765</v>
      </c>
    </row>
    <row r="157" s="2" customFormat="1" spans="1:16">
      <c r="A157" s="15">
        <f t="shared" si="18"/>
        <v>44352</v>
      </c>
      <c r="B157" s="21">
        <v>400</v>
      </c>
      <c r="C157" s="22">
        <v>14482</v>
      </c>
      <c r="D157" s="31">
        <v>248</v>
      </c>
      <c r="E157" s="25">
        <v>0</v>
      </c>
      <c r="F157" s="16">
        <v>0</v>
      </c>
      <c r="G157" s="25">
        <v>6</v>
      </c>
      <c r="H157" s="25">
        <v>2</v>
      </c>
      <c r="I157" s="25">
        <v>2</v>
      </c>
      <c r="J157" s="23">
        <v>0.0171</v>
      </c>
      <c r="K157" s="21">
        <v>1.61</v>
      </c>
      <c r="L157" s="29">
        <f t="shared" si="22"/>
        <v>0</v>
      </c>
      <c r="M157" s="23">
        <f t="shared" si="23"/>
        <v>0</v>
      </c>
      <c r="N157" s="21" t="e">
        <f t="shared" si="19"/>
        <v>#DIV/0!</v>
      </c>
      <c r="O157" s="21" t="e">
        <f t="shared" si="20"/>
        <v>#DIV/0!</v>
      </c>
      <c r="P157" s="16">
        <f t="shared" si="21"/>
        <v>66.6666666666667</v>
      </c>
    </row>
    <row r="158" s="2" customFormat="1" spans="1:16">
      <c r="A158" s="15">
        <f t="shared" si="18"/>
        <v>44353</v>
      </c>
      <c r="B158" s="21">
        <v>399.1</v>
      </c>
      <c r="C158" s="22">
        <v>11810</v>
      </c>
      <c r="D158" s="31">
        <v>225</v>
      </c>
      <c r="E158" s="25">
        <v>0</v>
      </c>
      <c r="F158" s="16">
        <v>0</v>
      </c>
      <c r="G158" s="25">
        <v>7</v>
      </c>
      <c r="H158" s="25">
        <v>1</v>
      </c>
      <c r="I158" s="25">
        <v>1</v>
      </c>
      <c r="J158" s="23">
        <v>0.0191</v>
      </c>
      <c r="K158" s="21">
        <v>1.77</v>
      </c>
      <c r="L158" s="29">
        <f t="shared" si="22"/>
        <v>0</v>
      </c>
      <c r="M158" s="23">
        <f t="shared" si="23"/>
        <v>0</v>
      </c>
      <c r="N158" s="21" t="e">
        <f t="shared" si="19"/>
        <v>#DIV/0!</v>
      </c>
      <c r="O158" s="21" t="e">
        <f t="shared" si="20"/>
        <v>#DIV/0!</v>
      </c>
      <c r="P158" s="16">
        <f t="shared" si="21"/>
        <v>57.0142857142857</v>
      </c>
    </row>
    <row r="159" s="2" customFormat="1" spans="1:16">
      <c r="A159" s="15">
        <f t="shared" si="18"/>
        <v>44354</v>
      </c>
      <c r="B159" s="21">
        <v>400</v>
      </c>
      <c r="C159" s="22">
        <v>14856</v>
      </c>
      <c r="D159" s="31">
        <v>227</v>
      </c>
      <c r="E159" s="25">
        <v>0</v>
      </c>
      <c r="F159" s="16">
        <v>0</v>
      </c>
      <c r="G159" s="25">
        <v>2</v>
      </c>
      <c r="H159" s="25">
        <v>4</v>
      </c>
      <c r="I159" s="25">
        <v>3</v>
      </c>
      <c r="J159" s="23">
        <v>0.0153</v>
      </c>
      <c r="K159" s="21">
        <v>1.76</v>
      </c>
      <c r="L159" s="29">
        <f t="shared" si="22"/>
        <v>0</v>
      </c>
      <c r="M159" s="23">
        <f t="shared" si="23"/>
        <v>0</v>
      </c>
      <c r="N159" s="21" t="e">
        <f t="shared" si="19"/>
        <v>#DIV/0!</v>
      </c>
      <c r="O159" s="21" t="e">
        <f t="shared" si="20"/>
        <v>#DIV/0!</v>
      </c>
      <c r="P159" s="16">
        <f t="shared" si="21"/>
        <v>200</v>
      </c>
    </row>
    <row r="160" s="2" customFormat="1" spans="1:16">
      <c r="A160" s="15">
        <f t="shared" si="18"/>
        <v>44355</v>
      </c>
      <c r="B160" s="21">
        <v>397.58</v>
      </c>
      <c r="C160" s="22">
        <v>15508</v>
      </c>
      <c r="D160" s="31">
        <v>225</v>
      </c>
      <c r="E160" s="25">
        <v>0</v>
      </c>
      <c r="F160" s="16">
        <v>0</v>
      </c>
      <c r="G160" s="25">
        <v>7</v>
      </c>
      <c r="H160" s="25">
        <v>3</v>
      </c>
      <c r="I160" s="25">
        <v>0</v>
      </c>
      <c r="J160" s="23">
        <v>0.0145</v>
      </c>
      <c r="K160" s="21">
        <v>1.76</v>
      </c>
      <c r="L160" s="29">
        <f t="shared" si="22"/>
        <v>0</v>
      </c>
      <c r="M160" s="23">
        <f t="shared" si="23"/>
        <v>0</v>
      </c>
      <c r="N160" s="21" t="e">
        <f t="shared" si="19"/>
        <v>#DIV/0!</v>
      </c>
      <c r="O160" s="21" t="e">
        <f t="shared" si="20"/>
        <v>#DIV/0!</v>
      </c>
      <c r="P160" s="16">
        <f t="shared" si="21"/>
        <v>56.7971428571429</v>
      </c>
    </row>
    <row r="161" s="2" customFormat="1" spans="1:16">
      <c r="A161" s="15">
        <f t="shared" ref="A161:A224" si="24">A160+1</f>
        <v>44356</v>
      </c>
      <c r="B161" s="21">
        <v>400</v>
      </c>
      <c r="C161" s="22">
        <v>12946</v>
      </c>
      <c r="D161" s="31">
        <v>235</v>
      </c>
      <c r="E161" s="25">
        <v>0</v>
      </c>
      <c r="F161" s="16">
        <v>0</v>
      </c>
      <c r="G161" s="25">
        <v>2</v>
      </c>
      <c r="H161" s="25">
        <v>2</v>
      </c>
      <c r="I161" s="25">
        <v>1</v>
      </c>
      <c r="J161" s="23">
        <v>0.0182</v>
      </c>
      <c r="K161" s="21">
        <v>1.7</v>
      </c>
      <c r="L161" s="29">
        <f t="shared" si="22"/>
        <v>0</v>
      </c>
      <c r="M161" s="23">
        <f t="shared" si="23"/>
        <v>0</v>
      </c>
      <c r="N161" s="21" t="e">
        <f t="shared" si="19"/>
        <v>#DIV/0!</v>
      </c>
      <c r="O161" s="21" t="e">
        <f t="shared" si="20"/>
        <v>#DIV/0!</v>
      </c>
      <c r="P161" s="16">
        <f t="shared" si="21"/>
        <v>200</v>
      </c>
    </row>
    <row r="162" s="2" customFormat="1" spans="1:16">
      <c r="A162" s="15">
        <f t="shared" si="24"/>
        <v>44357</v>
      </c>
      <c r="B162" s="21">
        <v>392.45</v>
      </c>
      <c r="C162" s="22">
        <v>13544</v>
      </c>
      <c r="D162" s="31">
        <v>253</v>
      </c>
      <c r="E162" s="25">
        <v>0</v>
      </c>
      <c r="F162" s="16">
        <v>0</v>
      </c>
      <c r="G162" s="25">
        <v>3</v>
      </c>
      <c r="H162" s="25">
        <v>0</v>
      </c>
      <c r="I162" s="25">
        <v>3</v>
      </c>
      <c r="J162" s="23">
        <v>0.0187</v>
      </c>
      <c r="K162" s="21">
        <v>1.55</v>
      </c>
      <c r="L162" s="29">
        <f t="shared" si="22"/>
        <v>0</v>
      </c>
      <c r="M162" s="23">
        <f t="shared" si="23"/>
        <v>0</v>
      </c>
      <c r="N162" s="21" t="e">
        <f t="shared" si="19"/>
        <v>#DIV/0!</v>
      </c>
      <c r="O162" s="21" t="e">
        <f t="shared" si="20"/>
        <v>#DIV/0!</v>
      </c>
      <c r="P162" s="16">
        <f t="shared" si="21"/>
        <v>130.816666666667</v>
      </c>
    </row>
    <row r="163" s="2" customFormat="1" spans="1:16">
      <c r="A163" s="15">
        <f t="shared" si="24"/>
        <v>44358</v>
      </c>
      <c r="B163" s="21">
        <v>374.42</v>
      </c>
      <c r="C163" s="22">
        <v>14120</v>
      </c>
      <c r="D163" s="31">
        <v>209</v>
      </c>
      <c r="E163" s="25">
        <v>0</v>
      </c>
      <c r="F163" s="16">
        <v>0</v>
      </c>
      <c r="G163" s="25">
        <v>0</v>
      </c>
      <c r="H163" s="25">
        <v>2</v>
      </c>
      <c r="I163" s="25">
        <v>1</v>
      </c>
      <c r="J163" s="23">
        <v>0.0148</v>
      </c>
      <c r="K163" s="21">
        <v>1.79</v>
      </c>
      <c r="L163" s="29">
        <f t="shared" si="22"/>
        <v>0</v>
      </c>
      <c r="M163" s="23">
        <f t="shared" si="23"/>
        <v>0</v>
      </c>
      <c r="N163" s="21" t="e">
        <f t="shared" si="19"/>
        <v>#DIV/0!</v>
      </c>
      <c r="O163" s="21" t="e">
        <f t="shared" si="20"/>
        <v>#DIV/0!</v>
      </c>
      <c r="P163" s="16" t="e">
        <f t="shared" si="21"/>
        <v>#DIV/0!</v>
      </c>
    </row>
    <row r="164" s="2" customFormat="1" spans="1:16">
      <c r="A164" s="15">
        <f t="shared" si="24"/>
        <v>44359</v>
      </c>
      <c r="B164" s="21">
        <v>396.35</v>
      </c>
      <c r="C164" s="22">
        <v>10088</v>
      </c>
      <c r="D164" s="31">
        <v>212</v>
      </c>
      <c r="E164" s="25">
        <v>0</v>
      </c>
      <c r="F164" s="16">
        <v>0</v>
      </c>
      <c r="G164" s="25">
        <v>5</v>
      </c>
      <c r="H164" s="25">
        <v>2</v>
      </c>
      <c r="I164" s="25">
        <v>0</v>
      </c>
      <c r="J164" s="23">
        <v>0.021</v>
      </c>
      <c r="K164" s="21">
        <v>1.87</v>
      </c>
      <c r="L164" s="29">
        <f t="shared" si="22"/>
        <v>0</v>
      </c>
      <c r="M164" s="23">
        <f t="shared" si="23"/>
        <v>0</v>
      </c>
      <c r="N164" s="21" t="e">
        <f t="shared" si="19"/>
        <v>#DIV/0!</v>
      </c>
      <c r="O164" s="21" t="e">
        <f t="shared" si="20"/>
        <v>#DIV/0!</v>
      </c>
      <c r="P164" s="16">
        <f t="shared" si="21"/>
        <v>79.27</v>
      </c>
    </row>
    <row r="165" s="2" customFormat="1" spans="1:16">
      <c r="A165" s="15">
        <f t="shared" si="24"/>
        <v>44360</v>
      </c>
      <c r="B165" s="21">
        <v>400</v>
      </c>
      <c r="C165" s="22">
        <v>9777</v>
      </c>
      <c r="D165" s="31">
        <v>217</v>
      </c>
      <c r="E165" s="25">
        <v>0</v>
      </c>
      <c r="F165" s="16">
        <v>0</v>
      </c>
      <c r="G165" s="25">
        <v>4</v>
      </c>
      <c r="H165" s="25">
        <v>5</v>
      </c>
      <c r="I165" s="25">
        <v>4</v>
      </c>
      <c r="J165" s="23">
        <v>0.0222</v>
      </c>
      <c r="K165" s="21">
        <v>1.84</v>
      </c>
      <c r="L165" s="29">
        <f t="shared" si="22"/>
        <v>0</v>
      </c>
      <c r="M165" s="23">
        <f t="shared" si="23"/>
        <v>0</v>
      </c>
      <c r="N165" s="21" t="e">
        <f t="shared" si="19"/>
        <v>#DIV/0!</v>
      </c>
      <c r="O165" s="21" t="e">
        <f t="shared" si="20"/>
        <v>#DIV/0!</v>
      </c>
      <c r="P165" s="16">
        <f t="shared" si="21"/>
        <v>100</v>
      </c>
    </row>
    <row r="166" s="2" customFormat="1" spans="1:16">
      <c r="A166" s="15">
        <f t="shared" si="24"/>
        <v>44361</v>
      </c>
      <c r="B166" s="21">
        <v>244.01</v>
      </c>
      <c r="C166" s="22">
        <v>7345</v>
      </c>
      <c r="D166" s="31">
        <v>152</v>
      </c>
      <c r="E166" s="25">
        <v>0</v>
      </c>
      <c r="F166" s="16">
        <v>0</v>
      </c>
      <c r="G166" s="25">
        <v>0</v>
      </c>
      <c r="H166" s="25">
        <v>0</v>
      </c>
      <c r="I166" s="25">
        <v>0</v>
      </c>
      <c r="J166" s="23">
        <v>0.0207</v>
      </c>
      <c r="K166" s="21">
        <v>1.61</v>
      </c>
      <c r="L166" s="29">
        <f t="shared" si="22"/>
        <v>0</v>
      </c>
      <c r="M166" s="23">
        <f t="shared" si="23"/>
        <v>0</v>
      </c>
      <c r="N166" s="21" t="e">
        <f t="shared" si="19"/>
        <v>#DIV/0!</v>
      </c>
      <c r="O166" s="21" t="e">
        <f t="shared" si="20"/>
        <v>#DIV/0!</v>
      </c>
      <c r="P166" s="16" t="e">
        <f t="shared" si="21"/>
        <v>#DIV/0!</v>
      </c>
    </row>
    <row r="167" s="2" customFormat="1" spans="1:16">
      <c r="A167" s="15">
        <f t="shared" si="24"/>
        <v>44362</v>
      </c>
      <c r="B167" s="21" t="s">
        <v>16</v>
      </c>
      <c r="C167" s="32" t="s">
        <v>16</v>
      </c>
      <c r="D167" s="32" t="s">
        <v>16</v>
      </c>
      <c r="E167" s="28" t="s">
        <v>16</v>
      </c>
      <c r="F167" s="21" t="s">
        <v>16</v>
      </c>
      <c r="G167" s="28" t="s">
        <v>16</v>
      </c>
      <c r="H167" s="28" t="s">
        <v>16</v>
      </c>
      <c r="I167" s="28" t="s">
        <v>16</v>
      </c>
      <c r="J167" s="28" t="s">
        <v>16</v>
      </c>
      <c r="K167" s="21" t="s">
        <v>16</v>
      </c>
      <c r="L167" s="29" t="e">
        <f t="shared" si="22"/>
        <v>#VALUE!</v>
      </c>
      <c r="M167" s="23" t="e">
        <f t="shared" si="23"/>
        <v>#VALUE!</v>
      </c>
      <c r="N167" s="21" t="e">
        <f t="shared" si="19"/>
        <v>#VALUE!</v>
      </c>
      <c r="O167" s="21" t="e">
        <f t="shared" si="20"/>
        <v>#VALUE!</v>
      </c>
      <c r="P167" s="16" t="e">
        <f t="shared" si="21"/>
        <v>#VALUE!</v>
      </c>
    </row>
    <row r="168" s="2" customFormat="1" spans="1:16">
      <c r="A168" s="15">
        <f t="shared" si="24"/>
        <v>44363</v>
      </c>
      <c r="B168" s="21">
        <v>357.53</v>
      </c>
      <c r="C168" s="22">
        <v>9556</v>
      </c>
      <c r="D168" s="31">
        <v>216</v>
      </c>
      <c r="E168" s="25">
        <v>0</v>
      </c>
      <c r="F168" s="16">
        <v>0</v>
      </c>
      <c r="G168" s="25">
        <v>4</v>
      </c>
      <c r="H168" s="25">
        <v>0</v>
      </c>
      <c r="I168" s="25">
        <v>1</v>
      </c>
      <c r="J168" s="23">
        <v>0.0226</v>
      </c>
      <c r="K168" s="21">
        <v>1.66</v>
      </c>
      <c r="L168" s="29">
        <f t="shared" si="22"/>
        <v>0</v>
      </c>
      <c r="M168" s="23">
        <f t="shared" si="23"/>
        <v>0</v>
      </c>
      <c r="N168" s="21" t="e">
        <f t="shared" si="19"/>
        <v>#DIV/0!</v>
      </c>
      <c r="O168" s="21" t="e">
        <f t="shared" si="20"/>
        <v>#DIV/0!</v>
      </c>
      <c r="P168" s="16">
        <f t="shared" si="21"/>
        <v>89.3825</v>
      </c>
    </row>
    <row r="169" s="2" customFormat="1" spans="1:16">
      <c r="A169" s="15">
        <f t="shared" si="24"/>
        <v>44364</v>
      </c>
      <c r="B169" s="21">
        <v>501.6</v>
      </c>
      <c r="C169" s="22">
        <v>13608</v>
      </c>
      <c r="D169" s="31">
        <v>299</v>
      </c>
      <c r="E169" s="25">
        <v>0</v>
      </c>
      <c r="F169" s="16">
        <v>0</v>
      </c>
      <c r="G169" s="25">
        <v>7</v>
      </c>
      <c r="H169" s="25">
        <v>1</v>
      </c>
      <c r="I169" s="25">
        <v>2</v>
      </c>
      <c r="J169" s="23">
        <v>0.022</v>
      </c>
      <c r="K169" s="21">
        <v>1.68</v>
      </c>
      <c r="L169" s="29">
        <f t="shared" si="22"/>
        <v>0</v>
      </c>
      <c r="M169" s="23">
        <f t="shared" si="23"/>
        <v>0</v>
      </c>
      <c r="N169" s="21" t="e">
        <f t="shared" si="19"/>
        <v>#DIV/0!</v>
      </c>
      <c r="O169" s="21" t="e">
        <f t="shared" si="20"/>
        <v>#DIV/0!</v>
      </c>
      <c r="P169" s="16">
        <f t="shared" si="21"/>
        <v>71.6571428571429</v>
      </c>
    </row>
    <row r="170" s="2" customFormat="1" spans="1:16">
      <c r="A170" s="15">
        <f t="shared" si="24"/>
        <v>44365</v>
      </c>
      <c r="B170" s="21">
        <v>522.36</v>
      </c>
      <c r="C170" s="22">
        <v>10297</v>
      </c>
      <c r="D170" s="31">
        <v>258</v>
      </c>
      <c r="E170" s="25">
        <v>0</v>
      </c>
      <c r="F170" s="16">
        <v>0</v>
      </c>
      <c r="G170" s="25">
        <v>4</v>
      </c>
      <c r="H170" s="25">
        <v>3</v>
      </c>
      <c r="I170" s="25">
        <v>2</v>
      </c>
      <c r="J170" s="23">
        <v>0.0251</v>
      </c>
      <c r="K170" s="21">
        <v>2.02</v>
      </c>
      <c r="L170" s="29">
        <f t="shared" si="22"/>
        <v>0</v>
      </c>
      <c r="M170" s="23">
        <f t="shared" si="23"/>
        <v>0</v>
      </c>
      <c r="N170" s="21" t="e">
        <f t="shared" si="19"/>
        <v>#DIV/0!</v>
      </c>
      <c r="O170" s="21" t="e">
        <f t="shared" si="20"/>
        <v>#DIV/0!</v>
      </c>
      <c r="P170" s="16">
        <f t="shared" si="21"/>
        <v>130.59</v>
      </c>
    </row>
    <row r="171" s="2" customFormat="1" spans="1:16">
      <c r="A171" s="15">
        <f t="shared" si="24"/>
        <v>44366</v>
      </c>
      <c r="B171" s="21">
        <v>459.7</v>
      </c>
      <c r="C171" s="22">
        <v>14195</v>
      </c>
      <c r="D171" s="31">
        <v>261</v>
      </c>
      <c r="E171" s="25">
        <v>0</v>
      </c>
      <c r="F171" s="16">
        <v>0</v>
      </c>
      <c r="G171" s="25">
        <v>1</v>
      </c>
      <c r="H171" s="25">
        <v>2</v>
      </c>
      <c r="I171" s="25">
        <v>1</v>
      </c>
      <c r="J171" s="23">
        <v>0.0184</v>
      </c>
      <c r="K171" s="21">
        <v>1.76</v>
      </c>
      <c r="L171" s="29">
        <f t="shared" si="22"/>
        <v>0</v>
      </c>
      <c r="M171" s="23">
        <f t="shared" si="23"/>
        <v>0</v>
      </c>
      <c r="N171" s="21" t="e">
        <f t="shared" si="19"/>
        <v>#DIV/0!</v>
      </c>
      <c r="O171" s="21" t="e">
        <f t="shared" si="20"/>
        <v>#DIV/0!</v>
      </c>
      <c r="P171" s="16">
        <f t="shared" si="21"/>
        <v>459.7</v>
      </c>
    </row>
    <row r="172" s="2" customFormat="1" spans="1:16">
      <c r="A172" s="15">
        <f t="shared" si="24"/>
        <v>44367</v>
      </c>
      <c r="B172" s="21">
        <v>559.26</v>
      </c>
      <c r="C172" s="22">
        <v>14061</v>
      </c>
      <c r="D172" s="31">
        <v>280</v>
      </c>
      <c r="E172" s="25">
        <v>0</v>
      </c>
      <c r="F172" s="16">
        <v>0</v>
      </c>
      <c r="G172" s="25">
        <v>3</v>
      </c>
      <c r="H172" s="25">
        <v>3</v>
      </c>
      <c r="I172" s="25">
        <v>3</v>
      </c>
      <c r="J172" s="23">
        <v>0.0199</v>
      </c>
      <c r="K172" s="21">
        <v>2</v>
      </c>
      <c r="L172" s="29">
        <f t="shared" si="22"/>
        <v>0</v>
      </c>
      <c r="M172" s="23">
        <f t="shared" si="23"/>
        <v>0</v>
      </c>
      <c r="N172" s="21" t="e">
        <f t="shared" si="19"/>
        <v>#DIV/0!</v>
      </c>
      <c r="O172" s="21" t="e">
        <f t="shared" si="20"/>
        <v>#DIV/0!</v>
      </c>
      <c r="P172" s="16">
        <f t="shared" si="21"/>
        <v>186.42</v>
      </c>
    </row>
    <row r="173" s="2" customFormat="1" spans="1:16">
      <c r="A173" s="15">
        <f t="shared" si="24"/>
        <v>44368</v>
      </c>
      <c r="B173" s="21">
        <v>492.33</v>
      </c>
      <c r="C173" s="22">
        <v>31387</v>
      </c>
      <c r="D173" s="31">
        <v>285</v>
      </c>
      <c r="E173" s="25">
        <v>0</v>
      </c>
      <c r="F173" s="16">
        <v>0</v>
      </c>
      <c r="G173" s="25">
        <v>5</v>
      </c>
      <c r="H173" s="25">
        <v>4</v>
      </c>
      <c r="I173" s="25">
        <v>2</v>
      </c>
      <c r="J173" s="23">
        <v>0.0091</v>
      </c>
      <c r="K173" s="21">
        <v>1.73</v>
      </c>
      <c r="L173" s="29">
        <f t="shared" si="22"/>
        <v>0</v>
      </c>
      <c r="M173" s="23">
        <f t="shared" si="23"/>
        <v>0</v>
      </c>
      <c r="N173" s="21" t="e">
        <f t="shared" si="19"/>
        <v>#DIV/0!</v>
      </c>
      <c r="O173" s="21" t="e">
        <f t="shared" si="20"/>
        <v>#DIV/0!</v>
      </c>
      <c r="P173" s="16">
        <f t="shared" si="21"/>
        <v>98.466</v>
      </c>
    </row>
    <row r="174" s="2" customFormat="1" spans="1:16">
      <c r="A174" s="15">
        <f t="shared" si="24"/>
        <v>44369</v>
      </c>
      <c r="B174" s="21">
        <v>815.14</v>
      </c>
      <c r="C174" s="22">
        <v>36340</v>
      </c>
      <c r="D174" s="31">
        <v>376</v>
      </c>
      <c r="E174" s="25">
        <v>1</v>
      </c>
      <c r="F174" s="16">
        <v>4200</v>
      </c>
      <c r="G174" s="25">
        <v>9</v>
      </c>
      <c r="H174" s="25">
        <v>1</v>
      </c>
      <c r="I174" s="25">
        <v>2</v>
      </c>
      <c r="J174" s="23">
        <v>0.0103</v>
      </c>
      <c r="K174" s="21">
        <v>2.17</v>
      </c>
      <c r="L174" s="29">
        <f t="shared" si="22"/>
        <v>5.15248914296931</v>
      </c>
      <c r="M174" s="23">
        <f t="shared" si="23"/>
        <v>0.00265957446808511</v>
      </c>
      <c r="N174" s="21">
        <f t="shared" si="19"/>
        <v>4200</v>
      </c>
      <c r="O174" s="21">
        <f t="shared" si="20"/>
        <v>815.14</v>
      </c>
      <c r="P174" s="16">
        <f t="shared" si="21"/>
        <v>90.5711111111111</v>
      </c>
    </row>
    <row r="175" s="2" customFormat="1" spans="1:16">
      <c r="A175" s="15">
        <f t="shared" si="24"/>
        <v>44370</v>
      </c>
      <c r="B175" s="21">
        <v>797.4</v>
      </c>
      <c r="C175" s="22">
        <v>38216</v>
      </c>
      <c r="D175" s="31">
        <v>365</v>
      </c>
      <c r="E175" s="25">
        <v>0</v>
      </c>
      <c r="F175" s="16">
        <v>0</v>
      </c>
      <c r="G175" s="25">
        <v>10</v>
      </c>
      <c r="H175" s="25">
        <v>2</v>
      </c>
      <c r="I175" s="25">
        <v>1</v>
      </c>
      <c r="J175" s="23">
        <v>0.0096</v>
      </c>
      <c r="K175" s="21">
        <v>2.18</v>
      </c>
      <c r="L175" s="29">
        <f t="shared" si="22"/>
        <v>0</v>
      </c>
      <c r="M175" s="23">
        <f t="shared" si="23"/>
        <v>0</v>
      </c>
      <c r="N175" s="21" t="e">
        <f t="shared" si="19"/>
        <v>#DIV/0!</v>
      </c>
      <c r="O175" s="21" t="e">
        <f t="shared" si="20"/>
        <v>#DIV/0!</v>
      </c>
      <c r="P175" s="16">
        <f t="shared" si="21"/>
        <v>79.74</v>
      </c>
    </row>
    <row r="176" s="2" customFormat="1" spans="1:16">
      <c r="A176" s="15">
        <f t="shared" si="24"/>
        <v>44371</v>
      </c>
      <c r="B176" s="21">
        <v>849.32</v>
      </c>
      <c r="C176" s="22">
        <v>37379</v>
      </c>
      <c r="D176" s="31">
        <v>394</v>
      </c>
      <c r="E176" s="25">
        <v>0</v>
      </c>
      <c r="F176" s="16">
        <v>0</v>
      </c>
      <c r="G176" s="25">
        <v>8</v>
      </c>
      <c r="H176" s="25">
        <v>4</v>
      </c>
      <c r="I176" s="25">
        <v>1</v>
      </c>
      <c r="J176" s="23">
        <v>0.0105</v>
      </c>
      <c r="K176" s="21">
        <v>2.16</v>
      </c>
      <c r="L176" s="29">
        <f t="shared" si="22"/>
        <v>0</v>
      </c>
      <c r="M176" s="23">
        <f t="shared" si="23"/>
        <v>0</v>
      </c>
      <c r="N176" s="21" t="e">
        <f t="shared" si="19"/>
        <v>#DIV/0!</v>
      </c>
      <c r="O176" s="21" t="e">
        <f t="shared" si="20"/>
        <v>#DIV/0!</v>
      </c>
      <c r="P176" s="16">
        <f t="shared" si="21"/>
        <v>106.165</v>
      </c>
    </row>
    <row r="177" s="2" customFormat="1" spans="1:16">
      <c r="A177" s="15">
        <f t="shared" si="24"/>
        <v>44372</v>
      </c>
      <c r="B177" s="21">
        <v>895.74</v>
      </c>
      <c r="C177" s="22">
        <v>35425</v>
      </c>
      <c r="D177" s="31">
        <v>409</v>
      </c>
      <c r="E177" s="25">
        <v>0</v>
      </c>
      <c r="F177" s="16">
        <v>0</v>
      </c>
      <c r="G177" s="25">
        <v>5</v>
      </c>
      <c r="H177" s="25">
        <v>2</v>
      </c>
      <c r="I177" s="25">
        <v>0</v>
      </c>
      <c r="J177" s="23">
        <v>0.0115</v>
      </c>
      <c r="K177" s="21">
        <v>2.19</v>
      </c>
      <c r="L177" s="29">
        <f t="shared" si="22"/>
        <v>0</v>
      </c>
      <c r="M177" s="23">
        <f t="shared" si="23"/>
        <v>0</v>
      </c>
      <c r="N177" s="21" t="e">
        <f t="shared" si="19"/>
        <v>#DIV/0!</v>
      </c>
      <c r="O177" s="21" t="e">
        <f t="shared" si="20"/>
        <v>#DIV/0!</v>
      </c>
      <c r="P177" s="16">
        <f t="shared" si="21"/>
        <v>179.148</v>
      </c>
    </row>
    <row r="178" s="2" customFormat="1" spans="1:16">
      <c r="A178" s="15">
        <f t="shared" si="24"/>
        <v>44373</v>
      </c>
      <c r="B178" s="21">
        <v>900</v>
      </c>
      <c r="C178" s="22">
        <v>26554</v>
      </c>
      <c r="D178" s="31">
        <v>383</v>
      </c>
      <c r="E178" s="25">
        <v>0</v>
      </c>
      <c r="F178" s="16">
        <v>0</v>
      </c>
      <c r="G178" s="25">
        <v>11</v>
      </c>
      <c r="H178" s="25">
        <v>3</v>
      </c>
      <c r="I178" s="25">
        <v>3</v>
      </c>
      <c r="J178" s="23">
        <v>0.0144</v>
      </c>
      <c r="K178" s="21">
        <v>2.35</v>
      </c>
      <c r="L178" s="29">
        <f t="shared" si="22"/>
        <v>0</v>
      </c>
      <c r="M178" s="23">
        <f t="shared" si="23"/>
        <v>0</v>
      </c>
      <c r="N178" s="21" t="e">
        <f t="shared" si="19"/>
        <v>#DIV/0!</v>
      </c>
      <c r="O178" s="21" t="e">
        <f t="shared" si="20"/>
        <v>#DIV/0!</v>
      </c>
      <c r="P178" s="16">
        <f t="shared" si="21"/>
        <v>81.8181818181818</v>
      </c>
    </row>
    <row r="179" s="2" customFormat="1" spans="1:16">
      <c r="A179" s="15">
        <f t="shared" si="24"/>
        <v>44374</v>
      </c>
      <c r="B179" s="21">
        <v>900</v>
      </c>
      <c r="C179" s="22">
        <v>32522</v>
      </c>
      <c r="D179" s="31">
        <v>394</v>
      </c>
      <c r="E179" s="25">
        <v>0</v>
      </c>
      <c r="F179" s="16">
        <v>0</v>
      </c>
      <c r="G179" s="25">
        <v>4</v>
      </c>
      <c r="H179" s="25">
        <v>4</v>
      </c>
      <c r="I179" s="25">
        <v>3</v>
      </c>
      <c r="J179" s="23">
        <v>0.0121</v>
      </c>
      <c r="K179" s="21">
        <v>2.28</v>
      </c>
      <c r="L179" s="29">
        <f t="shared" si="22"/>
        <v>0</v>
      </c>
      <c r="M179" s="23">
        <f t="shared" si="23"/>
        <v>0</v>
      </c>
      <c r="N179" s="21" t="e">
        <f t="shared" si="19"/>
        <v>#DIV/0!</v>
      </c>
      <c r="O179" s="21" t="e">
        <f t="shared" si="20"/>
        <v>#DIV/0!</v>
      </c>
      <c r="P179" s="16">
        <f t="shared" si="21"/>
        <v>225</v>
      </c>
    </row>
    <row r="180" s="2" customFormat="1" spans="1:16">
      <c r="A180" s="15">
        <f t="shared" si="24"/>
        <v>44375</v>
      </c>
      <c r="B180" s="21">
        <v>600</v>
      </c>
      <c r="C180" s="22">
        <v>23518</v>
      </c>
      <c r="D180" s="31">
        <v>270</v>
      </c>
      <c r="E180" s="25">
        <v>0</v>
      </c>
      <c r="F180" s="16">
        <v>0</v>
      </c>
      <c r="G180" s="25">
        <v>4</v>
      </c>
      <c r="H180" s="25">
        <v>1</v>
      </c>
      <c r="I180" s="25">
        <v>1</v>
      </c>
      <c r="J180" s="23">
        <v>0.0115</v>
      </c>
      <c r="K180" s="21">
        <v>2.22</v>
      </c>
      <c r="L180" s="29">
        <f t="shared" si="22"/>
        <v>0</v>
      </c>
      <c r="M180" s="23">
        <f t="shared" si="23"/>
        <v>0</v>
      </c>
      <c r="N180" s="21" t="e">
        <f t="shared" si="19"/>
        <v>#DIV/0!</v>
      </c>
      <c r="O180" s="21" t="e">
        <f t="shared" si="20"/>
        <v>#DIV/0!</v>
      </c>
      <c r="P180" s="16">
        <f t="shared" si="21"/>
        <v>150</v>
      </c>
    </row>
    <row r="181" s="2" customFormat="1" spans="1:16">
      <c r="A181" s="15">
        <f t="shared" si="24"/>
        <v>44376</v>
      </c>
      <c r="B181" s="21">
        <v>600</v>
      </c>
      <c r="C181" s="22">
        <v>26145</v>
      </c>
      <c r="D181" s="31">
        <v>250</v>
      </c>
      <c r="E181" s="25">
        <v>0</v>
      </c>
      <c r="F181" s="16">
        <v>0</v>
      </c>
      <c r="G181" s="25">
        <v>1</v>
      </c>
      <c r="H181" s="25">
        <v>1</v>
      </c>
      <c r="I181" s="25">
        <v>1</v>
      </c>
      <c r="J181" s="23">
        <v>0.0096</v>
      </c>
      <c r="K181" s="21">
        <v>2.4</v>
      </c>
      <c r="L181" s="29">
        <f t="shared" si="22"/>
        <v>0</v>
      </c>
      <c r="M181" s="23">
        <f t="shared" si="23"/>
        <v>0</v>
      </c>
      <c r="N181" s="21" t="e">
        <f t="shared" si="19"/>
        <v>#DIV/0!</v>
      </c>
      <c r="O181" s="21" t="e">
        <f t="shared" si="20"/>
        <v>#DIV/0!</v>
      </c>
      <c r="P181" s="16">
        <f t="shared" si="21"/>
        <v>600</v>
      </c>
    </row>
    <row r="182" s="2" customFormat="1" spans="1:16">
      <c r="A182" s="15">
        <f t="shared" si="24"/>
        <v>44377</v>
      </c>
      <c r="B182" s="21">
        <v>700</v>
      </c>
      <c r="C182" s="22">
        <v>19567</v>
      </c>
      <c r="D182" s="31">
        <v>296</v>
      </c>
      <c r="E182" s="25">
        <v>0</v>
      </c>
      <c r="F182" s="16">
        <v>0</v>
      </c>
      <c r="G182" s="25">
        <v>2</v>
      </c>
      <c r="H182" s="25">
        <v>0</v>
      </c>
      <c r="I182" s="25">
        <v>1</v>
      </c>
      <c r="J182" s="23">
        <v>0.0151</v>
      </c>
      <c r="K182" s="21">
        <v>2.36</v>
      </c>
      <c r="L182" s="29">
        <f t="shared" si="22"/>
        <v>0</v>
      </c>
      <c r="M182" s="23">
        <f t="shared" si="23"/>
        <v>0</v>
      </c>
      <c r="N182" s="21" t="e">
        <f t="shared" si="19"/>
        <v>#DIV/0!</v>
      </c>
      <c r="O182" s="21" t="e">
        <f t="shared" si="20"/>
        <v>#DIV/0!</v>
      </c>
      <c r="P182" s="16">
        <f t="shared" si="21"/>
        <v>350</v>
      </c>
    </row>
    <row r="183" s="2" customFormat="1" spans="1:16">
      <c r="A183" s="15">
        <f t="shared" si="24"/>
        <v>44378</v>
      </c>
      <c r="B183" s="21">
        <v>400</v>
      </c>
      <c r="C183" s="22">
        <v>8975</v>
      </c>
      <c r="D183" s="31">
        <v>152</v>
      </c>
      <c r="E183" s="25">
        <v>0</v>
      </c>
      <c r="F183" s="16">
        <v>0</v>
      </c>
      <c r="G183" s="25">
        <v>4</v>
      </c>
      <c r="H183" s="25">
        <v>1</v>
      </c>
      <c r="I183" s="25">
        <v>0</v>
      </c>
      <c r="J183" s="23">
        <v>0.0169</v>
      </c>
      <c r="K183" s="21">
        <v>2.63</v>
      </c>
      <c r="L183" s="29">
        <f t="shared" si="22"/>
        <v>0</v>
      </c>
      <c r="M183" s="23">
        <f t="shared" si="23"/>
        <v>0</v>
      </c>
      <c r="N183" s="21" t="e">
        <f t="shared" si="19"/>
        <v>#DIV/0!</v>
      </c>
      <c r="O183" s="21" t="e">
        <f t="shared" si="20"/>
        <v>#DIV/0!</v>
      </c>
      <c r="P183" s="16">
        <f t="shared" si="21"/>
        <v>100</v>
      </c>
    </row>
    <row r="184" s="2" customFormat="1" spans="1:16">
      <c r="A184" s="15">
        <f t="shared" si="24"/>
        <v>44379</v>
      </c>
      <c r="B184" s="21">
        <v>400</v>
      </c>
      <c r="C184" s="22">
        <v>7501</v>
      </c>
      <c r="D184" s="31">
        <v>187</v>
      </c>
      <c r="E184" s="25">
        <v>0</v>
      </c>
      <c r="F184" s="16">
        <v>0</v>
      </c>
      <c r="G184" s="25">
        <v>4</v>
      </c>
      <c r="H184" s="25">
        <v>0</v>
      </c>
      <c r="I184" s="25">
        <v>1</v>
      </c>
      <c r="J184" s="23">
        <v>0.0249</v>
      </c>
      <c r="K184" s="21">
        <v>2.14</v>
      </c>
      <c r="L184" s="29">
        <f t="shared" si="22"/>
        <v>0</v>
      </c>
      <c r="M184" s="23">
        <f t="shared" si="23"/>
        <v>0</v>
      </c>
      <c r="N184" s="21" t="e">
        <f t="shared" si="19"/>
        <v>#DIV/0!</v>
      </c>
      <c r="O184" s="21" t="e">
        <f t="shared" si="20"/>
        <v>#DIV/0!</v>
      </c>
      <c r="P184" s="16">
        <f t="shared" si="21"/>
        <v>100</v>
      </c>
    </row>
    <row r="185" s="2" customFormat="1" spans="1:16">
      <c r="A185" s="15">
        <f t="shared" si="24"/>
        <v>44380</v>
      </c>
      <c r="B185" s="21">
        <v>400</v>
      </c>
      <c r="C185" s="22">
        <v>7036</v>
      </c>
      <c r="D185" s="31">
        <v>159</v>
      </c>
      <c r="E185" s="25">
        <v>0</v>
      </c>
      <c r="F185" s="16">
        <v>0</v>
      </c>
      <c r="G185" s="25">
        <v>3</v>
      </c>
      <c r="H185" s="25">
        <v>4</v>
      </c>
      <c r="I185" s="25">
        <v>1</v>
      </c>
      <c r="J185" s="23">
        <v>0.02</v>
      </c>
      <c r="K185" s="21">
        <v>2.52</v>
      </c>
      <c r="L185" s="29">
        <f t="shared" si="22"/>
        <v>0</v>
      </c>
      <c r="M185" s="23">
        <f t="shared" si="23"/>
        <v>0</v>
      </c>
      <c r="N185" s="21" t="e">
        <f t="shared" si="19"/>
        <v>#DIV/0!</v>
      </c>
      <c r="O185" s="21" t="e">
        <f t="shared" si="20"/>
        <v>#DIV/0!</v>
      </c>
      <c r="P185" s="16">
        <f t="shared" si="21"/>
        <v>133.333333333333</v>
      </c>
    </row>
    <row r="186" s="2" customFormat="1" spans="1:16">
      <c r="A186" s="15">
        <f t="shared" si="24"/>
        <v>44381</v>
      </c>
      <c r="B186" s="21">
        <v>400</v>
      </c>
      <c r="C186" s="22">
        <v>4553</v>
      </c>
      <c r="D186" s="31">
        <v>165</v>
      </c>
      <c r="E186" s="25">
        <v>0</v>
      </c>
      <c r="F186" s="16">
        <v>0</v>
      </c>
      <c r="G186" s="25">
        <v>2</v>
      </c>
      <c r="H186" s="25">
        <v>1</v>
      </c>
      <c r="I186" s="25">
        <v>0</v>
      </c>
      <c r="J186" s="23">
        <v>0.0362</v>
      </c>
      <c r="K186" s="21">
        <v>2.42</v>
      </c>
      <c r="L186" s="29">
        <f t="shared" si="22"/>
        <v>0</v>
      </c>
      <c r="M186" s="23">
        <f t="shared" si="23"/>
        <v>0</v>
      </c>
      <c r="N186" s="21" t="e">
        <f t="shared" si="19"/>
        <v>#DIV/0!</v>
      </c>
      <c r="O186" s="21" t="e">
        <f t="shared" si="20"/>
        <v>#DIV/0!</v>
      </c>
      <c r="P186" s="16">
        <f t="shared" si="21"/>
        <v>200</v>
      </c>
    </row>
    <row r="187" s="2" customFormat="1" spans="1:16">
      <c r="A187" s="15">
        <f t="shared" si="24"/>
        <v>44382</v>
      </c>
      <c r="B187" s="21">
        <v>400</v>
      </c>
      <c r="C187" s="22">
        <v>6616</v>
      </c>
      <c r="D187" s="31">
        <v>166</v>
      </c>
      <c r="E187" s="25">
        <v>0</v>
      </c>
      <c r="F187" s="16">
        <v>0</v>
      </c>
      <c r="G187" s="25">
        <v>3</v>
      </c>
      <c r="H187" s="25">
        <v>1</v>
      </c>
      <c r="I187" s="25">
        <v>0</v>
      </c>
      <c r="J187" s="23">
        <v>0.0251</v>
      </c>
      <c r="K187" s="21">
        <v>2.42</v>
      </c>
      <c r="L187" s="29">
        <f t="shared" si="22"/>
        <v>0</v>
      </c>
      <c r="M187" s="23">
        <f t="shared" si="23"/>
        <v>0</v>
      </c>
      <c r="N187" s="21" t="e">
        <f t="shared" si="19"/>
        <v>#DIV/0!</v>
      </c>
      <c r="O187" s="21" t="e">
        <f t="shared" si="20"/>
        <v>#DIV/0!</v>
      </c>
      <c r="P187" s="16">
        <f t="shared" si="21"/>
        <v>133.333333333333</v>
      </c>
    </row>
    <row r="188" s="2" customFormat="1" spans="1:16">
      <c r="A188" s="15">
        <f t="shared" si="24"/>
        <v>44383</v>
      </c>
      <c r="B188" s="21">
        <v>600</v>
      </c>
      <c r="C188" s="22">
        <v>8078</v>
      </c>
      <c r="D188" s="31">
        <v>241</v>
      </c>
      <c r="E188" s="25">
        <v>0</v>
      </c>
      <c r="F188" s="16">
        <v>0</v>
      </c>
      <c r="G188" s="25">
        <v>4</v>
      </c>
      <c r="H188" s="25">
        <v>3</v>
      </c>
      <c r="I188" s="25">
        <v>1</v>
      </c>
      <c r="J188" s="23">
        <v>0.0298</v>
      </c>
      <c r="K188" s="21">
        <v>2.49</v>
      </c>
      <c r="L188" s="29">
        <f t="shared" si="22"/>
        <v>0</v>
      </c>
      <c r="M188" s="23">
        <f t="shared" si="23"/>
        <v>0</v>
      </c>
      <c r="N188" s="21" t="e">
        <f t="shared" si="19"/>
        <v>#DIV/0!</v>
      </c>
      <c r="O188" s="21" t="e">
        <f t="shared" si="20"/>
        <v>#DIV/0!</v>
      </c>
      <c r="P188" s="16">
        <f t="shared" si="21"/>
        <v>150</v>
      </c>
    </row>
    <row r="189" s="2" customFormat="1" spans="1:16">
      <c r="A189" s="15">
        <f t="shared" si="24"/>
        <v>44384</v>
      </c>
      <c r="B189" s="21">
        <v>600</v>
      </c>
      <c r="C189" s="22">
        <v>9232</v>
      </c>
      <c r="D189" s="31">
        <v>243</v>
      </c>
      <c r="E189" s="25">
        <v>0</v>
      </c>
      <c r="F189" s="16">
        <v>0</v>
      </c>
      <c r="G189" s="25">
        <v>1</v>
      </c>
      <c r="H189" s="25">
        <v>3</v>
      </c>
      <c r="I189" s="25">
        <v>1</v>
      </c>
      <c r="J189" s="23">
        <v>0.0263</v>
      </c>
      <c r="K189" s="21">
        <v>2.47</v>
      </c>
      <c r="L189" s="29">
        <f t="shared" si="22"/>
        <v>0</v>
      </c>
      <c r="M189" s="23">
        <f t="shared" si="23"/>
        <v>0</v>
      </c>
      <c r="N189" s="21" t="e">
        <f t="shared" si="19"/>
        <v>#DIV/0!</v>
      </c>
      <c r="O189" s="21" t="e">
        <f t="shared" si="20"/>
        <v>#DIV/0!</v>
      </c>
      <c r="P189" s="16">
        <f t="shared" si="21"/>
        <v>600</v>
      </c>
    </row>
    <row r="190" s="2" customFormat="1" spans="1:16">
      <c r="A190" s="15">
        <f t="shared" si="24"/>
        <v>44385</v>
      </c>
      <c r="B190" s="21">
        <v>600</v>
      </c>
      <c r="C190" s="22">
        <v>11032</v>
      </c>
      <c r="D190" s="31">
        <v>230</v>
      </c>
      <c r="E190" s="25">
        <v>0</v>
      </c>
      <c r="F190" s="16">
        <v>0</v>
      </c>
      <c r="G190" s="25">
        <v>5</v>
      </c>
      <c r="H190" s="25">
        <v>5</v>
      </c>
      <c r="I190" s="25">
        <v>1</v>
      </c>
      <c r="J190" s="23">
        <v>0.0208</v>
      </c>
      <c r="K190" s="21">
        <v>2.61</v>
      </c>
      <c r="L190" s="29">
        <f t="shared" si="22"/>
        <v>0</v>
      </c>
      <c r="M190" s="23">
        <f t="shared" si="23"/>
        <v>0</v>
      </c>
      <c r="N190" s="21" t="e">
        <f t="shared" si="19"/>
        <v>#DIV/0!</v>
      </c>
      <c r="O190" s="21" t="e">
        <f t="shared" si="20"/>
        <v>#DIV/0!</v>
      </c>
      <c r="P190" s="16">
        <f t="shared" si="21"/>
        <v>120</v>
      </c>
    </row>
    <row r="191" s="2" customFormat="1" spans="1:16">
      <c r="A191" s="15">
        <f t="shared" si="24"/>
        <v>44386</v>
      </c>
      <c r="B191" s="21">
        <v>599.22</v>
      </c>
      <c r="C191" s="22">
        <v>8715</v>
      </c>
      <c r="D191" s="31">
        <v>278</v>
      </c>
      <c r="E191" s="25">
        <v>0</v>
      </c>
      <c r="F191" s="16">
        <v>0</v>
      </c>
      <c r="G191" s="25">
        <v>5</v>
      </c>
      <c r="H191" s="25">
        <v>2</v>
      </c>
      <c r="I191" s="25">
        <v>0</v>
      </c>
      <c r="J191" s="23">
        <v>0.0319</v>
      </c>
      <c r="K191" s="21">
        <v>2.16</v>
      </c>
      <c r="L191" s="29">
        <f t="shared" si="22"/>
        <v>0</v>
      </c>
      <c r="M191" s="23">
        <f t="shared" si="23"/>
        <v>0</v>
      </c>
      <c r="N191" s="21" t="e">
        <f t="shared" si="19"/>
        <v>#DIV/0!</v>
      </c>
      <c r="O191" s="21" t="e">
        <f t="shared" si="20"/>
        <v>#DIV/0!</v>
      </c>
      <c r="P191" s="16">
        <f t="shared" si="21"/>
        <v>119.844</v>
      </c>
    </row>
    <row r="192" s="2" customFormat="1" spans="1:16">
      <c r="A192" s="15">
        <f t="shared" si="24"/>
        <v>44387</v>
      </c>
      <c r="B192" s="21">
        <v>600</v>
      </c>
      <c r="C192" s="22">
        <v>11148</v>
      </c>
      <c r="D192" s="31">
        <v>284</v>
      </c>
      <c r="E192" s="25">
        <v>0</v>
      </c>
      <c r="F192" s="16">
        <v>0</v>
      </c>
      <c r="G192" s="25">
        <v>3</v>
      </c>
      <c r="H192" s="25">
        <v>7</v>
      </c>
      <c r="I192" s="25">
        <v>0</v>
      </c>
      <c r="J192" s="23">
        <v>0.0255</v>
      </c>
      <c r="K192" s="21">
        <v>2.11</v>
      </c>
      <c r="L192" s="29">
        <f t="shared" si="22"/>
        <v>0</v>
      </c>
      <c r="M192" s="23">
        <f t="shared" si="23"/>
        <v>0</v>
      </c>
      <c r="N192" s="21" t="e">
        <f t="shared" si="19"/>
        <v>#DIV/0!</v>
      </c>
      <c r="O192" s="21" t="e">
        <f t="shared" si="20"/>
        <v>#DIV/0!</v>
      </c>
      <c r="P192" s="16">
        <f t="shared" si="21"/>
        <v>200</v>
      </c>
    </row>
    <row r="193" s="2" customFormat="1" spans="1:16">
      <c r="A193" s="15">
        <f t="shared" si="24"/>
        <v>44388</v>
      </c>
      <c r="B193" s="21">
        <v>45.77</v>
      </c>
      <c r="C193" s="22">
        <v>444</v>
      </c>
      <c r="D193" s="31">
        <v>17</v>
      </c>
      <c r="E193" s="25">
        <v>0</v>
      </c>
      <c r="F193" s="16">
        <v>0</v>
      </c>
      <c r="G193" s="25">
        <v>2</v>
      </c>
      <c r="H193" s="25">
        <v>1</v>
      </c>
      <c r="I193" s="25">
        <v>1</v>
      </c>
      <c r="J193" s="23">
        <v>0.0383</v>
      </c>
      <c r="K193" s="21">
        <v>2.69</v>
      </c>
      <c r="L193" s="29">
        <f t="shared" si="22"/>
        <v>0</v>
      </c>
      <c r="M193" s="23">
        <f t="shared" si="23"/>
        <v>0</v>
      </c>
      <c r="N193" s="21" t="e">
        <f t="shared" si="19"/>
        <v>#DIV/0!</v>
      </c>
      <c r="O193" s="21" t="e">
        <f t="shared" si="20"/>
        <v>#DIV/0!</v>
      </c>
      <c r="P193" s="16">
        <f t="shared" si="21"/>
        <v>22.885</v>
      </c>
    </row>
    <row r="194" s="2" customFormat="1" spans="1:16">
      <c r="A194" s="15">
        <f t="shared" si="24"/>
        <v>44389</v>
      </c>
      <c r="B194" s="21">
        <v>400</v>
      </c>
      <c r="C194" s="22">
        <v>5364</v>
      </c>
      <c r="D194" s="31">
        <v>158</v>
      </c>
      <c r="E194" s="25">
        <v>0</v>
      </c>
      <c r="F194" s="16">
        <v>0</v>
      </c>
      <c r="G194" s="25">
        <v>8</v>
      </c>
      <c r="H194" s="25">
        <v>2</v>
      </c>
      <c r="I194" s="25">
        <v>1</v>
      </c>
      <c r="J194" s="23">
        <v>0.0295</v>
      </c>
      <c r="K194" s="21">
        <v>2.53</v>
      </c>
      <c r="L194" s="29">
        <f t="shared" si="22"/>
        <v>0</v>
      </c>
      <c r="M194" s="23">
        <f t="shared" si="23"/>
        <v>0</v>
      </c>
      <c r="N194" s="21" t="e">
        <f t="shared" ref="N194:N257" si="25">F194/E194</f>
        <v>#DIV/0!</v>
      </c>
      <c r="O194" s="21" t="e">
        <f t="shared" ref="O194:O257" si="26">B194/E194</f>
        <v>#DIV/0!</v>
      </c>
      <c r="P194" s="16">
        <f t="shared" ref="P194:P257" si="27">B194/G194</f>
        <v>50</v>
      </c>
    </row>
    <row r="195" s="2" customFormat="1" spans="1:16">
      <c r="A195" s="15">
        <f t="shared" si="24"/>
        <v>44390</v>
      </c>
      <c r="B195" s="21">
        <v>400</v>
      </c>
      <c r="C195" s="22">
        <v>4557</v>
      </c>
      <c r="D195" s="31">
        <v>182</v>
      </c>
      <c r="E195" s="25">
        <v>0</v>
      </c>
      <c r="F195" s="16">
        <v>0</v>
      </c>
      <c r="G195" s="25">
        <v>4</v>
      </c>
      <c r="H195" s="25">
        <v>0</v>
      </c>
      <c r="I195" s="25">
        <v>0</v>
      </c>
      <c r="J195" s="23">
        <v>0.0399</v>
      </c>
      <c r="K195" s="21">
        <v>2.2</v>
      </c>
      <c r="L195" s="29">
        <f t="shared" si="22"/>
        <v>0</v>
      </c>
      <c r="M195" s="23">
        <f t="shared" si="23"/>
        <v>0</v>
      </c>
      <c r="N195" s="21" t="e">
        <f t="shared" si="25"/>
        <v>#DIV/0!</v>
      </c>
      <c r="O195" s="21" t="e">
        <f t="shared" si="26"/>
        <v>#DIV/0!</v>
      </c>
      <c r="P195" s="16">
        <f t="shared" si="27"/>
        <v>100</v>
      </c>
    </row>
    <row r="196" s="2" customFormat="1" spans="1:16">
      <c r="A196" s="15">
        <f t="shared" si="24"/>
        <v>44391</v>
      </c>
      <c r="B196" s="21">
        <v>400</v>
      </c>
      <c r="C196" s="22">
        <v>4282</v>
      </c>
      <c r="D196" s="31">
        <v>184</v>
      </c>
      <c r="E196" s="25">
        <v>0</v>
      </c>
      <c r="F196" s="16">
        <v>0</v>
      </c>
      <c r="G196" s="25">
        <v>4</v>
      </c>
      <c r="H196" s="25">
        <v>0</v>
      </c>
      <c r="I196" s="25">
        <v>1</v>
      </c>
      <c r="J196" s="23">
        <v>0.043</v>
      </c>
      <c r="K196" s="21">
        <v>2.17</v>
      </c>
      <c r="L196" s="29">
        <f t="shared" si="22"/>
        <v>0</v>
      </c>
      <c r="M196" s="23">
        <f t="shared" si="23"/>
        <v>0</v>
      </c>
      <c r="N196" s="21" t="e">
        <f t="shared" si="25"/>
        <v>#DIV/0!</v>
      </c>
      <c r="O196" s="21" t="e">
        <f t="shared" si="26"/>
        <v>#DIV/0!</v>
      </c>
      <c r="P196" s="16">
        <f t="shared" si="27"/>
        <v>100</v>
      </c>
    </row>
    <row r="197" s="2" customFormat="1" spans="1:16">
      <c r="A197" s="15">
        <f t="shared" si="24"/>
        <v>44392</v>
      </c>
      <c r="B197" s="21">
        <v>400</v>
      </c>
      <c r="C197" s="22">
        <v>4891</v>
      </c>
      <c r="D197" s="31">
        <v>179</v>
      </c>
      <c r="E197" s="25">
        <v>0</v>
      </c>
      <c r="F197" s="16">
        <v>0</v>
      </c>
      <c r="G197" s="25">
        <v>6</v>
      </c>
      <c r="H197" s="25">
        <v>1</v>
      </c>
      <c r="I197" s="25">
        <v>0</v>
      </c>
      <c r="J197" s="23">
        <v>0.0366</v>
      </c>
      <c r="K197" s="21">
        <v>2.23</v>
      </c>
      <c r="L197" s="29">
        <f t="shared" si="22"/>
        <v>0</v>
      </c>
      <c r="M197" s="23">
        <f t="shared" si="23"/>
        <v>0</v>
      </c>
      <c r="N197" s="21" t="e">
        <f t="shared" si="25"/>
        <v>#DIV/0!</v>
      </c>
      <c r="O197" s="21" t="e">
        <f t="shared" si="26"/>
        <v>#DIV/0!</v>
      </c>
      <c r="P197" s="16">
        <f t="shared" si="27"/>
        <v>66.6666666666667</v>
      </c>
    </row>
    <row r="198" s="2" customFormat="1" spans="1:16">
      <c r="A198" s="15">
        <f t="shared" si="24"/>
        <v>44393</v>
      </c>
      <c r="B198" s="21">
        <v>400</v>
      </c>
      <c r="C198" s="22">
        <v>5177</v>
      </c>
      <c r="D198" s="31">
        <v>162</v>
      </c>
      <c r="E198" s="25">
        <v>0</v>
      </c>
      <c r="F198" s="16">
        <v>0</v>
      </c>
      <c r="G198" s="25">
        <v>6</v>
      </c>
      <c r="H198" s="25">
        <v>1</v>
      </c>
      <c r="I198" s="25">
        <v>4</v>
      </c>
      <c r="J198" s="23">
        <v>0.0313</v>
      </c>
      <c r="K198" s="21">
        <v>2.47</v>
      </c>
      <c r="L198" s="29">
        <f t="shared" si="22"/>
        <v>0</v>
      </c>
      <c r="M198" s="23">
        <f t="shared" si="23"/>
        <v>0</v>
      </c>
      <c r="N198" s="21" t="e">
        <f t="shared" si="25"/>
        <v>#DIV/0!</v>
      </c>
      <c r="O198" s="21" t="e">
        <f t="shared" si="26"/>
        <v>#DIV/0!</v>
      </c>
      <c r="P198" s="16">
        <f t="shared" si="27"/>
        <v>66.6666666666667</v>
      </c>
    </row>
    <row r="199" s="2" customFormat="1" spans="1:16">
      <c r="A199" s="15">
        <f t="shared" si="24"/>
        <v>44394</v>
      </c>
      <c r="B199" s="21">
        <v>400</v>
      </c>
      <c r="C199" s="22">
        <v>5892</v>
      </c>
      <c r="D199" s="31">
        <v>154</v>
      </c>
      <c r="E199" s="25">
        <v>0</v>
      </c>
      <c r="F199" s="16">
        <v>0</v>
      </c>
      <c r="G199" s="25">
        <v>4</v>
      </c>
      <c r="H199" s="25">
        <v>2</v>
      </c>
      <c r="I199" s="25">
        <v>1</v>
      </c>
      <c r="J199" s="23">
        <v>0.0261</v>
      </c>
      <c r="K199" s="21">
        <v>2.6</v>
      </c>
      <c r="L199" s="29">
        <f t="shared" si="22"/>
        <v>0</v>
      </c>
      <c r="M199" s="23">
        <f t="shared" si="23"/>
        <v>0</v>
      </c>
      <c r="N199" s="21" t="e">
        <f t="shared" si="25"/>
        <v>#DIV/0!</v>
      </c>
      <c r="O199" s="21" t="e">
        <f t="shared" si="26"/>
        <v>#DIV/0!</v>
      </c>
      <c r="P199" s="16">
        <f t="shared" si="27"/>
        <v>100</v>
      </c>
    </row>
    <row r="200" s="2" customFormat="1" spans="1:16">
      <c r="A200" s="15">
        <f t="shared" si="24"/>
        <v>44395</v>
      </c>
      <c r="B200" s="21">
        <v>400</v>
      </c>
      <c r="C200" s="22">
        <v>5547</v>
      </c>
      <c r="D200" s="31">
        <v>151</v>
      </c>
      <c r="E200" s="25">
        <v>0</v>
      </c>
      <c r="F200" s="16">
        <v>0</v>
      </c>
      <c r="G200" s="25">
        <v>5</v>
      </c>
      <c r="H200" s="25">
        <v>2</v>
      </c>
      <c r="I200" s="25">
        <v>1</v>
      </c>
      <c r="J200" s="23">
        <v>0.0272</v>
      </c>
      <c r="K200" s="21">
        <v>2.65</v>
      </c>
      <c r="L200" s="29">
        <f t="shared" si="22"/>
        <v>0</v>
      </c>
      <c r="M200" s="23">
        <f t="shared" si="23"/>
        <v>0</v>
      </c>
      <c r="N200" s="21" t="e">
        <f t="shared" si="25"/>
        <v>#DIV/0!</v>
      </c>
      <c r="O200" s="21" t="e">
        <f t="shared" si="26"/>
        <v>#DIV/0!</v>
      </c>
      <c r="P200" s="16">
        <f t="shared" si="27"/>
        <v>80</v>
      </c>
    </row>
    <row r="201" s="2" customFormat="1" spans="1:16">
      <c r="A201" s="15">
        <f t="shared" si="24"/>
        <v>44396</v>
      </c>
      <c r="B201" s="21">
        <v>400</v>
      </c>
      <c r="C201" s="22">
        <v>5946</v>
      </c>
      <c r="D201" s="31">
        <v>170</v>
      </c>
      <c r="E201" s="25">
        <v>0</v>
      </c>
      <c r="F201" s="16">
        <v>0</v>
      </c>
      <c r="G201" s="25">
        <v>1</v>
      </c>
      <c r="H201" s="25">
        <v>4</v>
      </c>
      <c r="I201" s="25">
        <v>1</v>
      </c>
      <c r="J201" s="23">
        <v>0.0286</v>
      </c>
      <c r="K201" s="21">
        <v>2.35</v>
      </c>
      <c r="L201" s="29">
        <f t="shared" si="22"/>
        <v>0</v>
      </c>
      <c r="M201" s="23">
        <f t="shared" si="23"/>
        <v>0</v>
      </c>
      <c r="N201" s="21" t="e">
        <f t="shared" si="25"/>
        <v>#DIV/0!</v>
      </c>
      <c r="O201" s="21" t="e">
        <f t="shared" si="26"/>
        <v>#DIV/0!</v>
      </c>
      <c r="P201" s="16">
        <f t="shared" si="27"/>
        <v>400</v>
      </c>
    </row>
    <row r="202" s="2" customFormat="1" spans="1:16">
      <c r="A202" s="15">
        <f t="shared" si="24"/>
        <v>44397</v>
      </c>
      <c r="B202" s="21">
        <v>400</v>
      </c>
      <c r="C202" s="22">
        <v>5027</v>
      </c>
      <c r="D202" s="31">
        <v>161</v>
      </c>
      <c r="E202" s="25">
        <v>0</v>
      </c>
      <c r="F202" s="16">
        <v>0</v>
      </c>
      <c r="G202" s="25">
        <v>4</v>
      </c>
      <c r="H202" s="25">
        <v>2</v>
      </c>
      <c r="I202" s="25">
        <v>0</v>
      </c>
      <c r="J202" s="23">
        <v>0.032</v>
      </c>
      <c r="K202" s="21">
        <v>2.48</v>
      </c>
      <c r="L202" s="29">
        <f t="shared" si="22"/>
        <v>0</v>
      </c>
      <c r="M202" s="23">
        <f t="shared" si="23"/>
        <v>0</v>
      </c>
      <c r="N202" s="21" t="e">
        <f t="shared" si="25"/>
        <v>#DIV/0!</v>
      </c>
      <c r="O202" s="21" t="e">
        <f t="shared" si="26"/>
        <v>#DIV/0!</v>
      </c>
      <c r="P202" s="16">
        <f t="shared" si="27"/>
        <v>100</v>
      </c>
    </row>
    <row r="203" s="2" customFormat="1" spans="1:16">
      <c r="A203" s="15">
        <f t="shared" si="24"/>
        <v>44398</v>
      </c>
      <c r="B203" s="21">
        <v>399.68</v>
      </c>
      <c r="C203" s="22">
        <v>5038</v>
      </c>
      <c r="D203" s="31">
        <v>167</v>
      </c>
      <c r="E203" s="25">
        <v>0</v>
      </c>
      <c r="F203" s="16">
        <v>0</v>
      </c>
      <c r="G203" s="25">
        <v>3</v>
      </c>
      <c r="H203" s="25">
        <v>2</v>
      </c>
      <c r="I203" s="25">
        <v>2</v>
      </c>
      <c r="J203" s="23">
        <v>0.0331</v>
      </c>
      <c r="K203" s="21">
        <v>2.39</v>
      </c>
      <c r="L203" s="29">
        <f t="shared" si="22"/>
        <v>0</v>
      </c>
      <c r="M203" s="23">
        <f t="shared" si="23"/>
        <v>0</v>
      </c>
      <c r="N203" s="21" t="e">
        <f t="shared" si="25"/>
        <v>#DIV/0!</v>
      </c>
      <c r="O203" s="21" t="e">
        <f t="shared" si="26"/>
        <v>#DIV/0!</v>
      </c>
      <c r="P203" s="16">
        <f t="shared" si="27"/>
        <v>133.226666666667</v>
      </c>
    </row>
    <row r="204" s="2" customFormat="1" spans="1:16">
      <c r="A204" s="15">
        <f t="shared" si="24"/>
        <v>44399</v>
      </c>
      <c r="B204" s="21">
        <v>399.7</v>
      </c>
      <c r="C204" s="22">
        <v>5894</v>
      </c>
      <c r="D204" s="31">
        <v>226</v>
      </c>
      <c r="E204" s="25">
        <v>0</v>
      </c>
      <c r="F204" s="16">
        <v>0</v>
      </c>
      <c r="G204" s="25">
        <v>3</v>
      </c>
      <c r="H204" s="25">
        <v>1</v>
      </c>
      <c r="I204" s="25">
        <v>0</v>
      </c>
      <c r="J204" s="23">
        <v>0.0383</v>
      </c>
      <c r="K204" s="21">
        <v>1.77</v>
      </c>
      <c r="L204" s="29">
        <f t="shared" si="22"/>
        <v>0</v>
      </c>
      <c r="M204" s="23">
        <f t="shared" si="23"/>
        <v>0</v>
      </c>
      <c r="N204" s="21" t="e">
        <f t="shared" si="25"/>
        <v>#DIV/0!</v>
      </c>
      <c r="O204" s="21" t="e">
        <f t="shared" si="26"/>
        <v>#DIV/0!</v>
      </c>
      <c r="P204" s="16">
        <f t="shared" si="27"/>
        <v>133.233333333333</v>
      </c>
    </row>
    <row r="205" s="2" customFormat="1" spans="1:16">
      <c r="A205" s="15">
        <f t="shared" si="24"/>
        <v>44400</v>
      </c>
      <c r="B205" s="21">
        <v>400</v>
      </c>
      <c r="C205" s="22">
        <v>6087</v>
      </c>
      <c r="D205" s="31">
        <v>218</v>
      </c>
      <c r="E205" s="25">
        <v>0</v>
      </c>
      <c r="F205" s="16">
        <v>0</v>
      </c>
      <c r="G205" s="25">
        <v>5</v>
      </c>
      <c r="H205" s="25">
        <v>4</v>
      </c>
      <c r="I205" s="25">
        <v>1</v>
      </c>
      <c r="J205" s="23">
        <v>0.0358</v>
      </c>
      <c r="K205" s="21">
        <v>1.83</v>
      </c>
      <c r="L205" s="29">
        <f t="shared" si="22"/>
        <v>0</v>
      </c>
      <c r="M205" s="23">
        <f t="shared" si="23"/>
        <v>0</v>
      </c>
      <c r="N205" s="21" t="e">
        <f t="shared" si="25"/>
        <v>#DIV/0!</v>
      </c>
      <c r="O205" s="21" t="e">
        <f t="shared" si="26"/>
        <v>#DIV/0!</v>
      </c>
      <c r="P205" s="16">
        <f t="shared" si="27"/>
        <v>80</v>
      </c>
    </row>
    <row r="206" s="2" customFormat="1" spans="1:16">
      <c r="A206" s="15">
        <f t="shared" si="24"/>
        <v>44401</v>
      </c>
      <c r="B206" s="21">
        <v>399.29</v>
      </c>
      <c r="C206" s="22">
        <v>5706</v>
      </c>
      <c r="D206" s="31">
        <v>193</v>
      </c>
      <c r="E206" s="25">
        <v>0</v>
      </c>
      <c r="F206" s="16">
        <v>0</v>
      </c>
      <c r="G206" s="25">
        <v>4</v>
      </c>
      <c r="H206" s="25">
        <v>3</v>
      </c>
      <c r="I206" s="25">
        <v>0</v>
      </c>
      <c r="J206" s="23">
        <v>0.0338</v>
      </c>
      <c r="K206" s="21">
        <v>2.07</v>
      </c>
      <c r="L206" s="29">
        <f t="shared" si="22"/>
        <v>0</v>
      </c>
      <c r="M206" s="23">
        <f t="shared" si="23"/>
        <v>0</v>
      </c>
      <c r="N206" s="21" t="e">
        <f t="shared" si="25"/>
        <v>#DIV/0!</v>
      </c>
      <c r="O206" s="21" t="e">
        <f t="shared" si="26"/>
        <v>#DIV/0!</v>
      </c>
      <c r="P206" s="16">
        <f t="shared" si="27"/>
        <v>99.8225</v>
      </c>
    </row>
    <row r="207" s="2" customFormat="1" spans="1:16">
      <c r="A207" s="15">
        <f t="shared" si="24"/>
        <v>44402</v>
      </c>
      <c r="B207" s="21">
        <v>400</v>
      </c>
      <c r="C207" s="22">
        <v>4979</v>
      </c>
      <c r="D207" s="31">
        <v>205</v>
      </c>
      <c r="E207" s="25">
        <v>1</v>
      </c>
      <c r="F207" s="16">
        <v>0.01</v>
      </c>
      <c r="G207" s="25">
        <v>2</v>
      </c>
      <c r="H207" s="25">
        <v>2</v>
      </c>
      <c r="I207" s="25">
        <v>0</v>
      </c>
      <c r="J207" s="23">
        <v>0.0412</v>
      </c>
      <c r="K207" s="21">
        <v>1.95</v>
      </c>
      <c r="L207" s="29">
        <f t="shared" si="22"/>
        <v>2.5e-5</v>
      </c>
      <c r="M207" s="23">
        <f t="shared" si="23"/>
        <v>0.0048780487804878</v>
      </c>
      <c r="N207" s="21">
        <f t="shared" si="25"/>
        <v>0.01</v>
      </c>
      <c r="O207" s="21">
        <f t="shared" si="26"/>
        <v>400</v>
      </c>
      <c r="P207" s="16">
        <f t="shared" si="27"/>
        <v>200</v>
      </c>
    </row>
    <row r="208" s="2" customFormat="1" spans="1:16">
      <c r="A208" s="15">
        <f t="shared" si="24"/>
        <v>44403</v>
      </c>
      <c r="B208" s="21">
        <v>398.5</v>
      </c>
      <c r="C208" s="22">
        <v>6772</v>
      </c>
      <c r="D208" s="31">
        <v>216</v>
      </c>
      <c r="E208" s="25">
        <v>1</v>
      </c>
      <c r="F208" s="16">
        <v>600</v>
      </c>
      <c r="G208" s="25">
        <v>2</v>
      </c>
      <c r="H208" s="25">
        <v>0</v>
      </c>
      <c r="I208" s="25">
        <v>1</v>
      </c>
      <c r="J208" s="23">
        <v>0.0319</v>
      </c>
      <c r="K208" s="21">
        <v>1.84</v>
      </c>
      <c r="L208" s="29">
        <f t="shared" si="22"/>
        <v>1.50564617314931</v>
      </c>
      <c r="M208" s="23">
        <f t="shared" si="23"/>
        <v>0.00462962962962963</v>
      </c>
      <c r="N208" s="21">
        <f t="shared" si="25"/>
        <v>600</v>
      </c>
      <c r="O208" s="21">
        <f t="shared" si="26"/>
        <v>398.5</v>
      </c>
      <c r="P208" s="16">
        <f t="shared" si="27"/>
        <v>199.25</v>
      </c>
    </row>
    <row r="209" s="2" customFormat="1" spans="1:16">
      <c r="A209" s="15">
        <f t="shared" si="24"/>
        <v>44404</v>
      </c>
      <c r="B209" s="21">
        <v>400</v>
      </c>
      <c r="C209" s="22">
        <v>4874</v>
      </c>
      <c r="D209" s="31">
        <v>192</v>
      </c>
      <c r="E209" s="25">
        <v>0</v>
      </c>
      <c r="F209" s="16">
        <v>0</v>
      </c>
      <c r="G209" s="25">
        <v>5</v>
      </c>
      <c r="H209" s="25">
        <v>2</v>
      </c>
      <c r="I209" s="25">
        <v>1</v>
      </c>
      <c r="J209" s="23">
        <v>0.0394</v>
      </c>
      <c r="K209" s="21">
        <v>2.08</v>
      </c>
      <c r="L209" s="29">
        <f t="shared" si="22"/>
        <v>0</v>
      </c>
      <c r="M209" s="23">
        <f t="shared" si="23"/>
        <v>0</v>
      </c>
      <c r="N209" s="21" t="e">
        <f t="shared" si="25"/>
        <v>#DIV/0!</v>
      </c>
      <c r="O209" s="21" t="e">
        <f t="shared" si="26"/>
        <v>#DIV/0!</v>
      </c>
      <c r="P209" s="16">
        <f t="shared" si="27"/>
        <v>80</v>
      </c>
    </row>
    <row r="210" s="2" customFormat="1" spans="1:16">
      <c r="A210" s="15">
        <f t="shared" si="24"/>
        <v>44405</v>
      </c>
      <c r="B210" s="21">
        <v>398.24</v>
      </c>
      <c r="C210" s="22">
        <v>4438</v>
      </c>
      <c r="D210" s="31">
        <v>218</v>
      </c>
      <c r="E210" s="25">
        <v>0</v>
      </c>
      <c r="F210" s="16">
        <v>0</v>
      </c>
      <c r="G210" s="25">
        <v>4</v>
      </c>
      <c r="H210" s="25">
        <v>2</v>
      </c>
      <c r="I210" s="25">
        <v>3</v>
      </c>
      <c r="J210" s="23">
        <v>0.0491</v>
      </c>
      <c r="K210" s="21">
        <v>1.83</v>
      </c>
      <c r="L210" s="29">
        <f t="shared" si="22"/>
        <v>0</v>
      </c>
      <c r="M210" s="23">
        <f t="shared" si="23"/>
        <v>0</v>
      </c>
      <c r="N210" s="21" t="e">
        <f t="shared" si="25"/>
        <v>#DIV/0!</v>
      </c>
      <c r="O210" s="21" t="e">
        <f t="shared" si="26"/>
        <v>#DIV/0!</v>
      </c>
      <c r="P210" s="16">
        <f t="shared" si="27"/>
        <v>99.56</v>
      </c>
    </row>
    <row r="211" s="2" customFormat="1" spans="1:16">
      <c r="A211" s="15">
        <f t="shared" si="24"/>
        <v>44406</v>
      </c>
      <c r="B211" s="21">
        <v>300</v>
      </c>
      <c r="C211" s="22">
        <v>4536</v>
      </c>
      <c r="D211" s="31">
        <v>156</v>
      </c>
      <c r="E211" s="25">
        <v>0</v>
      </c>
      <c r="F211" s="16">
        <v>0</v>
      </c>
      <c r="G211" s="25">
        <v>2</v>
      </c>
      <c r="H211" s="25">
        <v>0</v>
      </c>
      <c r="I211" s="25">
        <v>1</v>
      </c>
      <c r="J211" s="23">
        <v>0.0344</v>
      </c>
      <c r="K211" s="21">
        <v>1.92</v>
      </c>
      <c r="L211" s="29">
        <f t="shared" ref="L211:L274" si="28">F211/B211</f>
        <v>0</v>
      </c>
      <c r="M211" s="23">
        <f t="shared" ref="M211:M274" si="29">E211/D211</f>
        <v>0</v>
      </c>
      <c r="N211" s="21" t="e">
        <f t="shared" si="25"/>
        <v>#DIV/0!</v>
      </c>
      <c r="O211" s="21" t="e">
        <f t="shared" si="26"/>
        <v>#DIV/0!</v>
      </c>
      <c r="P211" s="16">
        <f t="shared" si="27"/>
        <v>150</v>
      </c>
    </row>
    <row r="212" s="2" customFormat="1" spans="1:16">
      <c r="A212" s="15">
        <f t="shared" si="24"/>
        <v>44407</v>
      </c>
      <c r="B212" s="21">
        <v>300</v>
      </c>
      <c r="C212" s="22">
        <v>3225</v>
      </c>
      <c r="D212" s="31">
        <v>131</v>
      </c>
      <c r="E212" s="25">
        <v>0</v>
      </c>
      <c r="F212" s="16">
        <v>0</v>
      </c>
      <c r="G212" s="25">
        <v>1</v>
      </c>
      <c r="H212" s="25">
        <v>0</v>
      </c>
      <c r="I212" s="25">
        <v>0</v>
      </c>
      <c r="J212" s="23">
        <v>0.0406</v>
      </c>
      <c r="K212" s="21">
        <v>2.29</v>
      </c>
      <c r="L212" s="29">
        <f t="shared" si="28"/>
        <v>0</v>
      </c>
      <c r="M212" s="23">
        <f t="shared" si="29"/>
        <v>0</v>
      </c>
      <c r="N212" s="21" t="e">
        <f t="shared" si="25"/>
        <v>#DIV/0!</v>
      </c>
      <c r="O212" s="21" t="e">
        <f t="shared" si="26"/>
        <v>#DIV/0!</v>
      </c>
      <c r="P212" s="16">
        <f t="shared" si="27"/>
        <v>300</v>
      </c>
    </row>
    <row r="213" s="2" customFormat="1" spans="1:16">
      <c r="A213" s="15">
        <f t="shared" si="24"/>
        <v>44408</v>
      </c>
      <c r="B213" s="21">
        <v>300</v>
      </c>
      <c r="C213" s="22">
        <v>3940</v>
      </c>
      <c r="D213" s="31">
        <v>142</v>
      </c>
      <c r="E213" s="25">
        <v>0</v>
      </c>
      <c r="F213" s="16">
        <v>0</v>
      </c>
      <c r="G213" s="25">
        <v>0</v>
      </c>
      <c r="H213" s="25">
        <v>1</v>
      </c>
      <c r="I213" s="25">
        <v>0</v>
      </c>
      <c r="J213" s="23">
        <v>0.036</v>
      </c>
      <c r="K213" s="21">
        <v>2.11</v>
      </c>
      <c r="L213" s="29">
        <f t="shared" si="28"/>
        <v>0</v>
      </c>
      <c r="M213" s="23">
        <f t="shared" si="29"/>
        <v>0</v>
      </c>
      <c r="N213" s="21" t="e">
        <f t="shared" si="25"/>
        <v>#DIV/0!</v>
      </c>
      <c r="O213" s="21" t="e">
        <f t="shared" si="26"/>
        <v>#DIV/0!</v>
      </c>
      <c r="P213" s="16" t="e">
        <f t="shared" si="27"/>
        <v>#DIV/0!</v>
      </c>
    </row>
    <row r="214" s="2" customFormat="1" spans="1:16">
      <c r="A214" s="15">
        <f t="shared" si="24"/>
        <v>44409</v>
      </c>
      <c r="B214" s="21">
        <v>300</v>
      </c>
      <c r="C214" s="22">
        <v>4482</v>
      </c>
      <c r="D214" s="31">
        <v>146</v>
      </c>
      <c r="E214" s="25">
        <v>0</v>
      </c>
      <c r="F214" s="16">
        <v>0</v>
      </c>
      <c r="G214" s="25">
        <v>1</v>
      </c>
      <c r="H214" s="25">
        <v>3</v>
      </c>
      <c r="I214" s="25">
        <v>0</v>
      </c>
      <c r="J214" s="23">
        <v>0.0326</v>
      </c>
      <c r="K214" s="21">
        <v>2.05</v>
      </c>
      <c r="L214" s="29">
        <f t="shared" si="28"/>
        <v>0</v>
      </c>
      <c r="M214" s="23">
        <f t="shared" si="29"/>
        <v>0</v>
      </c>
      <c r="N214" s="21" t="e">
        <f t="shared" si="25"/>
        <v>#DIV/0!</v>
      </c>
      <c r="O214" s="21" t="e">
        <f t="shared" si="26"/>
        <v>#DIV/0!</v>
      </c>
      <c r="P214" s="16">
        <f t="shared" si="27"/>
        <v>300</v>
      </c>
    </row>
    <row r="215" s="2" customFormat="1" spans="1:16">
      <c r="A215" s="15">
        <f t="shared" si="24"/>
        <v>44410</v>
      </c>
      <c r="B215" s="21">
        <v>300</v>
      </c>
      <c r="C215" s="22">
        <v>3846</v>
      </c>
      <c r="D215" s="31">
        <v>139</v>
      </c>
      <c r="E215" s="25">
        <v>0</v>
      </c>
      <c r="F215" s="16">
        <v>0</v>
      </c>
      <c r="G215" s="25">
        <v>0</v>
      </c>
      <c r="H215" s="25">
        <v>1</v>
      </c>
      <c r="I215" s="25">
        <v>1</v>
      </c>
      <c r="J215" s="23">
        <v>0.0361</v>
      </c>
      <c r="K215" s="21">
        <v>2.16</v>
      </c>
      <c r="L215" s="29">
        <f t="shared" si="28"/>
        <v>0</v>
      </c>
      <c r="M215" s="23">
        <f t="shared" si="29"/>
        <v>0</v>
      </c>
      <c r="N215" s="21" t="e">
        <f t="shared" si="25"/>
        <v>#DIV/0!</v>
      </c>
      <c r="O215" s="21" t="e">
        <f t="shared" si="26"/>
        <v>#DIV/0!</v>
      </c>
      <c r="P215" s="16" t="e">
        <f t="shared" si="27"/>
        <v>#DIV/0!</v>
      </c>
    </row>
    <row r="216" s="2" customFormat="1" spans="1:16">
      <c r="A216" s="15">
        <f t="shared" si="24"/>
        <v>44411</v>
      </c>
      <c r="B216" s="21">
        <v>300</v>
      </c>
      <c r="C216" s="22">
        <v>4756</v>
      </c>
      <c r="D216" s="31">
        <v>134</v>
      </c>
      <c r="E216" s="25">
        <v>0</v>
      </c>
      <c r="F216" s="16">
        <v>0</v>
      </c>
      <c r="G216" s="25">
        <v>0</v>
      </c>
      <c r="H216" s="25">
        <v>0</v>
      </c>
      <c r="I216" s="25">
        <v>2</v>
      </c>
      <c r="J216" s="23">
        <v>0.0282</v>
      </c>
      <c r="K216" s="21">
        <v>2.24</v>
      </c>
      <c r="L216" s="29">
        <f t="shared" si="28"/>
        <v>0</v>
      </c>
      <c r="M216" s="23">
        <f t="shared" si="29"/>
        <v>0</v>
      </c>
      <c r="N216" s="21" t="e">
        <f t="shared" si="25"/>
        <v>#DIV/0!</v>
      </c>
      <c r="O216" s="21" t="e">
        <f t="shared" si="26"/>
        <v>#DIV/0!</v>
      </c>
      <c r="P216" s="16" t="e">
        <f t="shared" si="27"/>
        <v>#DIV/0!</v>
      </c>
    </row>
    <row r="217" s="2" customFormat="1" spans="1:16">
      <c r="A217" s="15">
        <f t="shared" si="24"/>
        <v>44412</v>
      </c>
      <c r="B217" s="21">
        <v>300</v>
      </c>
      <c r="C217" s="22">
        <v>4816</v>
      </c>
      <c r="D217" s="31">
        <v>131</v>
      </c>
      <c r="E217" s="25">
        <v>0</v>
      </c>
      <c r="F217" s="16">
        <v>0</v>
      </c>
      <c r="G217" s="25">
        <v>0</v>
      </c>
      <c r="H217" s="25">
        <v>1</v>
      </c>
      <c r="I217" s="25">
        <v>0</v>
      </c>
      <c r="J217" s="23">
        <v>0.0272</v>
      </c>
      <c r="K217" s="21">
        <v>2.29</v>
      </c>
      <c r="L217" s="29">
        <f t="shared" si="28"/>
        <v>0</v>
      </c>
      <c r="M217" s="23">
        <f t="shared" si="29"/>
        <v>0</v>
      </c>
      <c r="N217" s="21" t="e">
        <f t="shared" si="25"/>
        <v>#DIV/0!</v>
      </c>
      <c r="O217" s="21" t="e">
        <f t="shared" si="26"/>
        <v>#DIV/0!</v>
      </c>
      <c r="P217" s="16" t="e">
        <f t="shared" si="27"/>
        <v>#DIV/0!</v>
      </c>
    </row>
    <row r="218" s="2" customFormat="1" spans="1:16">
      <c r="A218" s="15">
        <f t="shared" si="24"/>
        <v>44413</v>
      </c>
      <c r="B218" s="21">
        <v>300</v>
      </c>
      <c r="C218" s="22">
        <v>4449</v>
      </c>
      <c r="D218" s="31">
        <v>128</v>
      </c>
      <c r="E218" s="25">
        <v>0</v>
      </c>
      <c r="F218" s="16">
        <v>0</v>
      </c>
      <c r="G218" s="25">
        <v>1</v>
      </c>
      <c r="H218" s="25">
        <v>2</v>
      </c>
      <c r="I218" s="25">
        <v>1</v>
      </c>
      <c r="J218" s="23">
        <v>0.0288</v>
      </c>
      <c r="K218" s="21">
        <v>2.34</v>
      </c>
      <c r="L218" s="29">
        <f t="shared" si="28"/>
        <v>0</v>
      </c>
      <c r="M218" s="23">
        <f t="shared" si="29"/>
        <v>0</v>
      </c>
      <c r="N218" s="21" t="e">
        <f t="shared" si="25"/>
        <v>#DIV/0!</v>
      </c>
      <c r="O218" s="21" t="e">
        <f t="shared" si="26"/>
        <v>#DIV/0!</v>
      </c>
      <c r="P218" s="16">
        <f t="shared" si="27"/>
        <v>300</v>
      </c>
    </row>
    <row r="219" s="2" customFormat="1" spans="1:16">
      <c r="A219" s="15">
        <f t="shared" si="24"/>
        <v>44414</v>
      </c>
      <c r="B219" s="21">
        <v>300</v>
      </c>
      <c r="C219" s="22">
        <v>4443</v>
      </c>
      <c r="D219" s="31">
        <v>124</v>
      </c>
      <c r="E219" s="25">
        <v>0</v>
      </c>
      <c r="F219" s="16">
        <v>0</v>
      </c>
      <c r="G219" s="25">
        <v>0</v>
      </c>
      <c r="H219" s="25">
        <v>1</v>
      </c>
      <c r="I219" s="25">
        <v>1</v>
      </c>
      <c r="J219" s="23">
        <v>0.0279</v>
      </c>
      <c r="K219" s="21">
        <v>2.42</v>
      </c>
      <c r="L219" s="29">
        <f t="shared" si="28"/>
        <v>0</v>
      </c>
      <c r="M219" s="23">
        <f t="shared" si="29"/>
        <v>0</v>
      </c>
      <c r="N219" s="21" t="e">
        <f t="shared" si="25"/>
        <v>#DIV/0!</v>
      </c>
      <c r="O219" s="21" t="e">
        <f t="shared" si="26"/>
        <v>#DIV/0!</v>
      </c>
      <c r="P219" s="16" t="e">
        <f t="shared" si="27"/>
        <v>#DIV/0!</v>
      </c>
    </row>
    <row r="220" s="2" customFormat="1" spans="1:16">
      <c r="A220" s="15">
        <f t="shared" si="24"/>
        <v>44415</v>
      </c>
      <c r="B220" s="21">
        <v>300</v>
      </c>
      <c r="C220" s="22">
        <v>4046</v>
      </c>
      <c r="D220" s="31">
        <v>136</v>
      </c>
      <c r="E220" s="25">
        <v>0</v>
      </c>
      <c r="F220" s="16">
        <v>0</v>
      </c>
      <c r="G220" s="25">
        <v>0</v>
      </c>
      <c r="H220" s="25">
        <v>1</v>
      </c>
      <c r="I220" s="25">
        <v>1</v>
      </c>
      <c r="J220" s="23">
        <v>0.0336</v>
      </c>
      <c r="K220" s="21">
        <v>2.21</v>
      </c>
      <c r="L220" s="29">
        <f t="shared" si="28"/>
        <v>0</v>
      </c>
      <c r="M220" s="23">
        <f t="shared" si="29"/>
        <v>0</v>
      </c>
      <c r="N220" s="21" t="e">
        <f t="shared" si="25"/>
        <v>#DIV/0!</v>
      </c>
      <c r="O220" s="21" t="e">
        <f t="shared" si="26"/>
        <v>#DIV/0!</v>
      </c>
      <c r="P220" s="16" t="e">
        <f t="shared" si="27"/>
        <v>#DIV/0!</v>
      </c>
    </row>
    <row r="221" s="2" customFormat="1" spans="1:16">
      <c r="A221" s="15">
        <f t="shared" si="24"/>
        <v>44416</v>
      </c>
      <c r="B221" s="21">
        <v>300</v>
      </c>
      <c r="C221" s="22">
        <v>3918</v>
      </c>
      <c r="D221" s="31">
        <v>123</v>
      </c>
      <c r="E221" s="25">
        <v>0</v>
      </c>
      <c r="F221" s="16">
        <v>0</v>
      </c>
      <c r="G221" s="25">
        <v>0</v>
      </c>
      <c r="H221" s="25">
        <v>0</v>
      </c>
      <c r="I221" s="25">
        <v>1</v>
      </c>
      <c r="J221" s="23">
        <v>0.0314</v>
      </c>
      <c r="K221" s="21">
        <v>2.44</v>
      </c>
      <c r="L221" s="29">
        <f t="shared" si="28"/>
        <v>0</v>
      </c>
      <c r="M221" s="23">
        <f t="shared" si="29"/>
        <v>0</v>
      </c>
      <c r="N221" s="21" t="e">
        <f t="shared" si="25"/>
        <v>#DIV/0!</v>
      </c>
      <c r="O221" s="21" t="e">
        <f t="shared" si="26"/>
        <v>#DIV/0!</v>
      </c>
      <c r="P221" s="16" t="e">
        <f t="shared" si="27"/>
        <v>#DIV/0!</v>
      </c>
    </row>
    <row r="222" s="2" customFormat="1" spans="1:16">
      <c r="A222" s="15">
        <f t="shared" si="24"/>
        <v>44417</v>
      </c>
      <c r="B222" s="21">
        <v>299.91</v>
      </c>
      <c r="C222" s="22">
        <v>5194</v>
      </c>
      <c r="D222" s="31">
        <v>202</v>
      </c>
      <c r="E222" s="25">
        <v>1</v>
      </c>
      <c r="F222" s="16">
        <v>0.01</v>
      </c>
      <c r="G222" s="25">
        <v>0</v>
      </c>
      <c r="H222" s="25">
        <v>3</v>
      </c>
      <c r="I222" s="25">
        <v>0</v>
      </c>
      <c r="J222" s="23">
        <v>0.0389</v>
      </c>
      <c r="K222" s="21">
        <v>1.48</v>
      </c>
      <c r="L222" s="29">
        <f t="shared" si="28"/>
        <v>3.33433363342336e-5</v>
      </c>
      <c r="M222" s="23">
        <f t="shared" si="29"/>
        <v>0.00495049504950495</v>
      </c>
      <c r="N222" s="21">
        <f t="shared" si="25"/>
        <v>0.01</v>
      </c>
      <c r="O222" s="21">
        <f t="shared" si="26"/>
        <v>299.91</v>
      </c>
      <c r="P222" s="16" t="e">
        <f t="shared" si="27"/>
        <v>#DIV/0!</v>
      </c>
    </row>
    <row r="223" s="2" customFormat="1" spans="1:16">
      <c r="A223" s="15">
        <f t="shared" si="24"/>
        <v>44418</v>
      </c>
      <c r="B223" s="21">
        <v>300</v>
      </c>
      <c r="C223" s="22">
        <v>5244</v>
      </c>
      <c r="D223" s="31">
        <v>166</v>
      </c>
      <c r="E223" s="25">
        <v>0</v>
      </c>
      <c r="F223" s="16">
        <v>0</v>
      </c>
      <c r="G223" s="25">
        <v>2</v>
      </c>
      <c r="H223" s="25">
        <v>3</v>
      </c>
      <c r="I223" s="25">
        <v>0</v>
      </c>
      <c r="J223" s="23">
        <v>0.0317</v>
      </c>
      <c r="K223" s="21">
        <v>1.81</v>
      </c>
      <c r="L223" s="29">
        <f t="shared" si="28"/>
        <v>0</v>
      </c>
      <c r="M223" s="23">
        <f t="shared" si="29"/>
        <v>0</v>
      </c>
      <c r="N223" s="21" t="e">
        <f t="shared" si="25"/>
        <v>#DIV/0!</v>
      </c>
      <c r="O223" s="21" t="e">
        <f t="shared" si="26"/>
        <v>#DIV/0!</v>
      </c>
      <c r="P223" s="16">
        <f t="shared" si="27"/>
        <v>150</v>
      </c>
    </row>
    <row r="224" s="2" customFormat="1" spans="1:16">
      <c r="A224" s="15">
        <f t="shared" si="24"/>
        <v>44419</v>
      </c>
      <c r="B224" s="21">
        <v>299.13</v>
      </c>
      <c r="C224" s="22">
        <v>5337</v>
      </c>
      <c r="D224" s="31">
        <v>195</v>
      </c>
      <c r="E224" s="25">
        <v>0</v>
      </c>
      <c r="F224" s="16">
        <v>0</v>
      </c>
      <c r="G224" s="25">
        <v>0</v>
      </c>
      <c r="H224" s="25">
        <v>2</v>
      </c>
      <c r="I224" s="25">
        <v>0</v>
      </c>
      <c r="J224" s="23">
        <v>0.0365</v>
      </c>
      <c r="K224" s="21">
        <v>1.53</v>
      </c>
      <c r="L224" s="29">
        <f t="shared" si="28"/>
        <v>0</v>
      </c>
      <c r="M224" s="23">
        <f t="shared" si="29"/>
        <v>0</v>
      </c>
      <c r="N224" s="21" t="e">
        <f t="shared" si="25"/>
        <v>#DIV/0!</v>
      </c>
      <c r="O224" s="21" t="e">
        <f t="shared" si="26"/>
        <v>#DIV/0!</v>
      </c>
      <c r="P224" s="16" t="e">
        <f t="shared" si="27"/>
        <v>#DIV/0!</v>
      </c>
    </row>
    <row r="225" s="2" customFormat="1" spans="1:16">
      <c r="A225" s="15">
        <f t="shared" ref="A225:A288" si="30">A224+1</f>
        <v>44420</v>
      </c>
      <c r="B225" s="21">
        <v>300</v>
      </c>
      <c r="C225" s="22">
        <v>4962</v>
      </c>
      <c r="D225" s="31">
        <v>166</v>
      </c>
      <c r="E225" s="25">
        <v>0</v>
      </c>
      <c r="F225" s="16">
        <v>0</v>
      </c>
      <c r="G225" s="25">
        <v>3</v>
      </c>
      <c r="H225" s="25">
        <v>1</v>
      </c>
      <c r="I225" s="25">
        <v>0</v>
      </c>
      <c r="J225" s="23">
        <v>0.0335</v>
      </c>
      <c r="K225" s="21">
        <v>1.81</v>
      </c>
      <c r="L225" s="29">
        <f t="shared" si="28"/>
        <v>0</v>
      </c>
      <c r="M225" s="23">
        <f t="shared" si="29"/>
        <v>0</v>
      </c>
      <c r="N225" s="21" t="e">
        <f t="shared" si="25"/>
        <v>#DIV/0!</v>
      </c>
      <c r="O225" s="21" t="e">
        <f t="shared" si="26"/>
        <v>#DIV/0!</v>
      </c>
      <c r="P225" s="16">
        <f t="shared" si="27"/>
        <v>100</v>
      </c>
    </row>
    <row r="226" s="2" customFormat="1" spans="1:16">
      <c r="A226" s="15">
        <f t="shared" si="30"/>
        <v>44421</v>
      </c>
      <c r="B226" s="21">
        <v>300</v>
      </c>
      <c r="C226" s="22">
        <v>6069</v>
      </c>
      <c r="D226" s="31">
        <v>209</v>
      </c>
      <c r="E226" s="25">
        <v>0</v>
      </c>
      <c r="F226" s="16">
        <v>0</v>
      </c>
      <c r="G226" s="25">
        <v>6</v>
      </c>
      <c r="H226" s="25">
        <v>1</v>
      </c>
      <c r="I226" s="25">
        <v>0</v>
      </c>
      <c r="J226" s="23">
        <v>0.0344</v>
      </c>
      <c r="K226" s="21">
        <v>1.44</v>
      </c>
      <c r="L226" s="29">
        <f t="shared" si="28"/>
        <v>0</v>
      </c>
      <c r="M226" s="23">
        <f t="shared" si="29"/>
        <v>0</v>
      </c>
      <c r="N226" s="21" t="e">
        <f t="shared" si="25"/>
        <v>#DIV/0!</v>
      </c>
      <c r="O226" s="21" t="e">
        <f t="shared" si="26"/>
        <v>#DIV/0!</v>
      </c>
      <c r="P226" s="16">
        <f t="shared" si="27"/>
        <v>50</v>
      </c>
    </row>
    <row r="227" s="2" customFormat="1" spans="1:16">
      <c r="A227" s="15">
        <f t="shared" si="30"/>
        <v>44422</v>
      </c>
      <c r="B227" s="21">
        <v>289.95</v>
      </c>
      <c r="C227" s="22">
        <v>5408</v>
      </c>
      <c r="D227" s="31">
        <v>196</v>
      </c>
      <c r="E227" s="25">
        <v>0</v>
      </c>
      <c r="F227" s="16">
        <v>0</v>
      </c>
      <c r="G227" s="25">
        <v>2</v>
      </c>
      <c r="H227" s="25">
        <v>2</v>
      </c>
      <c r="I227" s="25">
        <v>1</v>
      </c>
      <c r="J227" s="23">
        <v>0.0362</v>
      </c>
      <c r="K227" s="21">
        <v>1.48</v>
      </c>
      <c r="L227" s="29">
        <f t="shared" si="28"/>
        <v>0</v>
      </c>
      <c r="M227" s="23">
        <f t="shared" si="29"/>
        <v>0</v>
      </c>
      <c r="N227" s="21" t="e">
        <f t="shared" si="25"/>
        <v>#DIV/0!</v>
      </c>
      <c r="O227" s="21" t="e">
        <f t="shared" si="26"/>
        <v>#DIV/0!</v>
      </c>
      <c r="P227" s="16">
        <f t="shared" si="27"/>
        <v>144.975</v>
      </c>
    </row>
    <row r="228" s="2" customFormat="1" spans="1:16">
      <c r="A228" s="15">
        <f t="shared" si="30"/>
        <v>44423</v>
      </c>
      <c r="B228" s="21">
        <v>300</v>
      </c>
      <c r="C228" s="22">
        <v>4940</v>
      </c>
      <c r="D228" s="31">
        <v>201</v>
      </c>
      <c r="E228" s="25">
        <v>0</v>
      </c>
      <c r="F228" s="16">
        <v>0</v>
      </c>
      <c r="G228" s="25">
        <v>1</v>
      </c>
      <c r="H228" s="25">
        <v>0</v>
      </c>
      <c r="I228" s="25">
        <v>0</v>
      </c>
      <c r="J228" s="23">
        <v>0.0407</v>
      </c>
      <c r="K228" s="21">
        <v>1.49</v>
      </c>
      <c r="L228" s="29">
        <f t="shared" si="28"/>
        <v>0</v>
      </c>
      <c r="M228" s="23">
        <f t="shared" si="29"/>
        <v>0</v>
      </c>
      <c r="N228" s="21" t="e">
        <f t="shared" si="25"/>
        <v>#DIV/0!</v>
      </c>
      <c r="O228" s="21" t="e">
        <f t="shared" si="26"/>
        <v>#DIV/0!</v>
      </c>
      <c r="P228" s="16">
        <f t="shared" si="27"/>
        <v>300</v>
      </c>
    </row>
    <row r="229" s="2" customFormat="1" spans="1:16">
      <c r="A229" s="15">
        <f t="shared" si="30"/>
        <v>44424</v>
      </c>
      <c r="B229" s="21">
        <v>300</v>
      </c>
      <c r="C229" s="22">
        <v>5201</v>
      </c>
      <c r="D229" s="31">
        <v>204</v>
      </c>
      <c r="E229" s="25">
        <v>0</v>
      </c>
      <c r="F229" s="16">
        <v>0</v>
      </c>
      <c r="G229" s="25">
        <v>4</v>
      </c>
      <c r="H229" s="25">
        <v>3</v>
      </c>
      <c r="I229" s="25">
        <v>1</v>
      </c>
      <c r="J229" s="23">
        <v>0.0392</v>
      </c>
      <c r="K229" s="21">
        <v>1.47</v>
      </c>
      <c r="L229" s="29">
        <f t="shared" si="28"/>
        <v>0</v>
      </c>
      <c r="M229" s="23">
        <f t="shared" si="29"/>
        <v>0</v>
      </c>
      <c r="N229" s="21" t="e">
        <f t="shared" si="25"/>
        <v>#DIV/0!</v>
      </c>
      <c r="O229" s="21" t="e">
        <f t="shared" si="26"/>
        <v>#DIV/0!</v>
      </c>
      <c r="P229" s="16">
        <f t="shared" si="27"/>
        <v>75</v>
      </c>
    </row>
    <row r="230" s="2" customFormat="1" spans="1:16">
      <c r="A230" s="15">
        <f t="shared" si="30"/>
        <v>44425</v>
      </c>
      <c r="B230" s="21">
        <v>295.52</v>
      </c>
      <c r="C230" s="22">
        <v>8007</v>
      </c>
      <c r="D230" s="31">
        <v>250</v>
      </c>
      <c r="E230" s="25">
        <v>0</v>
      </c>
      <c r="F230" s="16">
        <v>0</v>
      </c>
      <c r="G230" s="25">
        <v>3</v>
      </c>
      <c r="H230" s="25">
        <v>1</v>
      </c>
      <c r="I230" s="25">
        <v>1</v>
      </c>
      <c r="J230" s="23">
        <v>0.0312</v>
      </c>
      <c r="K230" s="21">
        <v>1.18</v>
      </c>
      <c r="L230" s="29">
        <f t="shared" si="28"/>
        <v>0</v>
      </c>
      <c r="M230" s="23">
        <f t="shared" si="29"/>
        <v>0</v>
      </c>
      <c r="N230" s="21" t="e">
        <f t="shared" si="25"/>
        <v>#DIV/0!</v>
      </c>
      <c r="O230" s="21" t="e">
        <f t="shared" si="26"/>
        <v>#DIV/0!</v>
      </c>
      <c r="P230" s="16">
        <f t="shared" si="27"/>
        <v>98.5066666666667</v>
      </c>
    </row>
    <row r="231" s="2" customFormat="1" spans="1:16">
      <c r="A231" s="15">
        <f t="shared" si="30"/>
        <v>44426</v>
      </c>
      <c r="B231" s="21">
        <v>299.36</v>
      </c>
      <c r="C231" s="22">
        <v>8335</v>
      </c>
      <c r="D231" s="31">
        <v>299</v>
      </c>
      <c r="E231" s="25">
        <v>0</v>
      </c>
      <c r="F231" s="16">
        <v>0</v>
      </c>
      <c r="G231" s="25">
        <v>1</v>
      </c>
      <c r="H231" s="25">
        <v>2</v>
      </c>
      <c r="I231" s="25">
        <v>0</v>
      </c>
      <c r="J231" s="23">
        <v>0.0359</v>
      </c>
      <c r="K231" s="21">
        <v>1</v>
      </c>
      <c r="L231" s="29">
        <f t="shared" si="28"/>
        <v>0</v>
      </c>
      <c r="M231" s="23">
        <f t="shared" si="29"/>
        <v>0</v>
      </c>
      <c r="N231" s="21" t="e">
        <f t="shared" si="25"/>
        <v>#DIV/0!</v>
      </c>
      <c r="O231" s="21" t="e">
        <f t="shared" si="26"/>
        <v>#DIV/0!</v>
      </c>
      <c r="P231" s="16">
        <f t="shared" si="27"/>
        <v>299.36</v>
      </c>
    </row>
    <row r="232" s="2" customFormat="1" spans="1:16">
      <c r="A232" s="15">
        <f t="shared" si="30"/>
        <v>44427</v>
      </c>
      <c r="B232" s="21">
        <v>300</v>
      </c>
      <c r="C232" s="22">
        <v>5226</v>
      </c>
      <c r="D232" s="31">
        <v>220</v>
      </c>
      <c r="E232" s="25">
        <v>0</v>
      </c>
      <c r="F232" s="16">
        <v>0</v>
      </c>
      <c r="G232" s="25">
        <v>6</v>
      </c>
      <c r="H232" s="25">
        <v>3</v>
      </c>
      <c r="I232" s="25">
        <v>1</v>
      </c>
      <c r="J232" s="23">
        <v>0.0421</v>
      </c>
      <c r="K232" s="21">
        <v>1.36</v>
      </c>
      <c r="L232" s="29">
        <f t="shared" si="28"/>
        <v>0</v>
      </c>
      <c r="M232" s="23">
        <f t="shared" si="29"/>
        <v>0</v>
      </c>
      <c r="N232" s="21" t="e">
        <f t="shared" si="25"/>
        <v>#DIV/0!</v>
      </c>
      <c r="O232" s="21" t="e">
        <f t="shared" si="26"/>
        <v>#DIV/0!</v>
      </c>
      <c r="P232" s="16">
        <f t="shared" si="27"/>
        <v>50</v>
      </c>
    </row>
    <row r="233" s="2" customFormat="1" spans="1:16">
      <c r="A233" s="15">
        <f t="shared" si="30"/>
        <v>44428</v>
      </c>
      <c r="B233" s="21">
        <v>300</v>
      </c>
      <c r="C233" s="22">
        <v>4250</v>
      </c>
      <c r="D233" s="31">
        <v>133</v>
      </c>
      <c r="E233" s="25">
        <v>0</v>
      </c>
      <c r="F233" s="16">
        <v>0</v>
      </c>
      <c r="G233" s="25">
        <v>2</v>
      </c>
      <c r="H233" s="25">
        <v>2</v>
      </c>
      <c r="I233" s="25">
        <v>0</v>
      </c>
      <c r="J233" s="23">
        <v>0.0313</v>
      </c>
      <c r="K233" s="21">
        <v>2.26</v>
      </c>
      <c r="L233" s="29">
        <f t="shared" si="28"/>
        <v>0</v>
      </c>
      <c r="M233" s="23">
        <f t="shared" si="29"/>
        <v>0</v>
      </c>
      <c r="N233" s="21" t="e">
        <f t="shared" si="25"/>
        <v>#DIV/0!</v>
      </c>
      <c r="O233" s="21" t="e">
        <f t="shared" si="26"/>
        <v>#DIV/0!</v>
      </c>
      <c r="P233" s="16">
        <f t="shared" si="27"/>
        <v>150</v>
      </c>
    </row>
    <row r="234" s="2" customFormat="1" spans="1:16">
      <c r="A234" s="15">
        <f t="shared" si="30"/>
        <v>44429</v>
      </c>
      <c r="B234" s="21">
        <v>294.08</v>
      </c>
      <c r="C234" s="22">
        <v>4843</v>
      </c>
      <c r="D234" s="31">
        <v>248</v>
      </c>
      <c r="E234" s="25">
        <v>0</v>
      </c>
      <c r="F234" s="16">
        <v>0</v>
      </c>
      <c r="G234" s="25">
        <v>5</v>
      </c>
      <c r="H234" s="25">
        <v>1</v>
      </c>
      <c r="I234" s="25">
        <v>2</v>
      </c>
      <c r="J234" s="23">
        <v>0.0512</v>
      </c>
      <c r="K234" s="21">
        <v>1.19</v>
      </c>
      <c r="L234" s="29">
        <f t="shared" si="28"/>
        <v>0</v>
      </c>
      <c r="M234" s="23">
        <f t="shared" si="29"/>
        <v>0</v>
      </c>
      <c r="N234" s="21" t="e">
        <f t="shared" si="25"/>
        <v>#DIV/0!</v>
      </c>
      <c r="O234" s="21" t="e">
        <f t="shared" si="26"/>
        <v>#DIV/0!</v>
      </c>
      <c r="P234" s="16">
        <f t="shared" si="27"/>
        <v>58.816</v>
      </c>
    </row>
    <row r="235" s="2" customFormat="1" spans="1:16">
      <c r="A235" s="15">
        <f t="shared" si="30"/>
        <v>44430</v>
      </c>
      <c r="B235" s="21">
        <v>300</v>
      </c>
      <c r="C235" s="22">
        <v>5096</v>
      </c>
      <c r="D235" s="31">
        <v>189</v>
      </c>
      <c r="E235" s="25">
        <v>0</v>
      </c>
      <c r="F235" s="16">
        <v>0</v>
      </c>
      <c r="G235" s="25">
        <v>4</v>
      </c>
      <c r="H235" s="25">
        <v>0</v>
      </c>
      <c r="I235" s="25">
        <v>0</v>
      </c>
      <c r="J235" s="23">
        <v>0.0371</v>
      </c>
      <c r="K235" s="21">
        <v>1.59</v>
      </c>
      <c r="L235" s="29">
        <f t="shared" si="28"/>
        <v>0</v>
      </c>
      <c r="M235" s="23">
        <f t="shared" si="29"/>
        <v>0</v>
      </c>
      <c r="N235" s="21" t="e">
        <f t="shared" si="25"/>
        <v>#DIV/0!</v>
      </c>
      <c r="O235" s="21" t="e">
        <f t="shared" si="26"/>
        <v>#DIV/0!</v>
      </c>
      <c r="P235" s="16">
        <f t="shared" si="27"/>
        <v>75</v>
      </c>
    </row>
    <row r="236" s="2" customFormat="1" spans="1:16">
      <c r="A236" s="15">
        <f t="shared" si="30"/>
        <v>44431</v>
      </c>
      <c r="B236" s="21">
        <v>300</v>
      </c>
      <c r="C236" s="22">
        <v>4736</v>
      </c>
      <c r="D236" s="31">
        <v>192</v>
      </c>
      <c r="E236" s="25">
        <v>0</v>
      </c>
      <c r="F236" s="16">
        <v>0</v>
      </c>
      <c r="G236" s="25">
        <v>1</v>
      </c>
      <c r="H236" s="25">
        <v>0</v>
      </c>
      <c r="I236" s="25">
        <v>0</v>
      </c>
      <c r="J236" s="23">
        <v>0.0405</v>
      </c>
      <c r="K236" s="21">
        <v>1.56</v>
      </c>
      <c r="L236" s="29">
        <f t="shared" si="28"/>
        <v>0</v>
      </c>
      <c r="M236" s="23">
        <f t="shared" si="29"/>
        <v>0</v>
      </c>
      <c r="N236" s="21" t="e">
        <f t="shared" si="25"/>
        <v>#DIV/0!</v>
      </c>
      <c r="O236" s="21" t="e">
        <f t="shared" si="26"/>
        <v>#DIV/0!</v>
      </c>
      <c r="P236" s="16">
        <f t="shared" si="27"/>
        <v>300</v>
      </c>
    </row>
    <row r="237" s="2" customFormat="1" spans="1:16">
      <c r="A237" s="15">
        <f t="shared" si="30"/>
        <v>44432</v>
      </c>
      <c r="B237" s="21">
        <v>299.48</v>
      </c>
      <c r="C237" s="22">
        <v>4795</v>
      </c>
      <c r="D237" s="31">
        <v>182</v>
      </c>
      <c r="E237" s="25">
        <v>0</v>
      </c>
      <c r="F237" s="16">
        <v>0</v>
      </c>
      <c r="G237" s="25">
        <v>4</v>
      </c>
      <c r="H237" s="25">
        <v>1</v>
      </c>
      <c r="I237" s="25">
        <v>1</v>
      </c>
      <c r="J237" s="23">
        <v>0.0366</v>
      </c>
      <c r="K237" s="21">
        <v>1.65</v>
      </c>
      <c r="L237" s="29">
        <f t="shared" si="28"/>
        <v>0</v>
      </c>
      <c r="M237" s="23">
        <f t="shared" si="29"/>
        <v>0</v>
      </c>
      <c r="N237" s="21" t="e">
        <f t="shared" si="25"/>
        <v>#DIV/0!</v>
      </c>
      <c r="O237" s="21" t="e">
        <f t="shared" si="26"/>
        <v>#DIV/0!</v>
      </c>
      <c r="P237" s="16">
        <f t="shared" si="27"/>
        <v>74.87</v>
      </c>
    </row>
    <row r="238" s="2" customFormat="1" spans="1:16">
      <c r="A238" s="15">
        <f t="shared" si="30"/>
        <v>44433</v>
      </c>
      <c r="B238" s="21">
        <v>300</v>
      </c>
      <c r="C238" s="22">
        <v>4269</v>
      </c>
      <c r="D238" s="31">
        <v>203</v>
      </c>
      <c r="E238" s="25">
        <v>0</v>
      </c>
      <c r="F238" s="16">
        <v>0</v>
      </c>
      <c r="G238" s="25">
        <v>3</v>
      </c>
      <c r="H238" s="25">
        <v>1</v>
      </c>
      <c r="I238" s="25">
        <v>1</v>
      </c>
      <c r="J238" s="23">
        <v>0.0476</v>
      </c>
      <c r="K238" s="21">
        <v>1.48</v>
      </c>
      <c r="L238" s="29">
        <f t="shared" si="28"/>
        <v>0</v>
      </c>
      <c r="M238" s="23">
        <f t="shared" si="29"/>
        <v>0</v>
      </c>
      <c r="N238" s="21" t="e">
        <f t="shared" si="25"/>
        <v>#DIV/0!</v>
      </c>
      <c r="O238" s="21" t="e">
        <f t="shared" si="26"/>
        <v>#DIV/0!</v>
      </c>
      <c r="P238" s="16">
        <f t="shared" si="27"/>
        <v>100</v>
      </c>
    </row>
    <row r="239" s="2" customFormat="1" spans="1:16">
      <c r="A239" s="15">
        <f t="shared" si="30"/>
        <v>44434</v>
      </c>
      <c r="B239" s="21">
        <v>300</v>
      </c>
      <c r="C239" s="22">
        <v>4675</v>
      </c>
      <c r="D239" s="31">
        <v>171</v>
      </c>
      <c r="E239" s="25">
        <v>0</v>
      </c>
      <c r="F239" s="16">
        <v>0</v>
      </c>
      <c r="G239" s="25">
        <v>0</v>
      </c>
      <c r="H239" s="25">
        <v>0</v>
      </c>
      <c r="I239" s="25">
        <v>0</v>
      </c>
      <c r="J239" s="23">
        <v>0.0366</v>
      </c>
      <c r="K239" s="21">
        <v>1.75</v>
      </c>
      <c r="L239" s="29">
        <f t="shared" si="28"/>
        <v>0</v>
      </c>
      <c r="M239" s="23">
        <f t="shared" si="29"/>
        <v>0</v>
      </c>
      <c r="N239" s="21" t="e">
        <f t="shared" si="25"/>
        <v>#DIV/0!</v>
      </c>
      <c r="O239" s="21" t="e">
        <f t="shared" si="26"/>
        <v>#DIV/0!</v>
      </c>
      <c r="P239" s="16" t="e">
        <f t="shared" si="27"/>
        <v>#DIV/0!</v>
      </c>
    </row>
    <row r="240" s="2" customFormat="1" spans="1:16">
      <c r="A240" s="15">
        <f t="shared" si="30"/>
        <v>44435</v>
      </c>
      <c r="B240" s="21">
        <v>292.08</v>
      </c>
      <c r="C240" s="22">
        <v>5151</v>
      </c>
      <c r="D240" s="31">
        <v>219</v>
      </c>
      <c r="E240" s="25">
        <v>0</v>
      </c>
      <c r="F240" s="16">
        <v>0</v>
      </c>
      <c r="G240" s="25">
        <v>3</v>
      </c>
      <c r="H240" s="25">
        <v>2</v>
      </c>
      <c r="I240" s="25">
        <v>2</v>
      </c>
      <c r="J240" s="23">
        <v>0.0425</v>
      </c>
      <c r="K240" s="21">
        <v>1.33</v>
      </c>
      <c r="L240" s="29">
        <f t="shared" si="28"/>
        <v>0</v>
      </c>
      <c r="M240" s="23">
        <f t="shared" si="29"/>
        <v>0</v>
      </c>
      <c r="N240" s="21" t="e">
        <f t="shared" si="25"/>
        <v>#DIV/0!</v>
      </c>
      <c r="O240" s="21" t="e">
        <f t="shared" si="26"/>
        <v>#DIV/0!</v>
      </c>
      <c r="P240" s="16">
        <f t="shared" si="27"/>
        <v>97.36</v>
      </c>
    </row>
    <row r="241" s="2" customFormat="1" spans="1:16">
      <c r="A241" s="15">
        <f t="shared" si="30"/>
        <v>44436</v>
      </c>
      <c r="B241" s="21">
        <v>299.77</v>
      </c>
      <c r="C241" s="22">
        <v>5097</v>
      </c>
      <c r="D241" s="31">
        <v>198</v>
      </c>
      <c r="E241" s="25">
        <v>0</v>
      </c>
      <c r="F241" s="16">
        <v>0</v>
      </c>
      <c r="G241" s="25">
        <v>2</v>
      </c>
      <c r="H241" s="25">
        <v>4</v>
      </c>
      <c r="I241" s="25">
        <v>0</v>
      </c>
      <c r="J241" s="23">
        <v>0.0388</v>
      </c>
      <c r="K241" s="21">
        <v>1.51</v>
      </c>
      <c r="L241" s="29">
        <f t="shared" si="28"/>
        <v>0</v>
      </c>
      <c r="M241" s="23">
        <f t="shared" si="29"/>
        <v>0</v>
      </c>
      <c r="N241" s="21" t="e">
        <f t="shared" si="25"/>
        <v>#DIV/0!</v>
      </c>
      <c r="O241" s="21" t="e">
        <f t="shared" si="26"/>
        <v>#DIV/0!</v>
      </c>
      <c r="P241" s="16">
        <f t="shared" si="27"/>
        <v>149.885</v>
      </c>
    </row>
    <row r="242" s="2" customFormat="1" spans="1:16">
      <c r="A242" s="15">
        <f t="shared" si="30"/>
        <v>44437</v>
      </c>
      <c r="B242" s="21">
        <v>299.63</v>
      </c>
      <c r="C242" s="22">
        <v>4630</v>
      </c>
      <c r="D242" s="31">
        <v>206</v>
      </c>
      <c r="E242" s="25">
        <v>0</v>
      </c>
      <c r="F242" s="16">
        <v>0</v>
      </c>
      <c r="G242" s="25">
        <v>3</v>
      </c>
      <c r="H242" s="25">
        <v>2</v>
      </c>
      <c r="I242" s="25">
        <v>2</v>
      </c>
      <c r="J242" s="23">
        <v>0.0445</v>
      </c>
      <c r="K242" s="21">
        <v>1.45</v>
      </c>
      <c r="L242" s="29">
        <f t="shared" si="28"/>
        <v>0</v>
      </c>
      <c r="M242" s="23">
        <f t="shared" si="29"/>
        <v>0</v>
      </c>
      <c r="N242" s="21" t="e">
        <f t="shared" si="25"/>
        <v>#DIV/0!</v>
      </c>
      <c r="O242" s="21" t="e">
        <f t="shared" si="26"/>
        <v>#DIV/0!</v>
      </c>
      <c r="P242" s="16">
        <f t="shared" si="27"/>
        <v>99.8766666666667</v>
      </c>
    </row>
    <row r="243" s="2" customFormat="1" spans="1:16">
      <c r="A243" s="15">
        <f t="shared" si="30"/>
        <v>44438</v>
      </c>
      <c r="B243" s="21">
        <v>300</v>
      </c>
      <c r="C243" s="22">
        <v>5751</v>
      </c>
      <c r="D243" s="31">
        <v>191</v>
      </c>
      <c r="E243" s="25">
        <v>0</v>
      </c>
      <c r="F243" s="16">
        <v>0</v>
      </c>
      <c r="G243" s="25">
        <v>2</v>
      </c>
      <c r="H243" s="25">
        <v>3</v>
      </c>
      <c r="I243" s="25">
        <v>0</v>
      </c>
      <c r="J243" s="23">
        <v>0.0332</v>
      </c>
      <c r="K243" s="21">
        <v>1.57</v>
      </c>
      <c r="L243" s="29">
        <f t="shared" si="28"/>
        <v>0</v>
      </c>
      <c r="M243" s="23">
        <f t="shared" si="29"/>
        <v>0</v>
      </c>
      <c r="N243" s="21" t="e">
        <f t="shared" si="25"/>
        <v>#DIV/0!</v>
      </c>
      <c r="O243" s="21" t="e">
        <f t="shared" si="26"/>
        <v>#DIV/0!</v>
      </c>
      <c r="P243" s="16">
        <f t="shared" si="27"/>
        <v>150</v>
      </c>
    </row>
    <row r="244" s="2" customFormat="1" spans="1:16">
      <c r="A244" s="15">
        <f t="shared" si="30"/>
        <v>44439</v>
      </c>
      <c r="B244" s="21">
        <v>344.6</v>
      </c>
      <c r="C244" s="22">
        <v>6988</v>
      </c>
      <c r="D244" s="31">
        <v>202</v>
      </c>
      <c r="E244" s="25">
        <v>0</v>
      </c>
      <c r="F244" s="16">
        <v>0</v>
      </c>
      <c r="G244" s="25">
        <v>8</v>
      </c>
      <c r="H244" s="25">
        <v>2</v>
      </c>
      <c r="I244" s="25">
        <v>1</v>
      </c>
      <c r="J244" s="23">
        <v>0.0289</v>
      </c>
      <c r="K244" s="21">
        <v>1.71</v>
      </c>
      <c r="L244" s="29">
        <f t="shared" si="28"/>
        <v>0</v>
      </c>
      <c r="M244" s="23">
        <f t="shared" si="29"/>
        <v>0</v>
      </c>
      <c r="N244" s="21" t="e">
        <f t="shared" si="25"/>
        <v>#DIV/0!</v>
      </c>
      <c r="O244" s="21" t="e">
        <f t="shared" si="26"/>
        <v>#DIV/0!</v>
      </c>
      <c r="P244" s="16">
        <f t="shared" si="27"/>
        <v>43.075</v>
      </c>
    </row>
    <row r="245" s="2" customFormat="1" spans="1:16">
      <c r="A245" s="15">
        <f t="shared" si="30"/>
        <v>44440</v>
      </c>
      <c r="B245" s="21">
        <v>352.77</v>
      </c>
      <c r="C245" s="22">
        <v>9469</v>
      </c>
      <c r="D245" s="31">
        <v>209</v>
      </c>
      <c r="E245" s="25">
        <v>0</v>
      </c>
      <c r="F245" s="16">
        <v>0</v>
      </c>
      <c r="G245" s="25">
        <v>3</v>
      </c>
      <c r="H245" s="25">
        <v>0</v>
      </c>
      <c r="I245" s="25">
        <v>0</v>
      </c>
      <c r="J245" s="23">
        <v>0.0221</v>
      </c>
      <c r="K245" s="21">
        <v>1.69</v>
      </c>
      <c r="L245" s="29">
        <f t="shared" si="28"/>
        <v>0</v>
      </c>
      <c r="M245" s="23">
        <f t="shared" si="29"/>
        <v>0</v>
      </c>
      <c r="N245" s="21" t="e">
        <f t="shared" si="25"/>
        <v>#DIV/0!</v>
      </c>
      <c r="O245" s="21" t="e">
        <f t="shared" si="26"/>
        <v>#DIV/0!</v>
      </c>
      <c r="P245" s="16">
        <f t="shared" si="27"/>
        <v>117.59</v>
      </c>
    </row>
    <row r="246" s="2" customFormat="1" spans="1:16">
      <c r="A246" s="15">
        <f t="shared" si="30"/>
        <v>44441</v>
      </c>
      <c r="B246" s="21">
        <v>552.93</v>
      </c>
      <c r="C246" s="22">
        <v>16840</v>
      </c>
      <c r="D246" s="31">
        <v>301</v>
      </c>
      <c r="E246" s="25">
        <v>0</v>
      </c>
      <c r="F246" s="16">
        <v>0</v>
      </c>
      <c r="G246" s="25">
        <v>3</v>
      </c>
      <c r="H246" s="25">
        <v>2</v>
      </c>
      <c r="I246" s="25">
        <v>2</v>
      </c>
      <c r="J246" s="23">
        <v>0.0179</v>
      </c>
      <c r="K246" s="21">
        <v>1.84</v>
      </c>
      <c r="L246" s="29">
        <f t="shared" si="28"/>
        <v>0</v>
      </c>
      <c r="M246" s="23">
        <f t="shared" si="29"/>
        <v>0</v>
      </c>
      <c r="N246" s="21" t="e">
        <f t="shared" si="25"/>
        <v>#DIV/0!</v>
      </c>
      <c r="O246" s="21" t="e">
        <f t="shared" si="26"/>
        <v>#DIV/0!</v>
      </c>
      <c r="P246" s="16">
        <f t="shared" si="27"/>
        <v>184.31</v>
      </c>
    </row>
    <row r="247" s="2" customFormat="1" spans="1:16">
      <c r="A247" s="15">
        <f t="shared" si="30"/>
        <v>44442</v>
      </c>
      <c r="B247" s="21">
        <v>402.05</v>
      </c>
      <c r="C247" s="22">
        <v>11218</v>
      </c>
      <c r="D247" s="31">
        <v>206</v>
      </c>
      <c r="E247" s="25">
        <v>0</v>
      </c>
      <c r="F247" s="16">
        <v>0</v>
      </c>
      <c r="G247" s="25">
        <v>3</v>
      </c>
      <c r="H247" s="25">
        <v>1</v>
      </c>
      <c r="I247" s="25">
        <v>3</v>
      </c>
      <c r="J247" s="23">
        <v>0.0184</v>
      </c>
      <c r="K247" s="21">
        <v>1.95</v>
      </c>
      <c r="L247" s="29">
        <f t="shared" si="28"/>
        <v>0</v>
      </c>
      <c r="M247" s="23">
        <f t="shared" si="29"/>
        <v>0</v>
      </c>
      <c r="N247" s="21" t="e">
        <f t="shared" si="25"/>
        <v>#DIV/0!</v>
      </c>
      <c r="O247" s="21" t="e">
        <f t="shared" si="26"/>
        <v>#DIV/0!</v>
      </c>
      <c r="P247" s="16">
        <f t="shared" si="27"/>
        <v>134.016666666667</v>
      </c>
    </row>
    <row r="248" s="2" customFormat="1" spans="1:16">
      <c r="A248" s="15">
        <f t="shared" si="30"/>
        <v>44443</v>
      </c>
      <c r="B248" s="21">
        <v>488.52</v>
      </c>
      <c r="C248" s="22">
        <v>10303</v>
      </c>
      <c r="D248" s="31">
        <v>270</v>
      </c>
      <c r="E248" s="25">
        <v>0</v>
      </c>
      <c r="F248" s="16">
        <v>0</v>
      </c>
      <c r="G248" s="25">
        <v>1</v>
      </c>
      <c r="H248" s="25">
        <v>0</v>
      </c>
      <c r="I248" s="25">
        <v>0</v>
      </c>
      <c r="J248" s="23">
        <v>0.0262</v>
      </c>
      <c r="K248" s="21">
        <v>1.81</v>
      </c>
      <c r="L248" s="29">
        <f t="shared" si="28"/>
        <v>0</v>
      </c>
      <c r="M248" s="23">
        <f t="shared" si="29"/>
        <v>0</v>
      </c>
      <c r="N248" s="21" t="e">
        <f t="shared" si="25"/>
        <v>#DIV/0!</v>
      </c>
      <c r="O248" s="21" t="e">
        <f t="shared" si="26"/>
        <v>#DIV/0!</v>
      </c>
      <c r="P248" s="16">
        <f t="shared" si="27"/>
        <v>488.52</v>
      </c>
    </row>
    <row r="249" s="2" customFormat="1" spans="1:16">
      <c r="A249" s="15">
        <f t="shared" si="30"/>
        <v>44444</v>
      </c>
      <c r="B249" s="21">
        <v>574.73</v>
      </c>
      <c r="C249" s="22">
        <v>8809</v>
      </c>
      <c r="D249" s="31">
        <v>290</v>
      </c>
      <c r="E249" s="25">
        <v>0</v>
      </c>
      <c r="F249" s="16">
        <v>0</v>
      </c>
      <c r="G249" s="25">
        <v>7</v>
      </c>
      <c r="H249" s="25">
        <v>1</v>
      </c>
      <c r="I249" s="25">
        <v>0</v>
      </c>
      <c r="J249" s="23">
        <v>0.0329</v>
      </c>
      <c r="K249" s="21">
        <v>1.98</v>
      </c>
      <c r="L249" s="29">
        <f t="shared" si="28"/>
        <v>0</v>
      </c>
      <c r="M249" s="23">
        <f t="shared" si="29"/>
        <v>0</v>
      </c>
      <c r="N249" s="21" t="e">
        <f t="shared" si="25"/>
        <v>#DIV/0!</v>
      </c>
      <c r="O249" s="21" t="e">
        <f t="shared" si="26"/>
        <v>#DIV/0!</v>
      </c>
      <c r="P249" s="16">
        <f t="shared" si="27"/>
        <v>82.1042857142857</v>
      </c>
    </row>
    <row r="250" s="2" customFormat="1" spans="1:16">
      <c r="A250" s="15">
        <f t="shared" si="30"/>
        <v>44445</v>
      </c>
      <c r="B250" s="21">
        <v>384.9</v>
      </c>
      <c r="C250" s="22">
        <v>6944</v>
      </c>
      <c r="D250" s="31">
        <v>202</v>
      </c>
      <c r="E250" s="25">
        <v>0</v>
      </c>
      <c r="F250" s="16">
        <v>0</v>
      </c>
      <c r="G250" s="25">
        <v>5</v>
      </c>
      <c r="H250" s="25">
        <v>2</v>
      </c>
      <c r="I250" s="25">
        <v>0</v>
      </c>
      <c r="J250" s="23">
        <v>0.0291</v>
      </c>
      <c r="K250" s="21">
        <v>1.91</v>
      </c>
      <c r="L250" s="29">
        <f t="shared" si="28"/>
        <v>0</v>
      </c>
      <c r="M250" s="23">
        <f t="shared" si="29"/>
        <v>0</v>
      </c>
      <c r="N250" s="21" t="e">
        <f t="shared" si="25"/>
        <v>#DIV/0!</v>
      </c>
      <c r="O250" s="21" t="e">
        <f t="shared" si="26"/>
        <v>#DIV/0!</v>
      </c>
      <c r="P250" s="16">
        <f t="shared" si="27"/>
        <v>76.98</v>
      </c>
    </row>
    <row r="251" s="2" customFormat="1" spans="1:16">
      <c r="A251" s="15">
        <f t="shared" si="30"/>
        <v>44446</v>
      </c>
      <c r="B251" s="21">
        <v>43.8</v>
      </c>
      <c r="C251" s="22">
        <v>1242</v>
      </c>
      <c r="D251" s="31">
        <v>29</v>
      </c>
      <c r="E251" s="25">
        <v>0</v>
      </c>
      <c r="F251" s="16">
        <v>0</v>
      </c>
      <c r="G251" s="25">
        <v>0</v>
      </c>
      <c r="H251" s="25">
        <v>0</v>
      </c>
      <c r="I251" s="25">
        <v>0</v>
      </c>
      <c r="J251" s="23">
        <v>0.0233</v>
      </c>
      <c r="K251" s="21">
        <v>1.51</v>
      </c>
      <c r="L251" s="29">
        <f t="shared" si="28"/>
        <v>0</v>
      </c>
      <c r="M251" s="23">
        <f t="shared" si="29"/>
        <v>0</v>
      </c>
      <c r="N251" s="21" t="e">
        <f t="shared" si="25"/>
        <v>#DIV/0!</v>
      </c>
      <c r="O251" s="21" t="e">
        <f t="shared" si="26"/>
        <v>#DIV/0!</v>
      </c>
      <c r="P251" s="16" t="e">
        <f t="shared" si="27"/>
        <v>#DIV/0!</v>
      </c>
    </row>
    <row r="252" s="2" customFormat="1" spans="1:16">
      <c r="A252" s="15">
        <f t="shared" si="30"/>
        <v>44447</v>
      </c>
      <c r="B252" s="21" t="s">
        <v>16</v>
      </c>
      <c r="C252" s="32" t="s">
        <v>16</v>
      </c>
      <c r="D252" s="32" t="s">
        <v>16</v>
      </c>
      <c r="E252" s="28" t="s">
        <v>16</v>
      </c>
      <c r="F252" s="21" t="s">
        <v>16</v>
      </c>
      <c r="G252" s="28" t="s">
        <v>16</v>
      </c>
      <c r="H252" s="28" t="s">
        <v>16</v>
      </c>
      <c r="I252" s="28" t="s">
        <v>16</v>
      </c>
      <c r="J252" s="28" t="s">
        <v>16</v>
      </c>
      <c r="K252" s="21" t="s">
        <v>16</v>
      </c>
      <c r="L252" s="29" t="e">
        <f t="shared" si="28"/>
        <v>#VALUE!</v>
      </c>
      <c r="M252" s="23" t="e">
        <f t="shared" si="29"/>
        <v>#VALUE!</v>
      </c>
      <c r="N252" s="21" t="e">
        <f t="shared" si="25"/>
        <v>#VALUE!</v>
      </c>
      <c r="O252" s="21" t="e">
        <f t="shared" si="26"/>
        <v>#VALUE!</v>
      </c>
      <c r="P252" s="16" t="e">
        <f t="shared" si="27"/>
        <v>#VALUE!</v>
      </c>
    </row>
    <row r="253" s="2" customFormat="1" spans="1:16">
      <c r="A253" s="15">
        <f t="shared" si="30"/>
        <v>44448</v>
      </c>
      <c r="B253" s="21">
        <v>299.88</v>
      </c>
      <c r="C253" s="22">
        <v>4340</v>
      </c>
      <c r="D253" s="31">
        <v>136</v>
      </c>
      <c r="E253" s="25">
        <v>1</v>
      </c>
      <c r="F253" s="16">
        <v>0.01</v>
      </c>
      <c r="G253" s="25">
        <v>3</v>
      </c>
      <c r="H253" s="25">
        <v>2</v>
      </c>
      <c r="I253" s="25">
        <v>1</v>
      </c>
      <c r="J253" s="23">
        <v>0.0313</v>
      </c>
      <c r="K253" s="21">
        <v>2.21</v>
      </c>
      <c r="L253" s="29">
        <f t="shared" si="28"/>
        <v>3.33466720021342e-5</v>
      </c>
      <c r="M253" s="23">
        <f t="shared" si="29"/>
        <v>0.00735294117647059</v>
      </c>
      <c r="N253" s="21">
        <f t="shared" si="25"/>
        <v>0.01</v>
      </c>
      <c r="O253" s="21">
        <f t="shared" si="26"/>
        <v>299.88</v>
      </c>
      <c r="P253" s="16">
        <f t="shared" si="27"/>
        <v>99.96</v>
      </c>
    </row>
    <row r="254" s="2" customFormat="1" spans="1:16">
      <c r="A254" s="15">
        <f t="shared" si="30"/>
        <v>44449</v>
      </c>
      <c r="B254" s="21">
        <v>342.66</v>
      </c>
      <c r="C254" s="22">
        <v>3888</v>
      </c>
      <c r="D254" s="31">
        <v>188</v>
      </c>
      <c r="E254" s="25">
        <v>0</v>
      </c>
      <c r="F254" s="16">
        <v>0</v>
      </c>
      <c r="G254" s="25">
        <v>1</v>
      </c>
      <c r="H254" s="25">
        <v>2</v>
      </c>
      <c r="I254" s="25">
        <v>0</v>
      </c>
      <c r="J254" s="23">
        <v>0.0484</v>
      </c>
      <c r="K254" s="21">
        <v>1.82</v>
      </c>
      <c r="L254" s="29">
        <f t="shared" si="28"/>
        <v>0</v>
      </c>
      <c r="M254" s="23">
        <f t="shared" si="29"/>
        <v>0</v>
      </c>
      <c r="N254" s="21" t="e">
        <f t="shared" si="25"/>
        <v>#DIV/0!</v>
      </c>
      <c r="O254" s="21" t="e">
        <f t="shared" si="26"/>
        <v>#DIV/0!</v>
      </c>
      <c r="P254" s="16">
        <f t="shared" si="27"/>
        <v>342.66</v>
      </c>
    </row>
    <row r="255" s="2" customFormat="1" spans="1:16">
      <c r="A255" s="15">
        <f t="shared" si="30"/>
        <v>44450</v>
      </c>
      <c r="B255" s="21" t="s">
        <v>16</v>
      </c>
      <c r="C255" s="22"/>
      <c r="D255" s="31"/>
      <c r="E255" s="25"/>
      <c r="F255" s="16"/>
      <c r="G255" s="25"/>
      <c r="H255" s="25"/>
      <c r="I255" s="25"/>
      <c r="J255" s="23"/>
      <c r="K255" s="21"/>
      <c r="L255" s="29" t="e">
        <f t="shared" si="28"/>
        <v>#VALUE!</v>
      </c>
      <c r="M255" s="23" t="e">
        <f t="shared" si="29"/>
        <v>#DIV/0!</v>
      </c>
      <c r="N255" s="21" t="e">
        <f t="shared" si="25"/>
        <v>#DIV/0!</v>
      </c>
      <c r="O255" s="21" t="e">
        <f t="shared" si="26"/>
        <v>#VALUE!</v>
      </c>
      <c r="P255" s="16" t="e">
        <f t="shared" si="27"/>
        <v>#VALUE!</v>
      </c>
    </row>
    <row r="256" s="2" customFormat="1" spans="1:16">
      <c r="A256" s="15">
        <f t="shared" si="30"/>
        <v>44451</v>
      </c>
      <c r="B256" s="21">
        <v>292.34</v>
      </c>
      <c r="C256" s="22">
        <v>3886</v>
      </c>
      <c r="D256" s="31">
        <v>196</v>
      </c>
      <c r="E256" s="25">
        <v>0</v>
      </c>
      <c r="F256" s="16">
        <v>0</v>
      </c>
      <c r="G256" s="25">
        <v>3</v>
      </c>
      <c r="H256" s="25">
        <v>1</v>
      </c>
      <c r="I256" s="25">
        <v>0</v>
      </c>
      <c r="J256" s="23">
        <v>0.0504</v>
      </c>
      <c r="K256" s="21">
        <v>1.49</v>
      </c>
      <c r="L256" s="29">
        <f t="shared" si="28"/>
        <v>0</v>
      </c>
      <c r="M256" s="23">
        <f t="shared" si="29"/>
        <v>0</v>
      </c>
      <c r="N256" s="21" t="e">
        <f t="shared" si="25"/>
        <v>#DIV/0!</v>
      </c>
      <c r="O256" s="21" t="e">
        <f t="shared" si="26"/>
        <v>#DIV/0!</v>
      </c>
      <c r="P256" s="16">
        <f t="shared" si="27"/>
        <v>97.4466666666667</v>
      </c>
    </row>
    <row r="257" s="2" customFormat="1" spans="1:16">
      <c r="A257" s="15">
        <f t="shared" si="30"/>
        <v>44452</v>
      </c>
      <c r="B257" s="21">
        <v>300</v>
      </c>
      <c r="C257" s="22">
        <v>3456</v>
      </c>
      <c r="D257" s="31">
        <v>145</v>
      </c>
      <c r="E257" s="25">
        <v>0</v>
      </c>
      <c r="F257" s="16">
        <v>0</v>
      </c>
      <c r="G257" s="25">
        <v>1</v>
      </c>
      <c r="H257" s="25">
        <v>0</v>
      </c>
      <c r="I257" s="25">
        <v>0</v>
      </c>
      <c r="J257" s="23">
        <v>0.042</v>
      </c>
      <c r="K257" s="21">
        <v>2.07</v>
      </c>
      <c r="L257" s="29">
        <f t="shared" si="28"/>
        <v>0</v>
      </c>
      <c r="M257" s="23">
        <f t="shared" si="29"/>
        <v>0</v>
      </c>
      <c r="N257" s="21" t="e">
        <f t="shared" si="25"/>
        <v>#DIV/0!</v>
      </c>
      <c r="O257" s="21" t="e">
        <f t="shared" si="26"/>
        <v>#DIV/0!</v>
      </c>
      <c r="P257" s="16">
        <f t="shared" si="27"/>
        <v>300</v>
      </c>
    </row>
    <row r="258" s="2" customFormat="1" spans="1:16">
      <c r="A258" s="15">
        <f t="shared" si="30"/>
        <v>44453</v>
      </c>
      <c r="B258" s="21">
        <v>291.21</v>
      </c>
      <c r="C258" s="22">
        <v>4642</v>
      </c>
      <c r="D258" s="31">
        <v>160</v>
      </c>
      <c r="E258" s="25">
        <v>0</v>
      </c>
      <c r="F258" s="16">
        <v>0</v>
      </c>
      <c r="G258" s="25">
        <v>3</v>
      </c>
      <c r="H258" s="25">
        <v>1</v>
      </c>
      <c r="I258" s="25">
        <v>3</v>
      </c>
      <c r="J258" s="23">
        <v>0.0345</v>
      </c>
      <c r="K258" s="21">
        <v>1.82</v>
      </c>
      <c r="L258" s="29">
        <f t="shared" si="28"/>
        <v>0</v>
      </c>
      <c r="M258" s="23">
        <f t="shared" si="29"/>
        <v>0</v>
      </c>
      <c r="N258" s="21" t="e">
        <f t="shared" ref="N258:N321" si="31">F258/E258</f>
        <v>#DIV/0!</v>
      </c>
      <c r="O258" s="21" t="e">
        <f t="shared" ref="O258:O321" si="32">B258/E258</f>
        <v>#DIV/0!</v>
      </c>
      <c r="P258" s="16">
        <f t="shared" ref="P258:P321" si="33">B258/G258</f>
        <v>97.07</v>
      </c>
    </row>
    <row r="259" s="2" customFormat="1" spans="1:16">
      <c r="A259" s="15">
        <f t="shared" si="30"/>
        <v>44454</v>
      </c>
      <c r="B259" s="21">
        <v>299.35</v>
      </c>
      <c r="C259" s="22">
        <v>6187</v>
      </c>
      <c r="D259" s="31">
        <v>149</v>
      </c>
      <c r="E259" s="25">
        <v>0</v>
      </c>
      <c r="F259" s="16">
        <v>0</v>
      </c>
      <c r="G259" s="25">
        <v>3</v>
      </c>
      <c r="H259" s="25">
        <v>0</v>
      </c>
      <c r="I259" s="25">
        <v>1</v>
      </c>
      <c r="J259" s="23">
        <v>0.0241</v>
      </c>
      <c r="K259" s="21">
        <v>2.01</v>
      </c>
      <c r="L259" s="29">
        <f t="shared" si="28"/>
        <v>0</v>
      </c>
      <c r="M259" s="23">
        <f t="shared" si="29"/>
        <v>0</v>
      </c>
      <c r="N259" s="21" t="e">
        <f t="shared" si="31"/>
        <v>#DIV/0!</v>
      </c>
      <c r="O259" s="21" t="e">
        <f t="shared" si="32"/>
        <v>#DIV/0!</v>
      </c>
      <c r="P259" s="16">
        <f t="shared" si="33"/>
        <v>99.7833333333333</v>
      </c>
    </row>
    <row r="260" s="2" customFormat="1" spans="1:16">
      <c r="A260" s="15">
        <f t="shared" si="30"/>
        <v>44455</v>
      </c>
      <c r="B260" s="21">
        <v>300</v>
      </c>
      <c r="C260" s="22">
        <v>5595</v>
      </c>
      <c r="D260" s="31">
        <v>115</v>
      </c>
      <c r="E260" s="25">
        <v>0</v>
      </c>
      <c r="F260" s="16">
        <v>0</v>
      </c>
      <c r="G260" s="25">
        <v>2</v>
      </c>
      <c r="H260" s="25">
        <v>0</v>
      </c>
      <c r="I260" s="25">
        <v>0</v>
      </c>
      <c r="J260" s="23">
        <v>0.0206</v>
      </c>
      <c r="K260" s="21">
        <v>2.61</v>
      </c>
      <c r="L260" s="29">
        <f t="shared" si="28"/>
        <v>0</v>
      </c>
      <c r="M260" s="23">
        <f t="shared" si="29"/>
        <v>0</v>
      </c>
      <c r="N260" s="21" t="e">
        <f t="shared" si="31"/>
        <v>#DIV/0!</v>
      </c>
      <c r="O260" s="21" t="e">
        <f t="shared" si="32"/>
        <v>#DIV/0!</v>
      </c>
      <c r="P260" s="16">
        <f t="shared" si="33"/>
        <v>150</v>
      </c>
    </row>
    <row r="261" s="2" customFormat="1" spans="1:16">
      <c r="A261" s="15">
        <f t="shared" si="30"/>
        <v>44456</v>
      </c>
      <c r="B261" s="21">
        <v>293.98</v>
      </c>
      <c r="C261" s="22">
        <v>4144</v>
      </c>
      <c r="D261" s="31">
        <v>148</v>
      </c>
      <c r="E261" s="25">
        <v>0</v>
      </c>
      <c r="F261" s="16">
        <v>0</v>
      </c>
      <c r="G261" s="25">
        <v>2</v>
      </c>
      <c r="H261" s="25">
        <v>1</v>
      </c>
      <c r="I261" s="25">
        <v>1</v>
      </c>
      <c r="J261" s="23">
        <v>0.0357</v>
      </c>
      <c r="K261" s="21">
        <v>1.99</v>
      </c>
      <c r="L261" s="29">
        <f t="shared" si="28"/>
        <v>0</v>
      </c>
      <c r="M261" s="23">
        <f t="shared" si="29"/>
        <v>0</v>
      </c>
      <c r="N261" s="21" t="e">
        <f t="shared" si="31"/>
        <v>#DIV/0!</v>
      </c>
      <c r="O261" s="21" t="e">
        <f t="shared" si="32"/>
        <v>#DIV/0!</v>
      </c>
      <c r="P261" s="16">
        <f t="shared" si="33"/>
        <v>146.99</v>
      </c>
    </row>
    <row r="262" s="2" customFormat="1" spans="1:16">
      <c r="A262" s="15">
        <f t="shared" si="30"/>
        <v>44457</v>
      </c>
      <c r="B262" s="21">
        <v>297.31</v>
      </c>
      <c r="C262" s="22">
        <v>4038</v>
      </c>
      <c r="D262" s="31">
        <v>148</v>
      </c>
      <c r="E262" s="25">
        <v>0</v>
      </c>
      <c r="F262" s="16">
        <v>0</v>
      </c>
      <c r="G262" s="25">
        <v>0</v>
      </c>
      <c r="H262" s="25">
        <v>1</v>
      </c>
      <c r="I262" s="25">
        <v>1</v>
      </c>
      <c r="J262" s="23">
        <v>0.0367</v>
      </c>
      <c r="K262" s="21">
        <v>2.01</v>
      </c>
      <c r="L262" s="29">
        <f t="shared" si="28"/>
        <v>0</v>
      </c>
      <c r="M262" s="23">
        <f t="shared" si="29"/>
        <v>0</v>
      </c>
      <c r="N262" s="21" t="e">
        <f t="shared" si="31"/>
        <v>#DIV/0!</v>
      </c>
      <c r="O262" s="21" t="e">
        <f t="shared" si="32"/>
        <v>#DIV/0!</v>
      </c>
      <c r="P262" s="16" t="e">
        <f t="shared" si="33"/>
        <v>#DIV/0!</v>
      </c>
    </row>
    <row r="263" s="2" customFormat="1" spans="1:16">
      <c r="A263" s="15">
        <f t="shared" si="30"/>
        <v>44458</v>
      </c>
      <c r="B263" s="21">
        <v>300</v>
      </c>
      <c r="C263" s="22">
        <v>4311</v>
      </c>
      <c r="D263" s="31">
        <v>151</v>
      </c>
      <c r="E263" s="25">
        <v>0</v>
      </c>
      <c r="F263" s="16">
        <v>0</v>
      </c>
      <c r="G263" s="25">
        <v>2</v>
      </c>
      <c r="H263" s="25">
        <v>0</v>
      </c>
      <c r="I263" s="25">
        <v>0</v>
      </c>
      <c r="J263" s="23">
        <v>0.035</v>
      </c>
      <c r="K263" s="21">
        <v>1.99</v>
      </c>
      <c r="L263" s="29">
        <f t="shared" si="28"/>
        <v>0</v>
      </c>
      <c r="M263" s="23">
        <f t="shared" si="29"/>
        <v>0</v>
      </c>
      <c r="N263" s="21" t="e">
        <f t="shared" si="31"/>
        <v>#DIV/0!</v>
      </c>
      <c r="O263" s="21" t="e">
        <f t="shared" si="32"/>
        <v>#DIV/0!</v>
      </c>
      <c r="P263" s="16">
        <f t="shared" si="33"/>
        <v>150</v>
      </c>
    </row>
    <row r="264" s="2" customFormat="1" spans="1:16">
      <c r="A264" s="15">
        <f t="shared" si="30"/>
        <v>44459</v>
      </c>
      <c r="B264" s="21">
        <v>300</v>
      </c>
      <c r="C264" s="22">
        <v>3946</v>
      </c>
      <c r="D264" s="31">
        <v>149</v>
      </c>
      <c r="E264" s="25">
        <v>0</v>
      </c>
      <c r="F264" s="16">
        <v>0</v>
      </c>
      <c r="G264" s="25">
        <v>3</v>
      </c>
      <c r="H264" s="25">
        <v>0</v>
      </c>
      <c r="I264" s="25">
        <v>0</v>
      </c>
      <c r="J264" s="23">
        <v>0.0378</v>
      </c>
      <c r="K264" s="21">
        <v>2.01</v>
      </c>
      <c r="L264" s="29">
        <f t="shared" si="28"/>
        <v>0</v>
      </c>
      <c r="M264" s="23">
        <f t="shared" si="29"/>
        <v>0</v>
      </c>
      <c r="N264" s="21" t="e">
        <f t="shared" si="31"/>
        <v>#DIV/0!</v>
      </c>
      <c r="O264" s="21" t="e">
        <f t="shared" si="32"/>
        <v>#DIV/0!</v>
      </c>
      <c r="P264" s="16">
        <f t="shared" si="33"/>
        <v>100</v>
      </c>
    </row>
    <row r="265" s="2" customFormat="1" spans="1:16">
      <c r="A265" s="15">
        <f t="shared" si="30"/>
        <v>44460</v>
      </c>
      <c r="B265" s="21">
        <v>300</v>
      </c>
      <c r="C265" s="22">
        <v>3970</v>
      </c>
      <c r="D265" s="31">
        <v>155</v>
      </c>
      <c r="E265" s="25">
        <v>0</v>
      </c>
      <c r="F265" s="16">
        <v>0</v>
      </c>
      <c r="G265" s="25">
        <v>6</v>
      </c>
      <c r="H265" s="25">
        <v>2</v>
      </c>
      <c r="I265" s="25">
        <v>0</v>
      </c>
      <c r="J265" s="23">
        <v>0.039</v>
      </c>
      <c r="K265" s="21">
        <v>1.94</v>
      </c>
      <c r="L265" s="29">
        <f t="shared" si="28"/>
        <v>0</v>
      </c>
      <c r="M265" s="23">
        <f t="shared" si="29"/>
        <v>0</v>
      </c>
      <c r="N265" s="21" t="e">
        <f t="shared" si="31"/>
        <v>#DIV/0!</v>
      </c>
      <c r="O265" s="21" t="e">
        <f t="shared" si="32"/>
        <v>#DIV/0!</v>
      </c>
      <c r="P265" s="16">
        <f t="shared" si="33"/>
        <v>50</v>
      </c>
    </row>
    <row r="266" s="2" customFormat="1" spans="1:16">
      <c r="A266" s="15">
        <f t="shared" si="30"/>
        <v>44461</v>
      </c>
      <c r="B266" s="21">
        <v>300</v>
      </c>
      <c r="C266" s="22">
        <v>5382</v>
      </c>
      <c r="D266" s="31">
        <v>167</v>
      </c>
      <c r="E266" s="25">
        <v>0</v>
      </c>
      <c r="F266" s="16">
        <v>0</v>
      </c>
      <c r="G266" s="25">
        <v>1</v>
      </c>
      <c r="H266" s="25">
        <v>2</v>
      </c>
      <c r="I266" s="25">
        <v>1</v>
      </c>
      <c r="J266" s="23">
        <v>0.031</v>
      </c>
      <c r="K266" s="21">
        <v>1.8</v>
      </c>
      <c r="L266" s="29">
        <f t="shared" si="28"/>
        <v>0</v>
      </c>
      <c r="M266" s="23">
        <f t="shared" si="29"/>
        <v>0</v>
      </c>
      <c r="N266" s="21" t="e">
        <f t="shared" si="31"/>
        <v>#DIV/0!</v>
      </c>
      <c r="O266" s="21" t="e">
        <f t="shared" si="32"/>
        <v>#DIV/0!</v>
      </c>
      <c r="P266" s="16">
        <f t="shared" si="33"/>
        <v>300</v>
      </c>
    </row>
    <row r="267" s="2" customFormat="1" spans="1:16">
      <c r="A267" s="15">
        <f t="shared" si="30"/>
        <v>44462</v>
      </c>
      <c r="B267" s="21">
        <v>300</v>
      </c>
      <c r="C267" s="22">
        <v>5078</v>
      </c>
      <c r="D267" s="31">
        <v>164</v>
      </c>
      <c r="E267" s="25">
        <v>0</v>
      </c>
      <c r="F267" s="16">
        <v>0</v>
      </c>
      <c r="G267" s="25">
        <v>0</v>
      </c>
      <c r="H267" s="25">
        <v>1</v>
      </c>
      <c r="I267" s="25">
        <v>0</v>
      </c>
      <c r="J267" s="23">
        <v>0.0323</v>
      </c>
      <c r="K267" s="21">
        <v>1.83</v>
      </c>
      <c r="L267" s="29">
        <f t="shared" si="28"/>
        <v>0</v>
      </c>
      <c r="M267" s="23">
        <f t="shared" si="29"/>
        <v>0</v>
      </c>
      <c r="N267" s="21" t="e">
        <f t="shared" si="31"/>
        <v>#DIV/0!</v>
      </c>
      <c r="O267" s="21" t="e">
        <f t="shared" si="32"/>
        <v>#DIV/0!</v>
      </c>
      <c r="P267" s="16" t="e">
        <f t="shared" si="33"/>
        <v>#DIV/0!</v>
      </c>
    </row>
    <row r="268" s="2" customFormat="1" spans="1:16">
      <c r="A268" s="15">
        <f t="shared" si="30"/>
        <v>44463</v>
      </c>
      <c r="B268" s="21">
        <v>300</v>
      </c>
      <c r="C268" s="22">
        <v>4716</v>
      </c>
      <c r="D268" s="31">
        <v>150</v>
      </c>
      <c r="E268" s="25">
        <v>1</v>
      </c>
      <c r="F268" s="16">
        <v>0.01</v>
      </c>
      <c r="G268" s="25">
        <v>2</v>
      </c>
      <c r="H268" s="25">
        <v>0</v>
      </c>
      <c r="I268" s="25">
        <v>2</v>
      </c>
      <c r="J268" s="23">
        <v>0.0359</v>
      </c>
      <c r="K268" s="21">
        <v>2</v>
      </c>
      <c r="L268" s="29">
        <f t="shared" si="28"/>
        <v>3.33333333333333e-5</v>
      </c>
      <c r="M268" s="23">
        <f t="shared" si="29"/>
        <v>0.00666666666666667</v>
      </c>
      <c r="N268" s="21">
        <f t="shared" si="31"/>
        <v>0.01</v>
      </c>
      <c r="O268" s="21">
        <f t="shared" si="32"/>
        <v>300</v>
      </c>
      <c r="P268" s="16">
        <f t="shared" si="33"/>
        <v>150</v>
      </c>
    </row>
    <row r="269" s="2" customFormat="1" spans="1:16">
      <c r="A269" s="15">
        <f t="shared" si="30"/>
        <v>44464</v>
      </c>
      <c r="B269" s="21">
        <v>300</v>
      </c>
      <c r="C269" s="22">
        <v>5464</v>
      </c>
      <c r="D269" s="31">
        <v>195</v>
      </c>
      <c r="E269" s="25">
        <v>0</v>
      </c>
      <c r="F269" s="16">
        <v>0</v>
      </c>
      <c r="G269" s="25">
        <v>4</v>
      </c>
      <c r="H269" s="25">
        <v>1</v>
      </c>
      <c r="I269" s="25">
        <v>0</v>
      </c>
      <c r="J269" s="23">
        <v>0.0357</v>
      </c>
      <c r="K269" s="21">
        <v>2.54</v>
      </c>
      <c r="L269" s="29">
        <f t="shared" si="28"/>
        <v>0</v>
      </c>
      <c r="M269" s="23">
        <f t="shared" si="29"/>
        <v>0</v>
      </c>
      <c r="N269" s="21" t="e">
        <f t="shared" si="31"/>
        <v>#DIV/0!</v>
      </c>
      <c r="O269" s="21" t="e">
        <f t="shared" si="32"/>
        <v>#DIV/0!</v>
      </c>
      <c r="P269" s="16">
        <f t="shared" si="33"/>
        <v>75</v>
      </c>
    </row>
    <row r="270" s="2" customFormat="1" spans="1:16">
      <c r="A270" s="15">
        <f t="shared" si="30"/>
        <v>44465</v>
      </c>
      <c r="B270" s="21">
        <v>300</v>
      </c>
      <c r="C270" s="22">
        <v>5927</v>
      </c>
      <c r="D270" s="31">
        <v>175</v>
      </c>
      <c r="E270" s="25">
        <v>0</v>
      </c>
      <c r="F270" s="16">
        <v>0</v>
      </c>
      <c r="G270" s="25">
        <v>2</v>
      </c>
      <c r="H270" s="25">
        <v>0</v>
      </c>
      <c r="I270" s="25">
        <v>2</v>
      </c>
      <c r="J270" s="23">
        <v>0.0295</v>
      </c>
      <c r="K270" s="21">
        <v>1.71</v>
      </c>
      <c r="L270" s="29">
        <f t="shared" si="28"/>
        <v>0</v>
      </c>
      <c r="M270" s="23">
        <f t="shared" si="29"/>
        <v>0</v>
      </c>
      <c r="N270" s="21" t="e">
        <f t="shared" si="31"/>
        <v>#DIV/0!</v>
      </c>
      <c r="O270" s="21" t="e">
        <f t="shared" si="32"/>
        <v>#DIV/0!</v>
      </c>
      <c r="P270" s="16">
        <f t="shared" si="33"/>
        <v>150</v>
      </c>
    </row>
    <row r="271" s="2" customFormat="1" spans="1:16">
      <c r="A271" s="15">
        <f t="shared" si="30"/>
        <v>44466</v>
      </c>
      <c r="B271" s="21">
        <v>298.94</v>
      </c>
      <c r="C271" s="22">
        <v>6005</v>
      </c>
      <c r="D271" s="31">
        <v>197</v>
      </c>
      <c r="E271" s="25">
        <v>0</v>
      </c>
      <c r="F271" s="16">
        <v>0</v>
      </c>
      <c r="G271" s="25">
        <v>5</v>
      </c>
      <c r="H271" s="25">
        <v>1</v>
      </c>
      <c r="I271" s="25">
        <v>0</v>
      </c>
      <c r="J271" s="23">
        <v>0.0328</v>
      </c>
      <c r="K271" s="21">
        <v>1.52</v>
      </c>
      <c r="L271" s="29">
        <f t="shared" si="28"/>
        <v>0</v>
      </c>
      <c r="M271" s="23">
        <f t="shared" si="29"/>
        <v>0</v>
      </c>
      <c r="N271" s="21" t="e">
        <f t="shared" si="31"/>
        <v>#DIV/0!</v>
      </c>
      <c r="O271" s="21" t="e">
        <f t="shared" si="32"/>
        <v>#DIV/0!</v>
      </c>
      <c r="P271" s="16">
        <f t="shared" si="33"/>
        <v>59.788</v>
      </c>
    </row>
    <row r="272" s="2" customFormat="1" spans="1:16">
      <c r="A272" s="15">
        <f t="shared" si="30"/>
        <v>44467</v>
      </c>
      <c r="B272" s="21">
        <v>300</v>
      </c>
      <c r="C272" s="22">
        <v>6094</v>
      </c>
      <c r="D272" s="31">
        <v>177</v>
      </c>
      <c r="E272" s="25">
        <v>0</v>
      </c>
      <c r="F272" s="16">
        <v>0</v>
      </c>
      <c r="G272" s="25">
        <v>2</v>
      </c>
      <c r="H272" s="25">
        <v>1</v>
      </c>
      <c r="I272" s="25">
        <v>3</v>
      </c>
      <c r="J272" s="23">
        <v>0.029</v>
      </c>
      <c r="K272" s="21">
        <v>1.69</v>
      </c>
      <c r="L272" s="29">
        <f t="shared" si="28"/>
        <v>0</v>
      </c>
      <c r="M272" s="23">
        <f t="shared" si="29"/>
        <v>0</v>
      </c>
      <c r="N272" s="21" t="e">
        <f t="shared" si="31"/>
        <v>#DIV/0!</v>
      </c>
      <c r="O272" s="21" t="e">
        <f t="shared" si="32"/>
        <v>#DIV/0!</v>
      </c>
      <c r="P272" s="16">
        <f t="shared" si="33"/>
        <v>150</v>
      </c>
    </row>
    <row r="273" s="2" customFormat="1" spans="1:16">
      <c r="A273" s="15">
        <f t="shared" si="30"/>
        <v>44468</v>
      </c>
      <c r="B273" s="21">
        <v>389.38</v>
      </c>
      <c r="C273" s="22">
        <v>8361</v>
      </c>
      <c r="D273" s="31">
        <v>259</v>
      </c>
      <c r="E273" s="25">
        <v>0</v>
      </c>
      <c r="F273" s="16">
        <v>0</v>
      </c>
      <c r="G273" s="25">
        <v>6</v>
      </c>
      <c r="H273" s="25">
        <v>1</v>
      </c>
      <c r="I273" s="25">
        <v>1</v>
      </c>
      <c r="J273" s="23">
        <v>0.031</v>
      </c>
      <c r="K273" s="21">
        <v>1.5</v>
      </c>
      <c r="L273" s="29">
        <f t="shared" si="28"/>
        <v>0</v>
      </c>
      <c r="M273" s="23">
        <f t="shared" si="29"/>
        <v>0</v>
      </c>
      <c r="N273" s="21" t="e">
        <f t="shared" si="31"/>
        <v>#DIV/0!</v>
      </c>
      <c r="O273" s="21" t="e">
        <f t="shared" si="32"/>
        <v>#DIV/0!</v>
      </c>
      <c r="P273" s="16">
        <f t="shared" si="33"/>
        <v>64.8966666666667</v>
      </c>
    </row>
    <row r="274" s="2" customFormat="1" spans="1:16">
      <c r="A274" s="15">
        <f t="shared" si="30"/>
        <v>44469</v>
      </c>
      <c r="B274" s="21">
        <v>448.56</v>
      </c>
      <c r="C274" s="22">
        <v>6639</v>
      </c>
      <c r="D274" s="31">
        <v>260</v>
      </c>
      <c r="E274" s="25">
        <v>0</v>
      </c>
      <c r="F274" s="16">
        <v>0</v>
      </c>
      <c r="G274" s="25">
        <v>0</v>
      </c>
      <c r="H274" s="25">
        <v>1</v>
      </c>
      <c r="I274" s="25">
        <v>2</v>
      </c>
      <c r="J274" s="23">
        <v>0.0392</v>
      </c>
      <c r="K274" s="21">
        <v>1.73</v>
      </c>
      <c r="L274" s="29">
        <f t="shared" si="28"/>
        <v>0</v>
      </c>
      <c r="M274" s="23">
        <f t="shared" si="29"/>
        <v>0</v>
      </c>
      <c r="N274" s="21" t="e">
        <f t="shared" si="31"/>
        <v>#DIV/0!</v>
      </c>
      <c r="O274" s="21" t="e">
        <f t="shared" si="32"/>
        <v>#DIV/0!</v>
      </c>
      <c r="P274" s="16" t="e">
        <f t="shared" si="33"/>
        <v>#DIV/0!</v>
      </c>
    </row>
    <row r="275" s="2" customFormat="1" spans="1:16">
      <c r="A275" s="15">
        <f t="shared" si="30"/>
        <v>44470</v>
      </c>
      <c r="B275" s="21">
        <v>445.52</v>
      </c>
      <c r="C275" s="22">
        <v>7050</v>
      </c>
      <c r="D275" s="31">
        <v>260</v>
      </c>
      <c r="E275" s="25">
        <v>0</v>
      </c>
      <c r="F275" s="16">
        <v>0</v>
      </c>
      <c r="G275" s="25">
        <v>6</v>
      </c>
      <c r="H275" s="25">
        <v>3</v>
      </c>
      <c r="I275" s="25">
        <v>1</v>
      </c>
      <c r="J275" s="23">
        <v>0.0369</v>
      </c>
      <c r="K275" s="21">
        <v>1.71</v>
      </c>
      <c r="L275" s="29">
        <f t="shared" ref="L275:L338" si="34">F275/B275</f>
        <v>0</v>
      </c>
      <c r="M275" s="23">
        <f t="shared" ref="M275:M338" si="35">E275/D275</f>
        <v>0</v>
      </c>
      <c r="N275" s="21" t="e">
        <f t="shared" si="31"/>
        <v>#DIV/0!</v>
      </c>
      <c r="O275" s="21" t="e">
        <f t="shared" si="32"/>
        <v>#DIV/0!</v>
      </c>
      <c r="P275" s="16">
        <f t="shared" si="33"/>
        <v>74.2533333333333</v>
      </c>
    </row>
    <row r="276" s="2" customFormat="1" spans="1:16">
      <c r="A276" s="15">
        <f t="shared" si="30"/>
        <v>44471</v>
      </c>
      <c r="B276" s="21">
        <v>300</v>
      </c>
      <c r="C276" s="22">
        <v>5685</v>
      </c>
      <c r="D276" s="31">
        <v>219</v>
      </c>
      <c r="E276" s="25">
        <v>0</v>
      </c>
      <c r="F276" s="16">
        <v>0</v>
      </c>
      <c r="G276" s="25">
        <v>4</v>
      </c>
      <c r="H276" s="25">
        <v>0</v>
      </c>
      <c r="I276" s="25">
        <v>1</v>
      </c>
      <c r="J276" s="23">
        <v>0.0385</v>
      </c>
      <c r="K276" s="21">
        <v>1.37</v>
      </c>
      <c r="L276" s="29">
        <f t="shared" si="34"/>
        <v>0</v>
      </c>
      <c r="M276" s="23">
        <f t="shared" si="35"/>
        <v>0</v>
      </c>
      <c r="N276" s="21" t="e">
        <f t="shared" si="31"/>
        <v>#DIV/0!</v>
      </c>
      <c r="O276" s="21" t="e">
        <f t="shared" si="32"/>
        <v>#DIV/0!</v>
      </c>
      <c r="P276" s="16">
        <f t="shared" si="33"/>
        <v>75</v>
      </c>
    </row>
    <row r="277" s="2" customFormat="1" spans="1:16">
      <c r="A277" s="15">
        <f t="shared" si="30"/>
        <v>44472</v>
      </c>
      <c r="B277" s="21">
        <v>598.7</v>
      </c>
      <c r="C277" s="22">
        <v>8116</v>
      </c>
      <c r="D277" s="31">
        <v>340</v>
      </c>
      <c r="E277" s="25">
        <v>0</v>
      </c>
      <c r="F277" s="16">
        <v>0</v>
      </c>
      <c r="G277" s="25">
        <v>2</v>
      </c>
      <c r="H277" s="25">
        <v>3</v>
      </c>
      <c r="I277" s="25">
        <v>2</v>
      </c>
      <c r="J277" s="23">
        <v>0.0419</v>
      </c>
      <c r="K277" s="21">
        <v>1.76</v>
      </c>
      <c r="L277" s="29">
        <f t="shared" si="34"/>
        <v>0</v>
      </c>
      <c r="M277" s="23">
        <f t="shared" si="35"/>
        <v>0</v>
      </c>
      <c r="N277" s="21" t="e">
        <f t="shared" si="31"/>
        <v>#DIV/0!</v>
      </c>
      <c r="O277" s="21" t="e">
        <f t="shared" si="32"/>
        <v>#DIV/0!</v>
      </c>
      <c r="P277" s="16">
        <f t="shared" si="33"/>
        <v>299.35</v>
      </c>
    </row>
    <row r="278" s="2" customFormat="1" spans="1:16">
      <c r="A278" s="15">
        <f t="shared" si="30"/>
        <v>44473</v>
      </c>
      <c r="B278" s="21">
        <v>596.88</v>
      </c>
      <c r="C278" s="22">
        <v>8177</v>
      </c>
      <c r="D278" s="31">
        <v>349</v>
      </c>
      <c r="E278" s="25">
        <v>0</v>
      </c>
      <c r="F278" s="16">
        <v>0</v>
      </c>
      <c r="G278" s="25">
        <v>7</v>
      </c>
      <c r="H278" s="25">
        <v>4</v>
      </c>
      <c r="I278" s="25">
        <v>0</v>
      </c>
      <c r="J278" s="23">
        <v>0.0427</v>
      </c>
      <c r="K278" s="21">
        <v>1.71</v>
      </c>
      <c r="L278" s="29">
        <f t="shared" si="34"/>
        <v>0</v>
      </c>
      <c r="M278" s="23">
        <f t="shared" si="35"/>
        <v>0</v>
      </c>
      <c r="N278" s="21" t="e">
        <f t="shared" si="31"/>
        <v>#DIV/0!</v>
      </c>
      <c r="O278" s="21" t="e">
        <f t="shared" si="32"/>
        <v>#DIV/0!</v>
      </c>
      <c r="P278" s="16">
        <f t="shared" si="33"/>
        <v>85.2685714285714</v>
      </c>
    </row>
    <row r="279" s="2" customFormat="1" spans="1:16">
      <c r="A279" s="15">
        <f t="shared" si="30"/>
        <v>44474</v>
      </c>
      <c r="B279" s="21">
        <v>300</v>
      </c>
      <c r="C279" s="22">
        <v>4078</v>
      </c>
      <c r="D279" s="31">
        <v>161</v>
      </c>
      <c r="E279" s="25">
        <v>1</v>
      </c>
      <c r="F279" s="16">
        <v>0.01</v>
      </c>
      <c r="G279" s="25">
        <v>7</v>
      </c>
      <c r="H279" s="25">
        <v>2</v>
      </c>
      <c r="I279" s="25">
        <v>1</v>
      </c>
      <c r="J279" s="23">
        <v>0.0395</v>
      </c>
      <c r="K279" s="21">
        <v>1.86</v>
      </c>
      <c r="L279" s="29">
        <f t="shared" si="34"/>
        <v>3.33333333333333e-5</v>
      </c>
      <c r="M279" s="23">
        <f t="shared" si="35"/>
        <v>0.0062111801242236</v>
      </c>
      <c r="N279" s="21">
        <f t="shared" si="31"/>
        <v>0.01</v>
      </c>
      <c r="O279" s="21">
        <f t="shared" si="32"/>
        <v>300</v>
      </c>
      <c r="P279" s="16">
        <f t="shared" si="33"/>
        <v>42.8571428571429</v>
      </c>
    </row>
    <row r="280" s="2" customFormat="1" spans="1:16">
      <c r="A280" s="15">
        <f t="shared" si="30"/>
        <v>44475</v>
      </c>
      <c r="B280" s="21">
        <v>594.92</v>
      </c>
      <c r="C280" s="22">
        <v>7903</v>
      </c>
      <c r="D280" s="31">
        <v>356</v>
      </c>
      <c r="E280" s="25">
        <v>0</v>
      </c>
      <c r="F280" s="16">
        <v>0</v>
      </c>
      <c r="G280" s="25">
        <v>8</v>
      </c>
      <c r="H280" s="25">
        <v>1</v>
      </c>
      <c r="I280" s="25">
        <v>2</v>
      </c>
      <c r="J280" s="23">
        <v>0.045</v>
      </c>
      <c r="K280" s="21">
        <v>1.67</v>
      </c>
      <c r="L280" s="29">
        <f t="shared" si="34"/>
        <v>0</v>
      </c>
      <c r="M280" s="23">
        <f t="shared" si="35"/>
        <v>0</v>
      </c>
      <c r="N280" s="21" t="e">
        <f t="shared" si="31"/>
        <v>#DIV/0!</v>
      </c>
      <c r="O280" s="21" t="e">
        <f t="shared" si="32"/>
        <v>#DIV/0!</v>
      </c>
      <c r="P280" s="16">
        <f t="shared" si="33"/>
        <v>74.365</v>
      </c>
    </row>
    <row r="281" s="2" customFormat="1" spans="1:16">
      <c r="A281" s="15">
        <f t="shared" si="30"/>
        <v>44476</v>
      </c>
      <c r="B281" s="21">
        <v>591.06</v>
      </c>
      <c r="C281" s="22">
        <v>7942</v>
      </c>
      <c r="D281" s="31">
        <v>358</v>
      </c>
      <c r="E281" s="25">
        <v>0</v>
      </c>
      <c r="F281" s="16">
        <v>0</v>
      </c>
      <c r="G281" s="25">
        <v>7</v>
      </c>
      <c r="H281" s="25">
        <v>3</v>
      </c>
      <c r="I281" s="25">
        <v>1</v>
      </c>
      <c r="J281" s="23">
        <v>0.0451</v>
      </c>
      <c r="K281" s="21">
        <v>1.65</v>
      </c>
      <c r="L281" s="29">
        <f t="shared" si="34"/>
        <v>0</v>
      </c>
      <c r="M281" s="23">
        <f t="shared" si="35"/>
        <v>0</v>
      </c>
      <c r="N281" s="21" t="e">
        <f t="shared" si="31"/>
        <v>#DIV/0!</v>
      </c>
      <c r="O281" s="21" t="e">
        <f t="shared" si="32"/>
        <v>#DIV/0!</v>
      </c>
      <c r="P281" s="16">
        <f t="shared" si="33"/>
        <v>84.4371428571428</v>
      </c>
    </row>
    <row r="282" s="2" customFormat="1" spans="1:16">
      <c r="A282" s="15">
        <f t="shared" si="30"/>
        <v>44477</v>
      </c>
      <c r="B282" s="21">
        <v>227.68</v>
      </c>
      <c r="C282" s="22">
        <v>4225</v>
      </c>
      <c r="D282" s="31">
        <v>129</v>
      </c>
      <c r="E282" s="25">
        <v>0</v>
      </c>
      <c r="F282" s="16">
        <v>0</v>
      </c>
      <c r="G282" s="25">
        <v>2</v>
      </c>
      <c r="H282" s="25">
        <v>1</v>
      </c>
      <c r="I282" s="25">
        <v>2</v>
      </c>
      <c r="J282" s="23">
        <v>0.0305</v>
      </c>
      <c r="K282" s="21">
        <v>1.76</v>
      </c>
      <c r="L282" s="29">
        <f t="shared" si="34"/>
        <v>0</v>
      </c>
      <c r="M282" s="23">
        <f t="shared" si="35"/>
        <v>0</v>
      </c>
      <c r="N282" s="21" t="e">
        <f t="shared" si="31"/>
        <v>#DIV/0!</v>
      </c>
      <c r="O282" s="21" t="e">
        <f t="shared" si="32"/>
        <v>#DIV/0!</v>
      </c>
      <c r="P282" s="16">
        <f t="shared" si="33"/>
        <v>113.84</v>
      </c>
    </row>
    <row r="283" s="2" customFormat="1" spans="1:16">
      <c r="A283" s="15">
        <f t="shared" si="30"/>
        <v>44478</v>
      </c>
      <c r="B283" s="21" t="s">
        <v>16</v>
      </c>
      <c r="C283" s="32" t="s">
        <v>16</v>
      </c>
      <c r="D283" s="32" t="s">
        <v>16</v>
      </c>
      <c r="E283" s="28" t="s">
        <v>16</v>
      </c>
      <c r="F283" s="21" t="s">
        <v>16</v>
      </c>
      <c r="G283" s="28" t="s">
        <v>16</v>
      </c>
      <c r="H283" s="28" t="s">
        <v>16</v>
      </c>
      <c r="I283" s="28" t="s">
        <v>16</v>
      </c>
      <c r="J283" s="28" t="s">
        <v>16</v>
      </c>
      <c r="K283" s="21" t="s">
        <v>16</v>
      </c>
      <c r="L283" s="29" t="e">
        <f t="shared" si="34"/>
        <v>#VALUE!</v>
      </c>
      <c r="M283" s="23" t="e">
        <f t="shared" si="35"/>
        <v>#VALUE!</v>
      </c>
      <c r="N283" s="21" t="e">
        <f t="shared" si="31"/>
        <v>#VALUE!</v>
      </c>
      <c r="O283" s="21" t="e">
        <f t="shared" si="32"/>
        <v>#VALUE!</v>
      </c>
      <c r="P283" s="16" t="e">
        <f t="shared" si="33"/>
        <v>#VALUE!</v>
      </c>
    </row>
    <row r="284" s="2" customFormat="1" spans="1:16">
      <c r="A284" s="15">
        <f t="shared" si="30"/>
        <v>44479</v>
      </c>
      <c r="B284" s="21" t="s">
        <v>16</v>
      </c>
      <c r="C284" s="32" t="s">
        <v>16</v>
      </c>
      <c r="D284" s="32" t="s">
        <v>16</v>
      </c>
      <c r="E284" s="28" t="s">
        <v>16</v>
      </c>
      <c r="F284" s="21" t="s">
        <v>16</v>
      </c>
      <c r="G284" s="28" t="s">
        <v>16</v>
      </c>
      <c r="H284" s="28" t="s">
        <v>16</v>
      </c>
      <c r="I284" s="28" t="s">
        <v>16</v>
      </c>
      <c r="J284" s="28" t="s">
        <v>16</v>
      </c>
      <c r="K284" s="21" t="s">
        <v>16</v>
      </c>
      <c r="L284" s="29" t="e">
        <f t="shared" si="34"/>
        <v>#VALUE!</v>
      </c>
      <c r="M284" s="23" t="e">
        <f t="shared" si="35"/>
        <v>#VALUE!</v>
      </c>
      <c r="N284" s="21" t="e">
        <f t="shared" si="31"/>
        <v>#VALUE!</v>
      </c>
      <c r="O284" s="21" t="e">
        <f t="shared" si="32"/>
        <v>#VALUE!</v>
      </c>
      <c r="P284" s="16" t="e">
        <f t="shared" si="33"/>
        <v>#VALUE!</v>
      </c>
    </row>
    <row r="285" s="2" customFormat="1" spans="1:16">
      <c r="A285" s="15">
        <f t="shared" si="30"/>
        <v>44480</v>
      </c>
      <c r="B285" s="21">
        <v>300</v>
      </c>
      <c r="C285" s="22">
        <v>3399</v>
      </c>
      <c r="D285" s="31">
        <v>136</v>
      </c>
      <c r="E285" s="25">
        <v>0</v>
      </c>
      <c r="F285" s="16">
        <v>0</v>
      </c>
      <c r="G285" s="25">
        <v>6</v>
      </c>
      <c r="H285" s="25">
        <v>2</v>
      </c>
      <c r="I285" s="25">
        <v>1</v>
      </c>
      <c r="J285" s="23">
        <v>0.04</v>
      </c>
      <c r="K285" s="21">
        <v>2.21</v>
      </c>
      <c r="L285" s="29">
        <f t="shared" si="34"/>
        <v>0</v>
      </c>
      <c r="M285" s="23">
        <f t="shared" si="35"/>
        <v>0</v>
      </c>
      <c r="N285" s="21" t="e">
        <f t="shared" si="31"/>
        <v>#DIV/0!</v>
      </c>
      <c r="O285" s="21" t="e">
        <f t="shared" si="32"/>
        <v>#DIV/0!</v>
      </c>
      <c r="P285" s="16">
        <f t="shared" si="33"/>
        <v>50</v>
      </c>
    </row>
    <row r="286" s="2" customFormat="1" spans="1:16">
      <c r="A286" s="15">
        <f t="shared" si="30"/>
        <v>44481</v>
      </c>
      <c r="B286" s="21">
        <v>134.93</v>
      </c>
      <c r="C286" s="22">
        <v>1677</v>
      </c>
      <c r="D286" s="31">
        <v>96</v>
      </c>
      <c r="E286" s="25">
        <v>0</v>
      </c>
      <c r="F286" s="16">
        <v>0</v>
      </c>
      <c r="G286" s="25">
        <v>1</v>
      </c>
      <c r="H286" s="25">
        <v>3</v>
      </c>
      <c r="I286" s="25">
        <v>0</v>
      </c>
      <c r="J286" s="23">
        <v>0.0572</v>
      </c>
      <c r="K286" s="21">
        <v>1.41</v>
      </c>
      <c r="L286" s="29">
        <f t="shared" si="34"/>
        <v>0</v>
      </c>
      <c r="M286" s="23">
        <f t="shared" si="35"/>
        <v>0</v>
      </c>
      <c r="N286" s="21" t="e">
        <f t="shared" si="31"/>
        <v>#DIV/0!</v>
      </c>
      <c r="O286" s="21" t="e">
        <f t="shared" si="32"/>
        <v>#DIV/0!</v>
      </c>
      <c r="P286" s="16">
        <f t="shared" si="33"/>
        <v>134.93</v>
      </c>
    </row>
    <row r="287" s="2" customFormat="1" spans="1:16">
      <c r="A287" s="15">
        <f t="shared" si="30"/>
        <v>44482</v>
      </c>
      <c r="B287" s="21">
        <v>300</v>
      </c>
      <c r="C287" s="22">
        <v>4526</v>
      </c>
      <c r="D287" s="31">
        <v>229</v>
      </c>
      <c r="E287" s="25">
        <v>0</v>
      </c>
      <c r="F287" s="16">
        <v>0</v>
      </c>
      <c r="G287" s="25">
        <v>5</v>
      </c>
      <c r="H287" s="25">
        <v>2</v>
      </c>
      <c r="I287" s="25">
        <v>1</v>
      </c>
      <c r="J287" s="23">
        <v>0.0506</v>
      </c>
      <c r="K287" s="21">
        <v>1.31</v>
      </c>
      <c r="L287" s="29">
        <f t="shared" si="34"/>
        <v>0</v>
      </c>
      <c r="M287" s="23">
        <f t="shared" si="35"/>
        <v>0</v>
      </c>
      <c r="N287" s="21" t="e">
        <f t="shared" si="31"/>
        <v>#DIV/0!</v>
      </c>
      <c r="O287" s="21" t="e">
        <f t="shared" si="32"/>
        <v>#DIV/0!</v>
      </c>
      <c r="P287" s="16">
        <f t="shared" si="33"/>
        <v>60</v>
      </c>
    </row>
    <row r="288" s="2" customFormat="1" spans="1:16">
      <c r="A288" s="15">
        <f t="shared" si="30"/>
        <v>44483</v>
      </c>
      <c r="B288" s="21">
        <v>300</v>
      </c>
      <c r="C288" s="22">
        <v>4966</v>
      </c>
      <c r="D288" s="31">
        <v>191</v>
      </c>
      <c r="E288" s="25">
        <v>0</v>
      </c>
      <c r="F288" s="16">
        <v>0</v>
      </c>
      <c r="G288" s="25">
        <v>0</v>
      </c>
      <c r="H288" s="25">
        <v>2</v>
      </c>
      <c r="I288" s="25">
        <v>0</v>
      </c>
      <c r="J288" s="23">
        <v>0.0385</v>
      </c>
      <c r="K288" s="21">
        <v>1.57</v>
      </c>
      <c r="L288" s="29">
        <f t="shared" si="34"/>
        <v>0</v>
      </c>
      <c r="M288" s="23">
        <f t="shared" si="35"/>
        <v>0</v>
      </c>
      <c r="N288" s="21" t="e">
        <f t="shared" si="31"/>
        <v>#DIV/0!</v>
      </c>
      <c r="O288" s="21" t="e">
        <f t="shared" si="32"/>
        <v>#DIV/0!</v>
      </c>
      <c r="P288" s="16" t="e">
        <f t="shared" si="33"/>
        <v>#DIV/0!</v>
      </c>
    </row>
    <row r="289" s="2" customFormat="1" spans="1:16">
      <c r="A289" s="15">
        <f t="shared" ref="A289:A352" si="36">A288+1</f>
        <v>44484</v>
      </c>
      <c r="B289" s="21">
        <v>300</v>
      </c>
      <c r="C289" s="22">
        <v>3789</v>
      </c>
      <c r="D289" s="31">
        <v>197</v>
      </c>
      <c r="E289" s="25">
        <v>0</v>
      </c>
      <c r="F289" s="16">
        <v>0</v>
      </c>
      <c r="G289" s="25">
        <v>1</v>
      </c>
      <c r="H289" s="25">
        <v>2</v>
      </c>
      <c r="I289" s="25">
        <v>4</v>
      </c>
      <c r="J289" s="23">
        <v>0.052</v>
      </c>
      <c r="K289" s="21">
        <v>1.52</v>
      </c>
      <c r="L289" s="29">
        <f t="shared" si="34"/>
        <v>0</v>
      </c>
      <c r="M289" s="23">
        <f t="shared" si="35"/>
        <v>0</v>
      </c>
      <c r="N289" s="21" t="e">
        <f t="shared" si="31"/>
        <v>#DIV/0!</v>
      </c>
      <c r="O289" s="21" t="e">
        <f t="shared" si="32"/>
        <v>#DIV/0!</v>
      </c>
      <c r="P289" s="16">
        <f t="shared" si="33"/>
        <v>300</v>
      </c>
    </row>
    <row r="290" s="2" customFormat="1" spans="1:16">
      <c r="A290" s="15">
        <f t="shared" si="36"/>
        <v>44485</v>
      </c>
      <c r="B290" s="21">
        <v>300</v>
      </c>
      <c r="C290" s="22">
        <v>4417</v>
      </c>
      <c r="D290" s="31">
        <v>222</v>
      </c>
      <c r="E290" s="25">
        <v>1</v>
      </c>
      <c r="F290" s="16">
        <v>0.01</v>
      </c>
      <c r="G290" s="25">
        <v>3</v>
      </c>
      <c r="H290" s="25">
        <v>1</v>
      </c>
      <c r="I290" s="25">
        <v>2</v>
      </c>
      <c r="J290" s="23">
        <v>0.0503</v>
      </c>
      <c r="K290" s="21">
        <v>1.35</v>
      </c>
      <c r="L290" s="29">
        <f t="shared" si="34"/>
        <v>3.33333333333333e-5</v>
      </c>
      <c r="M290" s="23">
        <f t="shared" si="35"/>
        <v>0.0045045045045045</v>
      </c>
      <c r="N290" s="21">
        <f t="shared" si="31"/>
        <v>0.01</v>
      </c>
      <c r="O290" s="21">
        <f t="shared" si="32"/>
        <v>300</v>
      </c>
      <c r="P290" s="16">
        <f t="shared" si="33"/>
        <v>100</v>
      </c>
    </row>
    <row r="291" s="2" customFormat="1" spans="1:16">
      <c r="A291" s="15">
        <f t="shared" si="36"/>
        <v>44486</v>
      </c>
      <c r="B291" s="21">
        <v>300</v>
      </c>
      <c r="C291" s="22">
        <v>4058</v>
      </c>
      <c r="D291" s="31">
        <v>193</v>
      </c>
      <c r="E291" s="25">
        <v>1</v>
      </c>
      <c r="F291" s="16">
        <v>11</v>
      </c>
      <c r="G291" s="25">
        <v>10</v>
      </c>
      <c r="H291" s="25">
        <v>3</v>
      </c>
      <c r="I291" s="25">
        <v>1</v>
      </c>
      <c r="J291" s="23">
        <v>0.0476</v>
      </c>
      <c r="K291" s="21">
        <v>1.55</v>
      </c>
      <c r="L291" s="29">
        <f t="shared" si="34"/>
        <v>0.0366666666666667</v>
      </c>
      <c r="M291" s="23">
        <f t="shared" si="35"/>
        <v>0.00518134715025907</v>
      </c>
      <c r="N291" s="21">
        <f t="shared" si="31"/>
        <v>11</v>
      </c>
      <c r="O291" s="21">
        <f t="shared" si="32"/>
        <v>300</v>
      </c>
      <c r="P291" s="16">
        <f t="shared" si="33"/>
        <v>30</v>
      </c>
    </row>
    <row r="292" s="2" customFormat="1" spans="1:16">
      <c r="A292" s="15">
        <f t="shared" si="36"/>
        <v>44487</v>
      </c>
      <c r="B292" s="21">
        <v>300</v>
      </c>
      <c r="C292" s="22">
        <v>3540</v>
      </c>
      <c r="D292" s="31">
        <v>168</v>
      </c>
      <c r="E292" s="25">
        <v>2</v>
      </c>
      <c r="F292" s="16">
        <v>282.3</v>
      </c>
      <c r="G292" s="25">
        <v>2</v>
      </c>
      <c r="H292" s="25">
        <v>2</v>
      </c>
      <c r="I292" s="25">
        <v>3</v>
      </c>
      <c r="J292" s="23">
        <v>0.0475</v>
      </c>
      <c r="K292" s="21">
        <v>1.79</v>
      </c>
      <c r="L292" s="29">
        <f t="shared" si="34"/>
        <v>0.941</v>
      </c>
      <c r="M292" s="23">
        <f t="shared" si="35"/>
        <v>0.0119047619047619</v>
      </c>
      <c r="N292" s="21">
        <f t="shared" si="31"/>
        <v>141.15</v>
      </c>
      <c r="O292" s="21">
        <f t="shared" si="32"/>
        <v>150</v>
      </c>
      <c r="P292" s="16">
        <f t="shared" si="33"/>
        <v>150</v>
      </c>
    </row>
    <row r="293" s="2" customFormat="1" spans="1:16">
      <c r="A293" s="15">
        <f t="shared" si="36"/>
        <v>44488</v>
      </c>
      <c r="B293" s="21">
        <v>300</v>
      </c>
      <c r="C293" s="22">
        <v>3142</v>
      </c>
      <c r="D293" s="31">
        <v>182</v>
      </c>
      <c r="E293" s="25">
        <v>0</v>
      </c>
      <c r="F293" s="16">
        <v>0</v>
      </c>
      <c r="G293" s="25">
        <v>2</v>
      </c>
      <c r="H293" s="25">
        <v>4</v>
      </c>
      <c r="I293" s="25">
        <v>2</v>
      </c>
      <c r="J293" s="23">
        <v>0.0579</v>
      </c>
      <c r="K293" s="21">
        <v>1.65</v>
      </c>
      <c r="L293" s="29">
        <f t="shared" si="34"/>
        <v>0</v>
      </c>
      <c r="M293" s="23">
        <f t="shared" si="35"/>
        <v>0</v>
      </c>
      <c r="N293" s="21" t="e">
        <f t="shared" si="31"/>
        <v>#DIV/0!</v>
      </c>
      <c r="O293" s="21" t="e">
        <f t="shared" si="32"/>
        <v>#DIV/0!</v>
      </c>
      <c r="P293" s="16">
        <f t="shared" si="33"/>
        <v>150</v>
      </c>
    </row>
    <row r="294" s="2" customFormat="1" spans="1:16">
      <c r="A294" s="15">
        <f t="shared" si="36"/>
        <v>44489</v>
      </c>
      <c r="B294" s="21">
        <v>11.25</v>
      </c>
      <c r="C294" s="22">
        <v>1260</v>
      </c>
      <c r="D294" s="31">
        <v>16</v>
      </c>
      <c r="E294" s="25">
        <v>0</v>
      </c>
      <c r="F294" s="16">
        <v>0</v>
      </c>
      <c r="G294" s="25">
        <v>0</v>
      </c>
      <c r="H294" s="25">
        <v>1</v>
      </c>
      <c r="I294" s="25">
        <v>0</v>
      </c>
      <c r="J294" s="23">
        <v>0.0127</v>
      </c>
      <c r="K294" s="21">
        <v>0.7</v>
      </c>
      <c r="L294" s="29">
        <f t="shared" si="34"/>
        <v>0</v>
      </c>
      <c r="M294" s="23">
        <f t="shared" si="35"/>
        <v>0</v>
      </c>
      <c r="N294" s="21" t="e">
        <f t="shared" si="31"/>
        <v>#DIV/0!</v>
      </c>
      <c r="O294" s="21" t="e">
        <f t="shared" si="32"/>
        <v>#DIV/0!</v>
      </c>
      <c r="P294" s="16" t="e">
        <f t="shared" si="33"/>
        <v>#DIV/0!</v>
      </c>
    </row>
    <row r="295" s="2" customFormat="1" spans="1:16">
      <c r="A295" s="15">
        <f t="shared" si="36"/>
        <v>44490</v>
      </c>
      <c r="B295" s="21">
        <v>20.1</v>
      </c>
      <c r="C295" s="22">
        <v>3578</v>
      </c>
      <c r="D295" s="31">
        <v>31</v>
      </c>
      <c r="E295" s="25">
        <v>0</v>
      </c>
      <c r="F295" s="16">
        <v>0</v>
      </c>
      <c r="G295" s="25">
        <v>0</v>
      </c>
      <c r="H295" s="25">
        <v>1</v>
      </c>
      <c r="I295" s="25">
        <v>0</v>
      </c>
      <c r="J295" s="23">
        <v>0.0087</v>
      </c>
      <c r="K295" s="21">
        <v>0.65</v>
      </c>
      <c r="L295" s="29">
        <f t="shared" si="34"/>
        <v>0</v>
      </c>
      <c r="M295" s="23">
        <f t="shared" si="35"/>
        <v>0</v>
      </c>
      <c r="N295" s="21" t="e">
        <f t="shared" si="31"/>
        <v>#DIV/0!</v>
      </c>
      <c r="O295" s="21" t="e">
        <f t="shared" si="32"/>
        <v>#DIV/0!</v>
      </c>
      <c r="P295" s="16" t="e">
        <f t="shared" si="33"/>
        <v>#DIV/0!</v>
      </c>
    </row>
    <row r="296" s="2" customFormat="1" spans="1:16">
      <c r="A296" s="15">
        <f t="shared" si="36"/>
        <v>44491</v>
      </c>
      <c r="B296" s="21">
        <v>395.81</v>
      </c>
      <c r="C296" s="22">
        <v>6337</v>
      </c>
      <c r="D296" s="31">
        <v>189</v>
      </c>
      <c r="E296" s="25">
        <v>1</v>
      </c>
      <c r="F296" s="16">
        <v>11</v>
      </c>
      <c r="G296" s="25">
        <v>2</v>
      </c>
      <c r="H296" s="25">
        <v>1</v>
      </c>
      <c r="I296" s="25">
        <v>2</v>
      </c>
      <c r="J296" s="23">
        <v>0.0298</v>
      </c>
      <c r="K296" s="21">
        <v>2.09</v>
      </c>
      <c r="L296" s="29">
        <f t="shared" si="34"/>
        <v>0.0277911118971224</v>
      </c>
      <c r="M296" s="23">
        <f t="shared" si="35"/>
        <v>0.00529100529100529</v>
      </c>
      <c r="N296" s="21">
        <f t="shared" si="31"/>
        <v>11</v>
      </c>
      <c r="O296" s="21">
        <f t="shared" si="32"/>
        <v>395.81</v>
      </c>
      <c r="P296" s="16">
        <f t="shared" si="33"/>
        <v>197.905</v>
      </c>
    </row>
    <row r="297" s="2" customFormat="1" spans="1:16">
      <c r="A297" s="15">
        <f t="shared" si="36"/>
        <v>44492</v>
      </c>
      <c r="B297" s="21">
        <v>1188.1</v>
      </c>
      <c r="C297" s="22">
        <v>3544</v>
      </c>
      <c r="D297" s="31">
        <v>163</v>
      </c>
      <c r="E297" s="25">
        <v>2</v>
      </c>
      <c r="F297" s="16">
        <v>972</v>
      </c>
      <c r="G297" s="25">
        <v>2</v>
      </c>
      <c r="H297" s="25">
        <v>6</v>
      </c>
      <c r="I297" s="25">
        <v>0</v>
      </c>
      <c r="J297" s="23">
        <v>0.046</v>
      </c>
      <c r="K297" s="21">
        <v>7.29</v>
      </c>
      <c r="L297" s="29">
        <f t="shared" si="34"/>
        <v>0.818112953455096</v>
      </c>
      <c r="M297" s="23">
        <f t="shared" si="35"/>
        <v>0.0122699386503067</v>
      </c>
      <c r="N297" s="21">
        <f t="shared" si="31"/>
        <v>486</v>
      </c>
      <c r="O297" s="21">
        <f t="shared" si="32"/>
        <v>594.05</v>
      </c>
      <c r="P297" s="16">
        <f t="shared" si="33"/>
        <v>594.05</v>
      </c>
    </row>
    <row r="298" s="2" customFormat="1" spans="1:16">
      <c r="A298" s="15">
        <f t="shared" si="36"/>
        <v>44493</v>
      </c>
      <c r="B298" s="21">
        <v>522.22</v>
      </c>
      <c r="C298" s="22">
        <v>2917</v>
      </c>
      <c r="D298" s="31">
        <v>148</v>
      </c>
      <c r="E298" s="25">
        <v>1</v>
      </c>
      <c r="F298" s="16">
        <v>11</v>
      </c>
      <c r="G298" s="25">
        <v>0</v>
      </c>
      <c r="H298" s="25">
        <v>3</v>
      </c>
      <c r="I298" s="25">
        <v>1</v>
      </c>
      <c r="J298" s="23">
        <v>0.0507</v>
      </c>
      <c r="K298" s="21">
        <v>3.53</v>
      </c>
      <c r="L298" s="29">
        <f t="shared" si="34"/>
        <v>0.0210639194209337</v>
      </c>
      <c r="M298" s="23">
        <f t="shared" si="35"/>
        <v>0.00675675675675676</v>
      </c>
      <c r="N298" s="21">
        <f t="shared" si="31"/>
        <v>11</v>
      </c>
      <c r="O298" s="21">
        <f t="shared" si="32"/>
        <v>522.22</v>
      </c>
      <c r="P298" s="16" t="e">
        <f t="shared" si="33"/>
        <v>#DIV/0!</v>
      </c>
    </row>
    <row r="299" s="2" customFormat="1" spans="1:16">
      <c r="A299" s="15">
        <f t="shared" si="36"/>
        <v>44494</v>
      </c>
      <c r="B299" s="21">
        <v>478.21</v>
      </c>
      <c r="C299" s="22">
        <v>2663</v>
      </c>
      <c r="D299" s="31">
        <v>136</v>
      </c>
      <c r="E299" s="25">
        <v>0</v>
      </c>
      <c r="F299" s="16">
        <v>0</v>
      </c>
      <c r="G299" s="25">
        <v>0</v>
      </c>
      <c r="H299" s="25">
        <v>1</v>
      </c>
      <c r="I299" s="25">
        <v>1</v>
      </c>
      <c r="J299" s="23">
        <v>0.0511</v>
      </c>
      <c r="K299" s="21">
        <v>3.52</v>
      </c>
      <c r="L299" s="29">
        <f t="shared" si="34"/>
        <v>0</v>
      </c>
      <c r="M299" s="23">
        <f t="shared" si="35"/>
        <v>0</v>
      </c>
      <c r="N299" s="21" t="e">
        <f t="shared" si="31"/>
        <v>#DIV/0!</v>
      </c>
      <c r="O299" s="21" t="e">
        <f t="shared" si="32"/>
        <v>#DIV/0!</v>
      </c>
      <c r="P299" s="16" t="e">
        <f t="shared" si="33"/>
        <v>#DIV/0!</v>
      </c>
    </row>
    <row r="300" s="2" customFormat="1" spans="1:16">
      <c r="A300" s="15">
        <f t="shared" si="36"/>
        <v>44495</v>
      </c>
      <c r="B300" s="21">
        <v>900</v>
      </c>
      <c r="C300" s="22">
        <v>6067</v>
      </c>
      <c r="D300" s="31">
        <v>323</v>
      </c>
      <c r="E300" s="25">
        <v>0</v>
      </c>
      <c r="F300" s="16">
        <v>0</v>
      </c>
      <c r="G300" s="25">
        <v>0</v>
      </c>
      <c r="H300" s="25">
        <v>3</v>
      </c>
      <c r="I300" s="25">
        <v>2</v>
      </c>
      <c r="J300" s="23">
        <v>0.0532</v>
      </c>
      <c r="K300" s="21">
        <v>2.79</v>
      </c>
      <c r="L300" s="29">
        <f t="shared" si="34"/>
        <v>0</v>
      </c>
      <c r="M300" s="23">
        <f t="shared" si="35"/>
        <v>0</v>
      </c>
      <c r="N300" s="21" t="e">
        <f t="shared" si="31"/>
        <v>#DIV/0!</v>
      </c>
      <c r="O300" s="21" t="e">
        <f t="shared" si="32"/>
        <v>#DIV/0!</v>
      </c>
      <c r="P300" s="16" t="e">
        <f t="shared" si="33"/>
        <v>#DIV/0!</v>
      </c>
    </row>
    <row r="301" s="2" customFormat="1" spans="1:16">
      <c r="A301" s="15">
        <f t="shared" si="36"/>
        <v>44496</v>
      </c>
      <c r="B301" s="21">
        <v>595.51</v>
      </c>
      <c r="C301" s="22">
        <v>3208</v>
      </c>
      <c r="D301" s="31">
        <v>185</v>
      </c>
      <c r="E301" s="25">
        <v>2</v>
      </c>
      <c r="F301" s="16">
        <v>2959</v>
      </c>
      <c r="G301" s="25">
        <v>2</v>
      </c>
      <c r="H301" s="25">
        <v>7</v>
      </c>
      <c r="I301" s="25">
        <v>1</v>
      </c>
      <c r="J301" s="23">
        <v>0.0577</v>
      </c>
      <c r="K301" s="21">
        <v>3.22</v>
      </c>
      <c r="L301" s="29">
        <f t="shared" si="34"/>
        <v>4.96885022921529</v>
      </c>
      <c r="M301" s="23">
        <f t="shared" si="35"/>
        <v>0.0108108108108108</v>
      </c>
      <c r="N301" s="21">
        <f t="shared" si="31"/>
        <v>1479.5</v>
      </c>
      <c r="O301" s="21">
        <f t="shared" si="32"/>
        <v>297.755</v>
      </c>
      <c r="P301" s="16">
        <f t="shared" si="33"/>
        <v>297.755</v>
      </c>
    </row>
    <row r="302" s="2" customFormat="1" spans="1:16">
      <c r="A302" s="15">
        <f t="shared" si="36"/>
        <v>44497</v>
      </c>
      <c r="B302" s="21">
        <v>648.36</v>
      </c>
      <c r="C302" s="22">
        <v>3917</v>
      </c>
      <c r="D302" s="31">
        <v>180</v>
      </c>
      <c r="E302" s="25">
        <v>0</v>
      </c>
      <c r="F302" s="16">
        <v>0</v>
      </c>
      <c r="G302" s="25">
        <v>1</v>
      </c>
      <c r="H302" s="25">
        <v>5</v>
      </c>
      <c r="I302" s="25">
        <v>0</v>
      </c>
      <c r="J302" s="23">
        <v>0.046</v>
      </c>
      <c r="K302" s="21">
        <v>3.6</v>
      </c>
      <c r="L302" s="29">
        <f t="shared" si="34"/>
        <v>0</v>
      </c>
      <c r="M302" s="23">
        <f t="shared" si="35"/>
        <v>0</v>
      </c>
      <c r="N302" s="21" t="e">
        <f t="shared" si="31"/>
        <v>#DIV/0!</v>
      </c>
      <c r="O302" s="21" t="e">
        <f t="shared" si="32"/>
        <v>#DIV/0!</v>
      </c>
      <c r="P302" s="16">
        <f t="shared" si="33"/>
        <v>648.36</v>
      </c>
    </row>
    <row r="303" s="2" customFormat="1" spans="1:16">
      <c r="A303" s="15">
        <f t="shared" si="36"/>
        <v>44498</v>
      </c>
      <c r="B303" s="21">
        <v>800</v>
      </c>
      <c r="C303" s="22">
        <v>6194</v>
      </c>
      <c r="D303" s="31">
        <v>234</v>
      </c>
      <c r="E303" s="25">
        <v>0</v>
      </c>
      <c r="F303" s="16">
        <v>0</v>
      </c>
      <c r="G303" s="25">
        <v>3</v>
      </c>
      <c r="H303" s="25">
        <v>3</v>
      </c>
      <c r="I303" s="25">
        <v>2</v>
      </c>
      <c r="J303" s="23">
        <v>0.0378</v>
      </c>
      <c r="K303" s="21">
        <v>3.42</v>
      </c>
      <c r="L303" s="29">
        <f t="shared" si="34"/>
        <v>0</v>
      </c>
      <c r="M303" s="23">
        <f t="shared" si="35"/>
        <v>0</v>
      </c>
      <c r="N303" s="21" t="e">
        <f t="shared" si="31"/>
        <v>#DIV/0!</v>
      </c>
      <c r="O303" s="21" t="e">
        <f t="shared" si="32"/>
        <v>#DIV/0!</v>
      </c>
      <c r="P303" s="16">
        <f t="shared" si="33"/>
        <v>266.666666666667</v>
      </c>
    </row>
    <row r="304" s="2" customFormat="1" spans="1:16">
      <c r="A304" s="15">
        <f t="shared" si="36"/>
        <v>44499</v>
      </c>
      <c r="B304" s="21">
        <v>708.15</v>
      </c>
      <c r="C304" s="22">
        <v>5344</v>
      </c>
      <c r="D304" s="31">
        <v>190</v>
      </c>
      <c r="E304" s="25">
        <v>0</v>
      </c>
      <c r="F304" s="16">
        <v>0</v>
      </c>
      <c r="G304" s="25">
        <v>0</v>
      </c>
      <c r="H304" s="25">
        <v>3</v>
      </c>
      <c r="I304" s="25">
        <v>0</v>
      </c>
      <c r="J304" s="23">
        <v>0.0356</v>
      </c>
      <c r="K304" s="21">
        <v>3.73</v>
      </c>
      <c r="L304" s="29">
        <f t="shared" si="34"/>
        <v>0</v>
      </c>
      <c r="M304" s="23">
        <f t="shared" si="35"/>
        <v>0</v>
      </c>
      <c r="N304" s="21" t="e">
        <f t="shared" si="31"/>
        <v>#DIV/0!</v>
      </c>
      <c r="O304" s="21" t="e">
        <f t="shared" si="32"/>
        <v>#DIV/0!</v>
      </c>
      <c r="P304" s="16" t="e">
        <f t="shared" si="33"/>
        <v>#DIV/0!</v>
      </c>
    </row>
    <row r="305" s="2" customFormat="1" spans="1:16">
      <c r="A305" s="15">
        <f t="shared" si="36"/>
        <v>44500</v>
      </c>
      <c r="B305" s="21">
        <v>800</v>
      </c>
      <c r="C305" s="22">
        <v>4803</v>
      </c>
      <c r="D305" s="31">
        <v>233</v>
      </c>
      <c r="E305" s="25">
        <v>2</v>
      </c>
      <c r="F305" s="16">
        <v>2862.24</v>
      </c>
      <c r="G305" s="25">
        <v>0</v>
      </c>
      <c r="H305" s="25">
        <v>3</v>
      </c>
      <c r="I305" s="25">
        <v>1</v>
      </c>
      <c r="J305" s="23">
        <v>0.0485</v>
      </c>
      <c r="K305" s="21">
        <v>3.43</v>
      </c>
      <c r="L305" s="29">
        <f t="shared" si="34"/>
        <v>3.5778</v>
      </c>
      <c r="M305" s="23">
        <f t="shared" si="35"/>
        <v>0.00858369098712446</v>
      </c>
      <c r="N305" s="21">
        <f t="shared" si="31"/>
        <v>1431.12</v>
      </c>
      <c r="O305" s="21">
        <f t="shared" si="32"/>
        <v>400</v>
      </c>
      <c r="P305" s="16" t="e">
        <f t="shared" si="33"/>
        <v>#DIV/0!</v>
      </c>
    </row>
    <row r="306" s="2" customFormat="1" spans="1:16">
      <c r="A306" s="15">
        <f t="shared" si="36"/>
        <v>44501</v>
      </c>
      <c r="B306" s="21">
        <v>1000</v>
      </c>
      <c r="C306" s="22">
        <v>7072</v>
      </c>
      <c r="D306" s="31">
        <v>289</v>
      </c>
      <c r="E306" s="25">
        <v>4</v>
      </c>
      <c r="F306" s="16">
        <v>5950.22</v>
      </c>
      <c r="G306" s="25">
        <v>7</v>
      </c>
      <c r="H306" s="25">
        <v>1</v>
      </c>
      <c r="I306" s="25">
        <v>0</v>
      </c>
      <c r="J306" s="23">
        <v>0.0411</v>
      </c>
      <c r="K306" s="21">
        <v>3.46</v>
      </c>
      <c r="L306" s="29">
        <f t="shared" si="34"/>
        <v>5.95022</v>
      </c>
      <c r="M306" s="23">
        <f t="shared" si="35"/>
        <v>0.013840830449827</v>
      </c>
      <c r="N306" s="21">
        <f t="shared" si="31"/>
        <v>1487.555</v>
      </c>
      <c r="O306" s="21">
        <f t="shared" si="32"/>
        <v>250</v>
      </c>
      <c r="P306" s="16">
        <f t="shared" si="33"/>
        <v>142.857142857143</v>
      </c>
    </row>
    <row r="307" s="2" customFormat="1" spans="1:16">
      <c r="A307" s="15">
        <f t="shared" si="36"/>
        <v>44502</v>
      </c>
      <c r="B307" s="21">
        <v>973.46</v>
      </c>
      <c r="C307" s="22">
        <v>8154</v>
      </c>
      <c r="D307" s="31">
        <v>309</v>
      </c>
      <c r="E307" s="25">
        <v>3</v>
      </c>
      <c r="F307" s="16">
        <v>2852.19</v>
      </c>
      <c r="G307" s="25">
        <v>4</v>
      </c>
      <c r="H307" s="25">
        <v>2</v>
      </c>
      <c r="I307" s="25">
        <v>3</v>
      </c>
      <c r="J307" s="23">
        <v>0.0379</v>
      </c>
      <c r="K307" s="21">
        <v>3.15</v>
      </c>
      <c r="L307" s="29">
        <f t="shared" si="34"/>
        <v>2.9299508968011</v>
      </c>
      <c r="M307" s="23">
        <f t="shared" si="35"/>
        <v>0.00970873786407767</v>
      </c>
      <c r="N307" s="21">
        <f t="shared" si="31"/>
        <v>950.73</v>
      </c>
      <c r="O307" s="21">
        <f t="shared" si="32"/>
        <v>324.486666666667</v>
      </c>
      <c r="P307" s="16">
        <f t="shared" si="33"/>
        <v>243.365</v>
      </c>
    </row>
    <row r="308" s="2" customFormat="1" spans="1:16">
      <c r="A308" s="15">
        <f t="shared" si="36"/>
        <v>44503</v>
      </c>
      <c r="B308" s="21">
        <v>652.65</v>
      </c>
      <c r="C308" s="22">
        <v>5654</v>
      </c>
      <c r="D308" s="31">
        <v>194</v>
      </c>
      <c r="E308" s="25">
        <v>3</v>
      </c>
      <c r="F308" s="16">
        <v>3040.49</v>
      </c>
      <c r="G308" s="25">
        <v>9</v>
      </c>
      <c r="H308" s="25">
        <v>6</v>
      </c>
      <c r="I308" s="25">
        <v>1</v>
      </c>
      <c r="J308" s="23">
        <v>0.0343</v>
      </c>
      <c r="K308" s="21">
        <v>3.36</v>
      </c>
      <c r="L308" s="29">
        <f t="shared" si="34"/>
        <v>4.65868382747261</v>
      </c>
      <c r="M308" s="23">
        <f t="shared" si="35"/>
        <v>0.0154639175257732</v>
      </c>
      <c r="N308" s="21">
        <f t="shared" si="31"/>
        <v>1013.49666666667</v>
      </c>
      <c r="O308" s="21">
        <f t="shared" si="32"/>
        <v>217.55</v>
      </c>
      <c r="P308" s="16">
        <f t="shared" si="33"/>
        <v>72.5166666666667</v>
      </c>
    </row>
    <row r="309" s="2" customFormat="1" spans="1:16">
      <c r="A309" s="15">
        <f t="shared" si="36"/>
        <v>44504</v>
      </c>
      <c r="B309" s="21">
        <v>612.55</v>
      </c>
      <c r="C309" s="22">
        <v>6221</v>
      </c>
      <c r="D309" s="31">
        <v>219</v>
      </c>
      <c r="E309" s="25">
        <v>1</v>
      </c>
      <c r="F309" s="16">
        <v>11</v>
      </c>
      <c r="G309" s="25">
        <v>2</v>
      </c>
      <c r="H309" s="25">
        <v>1</v>
      </c>
      <c r="I309" s="25">
        <v>0</v>
      </c>
      <c r="J309" s="23">
        <v>0.0352</v>
      </c>
      <c r="K309" s="21">
        <v>2.8</v>
      </c>
      <c r="L309" s="29">
        <f t="shared" si="34"/>
        <v>0.0179577177373276</v>
      </c>
      <c r="M309" s="23">
        <f t="shared" si="35"/>
        <v>0.0045662100456621</v>
      </c>
      <c r="N309" s="21">
        <f t="shared" si="31"/>
        <v>11</v>
      </c>
      <c r="O309" s="21">
        <f t="shared" si="32"/>
        <v>612.55</v>
      </c>
      <c r="P309" s="16">
        <f t="shared" si="33"/>
        <v>306.275</v>
      </c>
    </row>
    <row r="310" s="2" customFormat="1" spans="1:16">
      <c r="A310" s="15">
        <f t="shared" si="36"/>
        <v>44505</v>
      </c>
      <c r="B310" s="21">
        <v>575.31</v>
      </c>
      <c r="C310" s="22">
        <v>5758</v>
      </c>
      <c r="D310" s="31">
        <v>181</v>
      </c>
      <c r="E310" s="25">
        <v>0</v>
      </c>
      <c r="F310" s="16">
        <v>0</v>
      </c>
      <c r="G310" s="25">
        <v>0</v>
      </c>
      <c r="H310" s="25">
        <v>2</v>
      </c>
      <c r="I310" s="25">
        <v>4</v>
      </c>
      <c r="J310" s="23">
        <v>0.0314</v>
      </c>
      <c r="K310" s="21">
        <v>3.18</v>
      </c>
      <c r="L310" s="29">
        <f t="shared" si="34"/>
        <v>0</v>
      </c>
      <c r="M310" s="23">
        <f t="shared" si="35"/>
        <v>0</v>
      </c>
      <c r="N310" s="21" t="e">
        <f t="shared" si="31"/>
        <v>#DIV/0!</v>
      </c>
      <c r="O310" s="21" t="e">
        <f t="shared" si="32"/>
        <v>#DIV/0!</v>
      </c>
      <c r="P310" s="16" t="e">
        <f t="shared" si="33"/>
        <v>#DIV/0!</v>
      </c>
    </row>
    <row r="311" s="2" customFormat="1" spans="1:16">
      <c r="A311" s="15">
        <f t="shared" si="36"/>
        <v>44506</v>
      </c>
      <c r="B311" s="21">
        <v>783.36</v>
      </c>
      <c r="C311" s="22">
        <v>6628</v>
      </c>
      <c r="D311" s="31">
        <v>215</v>
      </c>
      <c r="E311" s="25">
        <v>1</v>
      </c>
      <c r="F311" s="16">
        <v>961</v>
      </c>
      <c r="G311" s="25">
        <v>0</v>
      </c>
      <c r="H311" s="25">
        <v>3</v>
      </c>
      <c r="I311" s="25">
        <v>1</v>
      </c>
      <c r="J311" s="23">
        <v>0.0324</v>
      </c>
      <c r="K311" s="21">
        <v>3.64</v>
      </c>
      <c r="L311" s="29">
        <f t="shared" si="34"/>
        <v>1.22676674836601</v>
      </c>
      <c r="M311" s="23">
        <f t="shared" si="35"/>
        <v>0.00465116279069767</v>
      </c>
      <c r="N311" s="21">
        <f t="shared" si="31"/>
        <v>961</v>
      </c>
      <c r="O311" s="21">
        <f t="shared" si="32"/>
        <v>783.36</v>
      </c>
      <c r="P311" s="16" t="e">
        <f t="shared" si="33"/>
        <v>#DIV/0!</v>
      </c>
    </row>
    <row r="312" s="2" customFormat="1" spans="1:16">
      <c r="A312" s="15">
        <f t="shared" si="36"/>
        <v>44507</v>
      </c>
      <c r="B312" s="21">
        <v>749.09</v>
      </c>
      <c r="C312" s="22">
        <v>5212</v>
      </c>
      <c r="D312" s="31">
        <v>166</v>
      </c>
      <c r="E312" s="25">
        <v>2</v>
      </c>
      <c r="F312" s="16">
        <v>1908.35</v>
      </c>
      <c r="G312" s="25">
        <v>2</v>
      </c>
      <c r="H312" s="25">
        <v>3</v>
      </c>
      <c r="I312" s="25">
        <v>1</v>
      </c>
      <c r="J312" s="23">
        <v>0.0319</v>
      </c>
      <c r="K312" s="21">
        <v>4.51</v>
      </c>
      <c r="L312" s="29">
        <f t="shared" si="34"/>
        <v>2.54755770334673</v>
      </c>
      <c r="M312" s="23">
        <f t="shared" si="35"/>
        <v>0.0120481927710843</v>
      </c>
      <c r="N312" s="21">
        <f t="shared" si="31"/>
        <v>954.175</v>
      </c>
      <c r="O312" s="21">
        <f t="shared" si="32"/>
        <v>374.545</v>
      </c>
      <c r="P312" s="16">
        <f t="shared" si="33"/>
        <v>374.545</v>
      </c>
    </row>
    <row r="313" s="2" customFormat="1" spans="1:16">
      <c r="A313" s="15">
        <f t="shared" si="36"/>
        <v>44508</v>
      </c>
      <c r="B313" s="21">
        <v>1000</v>
      </c>
      <c r="C313" s="22">
        <v>6133</v>
      </c>
      <c r="D313" s="31">
        <v>135</v>
      </c>
      <c r="E313" s="25">
        <v>1</v>
      </c>
      <c r="F313" s="16">
        <v>2836.96</v>
      </c>
      <c r="G313" s="25">
        <v>2</v>
      </c>
      <c r="H313" s="25">
        <v>3</v>
      </c>
      <c r="I313" s="25">
        <v>1</v>
      </c>
      <c r="J313" s="23">
        <v>0.022</v>
      </c>
      <c r="K313" s="21">
        <v>7.41</v>
      </c>
      <c r="L313" s="29">
        <f t="shared" si="34"/>
        <v>2.83696</v>
      </c>
      <c r="M313" s="23">
        <f t="shared" si="35"/>
        <v>0.00740740740740741</v>
      </c>
      <c r="N313" s="21">
        <f t="shared" si="31"/>
        <v>2836.96</v>
      </c>
      <c r="O313" s="21">
        <f t="shared" si="32"/>
        <v>1000</v>
      </c>
      <c r="P313" s="16">
        <f t="shared" si="33"/>
        <v>500</v>
      </c>
    </row>
    <row r="314" s="2" customFormat="1" spans="1:16">
      <c r="A314" s="15">
        <f t="shared" si="36"/>
        <v>44509</v>
      </c>
      <c r="B314" s="21">
        <v>1500</v>
      </c>
      <c r="C314" s="22">
        <v>6054</v>
      </c>
      <c r="D314" s="31">
        <v>144</v>
      </c>
      <c r="E314" s="25">
        <v>2</v>
      </c>
      <c r="F314" s="16">
        <v>2728.52</v>
      </c>
      <c r="G314" s="25">
        <v>2</v>
      </c>
      <c r="H314" s="25">
        <v>1</v>
      </c>
      <c r="I314" s="25">
        <v>1</v>
      </c>
      <c r="J314" s="23">
        <v>0.0238</v>
      </c>
      <c r="K314" s="21">
        <v>10.42</v>
      </c>
      <c r="L314" s="29">
        <f t="shared" si="34"/>
        <v>1.81901333333333</v>
      </c>
      <c r="M314" s="23">
        <f t="shared" si="35"/>
        <v>0.0138888888888889</v>
      </c>
      <c r="N314" s="21">
        <f t="shared" si="31"/>
        <v>1364.26</v>
      </c>
      <c r="O314" s="21">
        <f t="shared" si="32"/>
        <v>750</v>
      </c>
      <c r="P314" s="16">
        <f t="shared" si="33"/>
        <v>750</v>
      </c>
    </row>
    <row r="315" s="2" customFormat="1" spans="1:16">
      <c r="A315" s="15">
        <f t="shared" si="36"/>
        <v>44510</v>
      </c>
      <c r="B315" s="21">
        <v>2200</v>
      </c>
      <c r="C315" s="22">
        <v>7782</v>
      </c>
      <c r="D315" s="31">
        <v>186</v>
      </c>
      <c r="E315" s="25">
        <v>0</v>
      </c>
      <c r="F315" s="16">
        <v>0</v>
      </c>
      <c r="G315" s="25">
        <v>5</v>
      </c>
      <c r="H315" s="25">
        <v>1</v>
      </c>
      <c r="I315" s="25">
        <v>1</v>
      </c>
      <c r="J315" s="23">
        <v>0.0239</v>
      </c>
      <c r="K315" s="21">
        <v>11.83</v>
      </c>
      <c r="L315" s="29">
        <f t="shared" si="34"/>
        <v>0</v>
      </c>
      <c r="M315" s="23">
        <f t="shared" si="35"/>
        <v>0</v>
      </c>
      <c r="N315" s="21" t="e">
        <f t="shared" si="31"/>
        <v>#DIV/0!</v>
      </c>
      <c r="O315" s="21" t="e">
        <f t="shared" si="32"/>
        <v>#DIV/0!</v>
      </c>
      <c r="P315" s="16">
        <f t="shared" si="33"/>
        <v>440</v>
      </c>
    </row>
    <row r="316" s="2" customFormat="1" spans="1:16">
      <c r="A316" s="15">
        <f t="shared" si="36"/>
        <v>44511</v>
      </c>
      <c r="B316" s="21">
        <v>6490.56</v>
      </c>
      <c r="C316" s="22">
        <v>18988</v>
      </c>
      <c r="D316" s="31">
        <v>624</v>
      </c>
      <c r="E316" s="25">
        <v>15</v>
      </c>
      <c r="F316" s="16">
        <v>11260.9</v>
      </c>
      <c r="G316" s="25">
        <v>13</v>
      </c>
      <c r="H316" s="25">
        <v>3</v>
      </c>
      <c r="I316" s="25">
        <v>4</v>
      </c>
      <c r="J316" s="23">
        <v>0.0329</v>
      </c>
      <c r="K316" s="21">
        <v>10.4</v>
      </c>
      <c r="L316" s="29">
        <f t="shared" si="34"/>
        <v>1.73496585810777</v>
      </c>
      <c r="M316" s="23">
        <f t="shared" si="35"/>
        <v>0.0240384615384615</v>
      </c>
      <c r="N316" s="21">
        <f t="shared" si="31"/>
        <v>750.726666666667</v>
      </c>
      <c r="O316" s="21">
        <f t="shared" si="32"/>
        <v>432.704</v>
      </c>
      <c r="P316" s="16">
        <f t="shared" si="33"/>
        <v>499.273846153846</v>
      </c>
    </row>
    <row r="317" s="2" customFormat="1" spans="1:16">
      <c r="A317" s="15">
        <f t="shared" si="36"/>
        <v>44512</v>
      </c>
      <c r="B317" s="21">
        <v>1000</v>
      </c>
      <c r="C317" s="22">
        <v>6597</v>
      </c>
      <c r="D317" s="31">
        <v>139</v>
      </c>
      <c r="E317" s="25">
        <v>2</v>
      </c>
      <c r="F317" s="16">
        <v>1122</v>
      </c>
      <c r="G317" s="25">
        <v>0</v>
      </c>
      <c r="H317" s="25">
        <v>3</v>
      </c>
      <c r="I317" s="25">
        <v>1</v>
      </c>
      <c r="J317" s="23">
        <v>0.0211</v>
      </c>
      <c r="K317" s="21">
        <v>7.19</v>
      </c>
      <c r="L317" s="29">
        <f t="shared" si="34"/>
        <v>1.122</v>
      </c>
      <c r="M317" s="23">
        <f t="shared" si="35"/>
        <v>0.0143884892086331</v>
      </c>
      <c r="N317" s="21">
        <f t="shared" si="31"/>
        <v>561</v>
      </c>
      <c r="O317" s="21">
        <f t="shared" si="32"/>
        <v>500</v>
      </c>
      <c r="P317" s="16" t="e">
        <f t="shared" si="33"/>
        <v>#DIV/0!</v>
      </c>
    </row>
    <row r="318" s="2" customFormat="1" spans="1:16">
      <c r="A318" s="15">
        <f t="shared" si="36"/>
        <v>44513</v>
      </c>
      <c r="B318" s="21">
        <v>500</v>
      </c>
      <c r="C318" s="22">
        <v>3459</v>
      </c>
      <c r="D318" s="31">
        <v>120</v>
      </c>
      <c r="E318" s="25">
        <v>0</v>
      </c>
      <c r="F318" s="16">
        <v>0</v>
      </c>
      <c r="G318" s="25">
        <v>2</v>
      </c>
      <c r="H318" s="25">
        <v>2</v>
      </c>
      <c r="I318" s="25">
        <v>0</v>
      </c>
      <c r="J318" s="23">
        <v>0.0347</v>
      </c>
      <c r="K318" s="21">
        <v>4.17</v>
      </c>
      <c r="L318" s="29">
        <f t="shared" si="34"/>
        <v>0</v>
      </c>
      <c r="M318" s="23">
        <f t="shared" si="35"/>
        <v>0</v>
      </c>
      <c r="N318" s="21" t="e">
        <f t="shared" si="31"/>
        <v>#DIV/0!</v>
      </c>
      <c r="O318" s="21" t="e">
        <f t="shared" si="32"/>
        <v>#DIV/0!</v>
      </c>
      <c r="P318" s="16">
        <f t="shared" si="33"/>
        <v>250</v>
      </c>
    </row>
    <row r="319" s="2" customFormat="1" spans="1:16">
      <c r="A319" s="15">
        <f t="shared" si="36"/>
        <v>44514</v>
      </c>
      <c r="B319" s="21">
        <v>500</v>
      </c>
      <c r="C319" s="22">
        <v>2958</v>
      </c>
      <c r="D319" s="31">
        <v>108</v>
      </c>
      <c r="E319" s="25">
        <v>0</v>
      </c>
      <c r="F319" s="16">
        <v>0</v>
      </c>
      <c r="G319" s="25">
        <v>0</v>
      </c>
      <c r="H319" s="25">
        <v>1</v>
      </c>
      <c r="I319" s="25">
        <v>0</v>
      </c>
      <c r="J319" s="23">
        <v>0.0365</v>
      </c>
      <c r="K319" s="21">
        <v>4.63</v>
      </c>
      <c r="L319" s="29">
        <f t="shared" si="34"/>
        <v>0</v>
      </c>
      <c r="M319" s="23">
        <f t="shared" si="35"/>
        <v>0</v>
      </c>
      <c r="N319" s="21" t="e">
        <f t="shared" si="31"/>
        <v>#DIV/0!</v>
      </c>
      <c r="O319" s="21" t="e">
        <f t="shared" si="32"/>
        <v>#DIV/0!</v>
      </c>
      <c r="P319" s="16" t="e">
        <f t="shared" si="33"/>
        <v>#DIV/0!</v>
      </c>
    </row>
    <row r="320" s="2" customFormat="1" spans="1:16">
      <c r="A320" s="15">
        <f t="shared" si="36"/>
        <v>44515</v>
      </c>
      <c r="B320" s="21">
        <v>500</v>
      </c>
      <c r="C320" s="22">
        <v>3690</v>
      </c>
      <c r="D320" s="31">
        <v>121</v>
      </c>
      <c r="E320" s="25">
        <v>0</v>
      </c>
      <c r="F320" s="16">
        <v>0</v>
      </c>
      <c r="G320" s="25">
        <v>4</v>
      </c>
      <c r="H320" s="25">
        <v>1</v>
      </c>
      <c r="I320" s="25">
        <v>0</v>
      </c>
      <c r="J320" s="23">
        <v>0.0328</v>
      </c>
      <c r="K320" s="21">
        <v>4.13</v>
      </c>
      <c r="L320" s="29">
        <f t="shared" si="34"/>
        <v>0</v>
      </c>
      <c r="M320" s="23">
        <f t="shared" si="35"/>
        <v>0</v>
      </c>
      <c r="N320" s="21" t="e">
        <f t="shared" si="31"/>
        <v>#DIV/0!</v>
      </c>
      <c r="O320" s="21" t="e">
        <f t="shared" si="32"/>
        <v>#DIV/0!</v>
      </c>
      <c r="P320" s="16">
        <f t="shared" si="33"/>
        <v>125</v>
      </c>
    </row>
    <row r="321" s="2" customFormat="1" spans="1:16">
      <c r="A321" s="15">
        <f t="shared" si="36"/>
        <v>44516</v>
      </c>
      <c r="B321" s="21">
        <v>398.41</v>
      </c>
      <c r="C321" s="22">
        <v>4933</v>
      </c>
      <c r="D321" s="31">
        <v>162</v>
      </c>
      <c r="E321" s="25">
        <v>1</v>
      </c>
      <c r="F321" s="16">
        <v>1111</v>
      </c>
      <c r="G321" s="25">
        <v>0</v>
      </c>
      <c r="H321" s="25">
        <v>0</v>
      </c>
      <c r="I321" s="25">
        <v>0</v>
      </c>
      <c r="J321" s="23">
        <v>0.0328</v>
      </c>
      <c r="K321" s="21">
        <v>2.46</v>
      </c>
      <c r="L321" s="29">
        <f t="shared" si="34"/>
        <v>2.78858462387992</v>
      </c>
      <c r="M321" s="23">
        <f t="shared" si="35"/>
        <v>0.00617283950617284</v>
      </c>
      <c r="N321" s="21">
        <f t="shared" si="31"/>
        <v>1111</v>
      </c>
      <c r="O321" s="21">
        <f t="shared" si="32"/>
        <v>398.41</v>
      </c>
      <c r="P321" s="16" t="e">
        <f t="shared" si="33"/>
        <v>#DIV/0!</v>
      </c>
    </row>
    <row r="322" s="2" customFormat="1" spans="1:16">
      <c r="A322" s="15">
        <f t="shared" si="36"/>
        <v>44517</v>
      </c>
      <c r="B322" s="21">
        <v>300</v>
      </c>
      <c r="C322" s="22">
        <v>2126</v>
      </c>
      <c r="D322" s="31">
        <v>101</v>
      </c>
      <c r="E322" s="25">
        <v>0</v>
      </c>
      <c r="F322" s="16">
        <v>0</v>
      </c>
      <c r="G322" s="25">
        <v>1</v>
      </c>
      <c r="H322" s="25">
        <v>1</v>
      </c>
      <c r="I322" s="25">
        <v>0</v>
      </c>
      <c r="J322" s="23">
        <v>0.0475</v>
      </c>
      <c r="K322" s="21">
        <v>2.97</v>
      </c>
      <c r="L322" s="29">
        <f t="shared" si="34"/>
        <v>0</v>
      </c>
      <c r="M322" s="23">
        <f t="shared" si="35"/>
        <v>0</v>
      </c>
      <c r="N322" s="21" t="e">
        <f t="shared" ref="N322:N385" si="37">F322/E322</f>
        <v>#DIV/0!</v>
      </c>
      <c r="O322" s="21" t="e">
        <f t="shared" ref="O322:O385" si="38">B322/E322</f>
        <v>#DIV/0!</v>
      </c>
      <c r="P322" s="16">
        <f t="shared" ref="P322:P385" si="39">B322/G322</f>
        <v>300</v>
      </c>
    </row>
    <row r="323" s="2" customFormat="1" spans="1:16">
      <c r="A323" s="15">
        <f t="shared" si="36"/>
        <v>44518</v>
      </c>
      <c r="B323" s="21">
        <v>300</v>
      </c>
      <c r="C323" s="22">
        <v>2229</v>
      </c>
      <c r="D323" s="31">
        <v>99</v>
      </c>
      <c r="E323" s="25">
        <v>0</v>
      </c>
      <c r="F323" s="16">
        <v>0</v>
      </c>
      <c r="G323" s="25">
        <v>0</v>
      </c>
      <c r="H323" s="25">
        <v>1</v>
      </c>
      <c r="I323" s="25">
        <v>1</v>
      </c>
      <c r="J323" s="23">
        <v>0.0444</v>
      </c>
      <c r="K323" s="21">
        <v>3.03</v>
      </c>
      <c r="L323" s="29">
        <f t="shared" si="34"/>
        <v>0</v>
      </c>
      <c r="M323" s="23">
        <f t="shared" si="35"/>
        <v>0</v>
      </c>
      <c r="N323" s="21" t="e">
        <f t="shared" si="37"/>
        <v>#DIV/0!</v>
      </c>
      <c r="O323" s="21" t="e">
        <f t="shared" si="38"/>
        <v>#DIV/0!</v>
      </c>
      <c r="P323" s="16" t="e">
        <f t="shared" si="39"/>
        <v>#DIV/0!</v>
      </c>
    </row>
    <row r="324" s="2" customFormat="1" spans="1:16">
      <c r="A324" s="15">
        <f t="shared" si="36"/>
        <v>44519</v>
      </c>
      <c r="B324" s="21">
        <v>300</v>
      </c>
      <c r="C324" s="22">
        <v>2309</v>
      </c>
      <c r="D324" s="31">
        <v>102</v>
      </c>
      <c r="E324" s="25">
        <v>0</v>
      </c>
      <c r="F324" s="16">
        <v>0</v>
      </c>
      <c r="G324" s="25">
        <v>1</v>
      </c>
      <c r="H324" s="25">
        <v>1</v>
      </c>
      <c r="I324" s="25">
        <v>0</v>
      </c>
      <c r="J324" s="23">
        <v>0.0442</v>
      </c>
      <c r="K324" s="21">
        <v>2.94</v>
      </c>
      <c r="L324" s="29">
        <f t="shared" si="34"/>
        <v>0</v>
      </c>
      <c r="M324" s="23">
        <f t="shared" si="35"/>
        <v>0</v>
      </c>
      <c r="N324" s="21" t="e">
        <f t="shared" si="37"/>
        <v>#DIV/0!</v>
      </c>
      <c r="O324" s="21" t="e">
        <f t="shared" si="38"/>
        <v>#DIV/0!</v>
      </c>
      <c r="P324" s="16">
        <f t="shared" si="39"/>
        <v>300</v>
      </c>
    </row>
    <row r="325" s="2" customFormat="1" spans="1:16">
      <c r="A325" s="15">
        <f t="shared" si="36"/>
        <v>44520</v>
      </c>
      <c r="B325" s="21">
        <v>0</v>
      </c>
      <c r="C325" s="22" t="s">
        <v>16</v>
      </c>
      <c r="D325" s="22" t="s">
        <v>16</v>
      </c>
      <c r="E325" s="33" t="s">
        <v>16</v>
      </c>
      <c r="F325" s="27" t="s">
        <v>16</v>
      </c>
      <c r="G325" s="33" t="s">
        <v>16</v>
      </c>
      <c r="H325" s="33" t="s">
        <v>16</v>
      </c>
      <c r="I325" s="33" t="s">
        <v>16</v>
      </c>
      <c r="J325" s="33" t="s">
        <v>16</v>
      </c>
      <c r="K325" s="27" t="s">
        <v>16</v>
      </c>
      <c r="L325" s="29" t="e">
        <f t="shared" si="34"/>
        <v>#VALUE!</v>
      </c>
      <c r="M325" s="23" t="e">
        <f t="shared" si="35"/>
        <v>#VALUE!</v>
      </c>
      <c r="N325" s="21" t="e">
        <f t="shared" si="37"/>
        <v>#VALUE!</v>
      </c>
      <c r="O325" s="21" t="e">
        <f t="shared" si="38"/>
        <v>#VALUE!</v>
      </c>
      <c r="P325" s="16" t="e">
        <f t="shared" si="39"/>
        <v>#VALUE!</v>
      </c>
    </row>
    <row r="326" s="2" customFormat="1" spans="1:16">
      <c r="A326" s="15">
        <f t="shared" si="36"/>
        <v>44521</v>
      </c>
      <c r="B326" s="21">
        <v>300</v>
      </c>
      <c r="C326" s="22">
        <v>2083</v>
      </c>
      <c r="D326" s="31">
        <v>101</v>
      </c>
      <c r="E326" s="25">
        <v>0</v>
      </c>
      <c r="F326" s="16">
        <v>0</v>
      </c>
      <c r="G326" s="25">
        <v>0</v>
      </c>
      <c r="H326" s="25">
        <v>2</v>
      </c>
      <c r="I326" s="25">
        <v>0</v>
      </c>
      <c r="J326" s="23">
        <v>0.0485</v>
      </c>
      <c r="K326" s="21">
        <v>2.97</v>
      </c>
      <c r="L326" s="29">
        <f t="shared" si="34"/>
        <v>0</v>
      </c>
      <c r="M326" s="23">
        <f t="shared" si="35"/>
        <v>0</v>
      </c>
      <c r="N326" s="21" t="e">
        <f t="shared" si="37"/>
        <v>#DIV/0!</v>
      </c>
      <c r="O326" s="21" t="e">
        <f t="shared" si="38"/>
        <v>#DIV/0!</v>
      </c>
      <c r="P326" s="16" t="e">
        <f t="shared" si="39"/>
        <v>#DIV/0!</v>
      </c>
    </row>
    <row r="327" s="2" customFormat="1" spans="1:16">
      <c r="A327" s="15">
        <f t="shared" si="36"/>
        <v>44522</v>
      </c>
      <c r="B327" s="21">
        <v>300</v>
      </c>
      <c r="C327" s="22">
        <v>2405</v>
      </c>
      <c r="D327" s="31">
        <v>100</v>
      </c>
      <c r="E327" s="25">
        <v>0</v>
      </c>
      <c r="F327" s="16">
        <v>0</v>
      </c>
      <c r="G327" s="25">
        <v>0</v>
      </c>
      <c r="H327" s="25">
        <v>0</v>
      </c>
      <c r="I327" s="25">
        <v>2</v>
      </c>
      <c r="J327" s="23">
        <v>0.0416</v>
      </c>
      <c r="K327" s="21">
        <v>3</v>
      </c>
      <c r="L327" s="29">
        <f t="shared" si="34"/>
        <v>0</v>
      </c>
      <c r="M327" s="23">
        <f t="shared" si="35"/>
        <v>0</v>
      </c>
      <c r="N327" s="21" t="e">
        <f t="shared" si="37"/>
        <v>#DIV/0!</v>
      </c>
      <c r="O327" s="21" t="e">
        <f t="shared" si="38"/>
        <v>#DIV/0!</v>
      </c>
      <c r="P327" s="16" t="e">
        <f t="shared" si="39"/>
        <v>#DIV/0!</v>
      </c>
    </row>
    <row r="328" s="2" customFormat="1" spans="1:16">
      <c r="A328" s="15">
        <f t="shared" si="36"/>
        <v>44523</v>
      </c>
      <c r="B328" s="21">
        <v>300</v>
      </c>
      <c r="C328" s="22">
        <v>2114</v>
      </c>
      <c r="D328" s="31">
        <v>101</v>
      </c>
      <c r="E328" s="25">
        <v>0</v>
      </c>
      <c r="F328" s="16">
        <v>0</v>
      </c>
      <c r="G328" s="25">
        <v>0</v>
      </c>
      <c r="H328" s="25">
        <v>3</v>
      </c>
      <c r="I328" s="25">
        <v>3</v>
      </c>
      <c r="J328" s="23">
        <v>0.0478</v>
      </c>
      <c r="K328" s="21">
        <v>2.97</v>
      </c>
      <c r="L328" s="29">
        <f t="shared" si="34"/>
        <v>0</v>
      </c>
      <c r="M328" s="23">
        <f t="shared" si="35"/>
        <v>0</v>
      </c>
      <c r="N328" s="21" t="e">
        <f t="shared" si="37"/>
        <v>#DIV/0!</v>
      </c>
      <c r="O328" s="21" t="e">
        <f t="shared" si="38"/>
        <v>#DIV/0!</v>
      </c>
      <c r="P328" s="16" t="e">
        <f t="shared" si="39"/>
        <v>#DIV/0!</v>
      </c>
    </row>
    <row r="329" s="2" customFormat="1" spans="1:16">
      <c r="A329" s="15">
        <f t="shared" si="36"/>
        <v>44524</v>
      </c>
      <c r="B329" s="21">
        <v>299.37</v>
      </c>
      <c r="C329" s="22">
        <v>2100</v>
      </c>
      <c r="D329" s="31">
        <v>114</v>
      </c>
      <c r="E329" s="25">
        <v>2</v>
      </c>
      <c r="F329" s="16">
        <v>1998</v>
      </c>
      <c r="G329" s="25">
        <v>2</v>
      </c>
      <c r="H329" s="25">
        <v>0</v>
      </c>
      <c r="I329" s="25">
        <v>1</v>
      </c>
      <c r="J329" s="23">
        <v>0.0543</v>
      </c>
      <c r="K329" s="21">
        <v>2.63</v>
      </c>
      <c r="L329" s="29">
        <f t="shared" si="34"/>
        <v>6.67401543240806</v>
      </c>
      <c r="M329" s="23">
        <f t="shared" si="35"/>
        <v>0.0175438596491228</v>
      </c>
      <c r="N329" s="21">
        <f t="shared" si="37"/>
        <v>999</v>
      </c>
      <c r="O329" s="21">
        <f t="shared" si="38"/>
        <v>149.685</v>
      </c>
      <c r="P329" s="16">
        <f t="shared" si="39"/>
        <v>149.685</v>
      </c>
    </row>
    <row r="330" s="2" customFormat="1" spans="1:16">
      <c r="A330" s="15">
        <f t="shared" si="36"/>
        <v>44525</v>
      </c>
      <c r="B330" s="21">
        <v>300</v>
      </c>
      <c r="C330" s="22">
        <v>2276</v>
      </c>
      <c r="D330" s="31">
        <v>119</v>
      </c>
      <c r="E330" s="25">
        <v>0</v>
      </c>
      <c r="F330" s="16">
        <v>0</v>
      </c>
      <c r="G330" s="25">
        <v>3</v>
      </c>
      <c r="H330" s="25">
        <v>1</v>
      </c>
      <c r="I330" s="25">
        <v>0</v>
      </c>
      <c r="J330" s="23">
        <v>0.0523</v>
      </c>
      <c r="K330" s="21">
        <v>2.52</v>
      </c>
      <c r="L330" s="29">
        <f t="shared" si="34"/>
        <v>0</v>
      </c>
      <c r="M330" s="23">
        <f t="shared" si="35"/>
        <v>0</v>
      </c>
      <c r="N330" s="21" t="e">
        <f t="shared" si="37"/>
        <v>#DIV/0!</v>
      </c>
      <c r="O330" s="21" t="e">
        <f t="shared" si="38"/>
        <v>#DIV/0!</v>
      </c>
      <c r="P330" s="16">
        <f t="shared" si="39"/>
        <v>100</v>
      </c>
    </row>
    <row r="331" s="2" customFormat="1" spans="1:16">
      <c r="A331" s="15">
        <f t="shared" si="36"/>
        <v>44526</v>
      </c>
      <c r="B331" s="21">
        <v>264.3</v>
      </c>
      <c r="C331" s="22">
        <v>1978</v>
      </c>
      <c r="D331" s="31">
        <v>102</v>
      </c>
      <c r="E331" s="25">
        <v>0</v>
      </c>
      <c r="F331" s="16">
        <v>0</v>
      </c>
      <c r="G331" s="25">
        <v>1</v>
      </c>
      <c r="H331" s="25">
        <v>2</v>
      </c>
      <c r="I331" s="25">
        <v>1</v>
      </c>
      <c r="J331" s="23">
        <v>0.0516</v>
      </c>
      <c r="K331" s="21">
        <v>2.59</v>
      </c>
      <c r="L331" s="29">
        <f t="shared" si="34"/>
        <v>0</v>
      </c>
      <c r="M331" s="23">
        <f t="shared" si="35"/>
        <v>0</v>
      </c>
      <c r="N331" s="21" t="e">
        <f t="shared" si="37"/>
        <v>#DIV/0!</v>
      </c>
      <c r="O331" s="21" t="e">
        <f t="shared" si="38"/>
        <v>#DIV/0!</v>
      </c>
      <c r="P331" s="16">
        <f t="shared" si="39"/>
        <v>264.3</v>
      </c>
    </row>
    <row r="332" s="2" customFormat="1" spans="1:16">
      <c r="A332" s="15">
        <f t="shared" si="36"/>
        <v>44527</v>
      </c>
      <c r="B332" s="21">
        <v>0</v>
      </c>
      <c r="C332" s="22" t="s">
        <v>16</v>
      </c>
      <c r="D332" s="31" t="s">
        <v>16</v>
      </c>
      <c r="E332" s="25" t="s">
        <v>16</v>
      </c>
      <c r="F332" s="16">
        <v>0</v>
      </c>
      <c r="G332" s="25" t="s">
        <v>16</v>
      </c>
      <c r="H332" s="25" t="s">
        <v>16</v>
      </c>
      <c r="I332" s="25" t="s">
        <v>16</v>
      </c>
      <c r="J332" s="25" t="s">
        <v>16</v>
      </c>
      <c r="K332" s="27" t="s">
        <v>16</v>
      </c>
      <c r="L332" s="29" t="e">
        <f t="shared" si="34"/>
        <v>#DIV/0!</v>
      </c>
      <c r="M332" s="23" t="e">
        <f t="shared" si="35"/>
        <v>#VALUE!</v>
      </c>
      <c r="N332" s="21" t="e">
        <f t="shared" si="37"/>
        <v>#VALUE!</v>
      </c>
      <c r="O332" s="21" t="e">
        <f t="shared" si="38"/>
        <v>#VALUE!</v>
      </c>
      <c r="P332" s="16" t="e">
        <f t="shared" si="39"/>
        <v>#VALUE!</v>
      </c>
    </row>
    <row r="333" s="2" customFormat="1" spans="1:16">
      <c r="A333" s="15">
        <f t="shared" si="36"/>
        <v>44528</v>
      </c>
      <c r="B333" s="21">
        <v>300</v>
      </c>
      <c r="C333" s="22">
        <v>1452</v>
      </c>
      <c r="D333" s="31">
        <v>122</v>
      </c>
      <c r="E333" s="25">
        <v>0</v>
      </c>
      <c r="F333" s="16">
        <v>0</v>
      </c>
      <c r="G333" s="25">
        <v>0</v>
      </c>
      <c r="H333" s="25">
        <v>1</v>
      </c>
      <c r="I333" s="25">
        <v>1</v>
      </c>
      <c r="J333" s="23">
        <v>0.084</v>
      </c>
      <c r="K333" s="21">
        <v>2.46</v>
      </c>
      <c r="L333" s="29">
        <f t="shared" si="34"/>
        <v>0</v>
      </c>
      <c r="M333" s="23">
        <f t="shared" si="35"/>
        <v>0</v>
      </c>
      <c r="N333" s="21" t="e">
        <f t="shared" si="37"/>
        <v>#DIV/0!</v>
      </c>
      <c r="O333" s="21" t="e">
        <f t="shared" si="38"/>
        <v>#DIV/0!</v>
      </c>
      <c r="P333" s="16" t="e">
        <f t="shared" si="39"/>
        <v>#DIV/0!</v>
      </c>
    </row>
    <row r="334" s="2" customFormat="1" spans="1:16">
      <c r="A334" s="15">
        <f t="shared" si="36"/>
        <v>44529</v>
      </c>
      <c r="B334" s="21">
        <v>282.23</v>
      </c>
      <c r="C334" s="22">
        <v>1345</v>
      </c>
      <c r="D334" s="31">
        <v>105</v>
      </c>
      <c r="E334" s="25">
        <v>1</v>
      </c>
      <c r="F334" s="16">
        <v>999</v>
      </c>
      <c r="G334" s="25">
        <v>1</v>
      </c>
      <c r="H334" s="25">
        <v>1</v>
      </c>
      <c r="I334" s="25">
        <v>1</v>
      </c>
      <c r="J334" s="23">
        <v>0.0781</v>
      </c>
      <c r="K334" s="21">
        <v>2.69</v>
      </c>
      <c r="L334" s="29">
        <f t="shared" si="34"/>
        <v>3.53966622967084</v>
      </c>
      <c r="M334" s="23">
        <f t="shared" si="35"/>
        <v>0.00952380952380952</v>
      </c>
      <c r="N334" s="21">
        <f t="shared" si="37"/>
        <v>999</v>
      </c>
      <c r="O334" s="21">
        <f t="shared" si="38"/>
        <v>282.23</v>
      </c>
      <c r="P334" s="16">
        <f t="shared" si="39"/>
        <v>282.23</v>
      </c>
    </row>
    <row r="335" s="2" customFormat="1" spans="1:16">
      <c r="A335" s="15">
        <f t="shared" si="36"/>
        <v>44530</v>
      </c>
      <c r="B335" s="21">
        <v>300</v>
      </c>
      <c r="C335" s="22">
        <v>1883</v>
      </c>
      <c r="D335" s="31">
        <v>107</v>
      </c>
      <c r="E335" s="25">
        <v>1</v>
      </c>
      <c r="F335" s="16">
        <v>999</v>
      </c>
      <c r="G335" s="25">
        <v>0</v>
      </c>
      <c r="H335" s="25">
        <v>0</v>
      </c>
      <c r="I335" s="25">
        <v>1</v>
      </c>
      <c r="J335" s="23">
        <v>0.0568</v>
      </c>
      <c r="K335" s="21">
        <v>2.8</v>
      </c>
      <c r="L335" s="29">
        <f t="shared" si="34"/>
        <v>3.33</v>
      </c>
      <c r="M335" s="23">
        <f t="shared" si="35"/>
        <v>0.00934579439252336</v>
      </c>
      <c r="N335" s="21">
        <f t="shared" si="37"/>
        <v>999</v>
      </c>
      <c r="O335" s="21">
        <f t="shared" si="38"/>
        <v>300</v>
      </c>
      <c r="P335" s="16" t="e">
        <f t="shared" si="39"/>
        <v>#DIV/0!</v>
      </c>
    </row>
    <row r="336" s="2" customFormat="1" spans="1:16">
      <c r="A336" s="15">
        <f t="shared" si="36"/>
        <v>44531</v>
      </c>
      <c r="B336" s="21">
        <v>207.35</v>
      </c>
      <c r="C336" s="22">
        <v>3624</v>
      </c>
      <c r="D336" s="31">
        <v>84</v>
      </c>
      <c r="E336" s="25">
        <v>0</v>
      </c>
      <c r="F336" s="16">
        <v>0</v>
      </c>
      <c r="G336" s="25">
        <v>0</v>
      </c>
      <c r="H336" s="25">
        <v>0</v>
      </c>
      <c r="I336" s="25">
        <v>0</v>
      </c>
      <c r="J336" s="23">
        <v>0.0232</v>
      </c>
      <c r="K336" s="21">
        <v>2.47</v>
      </c>
      <c r="L336" s="29">
        <f t="shared" si="34"/>
        <v>0</v>
      </c>
      <c r="M336" s="23">
        <f t="shared" si="35"/>
        <v>0</v>
      </c>
      <c r="N336" s="21" t="e">
        <f t="shared" si="37"/>
        <v>#DIV/0!</v>
      </c>
      <c r="O336" s="21" t="e">
        <f t="shared" si="38"/>
        <v>#DIV/0!</v>
      </c>
      <c r="P336" s="16" t="e">
        <f t="shared" si="39"/>
        <v>#DIV/0!</v>
      </c>
    </row>
    <row r="337" s="2" customFormat="1" spans="1:16">
      <c r="A337" s="15">
        <f t="shared" si="36"/>
        <v>44532</v>
      </c>
      <c r="B337" s="21">
        <v>95.64</v>
      </c>
      <c r="C337" s="22">
        <v>2880</v>
      </c>
      <c r="D337" s="31">
        <v>43</v>
      </c>
      <c r="E337" s="25">
        <v>0</v>
      </c>
      <c r="F337" s="16">
        <v>0</v>
      </c>
      <c r="G337" s="25">
        <v>0</v>
      </c>
      <c r="H337" s="25">
        <v>0</v>
      </c>
      <c r="I337" s="25">
        <v>0</v>
      </c>
      <c r="J337" s="23">
        <v>0.0149</v>
      </c>
      <c r="K337" s="21">
        <v>2.22</v>
      </c>
      <c r="L337" s="29">
        <f t="shared" si="34"/>
        <v>0</v>
      </c>
      <c r="M337" s="23">
        <f t="shared" si="35"/>
        <v>0</v>
      </c>
      <c r="N337" s="21" t="e">
        <f t="shared" si="37"/>
        <v>#DIV/0!</v>
      </c>
      <c r="O337" s="21" t="e">
        <f t="shared" si="38"/>
        <v>#DIV/0!</v>
      </c>
      <c r="P337" s="16" t="e">
        <f t="shared" si="39"/>
        <v>#DIV/0!</v>
      </c>
    </row>
    <row r="338" s="2" customFormat="1" spans="1:16">
      <c r="A338" s="15">
        <f t="shared" si="36"/>
        <v>44533</v>
      </c>
      <c r="B338" s="21">
        <v>130.62</v>
      </c>
      <c r="C338" s="22">
        <v>2491</v>
      </c>
      <c r="D338" s="31">
        <v>58</v>
      </c>
      <c r="E338" s="25">
        <v>0</v>
      </c>
      <c r="F338" s="16">
        <v>0</v>
      </c>
      <c r="G338" s="25">
        <v>0</v>
      </c>
      <c r="H338" s="25">
        <v>0</v>
      </c>
      <c r="I338" s="25">
        <v>1</v>
      </c>
      <c r="J338" s="23">
        <v>0.0233</v>
      </c>
      <c r="K338" s="21">
        <v>2.25</v>
      </c>
      <c r="L338" s="29">
        <f t="shared" si="34"/>
        <v>0</v>
      </c>
      <c r="M338" s="23">
        <f t="shared" si="35"/>
        <v>0</v>
      </c>
      <c r="N338" s="21" t="e">
        <f t="shared" si="37"/>
        <v>#DIV/0!</v>
      </c>
      <c r="O338" s="21" t="e">
        <f t="shared" si="38"/>
        <v>#DIV/0!</v>
      </c>
      <c r="P338" s="16" t="e">
        <f t="shared" si="39"/>
        <v>#DIV/0!</v>
      </c>
    </row>
    <row r="339" s="2" customFormat="1" spans="1:16">
      <c r="A339" s="15">
        <f t="shared" si="36"/>
        <v>44534</v>
      </c>
      <c r="B339" s="21" t="s">
        <v>16</v>
      </c>
      <c r="C339" s="32" t="s">
        <v>16</v>
      </c>
      <c r="D339" s="32" t="s">
        <v>16</v>
      </c>
      <c r="E339" s="28" t="s">
        <v>16</v>
      </c>
      <c r="F339" s="21" t="s">
        <v>16</v>
      </c>
      <c r="G339" s="28" t="s">
        <v>16</v>
      </c>
      <c r="H339" s="28" t="s">
        <v>16</v>
      </c>
      <c r="I339" s="28" t="s">
        <v>16</v>
      </c>
      <c r="J339" s="28" t="s">
        <v>16</v>
      </c>
      <c r="K339" s="21" t="s">
        <v>16</v>
      </c>
      <c r="L339" s="29" t="e">
        <f t="shared" ref="L339:L387" si="40">F339/B339</f>
        <v>#VALUE!</v>
      </c>
      <c r="M339" s="23" t="e">
        <f t="shared" ref="M339:M387" si="41">E339/D339</f>
        <v>#VALUE!</v>
      </c>
      <c r="N339" s="21" t="e">
        <f t="shared" si="37"/>
        <v>#VALUE!</v>
      </c>
      <c r="O339" s="21" t="e">
        <f t="shared" si="38"/>
        <v>#VALUE!</v>
      </c>
      <c r="P339" s="16" t="e">
        <f t="shared" si="39"/>
        <v>#VALUE!</v>
      </c>
    </row>
    <row r="340" s="2" customFormat="1" spans="1:16">
      <c r="A340" s="15">
        <f t="shared" si="36"/>
        <v>44535</v>
      </c>
      <c r="B340" s="21">
        <v>300</v>
      </c>
      <c r="C340" s="22">
        <v>3121</v>
      </c>
      <c r="D340" s="31">
        <v>114</v>
      </c>
      <c r="E340" s="25">
        <v>0</v>
      </c>
      <c r="F340" s="16">
        <v>0</v>
      </c>
      <c r="G340" s="25">
        <v>0</v>
      </c>
      <c r="H340" s="25">
        <v>0</v>
      </c>
      <c r="I340" s="25">
        <v>2</v>
      </c>
      <c r="J340" s="23">
        <v>0.0365</v>
      </c>
      <c r="K340" s="21">
        <v>2.63</v>
      </c>
      <c r="L340" s="29">
        <f t="shared" si="40"/>
        <v>0</v>
      </c>
      <c r="M340" s="23">
        <f t="shared" si="41"/>
        <v>0</v>
      </c>
      <c r="N340" s="21" t="e">
        <f t="shared" si="37"/>
        <v>#DIV/0!</v>
      </c>
      <c r="O340" s="21" t="e">
        <f t="shared" si="38"/>
        <v>#DIV/0!</v>
      </c>
      <c r="P340" s="16" t="e">
        <f t="shared" si="39"/>
        <v>#DIV/0!</v>
      </c>
    </row>
    <row r="341" s="2" customFormat="1" spans="1:16">
      <c r="A341" s="15">
        <f t="shared" si="36"/>
        <v>44536</v>
      </c>
      <c r="B341" s="21">
        <v>175.77</v>
      </c>
      <c r="C341" s="22">
        <v>2629</v>
      </c>
      <c r="D341" s="31">
        <v>80</v>
      </c>
      <c r="E341" s="25">
        <v>0</v>
      </c>
      <c r="F341" s="16">
        <v>0</v>
      </c>
      <c r="G341" s="25">
        <v>0</v>
      </c>
      <c r="H341" s="25">
        <v>0</v>
      </c>
      <c r="I341" s="25">
        <v>0</v>
      </c>
      <c r="J341" s="23">
        <v>0.0304</v>
      </c>
      <c r="K341" s="21">
        <v>2.2</v>
      </c>
      <c r="L341" s="29">
        <f t="shared" si="40"/>
        <v>0</v>
      </c>
      <c r="M341" s="23">
        <f t="shared" si="41"/>
        <v>0</v>
      </c>
      <c r="N341" s="21" t="e">
        <f t="shared" si="37"/>
        <v>#DIV/0!</v>
      </c>
      <c r="O341" s="21" t="e">
        <f t="shared" si="38"/>
        <v>#DIV/0!</v>
      </c>
      <c r="P341" s="16" t="e">
        <f t="shared" si="39"/>
        <v>#DIV/0!</v>
      </c>
    </row>
    <row r="342" s="2" customFormat="1" spans="1:16">
      <c r="A342" s="15">
        <f t="shared" si="36"/>
        <v>44537</v>
      </c>
      <c r="B342" s="21">
        <v>186.49</v>
      </c>
      <c r="C342" s="22">
        <v>3889</v>
      </c>
      <c r="D342" s="31">
        <v>86</v>
      </c>
      <c r="E342" s="25">
        <v>0</v>
      </c>
      <c r="F342" s="16">
        <v>0</v>
      </c>
      <c r="G342" s="25">
        <v>0</v>
      </c>
      <c r="H342" s="25">
        <v>0</v>
      </c>
      <c r="I342" s="25">
        <v>1</v>
      </c>
      <c r="J342" s="23">
        <v>0.0221</v>
      </c>
      <c r="K342" s="21">
        <v>2.17</v>
      </c>
      <c r="L342" s="29">
        <f t="shared" si="40"/>
        <v>0</v>
      </c>
      <c r="M342" s="23">
        <f t="shared" si="41"/>
        <v>0</v>
      </c>
      <c r="N342" s="21" t="e">
        <f t="shared" si="37"/>
        <v>#DIV/0!</v>
      </c>
      <c r="O342" s="21" t="e">
        <f t="shared" si="38"/>
        <v>#DIV/0!</v>
      </c>
      <c r="P342" s="16" t="e">
        <f t="shared" si="39"/>
        <v>#DIV/0!</v>
      </c>
    </row>
    <row r="343" s="2" customFormat="1" spans="1:16">
      <c r="A343" s="15">
        <f t="shared" si="36"/>
        <v>44538</v>
      </c>
      <c r="B343" s="21">
        <v>146.79</v>
      </c>
      <c r="C343" s="22">
        <v>3676</v>
      </c>
      <c r="D343" s="31">
        <v>76</v>
      </c>
      <c r="E343" s="25">
        <v>0</v>
      </c>
      <c r="F343" s="16">
        <v>0</v>
      </c>
      <c r="G343" s="25">
        <v>0</v>
      </c>
      <c r="H343" s="25">
        <v>0</v>
      </c>
      <c r="I343" s="25">
        <v>0</v>
      </c>
      <c r="J343" s="23">
        <v>0.0207</v>
      </c>
      <c r="K343" s="21">
        <v>1.93</v>
      </c>
      <c r="L343" s="29">
        <f t="shared" si="40"/>
        <v>0</v>
      </c>
      <c r="M343" s="23">
        <f t="shared" si="41"/>
        <v>0</v>
      </c>
      <c r="N343" s="21" t="e">
        <f t="shared" si="37"/>
        <v>#DIV/0!</v>
      </c>
      <c r="O343" s="21" t="e">
        <f t="shared" si="38"/>
        <v>#DIV/0!</v>
      </c>
      <c r="P343" s="16" t="e">
        <f t="shared" si="39"/>
        <v>#DIV/0!</v>
      </c>
    </row>
    <row r="344" s="2" customFormat="1" spans="1:16">
      <c r="A344" s="15">
        <f t="shared" si="36"/>
        <v>44539</v>
      </c>
      <c r="B344" s="21">
        <v>239.92</v>
      </c>
      <c r="C344" s="22">
        <v>4108</v>
      </c>
      <c r="D344" s="31">
        <v>109</v>
      </c>
      <c r="E344" s="25">
        <v>0</v>
      </c>
      <c r="F344" s="16">
        <v>0</v>
      </c>
      <c r="G344" s="25">
        <v>0</v>
      </c>
      <c r="H344" s="25">
        <v>0</v>
      </c>
      <c r="I344" s="25">
        <v>1</v>
      </c>
      <c r="J344" s="23">
        <v>0.0265</v>
      </c>
      <c r="K344" s="21">
        <v>2.2</v>
      </c>
      <c r="L344" s="29">
        <f t="shared" si="40"/>
        <v>0</v>
      </c>
      <c r="M344" s="23">
        <f t="shared" si="41"/>
        <v>0</v>
      </c>
      <c r="N344" s="21" t="e">
        <f t="shared" si="37"/>
        <v>#DIV/0!</v>
      </c>
      <c r="O344" s="21" t="e">
        <f t="shared" si="38"/>
        <v>#DIV/0!</v>
      </c>
      <c r="P344" s="16" t="e">
        <f t="shared" si="39"/>
        <v>#DIV/0!</v>
      </c>
    </row>
    <row r="345" s="2" customFormat="1" spans="1:16">
      <c r="A345" s="15">
        <f t="shared" si="36"/>
        <v>44540</v>
      </c>
      <c r="B345" s="21">
        <v>152.59</v>
      </c>
      <c r="C345" s="22">
        <v>4078</v>
      </c>
      <c r="D345" s="31">
        <v>90</v>
      </c>
      <c r="E345" s="25">
        <v>0</v>
      </c>
      <c r="F345" s="16">
        <v>0</v>
      </c>
      <c r="G345" s="25">
        <v>1</v>
      </c>
      <c r="H345" s="25">
        <v>0</v>
      </c>
      <c r="I345" s="25">
        <v>0</v>
      </c>
      <c r="J345" s="23">
        <v>0.0221</v>
      </c>
      <c r="K345" s="21">
        <v>1.7</v>
      </c>
      <c r="L345" s="29">
        <f t="shared" si="40"/>
        <v>0</v>
      </c>
      <c r="M345" s="23">
        <f t="shared" si="41"/>
        <v>0</v>
      </c>
      <c r="N345" s="21" t="e">
        <f t="shared" si="37"/>
        <v>#DIV/0!</v>
      </c>
      <c r="O345" s="21" t="e">
        <f t="shared" si="38"/>
        <v>#DIV/0!</v>
      </c>
      <c r="P345" s="16">
        <f t="shared" si="39"/>
        <v>152.59</v>
      </c>
    </row>
    <row r="346" s="2" customFormat="1" spans="1:16">
      <c r="A346" s="15">
        <f t="shared" si="36"/>
        <v>44541</v>
      </c>
      <c r="B346" s="21">
        <v>0</v>
      </c>
      <c r="C346" s="22">
        <v>0</v>
      </c>
      <c r="D346" s="31">
        <v>0</v>
      </c>
      <c r="E346" s="25">
        <v>0</v>
      </c>
      <c r="F346" s="16">
        <v>0</v>
      </c>
      <c r="G346" s="28" t="s">
        <v>16</v>
      </c>
      <c r="H346" s="28" t="s">
        <v>16</v>
      </c>
      <c r="I346" s="28" t="s">
        <v>16</v>
      </c>
      <c r="J346" s="28" t="s">
        <v>16</v>
      </c>
      <c r="K346" s="21">
        <v>0</v>
      </c>
      <c r="L346" s="29" t="e">
        <f t="shared" si="40"/>
        <v>#DIV/0!</v>
      </c>
      <c r="M346" s="23" t="e">
        <f t="shared" si="41"/>
        <v>#DIV/0!</v>
      </c>
      <c r="N346" s="21" t="e">
        <f t="shared" si="37"/>
        <v>#DIV/0!</v>
      </c>
      <c r="O346" s="21" t="e">
        <f t="shared" si="38"/>
        <v>#DIV/0!</v>
      </c>
      <c r="P346" s="16" t="e">
        <f t="shared" si="39"/>
        <v>#VALUE!</v>
      </c>
    </row>
    <row r="347" s="2" customFormat="1" spans="1:16">
      <c r="A347" s="15">
        <f t="shared" si="36"/>
        <v>44542</v>
      </c>
      <c r="B347" s="21">
        <v>213.22</v>
      </c>
      <c r="C347" s="22">
        <v>3171</v>
      </c>
      <c r="D347" s="31">
        <v>98</v>
      </c>
      <c r="E347" s="25">
        <v>0</v>
      </c>
      <c r="F347" s="16">
        <v>0</v>
      </c>
      <c r="G347" s="25">
        <v>0</v>
      </c>
      <c r="H347" s="25">
        <v>0</v>
      </c>
      <c r="I347" s="25">
        <v>0</v>
      </c>
      <c r="J347" s="23">
        <v>0.0309</v>
      </c>
      <c r="K347" s="21">
        <v>2.18</v>
      </c>
      <c r="L347" s="29">
        <f t="shared" si="40"/>
        <v>0</v>
      </c>
      <c r="M347" s="23">
        <f t="shared" si="41"/>
        <v>0</v>
      </c>
      <c r="N347" s="21" t="e">
        <f t="shared" si="37"/>
        <v>#DIV/0!</v>
      </c>
      <c r="O347" s="21" t="e">
        <f t="shared" si="38"/>
        <v>#DIV/0!</v>
      </c>
      <c r="P347" s="16" t="e">
        <f t="shared" si="39"/>
        <v>#DIV/0!</v>
      </c>
    </row>
    <row r="348" s="2" customFormat="1" spans="1:16">
      <c r="A348" s="15">
        <f t="shared" si="36"/>
        <v>44543</v>
      </c>
      <c r="B348" s="21">
        <v>241.09</v>
      </c>
      <c r="C348" s="22">
        <v>2207</v>
      </c>
      <c r="D348" s="31">
        <v>82</v>
      </c>
      <c r="E348" s="25">
        <v>0</v>
      </c>
      <c r="F348" s="16">
        <v>0</v>
      </c>
      <c r="G348" s="25">
        <v>2</v>
      </c>
      <c r="H348" s="25">
        <v>0</v>
      </c>
      <c r="I348" s="25">
        <v>1</v>
      </c>
      <c r="J348" s="23">
        <v>0.0372</v>
      </c>
      <c r="K348" s="21">
        <v>2.94</v>
      </c>
      <c r="L348" s="29">
        <f t="shared" si="40"/>
        <v>0</v>
      </c>
      <c r="M348" s="23">
        <f t="shared" si="41"/>
        <v>0</v>
      </c>
      <c r="N348" s="21" t="e">
        <f t="shared" si="37"/>
        <v>#DIV/0!</v>
      </c>
      <c r="O348" s="21" t="e">
        <f t="shared" si="38"/>
        <v>#DIV/0!</v>
      </c>
      <c r="P348" s="16">
        <f t="shared" si="39"/>
        <v>120.545</v>
      </c>
    </row>
    <row r="349" s="2" customFormat="1" spans="1:16">
      <c r="A349" s="15">
        <f t="shared" si="36"/>
        <v>44544</v>
      </c>
      <c r="B349" s="21">
        <v>213.94</v>
      </c>
      <c r="C349" s="22">
        <v>3202</v>
      </c>
      <c r="D349" s="31">
        <v>68</v>
      </c>
      <c r="E349" s="25">
        <v>0</v>
      </c>
      <c r="F349" s="16">
        <v>0</v>
      </c>
      <c r="G349" s="25">
        <v>0</v>
      </c>
      <c r="H349" s="25">
        <v>0</v>
      </c>
      <c r="I349" s="25">
        <v>0</v>
      </c>
      <c r="J349" s="23">
        <v>0.0212</v>
      </c>
      <c r="K349" s="21">
        <v>3.15</v>
      </c>
      <c r="L349" s="29">
        <f t="shared" si="40"/>
        <v>0</v>
      </c>
      <c r="M349" s="23">
        <f t="shared" si="41"/>
        <v>0</v>
      </c>
      <c r="N349" s="21" t="e">
        <f t="shared" si="37"/>
        <v>#DIV/0!</v>
      </c>
      <c r="O349" s="21" t="e">
        <f t="shared" si="38"/>
        <v>#DIV/0!</v>
      </c>
      <c r="P349" s="16" t="e">
        <f t="shared" si="39"/>
        <v>#DIV/0!</v>
      </c>
    </row>
    <row r="350" s="2" customFormat="1" spans="1:16">
      <c r="A350" s="15">
        <f t="shared" si="36"/>
        <v>44545</v>
      </c>
      <c r="B350" s="21">
        <v>205.99</v>
      </c>
      <c r="C350" s="22">
        <v>3932</v>
      </c>
      <c r="D350" s="31">
        <v>71</v>
      </c>
      <c r="E350" s="25">
        <v>0</v>
      </c>
      <c r="F350" s="16">
        <v>0</v>
      </c>
      <c r="G350" s="25">
        <v>1</v>
      </c>
      <c r="H350" s="25">
        <v>2</v>
      </c>
      <c r="I350" s="25">
        <v>1</v>
      </c>
      <c r="J350" s="23">
        <v>0.0181</v>
      </c>
      <c r="K350" s="21">
        <v>2.9</v>
      </c>
      <c r="L350" s="29">
        <f t="shared" si="40"/>
        <v>0</v>
      </c>
      <c r="M350" s="23">
        <f t="shared" si="41"/>
        <v>0</v>
      </c>
      <c r="N350" s="21" t="e">
        <f t="shared" si="37"/>
        <v>#DIV/0!</v>
      </c>
      <c r="O350" s="21" t="e">
        <f t="shared" si="38"/>
        <v>#DIV/0!</v>
      </c>
      <c r="P350" s="16">
        <f t="shared" si="39"/>
        <v>205.99</v>
      </c>
    </row>
    <row r="351" s="2" customFormat="1" spans="1:16">
      <c r="A351" s="15">
        <f t="shared" si="36"/>
        <v>44546</v>
      </c>
      <c r="B351" s="21">
        <v>213.589</v>
      </c>
      <c r="C351" s="22">
        <v>4190</v>
      </c>
      <c r="D351" s="31">
        <v>64</v>
      </c>
      <c r="E351" s="25">
        <v>0</v>
      </c>
      <c r="F351" s="16">
        <v>0</v>
      </c>
      <c r="G351" s="25">
        <v>0</v>
      </c>
      <c r="H351" s="25">
        <v>0</v>
      </c>
      <c r="I351" s="25">
        <v>0</v>
      </c>
      <c r="J351" s="23">
        <v>0.0153</v>
      </c>
      <c r="K351" s="21">
        <v>3.34</v>
      </c>
      <c r="L351" s="29">
        <f t="shared" si="40"/>
        <v>0</v>
      </c>
      <c r="M351" s="23">
        <f t="shared" si="41"/>
        <v>0</v>
      </c>
      <c r="N351" s="21" t="e">
        <f t="shared" si="37"/>
        <v>#DIV/0!</v>
      </c>
      <c r="O351" s="21" t="e">
        <f t="shared" si="38"/>
        <v>#DIV/0!</v>
      </c>
      <c r="P351" s="16" t="e">
        <f t="shared" si="39"/>
        <v>#DIV/0!</v>
      </c>
    </row>
    <row r="352" s="2" customFormat="1" spans="1:16">
      <c r="A352" s="15">
        <f t="shared" si="36"/>
        <v>44547</v>
      </c>
      <c r="B352" s="21">
        <v>195.79</v>
      </c>
      <c r="C352" s="22">
        <v>5475</v>
      </c>
      <c r="D352" s="31">
        <v>60</v>
      </c>
      <c r="E352" s="25">
        <v>0</v>
      </c>
      <c r="F352" s="16">
        <v>0</v>
      </c>
      <c r="G352" s="25">
        <v>0</v>
      </c>
      <c r="H352" s="25">
        <v>0</v>
      </c>
      <c r="I352" s="25">
        <v>0</v>
      </c>
      <c r="J352" s="23">
        <v>0.011</v>
      </c>
      <c r="K352" s="21">
        <v>3.26</v>
      </c>
      <c r="L352" s="29">
        <f t="shared" si="40"/>
        <v>0</v>
      </c>
      <c r="M352" s="23">
        <f t="shared" si="41"/>
        <v>0</v>
      </c>
      <c r="N352" s="21" t="e">
        <f t="shared" si="37"/>
        <v>#DIV/0!</v>
      </c>
      <c r="O352" s="21" t="e">
        <f t="shared" si="38"/>
        <v>#DIV/0!</v>
      </c>
      <c r="P352" s="16" t="e">
        <f t="shared" si="39"/>
        <v>#DIV/0!</v>
      </c>
    </row>
    <row r="353" s="2" customFormat="1" spans="1:16">
      <c r="A353" s="15">
        <f t="shared" ref="A353:A416" si="42">A352+1</f>
        <v>44548</v>
      </c>
      <c r="B353" s="21">
        <v>183.62</v>
      </c>
      <c r="C353" s="22">
        <v>5790</v>
      </c>
      <c r="D353" s="31">
        <v>70</v>
      </c>
      <c r="E353" s="25">
        <v>0</v>
      </c>
      <c r="F353" s="16">
        <v>0</v>
      </c>
      <c r="G353" s="25">
        <v>0</v>
      </c>
      <c r="H353" s="25">
        <v>0</v>
      </c>
      <c r="I353" s="25">
        <v>0</v>
      </c>
      <c r="J353" s="23">
        <v>0.0121</v>
      </c>
      <c r="K353" s="21">
        <v>2.62</v>
      </c>
      <c r="L353" s="29">
        <f t="shared" si="40"/>
        <v>0</v>
      </c>
      <c r="M353" s="23">
        <f t="shared" si="41"/>
        <v>0</v>
      </c>
      <c r="N353" s="21" t="e">
        <f t="shared" si="37"/>
        <v>#DIV/0!</v>
      </c>
      <c r="O353" s="21" t="e">
        <f t="shared" si="38"/>
        <v>#DIV/0!</v>
      </c>
      <c r="P353" s="16" t="e">
        <f t="shared" si="39"/>
        <v>#DIV/0!</v>
      </c>
    </row>
    <row r="354" s="2" customFormat="1" spans="1:16">
      <c r="A354" s="15">
        <f t="shared" si="42"/>
        <v>44549</v>
      </c>
      <c r="B354" s="21">
        <v>202.79</v>
      </c>
      <c r="C354" s="22">
        <v>5498</v>
      </c>
      <c r="D354" s="31">
        <v>71</v>
      </c>
      <c r="E354" s="25">
        <v>0</v>
      </c>
      <c r="F354" s="16">
        <v>0</v>
      </c>
      <c r="G354" s="25">
        <v>0</v>
      </c>
      <c r="H354" s="25">
        <v>0</v>
      </c>
      <c r="I354" s="25">
        <v>1</v>
      </c>
      <c r="J354" s="23">
        <v>0.0129</v>
      </c>
      <c r="K354" s="21">
        <v>2.86</v>
      </c>
      <c r="L354" s="29">
        <f t="shared" si="40"/>
        <v>0</v>
      </c>
      <c r="M354" s="23">
        <f t="shared" si="41"/>
        <v>0</v>
      </c>
      <c r="N354" s="21" t="e">
        <f t="shared" si="37"/>
        <v>#DIV/0!</v>
      </c>
      <c r="O354" s="21" t="e">
        <f t="shared" si="38"/>
        <v>#DIV/0!</v>
      </c>
      <c r="P354" s="16" t="e">
        <f t="shared" si="39"/>
        <v>#DIV/0!</v>
      </c>
    </row>
    <row r="355" s="2" customFormat="1" spans="1:16">
      <c r="A355" s="15">
        <f t="shared" si="42"/>
        <v>44550</v>
      </c>
      <c r="B355" s="21">
        <v>221.29</v>
      </c>
      <c r="C355" s="22">
        <v>5163</v>
      </c>
      <c r="D355" s="31">
        <v>69</v>
      </c>
      <c r="E355" s="25">
        <v>0</v>
      </c>
      <c r="F355" s="16">
        <v>0</v>
      </c>
      <c r="G355" s="25">
        <v>0</v>
      </c>
      <c r="H355" s="25">
        <v>0</v>
      </c>
      <c r="I355" s="25">
        <v>1</v>
      </c>
      <c r="J355" s="23">
        <v>0.0134</v>
      </c>
      <c r="K355" s="21">
        <v>3.21</v>
      </c>
      <c r="L355" s="29">
        <f t="shared" si="40"/>
        <v>0</v>
      </c>
      <c r="M355" s="23">
        <f t="shared" si="41"/>
        <v>0</v>
      </c>
      <c r="N355" s="21" t="e">
        <f t="shared" si="37"/>
        <v>#DIV/0!</v>
      </c>
      <c r="O355" s="21" t="e">
        <f t="shared" si="38"/>
        <v>#DIV/0!</v>
      </c>
      <c r="P355" s="16" t="e">
        <f t="shared" si="39"/>
        <v>#DIV/0!</v>
      </c>
    </row>
    <row r="356" s="2" customFormat="1" spans="1:16">
      <c r="A356" s="15">
        <f t="shared" si="42"/>
        <v>44551</v>
      </c>
      <c r="B356" s="21">
        <v>300</v>
      </c>
      <c r="C356" s="22">
        <v>2765</v>
      </c>
      <c r="D356" s="31">
        <v>69</v>
      </c>
      <c r="E356" s="25">
        <v>0</v>
      </c>
      <c r="F356" s="16">
        <v>0</v>
      </c>
      <c r="G356" s="25">
        <v>0</v>
      </c>
      <c r="H356" s="25">
        <v>0</v>
      </c>
      <c r="I356" s="25">
        <v>0</v>
      </c>
      <c r="J356" s="23">
        <v>0.025</v>
      </c>
      <c r="K356" s="21">
        <v>4.35</v>
      </c>
      <c r="L356" s="29">
        <f t="shared" si="40"/>
        <v>0</v>
      </c>
      <c r="M356" s="23">
        <f t="shared" si="41"/>
        <v>0</v>
      </c>
      <c r="N356" s="21" t="e">
        <f t="shared" si="37"/>
        <v>#DIV/0!</v>
      </c>
      <c r="O356" s="21" t="e">
        <f t="shared" si="38"/>
        <v>#DIV/0!</v>
      </c>
      <c r="P356" s="16" t="e">
        <f t="shared" si="39"/>
        <v>#DIV/0!</v>
      </c>
    </row>
    <row r="357" s="2" customFormat="1" spans="1:16">
      <c r="A357" s="15">
        <f t="shared" si="42"/>
        <v>44552</v>
      </c>
      <c r="B357" s="21">
        <v>239.86</v>
      </c>
      <c r="C357" s="22">
        <v>2737</v>
      </c>
      <c r="D357" s="31">
        <v>63</v>
      </c>
      <c r="E357" s="25">
        <v>0</v>
      </c>
      <c r="F357" s="16">
        <v>0</v>
      </c>
      <c r="G357" s="25">
        <v>0</v>
      </c>
      <c r="H357" s="25">
        <v>0</v>
      </c>
      <c r="I357" s="25">
        <v>0</v>
      </c>
      <c r="J357" s="23">
        <v>0.023</v>
      </c>
      <c r="K357" s="21">
        <v>3.81</v>
      </c>
      <c r="L357" s="29">
        <f t="shared" si="40"/>
        <v>0</v>
      </c>
      <c r="M357" s="23">
        <f t="shared" si="41"/>
        <v>0</v>
      </c>
      <c r="N357" s="21" t="e">
        <f t="shared" si="37"/>
        <v>#DIV/0!</v>
      </c>
      <c r="O357" s="21" t="e">
        <f t="shared" si="38"/>
        <v>#DIV/0!</v>
      </c>
      <c r="P357" s="16" t="e">
        <f t="shared" si="39"/>
        <v>#DIV/0!</v>
      </c>
    </row>
    <row r="358" s="2" customFormat="1" spans="1:16">
      <c r="A358" s="15">
        <f t="shared" si="42"/>
        <v>44553</v>
      </c>
      <c r="B358" s="21">
        <v>242.09</v>
      </c>
      <c r="C358" s="22">
        <v>1336</v>
      </c>
      <c r="D358" s="31">
        <v>61</v>
      </c>
      <c r="E358" s="25">
        <v>0</v>
      </c>
      <c r="F358" s="16">
        <v>0</v>
      </c>
      <c r="G358" s="25">
        <v>0</v>
      </c>
      <c r="H358" s="25">
        <v>0</v>
      </c>
      <c r="I358" s="25">
        <v>0</v>
      </c>
      <c r="J358" s="23">
        <v>0.0457</v>
      </c>
      <c r="K358" s="21">
        <v>3.97</v>
      </c>
      <c r="L358" s="29">
        <f t="shared" si="40"/>
        <v>0</v>
      </c>
      <c r="M358" s="23">
        <f t="shared" si="41"/>
        <v>0</v>
      </c>
      <c r="N358" s="21" t="e">
        <f t="shared" si="37"/>
        <v>#DIV/0!</v>
      </c>
      <c r="O358" s="21" t="e">
        <f t="shared" si="38"/>
        <v>#DIV/0!</v>
      </c>
      <c r="P358" s="16" t="e">
        <f t="shared" si="39"/>
        <v>#DIV/0!</v>
      </c>
    </row>
    <row r="359" s="2" customFormat="1" spans="1:16">
      <c r="A359" s="15">
        <f t="shared" si="42"/>
        <v>44554</v>
      </c>
      <c r="B359" s="21">
        <v>186.82</v>
      </c>
      <c r="C359" s="22">
        <v>1153</v>
      </c>
      <c r="D359" s="31">
        <v>44</v>
      </c>
      <c r="E359" s="25">
        <v>0</v>
      </c>
      <c r="F359" s="16">
        <v>0</v>
      </c>
      <c r="G359" s="25">
        <v>0</v>
      </c>
      <c r="H359" s="25">
        <v>0</v>
      </c>
      <c r="I359" s="25">
        <v>0</v>
      </c>
      <c r="J359" s="23">
        <v>0.0382</v>
      </c>
      <c r="K359" s="21">
        <v>4.25</v>
      </c>
      <c r="L359" s="29">
        <f t="shared" si="40"/>
        <v>0</v>
      </c>
      <c r="M359" s="23">
        <f t="shared" si="41"/>
        <v>0</v>
      </c>
      <c r="N359" s="21" t="e">
        <f t="shared" si="37"/>
        <v>#DIV/0!</v>
      </c>
      <c r="O359" s="21" t="e">
        <f t="shared" si="38"/>
        <v>#DIV/0!</v>
      </c>
      <c r="P359" s="16" t="e">
        <f t="shared" si="39"/>
        <v>#DIV/0!</v>
      </c>
    </row>
    <row r="360" s="2" customFormat="1" spans="1:16">
      <c r="A360" s="15">
        <f t="shared" si="42"/>
        <v>44555</v>
      </c>
      <c r="B360" s="21">
        <v>193.1</v>
      </c>
      <c r="C360" s="22">
        <v>1017</v>
      </c>
      <c r="D360" s="31">
        <v>43</v>
      </c>
      <c r="E360" s="25">
        <v>0</v>
      </c>
      <c r="F360" s="16">
        <v>0</v>
      </c>
      <c r="G360" s="25">
        <v>0</v>
      </c>
      <c r="H360" s="25">
        <v>0</v>
      </c>
      <c r="I360" s="25">
        <v>0</v>
      </c>
      <c r="J360" s="23">
        <v>0.0423</v>
      </c>
      <c r="K360" s="21">
        <v>4.49</v>
      </c>
      <c r="L360" s="29">
        <f t="shared" si="40"/>
        <v>0</v>
      </c>
      <c r="M360" s="23">
        <f t="shared" si="41"/>
        <v>0</v>
      </c>
      <c r="N360" s="21" t="e">
        <f t="shared" si="37"/>
        <v>#DIV/0!</v>
      </c>
      <c r="O360" s="21" t="e">
        <f t="shared" si="38"/>
        <v>#DIV/0!</v>
      </c>
      <c r="P360" s="16" t="e">
        <f t="shared" si="39"/>
        <v>#DIV/0!</v>
      </c>
    </row>
    <row r="361" s="2" customFormat="1" spans="1:16">
      <c r="A361" s="15">
        <f t="shared" si="42"/>
        <v>44556</v>
      </c>
      <c r="B361" s="21">
        <v>168.25</v>
      </c>
      <c r="C361" s="22">
        <v>1031</v>
      </c>
      <c r="D361" s="31">
        <v>43</v>
      </c>
      <c r="E361" s="25">
        <v>0</v>
      </c>
      <c r="F361" s="16">
        <v>0</v>
      </c>
      <c r="G361" s="25">
        <v>0</v>
      </c>
      <c r="H361" s="25">
        <v>0</v>
      </c>
      <c r="I361" s="25">
        <v>0</v>
      </c>
      <c r="J361" s="23">
        <v>0.0417</v>
      </c>
      <c r="K361" s="21">
        <v>3.91</v>
      </c>
      <c r="L361" s="29">
        <f t="shared" si="40"/>
        <v>0</v>
      </c>
      <c r="M361" s="23">
        <f t="shared" si="41"/>
        <v>0</v>
      </c>
      <c r="N361" s="21" t="e">
        <f t="shared" si="37"/>
        <v>#DIV/0!</v>
      </c>
      <c r="O361" s="21" t="e">
        <f t="shared" si="38"/>
        <v>#DIV/0!</v>
      </c>
      <c r="P361" s="16" t="e">
        <f t="shared" si="39"/>
        <v>#DIV/0!</v>
      </c>
    </row>
    <row r="362" s="2" customFormat="1" spans="1:16">
      <c r="A362" s="15">
        <f t="shared" si="42"/>
        <v>44557</v>
      </c>
      <c r="B362" s="21">
        <v>126.68</v>
      </c>
      <c r="C362" s="22">
        <v>1098</v>
      </c>
      <c r="D362" s="31">
        <v>32</v>
      </c>
      <c r="E362" s="25">
        <v>0</v>
      </c>
      <c r="F362" s="16">
        <v>0</v>
      </c>
      <c r="G362" s="25">
        <v>0</v>
      </c>
      <c r="H362" s="25">
        <v>0</v>
      </c>
      <c r="I362" s="25">
        <v>0</v>
      </c>
      <c r="J362" s="23">
        <v>0.0291</v>
      </c>
      <c r="K362" s="21">
        <v>3.96</v>
      </c>
      <c r="L362" s="29">
        <f t="shared" si="40"/>
        <v>0</v>
      </c>
      <c r="M362" s="23">
        <f t="shared" si="41"/>
        <v>0</v>
      </c>
      <c r="N362" s="21" t="e">
        <f t="shared" si="37"/>
        <v>#DIV/0!</v>
      </c>
      <c r="O362" s="21" t="e">
        <f t="shared" si="38"/>
        <v>#DIV/0!</v>
      </c>
      <c r="P362" s="16" t="e">
        <f t="shared" si="39"/>
        <v>#DIV/0!</v>
      </c>
    </row>
    <row r="363" s="2" customFormat="1" spans="1:16">
      <c r="A363" s="15">
        <f t="shared" si="42"/>
        <v>44558</v>
      </c>
      <c r="B363" s="21">
        <v>272.44</v>
      </c>
      <c r="C363" s="22">
        <v>1956</v>
      </c>
      <c r="D363" s="31">
        <v>94</v>
      </c>
      <c r="E363" s="25">
        <v>0</v>
      </c>
      <c r="F363" s="16">
        <v>0</v>
      </c>
      <c r="G363" s="25">
        <v>0</v>
      </c>
      <c r="H363" s="25">
        <v>0</v>
      </c>
      <c r="I363" s="25">
        <v>0</v>
      </c>
      <c r="J363" s="23">
        <v>0.0481</v>
      </c>
      <c r="K363" s="21">
        <v>2.9</v>
      </c>
      <c r="L363" s="29">
        <f t="shared" si="40"/>
        <v>0</v>
      </c>
      <c r="M363" s="23">
        <f t="shared" si="41"/>
        <v>0</v>
      </c>
      <c r="N363" s="21" t="e">
        <f t="shared" si="37"/>
        <v>#DIV/0!</v>
      </c>
      <c r="O363" s="21" t="e">
        <f t="shared" si="38"/>
        <v>#DIV/0!</v>
      </c>
      <c r="P363" s="16" t="e">
        <f t="shared" si="39"/>
        <v>#DIV/0!</v>
      </c>
    </row>
    <row r="364" s="2" customFormat="1" spans="1:16">
      <c r="A364" s="15">
        <f t="shared" si="42"/>
        <v>44559</v>
      </c>
      <c r="B364" s="21">
        <v>276.76</v>
      </c>
      <c r="C364" s="22">
        <v>2266</v>
      </c>
      <c r="D364" s="31">
        <v>96</v>
      </c>
      <c r="E364" s="25">
        <v>0</v>
      </c>
      <c r="F364" s="16">
        <v>0</v>
      </c>
      <c r="G364" s="25">
        <v>0</v>
      </c>
      <c r="H364" s="25">
        <v>0</v>
      </c>
      <c r="I364" s="25">
        <v>0</v>
      </c>
      <c r="J364" s="23">
        <v>0.0424</v>
      </c>
      <c r="K364" s="21">
        <v>2.88</v>
      </c>
      <c r="L364" s="29">
        <f t="shared" si="40"/>
        <v>0</v>
      </c>
      <c r="M364" s="23">
        <f t="shared" si="41"/>
        <v>0</v>
      </c>
      <c r="N364" s="21" t="e">
        <f t="shared" si="37"/>
        <v>#DIV/0!</v>
      </c>
      <c r="O364" s="21" t="e">
        <f t="shared" si="38"/>
        <v>#DIV/0!</v>
      </c>
      <c r="P364" s="16" t="e">
        <f t="shared" si="39"/>
        <v>#DIV/0!</v>
      </c>
    </row>
    <row r="365" s="2" customFormat="1" spans="1:16">
      <c r="A365" s="15">
        <f t="shared" si="42"/>
        <v>44560</v>
      </c>
      <c r="B365" s="21">
        <v>221.39</v>
      </c>
      <c r="C365" s="22">
        <v>2164</v>
      </c>
      <c r="D365" s="31">
        <v>68</v>
      </c>
      <c r="E365" s="25">
        <v>0</v>
      </c>
      <c r="F365" s="16">
        <v>0</v>
      </c>
      <c r="G365" s="25">
        <v>0</v>
      </c>
      <c r="H365" s="25">
        <v>0</v>
      </c>
      <c r="I365" s="25">
        <v>0</v>
      </c>
      <c r="J365" s="23">
        <v>0.0314</v>
      </c>
      <c r="K365" s="21">
        <v>3.26</v>
      </c>
      <c r="L365" s="29">
        <f t="shared" si="40"/>
        <v>0</v>
      </c>
      <c r="M365" s="23">
        <f t="shared" si="41"/>
        <v>0</v>
      </c>
      <c r="N365" s="21" t="e">
        <f t="shared" si="37"/>
        <v>#DIV/0!</v>
      </c>
      <c r="O365" s="21" t="e">
        <f t="shared" si="38"/>
        <v>#DIV/0!</v>
      </c>
      <c r="P365" s="16" t="e">
        <f t="shared" si="39"/>
        <v>#DIV/0!</v>
      </c>
    </row>
    <row r="366" s="2" customFormat="1" spans="1:16">
      <c r="A366" s="15">
        <f t="shared" si="42"/>
        <v>44561</v>
      </c>
      <c r="B366" s="21">
        <v>248.02</v>
      </c>
      <c r="C366" s="22">
        <v>1620</v>
      </c>
      <c r="D366" s="31">
        <v>68</v>
      </c>
      <c r="E366" s="25">
        <v>0</v>
      </c>
      <c r="F366" s="16">
        <v>0</v>
      </c>
      <c r="G366" s="25">
        <v>0</v>
      </c>
      <c r="H366" s="25">
        <v>1</v>
      </c>
      <c r="I366" s="25">
        <v>1</v>
      </c>
      <c r="J366" s="23">
        <v>0.042</v>
      </c>
      <c r="K366" s="21">
        <v>3.65</v>
      </c>
      <c r="L366" s="29">
        <f t="shared" si="40"/>
        <v>0</v>
      </c>
      <c r="M366" s="23">
        <f t="shared" si="41"/>
        <v>0</v>
      </c>
      <c r="N366" s="21" t="e">
        <f t="shared" si="37"/>
        <v>#DIV/0!</v>
      </c>
      <c r="O366" s="21" t="e">
        <f t="shared" si="38"/>
        <v>#DIV/0!</v>
      </c>
      <c r="P366" s="16" t="e">
        <f t="shared" si="39"/>
        <v>#DIV/0!</v>
      </c>
    </row>
    <row r="367" s="2" customFormat="1" spans="1:16">
      <c r="A367" s="15">
        <f t="shared" si="42"/>
        <v>44562</v>
      </c>
      <c r="B367" s="27">
        <v>297.4</v>
      </c>
      <c r="C367" s="22">
        <v>1241</v>
      </c>
      <c r="D367" s="22">
        <v>72</v>
      </c>
      <c r="E367" s="25">
        <v>0</v>
      </c>
      <c r="F367" s="16">
        <v>0</v>
      </c>
      <c r="G367" s="25">
        <v>0</v>
      </c>
      <c r="H367" s="25">
        <v>1</v>
      </c>
      <c r="I367" s="25">
        <v>0</v>
      </c>
      <c r="J367" s="34">
        <v>0.058</v>
      </c>
      <c r="K367" s="27">
        <v>4.13</v>
      </c>
      <c r="L367" s="29">
        <f t="shared" si="40"/>
        <v>0</v>
      </c>
      <c r="M367" s="23">
        <f t="shared" si="41"/>
        <v>0</v>
      </c>
      <c r="N367" s="21" t="e">
        <f t="shared" si="37"/>
        <v>#DIV/0!</v>
      </c>
      <c r="O367" s="21" t="e">
        <f t="shared" si="38"/>
        <v>#DIV/0!</v>
      </c>
      <c r="P367" s="16" t="e">
        <f t="shared" si="39"/>
        <v>#DIV/0!</v>
      </c>
    </row>
    <row r="368" s="2" customFormat="1" spans="1:16">
      <c r="A368" s="15">
        <f t="shared" si="42"/>
        <v>44563</v>
      </c>
      <c r="B368" s="27">
        <v>300</v>
      </c>
      <c r="C368" s="22">
        <v>1079</v>
      </c>
      <c r="D368" s="22">
        <v>64</v>
      </c>
      <c r="E368" s="25">
        <v>0</v>
      </c>
      <c r="F368" s="16">
        <v>0</v>
      </c>
      <c r="G368" s="25">
        <v>0</v>
      </c>
      <c r="H368" s="25">
        <v>0</v>
      </c>
      <c r="I368" s="25">
        <v>0</v>
      </c>
      <c r="J368" s="34">
        <v>0.0593</v>
      </c>
      <c r="K368" s="27">
        <v>4.69</v>
      </c>
      <c r="L368" s="29">
        <f t="shared" si="40"/>
        <v>0</v>
      </c>
      <c r="M368" s="23">
        <f t="shared" si="41"/>
        <v>0</v>
      </c>
      <c r="N368" s="21" t="e">
        <f t="shared" si="37"/>
        <v>#DIV/0!</v>
      </c>
      <c r="O368" s="21" t="e">
        <f t="shared" si="38"/>
        <v>#DIV/0!</v>
      </c>
      <c r="P368" s="16" t="e">
        <f t="shared" si="39"/>
        <v>#DIV/0!</v>
      </c>
    </row>
    <row r="369" s="2" customFormat="1" spans="1:16">
      <c r="A369" s="15">
        <f t="shared" si="42"/>
        <v>44564</v>
      </c>
      <c r="B369" s="27">
        <v>300</v>
      </c>
      <c r="C369" s="22">
        <v>1582</v>
      </c>
      <c r="D369" s="22">
        <v>60</v>
      </c>
      <c r="E369" s="25">
        <v>0</v>
      </c>
      <c r="F369" s="16">
        <v>0</v>
      </c>
      <c r="G369" s="25">
        <v>0</v>
      </c>
      <c r="H369" s="25">
        <v>0</v>
      </c>
      <c r="I369" s="25">
        <v>1</v>
      </c>
      <c r="J369" s="34">
        <v>0.0379</v>
      </c>
      <c r="K369" s="27">
        <v>5</v>
      </c>
      <c r="L369" s="29">
        <f t="shared" si="40"/>
        <v>0</v>
      </c>
      <c r="M369" s="23">
        <f t="shared" si="41"/>
        <v>0</v>
      </c>
      <c r="N369" s="21" t="e">
        <f t="shared" si="37"/>
        <v>#DIV/0!</v>
      </c>
      <c r="O369" s="21" t="e">
        <f t="shared" si="38"/>
        <v>#DIV/0!</v>
      </c>
      <c r="P369" s="16" t="e">
        <f t="shared" si="39"/>
        <v>#DIV/0!</v>
      </c>
    </row>
    <row r="370" s="2" customFormat="1" spans="1:16">
      <c r="A370" s="15">
        <f t="shared" si="42"/>
        <v>44565</v>
      </c>
      <c r="B370" s="27">
        <v>300</v>
      </c>
      <c r="C370" s="22">
        <v>1396</v>
      </c>
      <c r="D370" s="22">
        <v>69</v>
      </c>
      <c r="E370" s="25">
        <v>0</v>
      </c>
      <c r="F370" s="16">
        <v>0</v>
      </c>
      <c r="G370" s="25">
        <v>0</v>
      </c>
      <c r="H370" s="25">
        <v>0</v>
      </c>
      <c r="I370" s="25">
        <v>0</v>
      </c>
      <c r="J370" s="34">
        <v>0.0494</v>
      </c>
      <c r="K370" s="27">
        <v>4.35</v>
      </c>
      <c r="L370" s="29">
        <f t="shared" si="40"/>
        <v>0</v>
      </c>
      <c r="M370" s="23">
        <f t="shared" si="41"/>
        <v>0</v>
      </c>
      <c r="N370" s="21" t="e">
        <f t="shared" si="37"/>
        <v>#DIV/0!</v>
      </c>
      <c r="O370" s="21" t="e">
        <f t="shared" si="38"/>
        <v>#DIV/0!</v>
      </c>
      <c r="P370" s="16" t="e">
        <f t="shared" si="39"/>
        <v>#DIV/0!</v>
      </c>
    </row>
    <row r="371" s="2" customFormat="1" spans="1:16">
      <c r="A371" s="15">
        <f t="shared" si="42"/>
        <v>44566</v>
      </c>
      <c r="B371" s="27">
        <v>300</v>
      </c>
      <c r="C371" s="22">
        <v>2385</v>
      </c>
      <c r="D371" s="22">
        <v>88</v>
      </c>
      <c r="E371" s="25">
        <v>0</v>
      </c>
      <c r="F371" s="16">
        <v>0</v>
      </c>
      <c r="G371" s="25">
        <v>0</v>
      </c>
      <c r="H371" s="25">
        <v>0</v>
      </c>
      <c r="I371" s="25">
        <v>1</v>
      </c>
      <c r="J371" s="34">
        <v>0.0368</v>
      </c>
      <c r="K371" s="27">
        <v>3.41</v>
      </c>
      <c r="L371" s="29">
        <f t="shared" si="40"/>
        <v>0</v>
      </c>
      <c r="M371" s="23">
        <f t="shared" si="41"/>
        <v>0</v>
      </c>
      <c r="N371" s="21" t="e">
        <f t="shared" si="37"/>
        <v>#DIV/0!</v>
      </c>
      <c r="O371" s="21" t="e">
        <f t="shared" si="38"/>
        <v>#DIV/0!</v>
      </c>
      <c r="P371" s="16" t="e">
        <f t="shared" si="39"/>
        <v>#DIV/0!</v>
      </c>
    </row>
    <row r="372" s="2" customFormat="1" spans="1:16">
      <c r="A372" s="15">
        <f t="shared" si="42"/>
        <v>44567</v>
      </c>
      <c r="B372" s="27">
        <v>293.49</v>
      </c>
      <c r="C372" s="22">
        <v>1801</v>
      </c>
      <c r="D372" s="22">
        <v>98</v>
      </c>
      <c r="E372" s="25">
        <v>0</v>
      </c>
      <c r="F372" s="16">
        <v>0</v>
      </c>
      <c r="G372" s="25">
        <v>0</v>
      </c>
      <c r="H372" s="25">
        <v>1</v>
      </c>
      <c r="I372" s="25">
        <v>0</v>
      </c>
      <c r="J372" s="34">
        <v>0.0544</v>
      </c>
      <c r="K372" s="27">
        <v>2.99</v>
      </c>
      <c r="L372" s="29">
        <f t="shared" si="40"/>
        <v>0</v>
      </c>
      <c r="M372" s="23">
        <f t="shared" si="41"/>
        <v>0</v>
      </c>
      <c r="N372" s="21" t="e">
        <f t="shared" si="37"/>
        <v>#DIV/0!</v>
      </c>
      <c r="O372" s="21" t="e">
        <f t="shared" si="38"/>
        <v>#DIV/0!</v>
      </c>
      <c r="P372" s="16" t="e">
        <f t="shared" si="39"/>
        <v>#DIV/0!</v>
      </c>
    </row>
    <row r="373" s="2" customFormat="1" spans="1:16">
      <c r="A373" s="15">
        <f t="shared" si="42"/>
        <v>44568</v>
      </c>
      <c r="B373" s="27">
        <v>300</v>
      </c>
      <c r="C373" s="22">
        <v>1232</v>
      </c>
      <c r="D373" s="22">
        <v>76</v>
      </c>
      <c r="E373" s="25">
        <v>0</v>
      </c>
      <c r="F373" s="16">
        <v>0</v>
      </c>
      <c r="G373" s="25">
        <v>1</v>
      </c>
      <c r="H373" s="25">
        <v>0</v>
      </c>
      <c r="I373" s="25">
        <v>0</v>
      </c>
      <c r="J373" s="34">
        <v>0.0616</v>
      </c>
      <c r="K373" s="27">
        <v>3.95</v>
      </c>
      <c r="L373" s="29">
        <f t="shared" si="40"/>
        <v>0</v>
      </c>
      <c r="M373" s="23">
        <f t="shared" si="41"/>
        <v>0</v>
      </c>
      <c r="N373" s="21" t="e">
        <f t="shared" si="37"/>
        <v>#DIV/0!</v>
      </c>
      <c r="O373" s="21" t="e">
        <f t="shared" si="38"/>
        <v>#DIV/0!</v>
      </c>
      <c r="P373" s="16">
        <f t="shared" si="39"/>
        <v>300</v>
      </c>
    </row>
    <row r="374" s="2" customFormat="1" spans="1:16">
      <c r="A374" s="15">
        <f t="shared" si="42"/>
        <v>44569</v>
      </c>
      <c r="B374" s="27">
        <v>300</v>
      </c>
      <c r="C374" s="22">
        <v>1317</v>
      </c>
      <c r="D374" s="22">
        <v>71</v>
      </c>
      <c r="E374" s="25">
        <v>0</v>
      </c>
      <c r="F374" s="16">
        <v>0</v>
      </c>
      <c r="G374" s="25">
        <v>0</v>
      </c>
      <c r="H374" s="25">
        <v>1</v>
      </c>
      <c r="I374" s="25">
        <v>0</v>
      </c>
      <c r="J374" s="34">
        <v>0.0539</v>
      </c>
      <c r="K374" s="27">
        <v>4.23</v>
      </c>
      <c r="L374" s="29">
        <f t="shared" si="40"/>
        <v>0</v>
      </c>
      <c r="M374" s="23">
        <f t="shared" si="41"/>
        <v>0</v>
      </c>
      <c r="N374" s="21" t="e">
        <f t="shared" si="37"/>
        <v>#DIV/0!</v>
      </c>
      <c r="O374" s="21" t="e">
        <f t="shared" si="38"/>
        <v>#DIV/0!</v>
      </c>
      <c r="P374" s="16" t="e">
        <f t="shared" si="39"/>
        <v>#DIV/0!</v>
      </c>
    </row>
    <row r="375" s="2" customFormat="1" spans="1:16">
      <c r="A375" s="15">
        <f t="shared" si="42"/>
        <v>44570</v>
      </c>
      <c r="B375" s="27">
        <v>300</v>
      </c>
      <c r="C375" s="22">
        <v>956</v>
      </c>
      <c r="D375" s="22">
        <v>67</v>
      </c>
      <c r="E375" s="25">
        <v>0</v>
      </c>
      <c r="F375" s="16">
        <v>0</v>
      </c>
      <c r="G375" s="25">
        <v>0</v>
      </c>
      <c r="H375" s="25">
        <v>2</v>
      </c>
      <c r="I375" s="25">
        <v>2</v>
      </c>
      <c r="J375" s="34">
        <v>0.07</v>
      </c>
      <c r="K375" s="27">
        <v>4.48</v>
      </c>
      <c r="L375" s="29">
        <f t="shared" si="40"/>
        <v>0</v>
      </c>
      <c r="M375" s="23">
        <f t="shared" si="41"/>
        <v>0</v>
      </c>
      <c r="N375" s="21" t="e">
        <f t="shared" si="37"/>
        <v>#DIV/0!</v>
      </c>
      <c r="O375" s="21" t="e">
        <f t="shared" si="38"/>
        <v>#DIV/0!</v>
      </c>
      <c r="P375" s="16" t="e">
        <f t="shared" si="39"/>
        <v>#DIV/0!</v>
      </c>
    </row>
    <row r="376" s="2" customFormat="1" spans="1:16">
      <c r="A376" s="15">
        <f t="shared" si="42"/>
        <v>44571</v>
      </c>
      <c r="B376" s="27">
        <v>289.61</v>
      </c>
      <c r="C376" s="22">
        <v>1876</v>
      </c>
      <c r="D376" s="22">
        <v>100</v>
      </c>
      <c r="E376" s="25">
        <v>0</v>
      </c>
      <c r="F376" s="16">
        <v>0</v>
      </c>
      <c r="G376" s="25">
        <v>0</v>
      </c>
      <c r="H376" s="25">
        <v>1</v>
      </c>
      <c r="I376" s="25">
        <v>0</v>
      </c>
      <c r="J376" s="34">
        <v>0.0533</v>
      </c>
      <c r="K376" s="27">
        <v>2.9</v>
      </c>
      <c r="L376" s="29">
        <f t="shared" si="40"/>
        <v>0</v>
      </c>
      <c r="M376" s="23">
        <f t="shared" si="41"/>
        <v>0</v>
      </c>
      <c r="N376" s="21" t="e">
        <f t="shared" si="37"/>
        <v>#DIV/0!</v>
      </c>
      <c r="O376" s="21" t="e">
        <f t="shared" si="38"/>
        <v>#DIV/0!</v>
      </c>
      <c r="P376" s="16" t="e">
        <f t="shared" si="39"/>
        <v>#DIV/0!</v>
      </c>
    </row>
    <row r="377" s="2" customFormat="1" spans="1:16">
      <c r="A377" s="15">
        <f t="shared" si="42"/>
        <v>44572</v>
      </c>
      <c r="B377" s="27">
        <v>300</v>
      </c>
      <c r="C377" s="22">
        <v>1470</v>
      </c>
      <c r="D377" s="22">
        <v>78</v>
      </c>
      <c r="E377" s="25">
        <v>0</v>
      </c>
      <c r="F377" s="16">
        <v>0</v>
      </c>
      <c r="G377" s="25">
        <v>2</v>
      </c>
      <c r="H377" s="25">
        <v>0</v>
      </c>
      <c r="I377" s="25">
        <v>0</v>
      </c>
      <c r="J377" s="34">
        <v>0.053</v>
      </c>
      <c r="K377" s="27">
        <v>3.85</v>
      </c>
      <c r="L377" s="29">
        <f t="shared" si="40"/>
        <v>0</v>
      </c>
      <c r="M377" s="23">
        <f t="shared" si="41"/>
        <v>0</v>
      </c>
      <c r="N377" s="21" t="e">
        <f t="shared" si="37"/>
        <v>#DIV/0!</v>
      </c>
      <c r="O377" s="21" t="e">
        <f t="shared" si="38"/>
        <v>#DIV/0!</v>
      </c>
      <c r="P377" s="16">
        <f t="shared" si="39"/>
        <v>150</v>
      </c>
    </row>
    <row r="378" s="2" customFormat="1" spans="1:16">
      <c r="A378" s="15">
        <f t="shared" si="42"/>
        <v>44573</v>
      </c>
      <c r="B378" s="27">
        <v>293.65</v>
      </c>
      <c r="C378" s="22">
        <v>1460</v>
      </c>
      <c r="D378" s="22">
        <v>72</v>
      </c>
      <c r="E378" s="25">
        <v>0</v>
      </c>
      <c r="F378" s="16">
        <v>0</v>
      </c>
      <c r="G378" s="25">
        <v>0</v>
      </c>
      <c r="H378" s="25">
        <v>0</v>
      </c>
      <c r="I378" s="25">
        <v>1</v>
      </c>
      <c r="J378" s="34">
        <v>0.0493</v>
      </c>
      <c r="K378" s="27">
        <v>4.08</v>
      </c>
      <c r="L378" s="29">
        <f t="shared" si="40"/>
        <v>0</v>
      </c>
      <c r="M378" s="23">
        <f t="shared" si="41"/>
        <v>0</v>
      </c>
      <c r="N378" s="21" t="e">
        <f t="shared" si="37"/>
        <v>#DIV/0!</v>
      </c>
      <c r="O378" s="21" t="e">
        <f t="shared" si="38"/>
        <v>#DIV/0!</v>
      </c>
      <c r="P378" s="16" t="e">
        <f t="shared" si="39"/>
        <v>#DIV/0!</v>
      </c>
    </row>
    <row r="379" s="2" customFormat="1" spans="1:16">
      <c r="A379" s="15">
        <f t="shared" si="42"/>
        <v>44574</v>
      </c>
      <c r="B379" s="27">
        <v>300</v>
      </c>
      <c r="C379" s="22">
        <v>1125</v>
      </c>
      <c r="D379" s="22">
        <v>57</v>
      </c>
      <c r="E379" s="25">
        <v>0</v>
      </c>
      <c r="F379" s="16">
        <v>0</v>
      </c>
      <c r="G379" s="25">
        <v>0</v>
      </c>
      <c r="H379" s="25">
        <v>1</v>
      </c>
      <c r="I379" s="25">
        <v>0</v>
      </c>
      <c r="J379" s="34">
        <v>0.0506</v>
      </c>
      <c r="K379" s="27">
        <v>5.26</v>
      </c>
      <c r="L379" s="29">
        <f t="shared" si="40"/>
        <v>0</v>
      </c>
      <c r="M379" s="23">
        <f t="shared" si="41"/>
        <v>0</v>
      </c>
      <c r="N379" s="21" t="e">
        <f t="shared" si="37"/>
        <v>#DIV/0!</v>
      </c>
      <c r="O379" s="21" t="e">
        <f t="shared" si="38"/>
        <v>#DIV/0!</v>
      </c>
      <c r="P379" s="16" t="e">
        <f t="shared" si="39"/>
        <v>#DIV/0!</v>
      </c>
    </row>
    <row r="380" s="2" customFormat="1" spans="1:16">
      <c r="A380" s="15">
        <f t="shared" si="42"/>
        <v>44575</v>
      </c>
      <c r="B380" s="27">
        <v>300</v>
      </c>
      <c r="C380" s="22">
        <v>930</v>
      </c>
      <c r="D380" s="22">
        <v>59</v>
      </c>
      <c r="E380" s="25">
        <v>0</v>
      </c>
      <c r="F380" s="16">
        <v>0</v>
      </c>
      <c r="G380" s="25">
        <v>0</v>
      </c>
      <c r="H380" s="25">
        <v>1</v>
      </c>
      <c r="I380" s="25">
        <v>0</v>
      </c>
      <c r="J380" s="34">
        <v>0.0634</v>
      </c>
      <c r="K380" s="27">
        <v>5.08</v>
      </c>
      <c r="L380" s="29">
        <f t="shared" si="40"/>
        <v>0</v>
      </c>
      <c r="M380" s="23">
        <f t="shared" si="41"/>
        <v>0</v>
      </c>
      <c r="N380" s="21" t="e">
        <f t="shared" si="37"/>
        <v>#DIV/0!</v>
      </c>
      <c r="O380" s="21" t="e">
        <f t="shared" si="38"/>
        <v>#DIV/0!</v>
      </c>
      <c r="P380" s="16" t="e">
        <f t="shared" si="39"/>
        <v>#DIV/0!</v>
      </c>
    </row>
    <row r="381" s="2" customFormat="1" spans="1:16">
      <c r="A381" s="15">
        <f t="shared" si="42"/>
        <v>44576</v>
      </c>
      <c r="B381" s="27">
        <v>300</v>
      </c>
      <c r="C381" s="22">
        <v>2590</v>
      </c>
      <c r="D381" s="22">
        <v>80</v>
      </c>
      <c r="E381" s="25">
        <v>0</v>
      </c>
      <c r="F381" s="16">
        <v>0</v>
      </c>
      <c r="G381" s="25">
        <v>0</v>
      </c>
      <c r="H381" s="25">
        <v>0</v>
      </c>
      <c r="I381" s="25">
        <v>0</v>
      </c>
      <c r="J381" s="34">
        <v>0.0308</v>
      </c>
      <c r="K381" s="27">
        <v>3.75</v>
      </c>
      <c r="L381" s="29">
        <f t="shared" si="40"/>
        <v>0</v>
      </c>
      <c r="M381" s="23">
        <f t="shared" si="41"/>
        <v>0</v>
      </c>
      <c r="N381" s="21" t="e">
        <f t="shared" si="37"/>
        <v>#DIV/0!</v>
      </c>
      <c r="O381" s="21" t="e">
        <f t="shared" si="38"/>
        <v>#DIV/0!</v>
      </c>
      <c r="P381" s="16" t="e">
        <f t="shared" si="39"/>
        <v>#DIV/0!</v>
      </c>
    </row>
    <row r="382" s="2" customFormat="1" spans="1:16">
      <c r="A382" s="15">
        <f t="shared" si="42"/>
        <v>44577</v>
      </c>
      <c r="B382" s="27">
        <v>300</v>
      </c>
      <c r="C382" s="22">
        <v>2512</v>
      </c>
      <c r="D382" s="22">
        <v>47</v>
      </c>
      <c r="E382" s="25">
        <v>0</v>
      </c>
      <c r="F382" s="16">
        <v>0</v>
      </c>
      <c r="G382" s="25">
        <v>0</v>
      </c>
      <c r="H382" s="25">
        <v>0</v>
      </c>
      <c r="I382" s="25">
        <v>1</v>
      </c>
      <c r="J382" s="34">
        <v>0.0187</v>
      </c>
      <c r="K382" s="27">
        <v>6.38</v>
      </c>
      <c r="L382" s="29">
        <f t="shared" si="40"/>
        <v>0</v>
      </c>
      <c r="M382" s="23">
        <f t="shared" si="41"/>
        <v>0</v>
      </c>
      <c r="N382" s="21" t="e">
        <f t="shared" si="37"/>
        <v>#DIV/0!</v>
      </c>
      <c r="O382" s="21" t="e">
        <f t="shared" si="38"/>
        <v>#DIV/0!</v>
      </c>
      <c r="P382" s="16" t="e">
        <f t="shared" si="39"/>
        <v>#DIV/0!</v>
      </c>
    </row>
    <row r="383" s="2" customFormat="1" spans="1:16">
      <c r="A383" s="15">
        <f t="shared" si="42"/>
        <v>44578</v>
      </c>
      <c r="B383" s="27">
        <v>300</v>
      </c>
      <c r="C383" s="22">
        <v>3004</v>
      </c>
      <c r="D383" s="22">
        <v>72</v>
      </c>
      <c r="E383" s="25">
        <v>0</v>
      </c>
      <c r="F383" s="16">
        <v>0</v>
      </c>
      <c r="G383" s="25">
        <v>0</v>
      </c>
      <c r="H383" s="25">
        <v>0</v>
      </c>
      <c r="I383" s="25">
        <v>0</v>
      </c>
      <c r="J383" s="34">
        <v>0.0239</v>
      </c>
      <c r="K383" s="27">
        <v>4.17</v>
      </c>
      <c r="L383" s="29">
        <f t="shared" si="40"/>
        <v>0</v>
      </c>
      <c r="M383" s="23">
        <f t="shared" si="41"/>
        <v>0</v>
      </c>
      <c r="N383" s="21" t="e">
        <f t="shared" si="37"/>
        <v>#DIV/0!</v>
      </c>
      <c r="O383" s="21" t="e">
        <f t="shared" si="38"/>
        <v>#DIV/0!</v>
      </c>
      <c r="P383" s="16" t="e">
        <f t="shared" si="39"/>
        <v>#DIV/0!</v>
      </c>
    </row>
    <row r="384" s="2" customFormat="1" spans="1:16">
      <c r="A384" s="15">
        <f t="shared" si="42"/>
        <v>44579</v>
      </c>
      <c r="B384" s="27">
        <v>300</v>
      </c>
      <c r="C384" s="22">
        <v>2426</v>
      </c>
      <c r="D384" s="22">
        <v>63</v>
      </c>
      <c r="E384" s="25">
        <v>0</v>
      </c>
      <c r="F384" s="16">
        <v>0</v>
      </c>
      <c r="G384" s="25">
        <v>1</v>
      </c>
      <c r="H384" s="25">
        <v>0</v>
      </c>
      <c r="I384" s="25">
        <v>1</v>
      </c>
      <c r="J384" s="34">
        <v>0.0259</v>
      </c>
      <c r="K384" s="27">
        <v>4.76</v>
      </c>
      <c r="L384" s="29">
        <f t="shared" si="40"/>
        <v>0</v>
      </c>
      <c r="M384" s="23">
        <f t="shared" si="41"/>
        <v>0</v>
      </c>
      <c r="N384" s="21" t="e">
        <f t="shared" si="37"/>
        <v>#DIV/0!</v>
      </c>
      <c r="O384" s="21" t="e">
        <f t="shared" si="38"/>
        <v>#DIV/0!</v>
      </c>
      <c r="P384" s="16">
        <f t="shared" si="39"/>
        <v>300</v>
      </c>
    </row>
    <row r="385" s="2" customFormat="1" spans="1:16">
      <c r="A385" s="15">
        <f t="shared" si="42"/>
        <v>44580</v>
      </c>
      <c r="B385" s="27">
        <v>300</v>
      </c>
      <c r="C385" s="22">
        <v>2750</v>
      </c>
      <c r="D385" s="22">
        <v>52</v>
      </c>
      <c r="E385" s="25">
        <v>0</v>
      </c>
      <c r="F385" s="16">
        <v>0</v>
      </c>
      <c r="G385" s="25">
        <v>0</v>
      </c>
      <c r="H385" s="25">
        <v>0</v>
      </c>
      <c r="I385" s="25">
        <v>1</v>
      </c>
      <c r="J385" s="34">
        <v>0.0189</v>
      </c>
      <c r="K385" s="27">
        <v>5.77</v>
      </c>
      <c r="L385" s="29">
        <f t="shared" si="40"/>
        <v>0</v>
      </c>
      <c r="M385" s="23">
        <f t="shared" si="41"/>
        <v>0</v>
      </c>
      <c r="N385" s="21" t="e">
        <f t="shared" si="37"/>
        <v>#DIV/0!</v>
      </c>
      <c r="O385" s="21" t="e">
        <f t="shared" si="38"/>
        <v>#DIV/0!</v>
      </c>
      <c r="P385" s="16" t="e">
        <f t="shared" si="39"/>
        <v>#DIV/0!</v>
      </c>
    </row>
    <row r="386" s="2" customFormat="1" spans="1:16">
      <c r="A386" s="15">
        <f t="shared" si="42"/>
        <v>44581</v>
      </c>
      <c r="B386" s="27">
        <v>300</v>
      </c>
      <c r="C386" s="22">
        <v>2690</v>
      </c>
      <c r="D386" s="22">
        <v>59</v>
      </c>
      <c r="E386" s="25">
        <v>0</v>
      </c>
      <c r="F386" s="16">
        <v>0</v>
      </c>
      <c r="G386" s="25">
        <v>1</v>
      </c>
      <c r="H386" s="25">
        <v>0</v>
      </c>
      <c r="I386" s="25">
        <v>0</v>
      </c>
      <c r="J386" s="34">
        <v>0.0219</v>
      </c>
      <c r="K386" s="27">
        <v>5.08</v>
      </c>
      <c r="L386" s="29">
        <f t="shared" si="40"/>
        <v>0</v>
      </c>
      <c r="M386" s="23">
        <f t="shared" si="41"/>
        <v>0</v>
      </c>
      <c r="N386" s="21" t="e">
        <f>F386/E386</f>
        <v>#DIV/0!</v>
      </c>
      <c r="O386" s="21" t="e">
        <f>B386/E386</f>
        <v>#DIV/0!</v>
      </c>
      <c r="P386" s="16">
        <f>B386/G386</f>
        <v>300</v>
      </c>
    </row>
    <row r="387" s="2" customFormat="1" spans="1:16">
      <c r="A387" s="15">
        <f t="shared" si="42"/>
        <v>44582</v>
      </c>
      <c r="B387" s="27">
        <v>222.87</v>
      </c>
      <c r="C387" s="22">
        <v>1007</v>
      </c>
      <c r="D387" s="22">
        <v>55</v>
      </c>
      <c r="E387" s="25">
        <v>0</v>
      </c>
      <c r="F387" s="16">
        <v>0</v>
      </c>
      <c r="G387" s="25">
        <v>1</v>
      </c>
      <c r="H387" s="25">
        <v>0</v>
      </c>
      <c r="I387" s="25">
        <v>0</v>
      </c>
      <c r="J387" s="34">
        <v>0.0546</v>
      </c>
      <c r="K387" s="27">
        <v>4.05</v>
      </c>
      <c r="L387" s="29">
        <f t="shared" si="40"/>
        <v>0</v>
      </c>
      <c r="M387" s="23">
        <f t="shared" si="41"/>
        <v>0</v>
      </c>
      <c r="N387" s="21" t="e">
        <f>F387/E387</f>
        <v>#DIV/0!</v>
      </c>
      <c r="O387" s="21" t="e">
        <f>B387/E387</f>
        <v>#DIV/0!</v>
      </c>
      <c r="P387" s="16">
        <f>B387/G387</f>
        <v>222.87</v>
      </c>
    </row>
    <row r="388" s="2" customFormat="1" spans="1:16">
      <c r="A388" s="15">
        <f t="shared" si="42"/>
        <v>44583</v>
      </c>
      <c r="B388" s="21" t="s">
        <v>16</v>
      </c>
      <c r="C388" s="32" t="s">
        <v>16</v>
      </c>
      <c r="D388" s="32" t="s">
        <v>16</v>
      </c>
      <c r="E388" s="28" t="s">
        <v>16</v>
      </c>
      <c r="F388" s="21" t="s">
        <v>16</v>
      </c>
      <c r="G388" s="28" t="s">
        <v>16</v>
      </c>
      <c r="H388" s="28" t="s">
        <v>16</v>
      </c>
      <c r="I388" s="28" t="s">
        <v>16</v>
      </c>
      <c r="J388" s="28" t="s">
        <v>16</v>
      </c>
      <c r="K388" s="21" t="s">
        <v>16</v>
      </c>
      <c r="L388" s="28" t="s">
        <v>16</v>
      </c>
      <c r="M388" s="28" t="s">
        <v>16</v>
      </c>
      <c r="N388" s="21" t="s">
        <v>16</v>
      </c>
      <c r="O388" s="21" t="s">
        <v>16</v>
      </c>
      <c r="P388" s="21" t="s">
        <v>16</v>
      </c>
    </row>
    <row r="389" s="2" customFormat="1" spans="1:16">
      <c r="A389" s="15">
        <f t="shared" si="42"/>
        <v>44584</v>
      </c>
      <c r="B389" s="21" t="s">
        <v>16</v>
      </c>
      <c r="C389" s="32" t="s">
        <v>16</v>
      </c>
      <c r="D389" s="32" t="s">
        <v>16</v>
      </c>
      <c r="E389" s="28" t="s">
        <v>16</v>
      </c>
      <c r="F389" s="21" t="s">
        <v>16</v>
      </c>
      <c r="G389" s="28" t="s">
        <v>16</v>
      </c>
      <c r="H389" s="28" t="s">
        <v>16</v>
      </c>
      <c r="I389" s="28" t="s">
        <v>16</v>
      </c>
      <c r="J389" s="28" t="s">
        <v>16</v>
      </c>
      <c r="K389" s="21" t="s">
        <v>16</v>
      </c>
      <c r="L389" s="28" t="s">
        <v>16</v>
      </c>
      <c r="M389" s="28" t="s">
        <v>16</v>
      </c>
      <c r="N389" s="21" t="s">
        <v>16</v>
      </c>
      <c r="O389" s="21" t="s">
        <v>16</v>
      </c>
      <c r="P389" s="21" t="s">
        <v>16</v>
      </c>
    </row>
    <row r="390" s="2" customFormat="1" spans="1:16">
      <c r="A390" s="15">
        <f t="shared" si="42"/>
        <v>44585</v>
      </c>
      <c r="B390" s="21" t="s">
        <v>16</v>
      </c>
      <c r="C390" s="32" t="s">
        <v>16</v>
      </c>
      <c r="D390" s="32" t="s">
        <v>16</v>
      </c>
      <c r="E390" s="28" t="s">
        <v>16</v>
      </c>
      <c r="F390" s="21" t="s">
        <v>16</v>
      </c>
      <c r="G390" s="28" t="s">
        <v>16</v>
      </c>
      <c r="H390" s="28" t="s">
        <v>16</v>
      </c>
      <c r="I390" s="28" t="s">
        <v>16</v>
      </c>
      <c r="J390" s="28" t="s">
        <v>16</v>
      </c>
      <c r="K390" s="21" t="s">
        <v>16</v>
      </c>
      <c r="L390" s="28" t="s">
        <v>16</v>
      </c>
      <c r="M390" s="28" t="s">
        <v>16</v>
      </c>
      <c r="N390" s="21" t="s">
        <v>16</v>
      </c>
      <c r="O390" s="21" t="s">
        <v>16</v>
      </c>
      <c r="P390" s="21" t="s">
        <v>16</v>
      </c>
    </row>
    <row r="391" s="2" customFormat="1" spans="1:16">
      <c r="A391" s="15">
        <f t="shared" si="42"/>
        <v>44586</v>
      </c>
      <c r="B391" s="21" t="s">
        <v>16</v>
      </c>
      <c r="C391" s="32" t="s">
        <v>16</v>
      </c>
      <c r="D391" s="32" t="s">
        <v>16</v>
      </c>
      <c r="E391" s="28" t="s">
        <v>16</v>
      </c>
      <c r="F391" s="21" t="s">
        <v>16</v>
      </c>
      <c r="G391" s="28" t="s">
        <v>16</v>
      </c>
      <c r="H391" s="28" t="s">
        <v>16</v>
      </c>
      <c r="I391" s="28" t="s">
        <v>16</v>
      </c>
      <c r="J391" s="28" t="s">
        <v>16</v>
      </c>
      <c r="K391" s="21" t="s">
        <v>16</v>
      </c>
      <c r="L391" s="28" t="s">
        <v>16</v>
      </c>
      <c r="M391" s="28" t="s">
        <v>16</v>
      </c>
      <c r="N391" s="21" t="s">
        <v>16</v>
      </c>
      <c r="O391" s="21" t="s">
        <v>16</v>
      </c>
      <c r="P391" s="21" t="s">
        <v>16</v>
      </c>
    </row>
    <row r="392" s="2" customFormat="1" spans="1:16">
      <c r="A392" s="15">
        <f t="shared" si="42"/>
        <v>44587</v>
      </c>
      <c r="B392" s="21" t="s">
        <v>16</v>
      </c>
      <c r="C392" s="32" t="s">
        <v>16</v>
      </c>
      <c r="D392" s="32" t="s">
        <v>16</v>
      </c>
      <c r="E392" s="28" t="s">
        <v>16</v>
      </c>
      <c r="F392" s="21" t="s">
        <v>16</v>
      </c>
      <c r="G392" s="28" t="s">
        <v>16</v>
      </c>
      <c r="H392" s="28" t="s">
        <v>16</v>
      </c>
      <c r="I392" s="28" t="s">
        <v>16</v>
      </c>
      <c r="J392" s="28" t="s">
        <v>16</v>
      </c>
      <c r="K392" s="21" t="s">
        <v>16</v>
      </c>
      <c r="L392" s="28" t="s">
        <v>16</v>
      </c>
      <c r="M392" s="28" t="s">
        <v>16</v>
      </c>
      <c r="N392" s="21" t="s">
        <v>16</v>
      </c>
      <c r="O392" s="21" t="s">
        <v>16</v>
      </c>
      <c r="P392" s="21" t="s">
        <v>16</v>
      </c>
    </row>
    <row r="393" s="2" customFormat="1" spans="1:16">
      <c r="A393" s="15">
        <f t="shared" si="42"/>
        <v>44588</v>
      </c>
      <c r="B393" s="21" t="s">
        <v>16</v>
      </c>
      <c r="C393" s="32" t="s">
        <v>16</v>
      </c>
      <c r="D393" s="32" t="s">
        <v>16</v>
      </c>
      <c r="E393" s="28" t="s">
        <v>16</v>
      </c>
      <c r="F393" s="21" t="s">
        <v>16</v>
      </c>
      <c r="G393" s="28" t="s">
        <v>16</v>
      </c>
      <c r="H393" s="28" t="s">
        <v>16</v>
      </c>
      <c r="I393" s="28" t="s">
        <v>16</v>
      </c>
      <c r="J393" s="28" t="s">
        <v>16</v>
      </c>
      <c r="K393" s="21" t="s">
        <v>16</v>
      </c>
      <c r="L393" s="28" t="s">
        <v>16</v>
      </c>
      <c r="M393" s="28" t="s">
        <v>16</v>
      </c>
      <c r="N393" s="21" t="s">
        <v>16</v>
      </c>
      <c r="O393" s="21" t="s">
        <v>16</v>
      </c>
      <c r="P393" s="21" t="s">
        <v>16</v>
      </c>
    </row>
    <row r="394" s="2" customFormat="1" spans="1:16">
      <c r="A394" s="15">
        <f t="shared" si="42"/>
        <v>44589</v>
      </c>
      <c r="B394" s="21" t="s">
        <v>16</v>
      </c>
      <c r="C394" s="32" t="s">
        <v>16</v>
      </c>
      <c r="D394" s="32" t="s">
        <v>16</v>
      </c>
      <c r="E394" s="28" t="s">
        <v>16</v>
      </c>
      <c r="F394" s="21" t="s">
        <v>16</v>
      </c>
      <c r="G394" s="28" t="s">
        <v>16</v>
      </c>
      <c r="H394" s="28" t="s">
        <v>16</v>
      </c>
      <c r="I394" s="28" t="s">
        <v>16</v>
      </c>
      <c r="J394" s="28" t="s">
        <v>16</v>
      </c>
      <c r="K394" s="21" t="s">
        <v>16</v>
      </c>
      <c r="L394" s="28" t="s">
        <v>16</v>
      </c>
      <c r="M394" s="28" t="s">
        <v>16</v>
      </c>
      <c r="N394" s="21" t="s">
        <v>16</v>
      </c>
      <c r="O394" s="21" t="s">
        <v>16</v>
      </c>
      <c r="P394" s="21" t="s">
        <v>16</v>
      </c>
    </row>
    <row r="395" s="2" customFormat="1" spans="1:16">
      <c r="A395" s="15">
        <f t="shared" si="42"/>
        <v>44590</v>
      </c>
      <c r="B395" s="21" t="s">
        <v>16</v>
      </c>
      <c r="C395" s="32" t="s">
        <v>16</v>
      </c>
      <c r="D395" s="32" t="s">
        <v>16</v>
      </c>
      <c r="E395" s="28" t="s">
        <v>16</v>
      </c>
      <c r="F395" s="21" t="s">
        <v>16</v>
      </c>
      <c r="G395" s="28" t="s">
        <v>16</v>
      </c>
      <c r="H395" s="28" t="s">
        <v>16</v>
      </c>
      <c r="I395" s="28" t="s">
        <v>16</v>
      </c>
      <c r="J395" s="28" t="s">
        <v>16</v>
      </c>
      <c r="K395" s="21" t="s">
        <v>16</v>
      </c>
      <c r="L395" s="28" t="s">
        <v>16</v>
      </c>
      <c r="M395" s="28" t="s">
        <v>16</v>
      </c>
      <c r="N395" s="21" t="s">
        <v>16</v>
      </c>
      <c r="O395" s="21" t="s">
        <v>16</v>
      </c>
      <c r="P395" s="21" t="s">
        <v>16</v>
      </c>
    </row>
    <row r="396" s="2" customFormat="1" spans="1:16">
      <c r="A396" s="15">
        <f t="shared" si="42"/>
        <v>44591</v>
      </c>
      <c r="B396" s="21" t="s">
        <v>16</v>
      </c>
      <c r="C396" s="32" t="s">
        <v>16</v>
      </c>
      <c r="D396" s="32" t="s">
        <v>16</v>
      </c>
      <c r="E396" s="28" t="s">
        <v>16</v>
      </c>
      <c r="F396" s="21" t="s">
        <v>16</v>
      </c>
      <c r="G396" s="28" t="s">
        <v>16</v>
      </c>
      <c r="H396" s="28" t="s">
        <v>16</v>
      </c>
      <c r="I396" s="28" t="s">
        <v>16</v>
      </c>
      <c r="J396" s="28" t="s">
        <v>16</v>
      </c>
      <c r="K396" s="21" t="s">
        <v>16</v>
      </c>
      <c r="L396" s="28" t="s">
        <v>16</v>
      </c>
      <c r="M396" s="28" t="s">
        <v>16</v>
      </c>
      <c r="N396" s="21" t="s">
        <v>16</v>
      </c>
      <c r="O396" s="21" t="s">
        <v>16</v>
      </c>
      <c r="P396" s="21" t="s">
        <v>16</v>
      </c>
    </row>
    <row r="397" s="2" customFormat="1" spans="1:16">
      <c r="A397" s="15">
        <f t="shared" si="42"/>
        <v>44592</v>
      </c>
      <c r="B397" s="21" t="s">
        <v>16</v>
      </c>
      <c r="C397" s="32" t="s">
        <v>16</v>
      </c>
      <c r="D397" s="32" t="s">
        <v>16</v>
      </c>
      <c r="E397" s="28" t="s">
        <v>16</v>
      </c>
      <c r="F397" s="21" t="s">
        <v>16</v>
      </c>
      <c r="G397" s="28" t="s">
        <v>16</v>
      </c>
      <c r="H397" s="28" t="s">
        <v>16</v>
      </c>
      <c r="I397" s="28" t="s">
        <v>16</v>
      </c>
      <c r="J397" s="28" t="s">
        <v>16</v>
      </c>
      <c r="K397" s="21" t="s">
        <v>16</v>
      </c>
      <c r="L397" s="28" t="s">
        <v>16</v>
      </c>
      <c r="M397" s="28" t="s">
        <v>16</v>
      </c>
      <c r="N397" s="21" t="s">
        <v>16</v>
      </c>
      <c r="O397" s="21" t="s">
        <v>16</v>
      </c>
      <c r="P397" s="21" t="s">
        <v>16</v>
      </c>
    </row>
    <row r="398" s="2" customFormat="1" spans="1:16">
      <c r="A398" s="15">
        <f t="shared" si="42"/>
        <v>44593</v>
      </c>
      <c r="B398" s="21" t="s">
        <v>16</v>
      </c>
      <c r="C398" s="32" t="s">
        <v>16</v>
      </c>
      <c r="D398" s="32" t="s">
        <v>16</v>
      </c>
      <c r="E398" s="28" t="s">
        <v>16</v>
      </c>
      <c r="F398" s="21" t="s">
        <v>16</v>
      </c>
      <c r="G398" s="28" t="s">
        <v>16</v>
      </c>
      <c r="H398" s="28" t="s">
        <v>16</v>
      </c>
      <c r="I398" s="28" t="s">
        <v>16</v>
      </c>
      <c r="J398" s="28" t="s">
        <v>16</v>
      </c>
      <c r="K398" s="21" t="s">
        <v>16</v>
      </c>
      <c r="L398" s="28" t="s">
        <v>16</v>
      </c>
      <c r="M398" s="28" t="s">
        <v>16</v>
      </c>
      <c r="N398" s="21" t="s">
        <v>16</v>
      </c>
      <c r="O398" s="21" t="s">
        <v>16</v>
      </c>
      <c r="P398" s="21" t="s">
        <v>16</v>
      </c>
    </row>
    <row r="399" s="2" customFormat="1" spans="1:16">
      <c r="A399" s="15">
        <f t="shared" si="42"/>
        <v>44594</v>
      </c>
      <c r="B399" s="21" t="s">
        <v>16</v>
      </c>
      <c r="C399" s="32" t="s">
        <v>16</v>
      </c>
      <c r="D399" s="32" t="s">
        <v>16</v>
      </c>
      <c r="E399" s="28" t="s">
        <v>16</v>
      </c>
      <c r="F399" s="21" t="s">
        <v>16</v>
      </c>
      <c r="G399" s="28" t="s">
        <v>16</v>
      </c>
      <c r="H399" s="28" t="s">
        <v>16</v>
      </c>
      <c r="I399" s="28" t="s">
        <v>16</v>
      </c>
      <c r="J399" s="28" t="s">
        <v>16</v>
      </c>
      <c r="K399" s="21" t="s">
        <v>16</v>
      </c>
      <c r="L399" s="28" t="s">
        <v>16</v>
      </c>
      <c r="M399" s="28" t="s">
        <v>16</v>
      </c>
      <c r="N399" s="21" t="s">
        <v>16</v>
      </c>
      <c r="O399" s="21" t="s">
        <v>16</v>
      </c>
      <c r="P399" s="21" t="s">
        <v>16</v>
      </c>
    </row>
    <row r="400" s="2" customFormat="1" spans="1:16">
      <c r="A400" s="15">
        <f t="shared" si="42"/>
        <v>44595</v>
      </c>
      <c r="B400" s="21" t="s">
        <v>16</v>
      </c>
      <c r="C400" s="32" t="s">
        <v>16</v>
      </c>
      <c r="D400" s="32" t="s">
        <v>16</v>
      </c>
      <c r="E400" s="28" t="s">
        <v>16</v>
      </c>
      <c r="F400" s="21" t="s">
        <v>16</v>
      </c>
      <c r="G400" s="28" t="s">
        <v>16</v>
      </c>
      <c r="H400" s="28" t="s">
        <v>16</v>
      </c>
      <c r="I400" s="28" t="s">
        <v>16</v>
      </c>
      <c r="J400" s="28" t="s">
        <v>16</v>
      </c>
      <c r="K400" s="21" t="s">
        <v>16</v>
      </c>
      <c r="L400" s="28" t="s">
        <v>16</v>
      </c>
      <c r="M400" s="28" t="s">
        <v>16</v>
      </c>
      <c r="N400" s="21" t="s">
        <v>16</v>
      </c>
      <c r="O400" s="21" t="s">
        <v>16</v>
      </c>
      <c r="P400" s="21" t="s">
        <v>16</v>
      </c>
    </row>
    <row r="401" s="2" customFormat="1" spans="1:16">
      <c r="A401" s="15">
        <f t="shared" si="42"/>
        <v>44596</v>
      </c>
      <c r="B401" s="21" t="s">
        <v>16</v>
      </c>
      <c r="C401" s="32" t="s">
        <v>16</v>
      </c>
      <c r="D401" s="32" t="s">
        <v>16</v>
      </c>
      <c r="E401" s="28" t="s">
        <v>16</v>
      </c>
      <c r="F401" s="21" t="s">
        <v>16</v>
      </c>
      <c r="G401" s="28" t="s">
        <v>16</v>
      </c>
      <c r="H401" s="28" t="s">
        <v>16</v>
      </c>
      <c r="I401" s="28" t="s">
        <v>16</v>
      </c>
      <c r="J401" s="28" t="s">
        <v>16</v>
      </c>
      <c r="K401" s="21" t="s">
        <v>16</v>
      </c>
      <c r="L401" s="28" t="s">
        <v>16</v>
      </c>
      <c r="M401" s="28" t="s">
        <v>16</v>
      </c>
      <c r="N401" s="21" t="s">
        <v>16</v>
      </c>
      <c r="O401" s="21" t="s">
        <v>16</v>
      </c>
      <c r="P401" s="21" t="s">
        <v>16</v>
      </c>
    </row>
    <row r="402" s="2" customFormat="1" spans="1:16">
      <c r="A402" s="15">
        <f t="shared" si="42"/>
        <v>44597</v>
      </c>
      <c r="B402" s="21" t="s">
        <v>16</v>
      </c>
      <c r="C402" s="32" t="s">
        <v>16</v>
      </c>
      <c r="D402" s="32" t="s">
        <v>16</v>
      </c>
      <c r="E402" s="28" t="s">
        <v>16</v>
      </c>
      <c r="F402" s="21" t="s">
        <v>16</v>
      </c>
      <c r="G402" s="28" t="s">
        <v>16</v>
      </c>
      <c r="H402" s="28" t="s">
        <v>16</v>
      </c>
      <c r="I402" s="28" t="s">
        <v>16</v>
      </c>
      <c r="J402" s="28" t="s">
        <v>16</v>
      </c>
      <c r="K402" s="21" t="s">
        <v>16</v>
      </c>
      <c r="L402" s="28" t="s">
        <v>16</v>
      </c>
      <c r="M402" s="28" t="s">
        <v>16</v>
      </c>
      <c r="N402" s="21" t="s">
        <v>16</v>
      </c>
      <c r="O402" s="21" t="s">
        <v>16</v>
      </c>
      <c r="P402" s="21" t="s">
        <v>16</v>
      </c>
    </row>
    <row r="403" s="2" customFormat="1" spans="1:16">
      <c r="A403" s="15">
        <f t="shared" si="42"/>
        <v>44598</v>
      </c>
      <c r="B403" s="21" t="s">
        <v>16</v>
      </c>
      <c r="C403" s="32" t="s">
        <v>16</v>
      </c>
      <c r="D403" s="32" t="s">
        <v>16</v>
      </c>
      <c r="E403" s="28" t="s">
        <v>16</v>
      </c>
      <c r="F403" s="21" t="s">
        <v>16</v>
      </c>
      <c r="G403" s="28" t="s">
        <v>16</v>
      </c>
      <c r="H403" s="28" t="s">
        <v>16</v>
      </c>
      <c r="I403" s="28" t="s">
        <v>16</v>
      </c>
      <c r="J403" s="28" t="s">
        <v>16</v>
      </c>
      <c r="K403" s="21" t="s">
        <v>16</v>
      </c>
      <c r="L403" s="28" t="s">
        <v>16</v>
      </c>
      <c r="M403" s="28" t="s">
        <v>16</v>
      </c>
      <c r="N403" s="21" t="s">
        <v>16</v>
      </c>
      <c r="O403" s="21" t="s">
        <v>16</v>
      </c>
      <c r="P403" s="21" t="s">
        <v>16</v>
      </c>
    </row>
    <row r="404" s="2" customFormat="1" spans="1:16">
      <c r="A404" s="15">
        <f t="shared" si="42"/>
        <v>44599</v>
      </c>
      <c r="B404" s="21" t="s">
        <v>16</v>
      </c>
      <c r="C404" s="32" t="s">
        <v>16</v>
      </c>
      <c r="D404" s="32" t="s">
        <v>16</v>
      </c>
      <c r="E404" s="28" t="s">
        <v>16</v>
      </c>
      <c r="F404" s="21" t="s">
        <v>16</v>
      </c>
      <c r="G404" s="28" t="s">
        <v>16</v>
      </c>
      <c r="H404" s="28" t="s">
        <v>16</v>
      </c>
      <c r="I404" s="28" t="s">
        <v>16</v>
      </c>
      <c r="J404" s="28" t="s">
        <v>16</v>
      </c>
      <c r="K404" s="21" t="s">
        <v>16</v>
      </c>
      <c r="L404" s="28" t="s">
        <v>16</v>
      </c>
      <c r="M404" s="28" t="s">
        <v>16</v>
      </c>
      <c r="N404" s="21" t="s">
        <v>16</v>
      </c>
      <c r="O404" s="21" t="s">
        <v>16</v>
      </c>
      <c r="P404" s="21" t="s">
        <v>16</v>
      </c>
    </row>
    <row r="405" s="2" customFormat="1" spans="1:16">
      <c r="A405" s="15">
        <f t="shared" si="42"/>
        <v>44600</v>
      </c>
      <c r="B405" s="21" t="s">
        <v>16</v>
      </c>
      <c r="C405" s="32" t="s">
        <v>16</v>
      </c>
      <c r="D405" s="32" t="s">
        <v>16</v>
      </c>
      <c r="E405" s="28" t="s">
        <v>16</v>
      </c>
      <c r="F405" s="21" t="s">
        <v>16</v>
      </c>
      <c r="G405" s="28" t="s">
        <v>16</v>
      </c>
      <c r="H405" s="28" t="s">
        <v>16</v>
      </c>
      <c r="I405" s="28" t="s">
        <v>16</v>
      </c>
      <c r="J405" s="28" t="s">
        <v>16</v>
      </c>
      <c r="K405" s="21" t="s">
        <v>16</v>
      </c>
      <c r="L405" s="28" t="s">
        <v>16</v>
      </c>
      <c r="M405" s="28" t="s">
        <v>16</v>
      </c>
      <c r="N405" s="21" t="s">
        <v>16</v>
      </c>
      <c r="O405" s="21" t="s">
        <v>16</v>
      </c>
      <c r="P405" s="21" t="s">
        <v>16</v>
      </c>
    </row>
    <row r="406" s="2" customFormat="1" spans="1:16">
      <c r="A406" s="15">
        <f t="shared" si="42"/>
        <v>44601</v>
      </c>
      <c r="B406" s="27">
        <v>154.62</v>
      </c>
      <c r="C406" s="22">
        <v>334</v>
      </c>
      <c r="D406" s="22">
        <v>43</v>
      </c>
      <c r="E406" s="25">
        <v>0</v>
      </c>
      <c r="F406" s="27">
        <v>0</v>
      </c>
      <c r="G406" s="25">
        <v>0</v>
      </c>
      <c r="H406" s="25">
        <v>1</v>
      </c>
      <c r="I406" s="25">
        <v>0</v>
      </c>
      <c r="J406" s="35">
        <v>0.128</v>
      </c>
      <c r="K406" s="27">
        <v>3.6</v>
      </c>
      <c r="L406" s="36">
        <v>0</v>
      </c>
      <c r="M406" s="23">
        <v>0</v>
      </c>
      <c r="N406" s="21" t="e">
        <f t="shared" ref="N406:N443" si="43">F406/E406</f>
        <v>#DIV/0!</v>
      </c>
      <c r="O406" s="21" t="e">
        <f t="shared" ref="O406:O443" si="44">B406/E406</f>
        <v>#DIV/0!</v>
      </c>
      <c r="P406" s="16" t="e">
        <f t="shared" ref="P406:P443" si="45">B406/G406</f>
        <v>#DIV/0!</v>
      </c>
    </row>
    <row r="407" s="2" customFormat="1" spans="1:16">
      <c r="A407" s="15">
        <f t="shared" si="42"/>
        <v>44602</v>
      </c>
      <c r="B407" s="27">
        <v>300</v>
      </c>
      <c r="C407" s="22">
        <v>1260</v>
      </c>
      <c r="D407" s="22">
        <v>89</v>
      </c>
      <c r="E407" s="25">
        <v>0</v>
      </c>
      <c r="F407" s="27">
        <v>0</v>
      </c>
      <c r="G407" s="25">
        <v>0</v>
      </c>
      <c r="H407" s="25">
        <v>0</v>
      </c>
      <c r="I407" s="25">
        <v>0</v>
      </c>
      <c r="J407" s="35">
        <v>0.0706</v>
      </c>
      <c r="K407" s="27">
        <v>3.37</v>
      </c>
      <c r="L407" s="36">
        <v>0</v>
      </c>
      <c r="M407" s="23">
        <v>0</v>
      </c>
      <c r="N407" s="21" t="e">
        <f t="shared" si="43"/>
        <v>#DIV/0!</v>
      </c>
      <c r="O407" s="21" t="e">
        <f t="shared" si="44"/>
        <v>#DIV/0!</v>
      </c>
      <c r="P407" s="16" t="e">
        <f t="shared" si="45"/>
        <v>#DIV/0!</v>
      </c>
    </row>
    <row r="408" s="2" customFormat="1" spans="1:16">
      <c r="A408" s="15">
        <f t="shared" si="42"/>
        <v>44603</v>
      </c>
      <c r="B408" s="27">
        <v>300</v>
      </c>
      <c r="C408" s="22">
        <v>949</v>
      </c>
      <c r="D408" s="22">
        <v>66</v>
      </c>
      <c r="E408" s="25">
        <v>0</v>
      </c>
      <c r="F408" s="27">
        <v>0</v>
      </c>
      <c r="G408" s="25">
        <v>0</v>
      </c>
      <c r="H408" s="25">
        <v>0</v>
      </c>
      <c r="I408" s="25">
        <v>1</v>
      </c>
      <c r="J408" s="35">
        <v>0.0695</v>
      </c>
      <c r="K408" s="27">
        <v>4.55</v>
      </c>
      <c r="L408" s="36">
        <v>0</v>
      </c>
      <c r="M408" s="23">
        <v>0</v>
      </c>
      <c r="N408" s="21" t="e">
        <f t="shared" si="43"/>
        <v>#DIV/0!</v>
      </c>
      <c r="O408" s="21" t="e">
        <f t="shared" si="44"/>
        <v>#DIV/0!</v>
      </c>
      <c r="P408" s="16" t="e">
        <f t="shared" si="45"/>
        <v>#DIV/0!</v>
      </c>
    </row>
    <row r="409" s="2" customFormat="1" spans="1:16">
      <c r="A409" s="15">
        <f t="shared" si="42"/>
        <v>44604</v>
      </c>
      <c r="B409" s="27">
        <v>300</v>
      </c>
      <c r="C409" s="22">
        <v>654</v>
      </c>
      <c r="D409" s="22">
        <v>55</v>
      </c>
      <c r="E409" s="25">
        <v>0</v>
      </c>
      <c r="F409" s="27">
        <v>0</v>
      </c>
      <c r="G409" s="25">
        <v>0</v>
      </c>
      <c r="H409" s="25"/>
      <c r="I409" s="25"/>
      <c r="J409" s="35">
        <v>0.0841</v>
      </c>
      <c r="K409" s="27">
        <v>5.45</v>
      </c>
      <c r="L409" s="36">
        <v>0</v>
      </c>
      <c r="M409" s="23">
        <v>0</v>
      </c>
      <c r="N409" s="21" t="e">
        <f t="shared" si="43"/>
        <v>#DIV/0!</v>
      </c>
      <c r="O409" s="21" t="e">
        <f t="shared" si="44"/>
        <v>#DIV/0!</v>
      </c>
      <c r="P409" s="16" t="e">
        <f t="shared" si="45"/>
        <v>#DIV/0!</v>
      </c>
    </row>
    <row r="410" s="2" customFormat="1" spans="1:16">
      <c r="A410" s="15">
        <f t="shared" si="42"/>
        <v>44605</v>
      </c>
      <c r="B410" s="27">
        <v>300</v>
      </c>
      <c r="C410" s="22">
        <v>559</v>
      </c>
      <c r="D410" s="22">
        <v>54</v>
      </c>
      <c r="E410" s="25">
        <v>0</v>
      </c>
      <c r="F410" s="27">
        <v>0</v>
      </c>
      <c r="G410" s="25">
        <v>0</v>
      </c>
      <c r="H410" s="25">
        <v>1</v>
      </c>
      <c r="I410" s="25">
        <v>0</v>
      </c>
      <c r="J410" s="35">
        <v>0.0966</v>
      </c>
      <c r="K410" s="27">
        <v>5.56</v>
      </c>
      <c r="L410" s="36">
        <v>0</v>
      </c>
      <c r="M410" s="23">
        <v>0</v>
      </c>
      <c r="N410" s="21" t="e">
        <f t="shared" si="43"/>
        <v>#DIV/0!</v>
      </c>
      <c r="O410" s="21" t="e">
        <f t="shared" si="44"/>
        <v>#DIV/0!</v>
      </c>
      <c r="P410" s="16" t="e">
        <f t="shared" si="45"/>
        <v>#DIV/0!</v>
      </c>
    </row>
    <row r="411" s="2" customFormat="1" spans="1:16">
      <c r="A411" s="15">
        <f t="shared" si="42"/>
        <v>44606</v>
      </c>
      <c r="B411" s="27">
        <v>300</v>
      </c>
      <c r="C411" s="22">
        <v>1205</v>
      </c>
      <c r="D411" s="22">
        <v>65</v>
      </c>
      <c r="E411" s="25">
        <v>0</v>
      </c>
      <c r="F411" s="27">
        <v>0</v>
      </c>
      <c r="G411" s="25">
        <v>2</v>
      </c>
      <c r="H411" s="25">
        <v>0</v>
      </c>
      <c r="I411" s="25">
        <v>0</v>
      </c>
      <c r="J411" s="35">
        <v>0.0539</v>
      </c>
      <c r="K411" s="27">
        <v>4.62</v>
      </c>
      <c r="L411" s="36">
        <v>0</v>
      </c>
      <c r="M411" s="23">
        <v>0</v>
      </c>
      <c r="N411" s="21" t="e">
        <f t="shared" si="43"/>
        <v>#DIV/0!</v>
      </c>
      <c r="O411" s="21" t="e">
        <f t="shared" si="44"/>
        <v>#DIV/0!</v>
      </c>
      <c r="P411" s="16">
        <f t="shared" si="45"/>
        <v>150</v>
      </c>
    </row>
    <row r="412" s="2" customFormat="1" spans="1:16">
      <c r="A412" s="15">
        <f t="shared" si="42"/>
        <v>44607</v>
      </c>
      <c r="B412" s="27">
        <v>300</v>
      </c>
      <c r="C412" s="22">
        <v>1032</v>
      </c>
      <c r="D412" s="22">
        <v>61</v>
      </c>
      <c r="E412" s="25">
        <v>0</v>
      </c>
      <c r="F412" s="27">
        <v>0</v>
      </c>
      <c r="G412" s="25">
        <v>0</v>
      </c>
      <c r="H412" s="25">
        <v>2</v>
      </c>
      <c r="I412" s="25">
        <v>0</v>
      </c>
      <c r="J412" s="35">
        <v>0.0591</v>
      </c>
      <c r="K412" s="27">
        <v>4.92</v>
      </c>
      <c r="L412" s="36">
        <v>0</v>
      </c>
      <c r="M412" s="23">
        <v>0</v>
      </c>
      <c r="N412" s="21" t="e">
        <f t="shared" si="43"/>
        <v>#DIV/0!</v>
      </c>
      <c r="O412" s="21" t="e">
        <f t="shared" si="44"/>
        <v>#DIV/0!</v>
      </c>
      <c r="P412" s="16" t="e">
        <f t="shared" si="45"/>
        <v>#DIV/0!</v>
      </c>
    </row>
    <row r="413" s="2" customFormat="1" spans="1:16">
      <c r="A413" s="15">
        <f t="shared" si="42"/>
        <v>44608</v>
      </c>
      <c r="B413" s="27">
        <v>380.02</v>
      </c>
      <c r="C413" s="22">
        <v>4046</v>
      </c>
      <c r="D413" s="22">
        <v>193</v>
      </c>
      <c r="E413" s="25">
        <v>0</v>
      </c>
      <c r="F413" s="27">
        <v>0</v>
      </c>
      <c r="G413" s="25">
        <v>0</v>
      </c>
      <c r="H413" s="25">
        <v>1</v>
      </c>
      <c r="I413" s="25">
        <v>0</v>
      </c>
      <c r="J413" s="35">
        <v>0.0477</v>
      </c>
      <c r="K413" s="27">
        <v>1.97</v>
      </c>
      <c r="L413" s="36">
        <v>0</v>
      </c>
      <c r="M413" s="23">
        <v>0</v>
      </c>
      <c r="N413" s="21" t="e">
        <f t="shared" si="43"/>
        <v>#DIV/0!</v>
      </c>
      <c r="O413" s="21" t="e">
        <f t="shared" si="44"/>
        <v>#DIV/0!</v>
      </c>
      <c r="P413" s="16" t="e">
        <f t="shared" si="45"/>
        <v>#DIV/0!</v>
      </c>
    </row>
    <row r="414" s="2" customFormat="1" spans="1:16">
      <c r="A414" s="15">
        <f t="shared" si="42"/>
        <v>44609</v>
      </c>
      <c r="B414" s="27">
        <v>225</v>
      </c>
      <c r="C414" s="22">
        <v>3384</v>
      </c>
      <c r="D414" s="22">
        <v>134</v>
      </c>
      <c r="E414" s="25">
        <v>0</v>
      </c>
      <c r="F414" s="27">
        <v>0</v>
      </c>
      <c r="G414" s="25">
        <v>1</v>
      </c>
      <c r="H414" s="25">
        <v>2</v>
      </c>
      <c r="I414" s="25">
        <v>1</v>
      </c>
      <c r="J414" s="35">
        <v>0.0396</v>
      </c>
      <c r="K414" s="27">
        <v>1.68</v>
      </c>
      <c r="L414" s="36">
        <v>0</v>
      </c>
      <c r="M414" s="23">
        <v>0</v>
      </c>
      <c r="N414" s="21" t="e">
        <f t="shared" si="43"/>
        <v>#DIV/0!</v>
      </c>
      <c r="O414" s="21" t="e">
        <f t="shared" si="44"/>
        <v>#DIV/0!</v>
      </c>
      <c r="P414" s="16">
        <f t="shared" si="45"/>
        <v>225</v>
      </c>
    </row>
    <row r="415" s="2" customFormat="1" spans="1:16">
      <c r="A415" s="15">
        <f t="shared" si="42"/>
        <v>44610</v>
      </c>
      <c r="B415" s="27">
        <v>242.02</v>
      </c>
      <c r="C415" s="22">
        <v>4406</v>
      </c>
      <c r="D415" s="22">
        <v>138</v>
      </c>
      <c r="E415" s="25">
        <v>0</v>
      </c>
      <c r="F415" s="27">
        <v>0</v>
      </c>
      <c r="G415" s="25">
        <v>9</v>
      </c>
      <c r="H415" s="25">
        <v>1</v>
      </c>
      <c r="I415" s="25">
        <v>0</v>
      </c>
      <c r="J415" s="35">
        <v>0.0313</v>
      </c>
      <c r="K415" s="27">
        <v>1.75</v>
      </c>
      <c r="L415" s="36">
        <v>0</v>
      </c>
      <c r="M415" s="23">
        <v>0</v>
      </c>
      <c r="N415" s="21" t="e">
        <f t="shared" si="43"/>
        <v>#DIV/0!</v>
      </c>
      <c r="O415" s="21" t="e">
        <f t="shared" si="44"/>
        <v>#DIV/0!</v>
      </c>
      <c r="P415" s="16">
        <f t="shared" si="45"/>
        <v>26.8911111111111</v>
      </c>
    </row>
    <row r="416" s="2" customFormat="1" spans="1:16">
      <c r="A416" s="15">
        <f t="shared" si="42"/>
        <v>44611</v>
      </c>
      <c r="B416" s="27">
        <v>245</v>
      </c>
      <c r="C416" s="22">
        <v>4221</v>
      </c>
      <c r="D416" s="22">
        <v>143</v>
      </c>
      <c r="E416" s="25">
        <v>1</v>
      </c>
      <c r="F416" s="27">
        <v>99</v>
      </c>
      <c r="G416" s="25">
        <v>9</v>
      </c>
      <c r="H416" s="25">
        <v>1</v>
      </c>
      <c r="I416" s="25">
        <v>1</v>
      </c>
      <c r="J416" s="35">
        <v>0.0338</v>
      </c>
      <c r="K416" s="27">
        <v>1.71</v>
      </c>
      <c r="L416" s="36">
        <v>0.4</v>
      </c>
      <c r="M416" s="23">
        <v>0</v>
      </c>
      <c r="N416" s="21">
        <f t="shared" si="43"/>
        <v>99</v>
      </c>
      <c r="O416" s="21">
        <f t="shared" si="44"/>
        <v>245</v>
      </c>
      <c r="P416" s="16">
        <f t="shared" si="45"/>
        <v>27.2222222222222</v>
      </c>
    </row>
    <row r="417" s="2" customFormat="1" spans="1:16">
      <c r="A417" s="15">
        <f t="shared" ref="A417:A480" si="46">A416+1</f>
        <v>44612</v>
      </c>
      <c r="B417" s="27">
        <v>279.53</v>
      </c>
      <c r="C417" s="22">
        <v>6126</v>
      </c>
      <c r="D417" s="22">
        <v>187</v>
      </c>
      <c r="E417" s="25">
        <v>0</v>
      </c>
      <c r="F417" s="27">
        <v>0</v>
      </c>
      <c r="G417" s="25">
        <v>10</v>
      </c>
      <c r="H417" s="25">
        <v>0</v>
      </c>
      <c r="I417" s="25">
        <v>2</v>
      </c>
      <c r="J417" s="35">
        <v>0.0305</v>
      </c>
      <c r="K417" s="27">
        <v>1.49</v>
      </c>
      <c r="L417" s="36">
        <v>0</v>
      </c>
      <c r="M417" s="23">
        <v>0</v>
      </c>
      <c r="N417" s="21" t="e">
        <f t="shared" si="43"/>
        <v>#DIV/0!</v>
      </c>
      <c r="O417" s="21" t="e">
        <f t="shared" si="44"/>
        <v>#DIV/0!</v>
      </c>
      <c r="P417" s="16">
        <f t="shared" si="45"/>
        <v>27.953</v>
      </c>
    </row>
    <row r="418" s="2" customFormat="1" spans="1:16">
      <c r="A418" s="15">
        <f t="shared" si="46"/>
        <v>44613</v>
      </c>
      <c r="B418" s="27">
        <v>289.89</v>
      </c>
      <c r="C418" s="22">
        <v>5756</v>
      </c>
      <c r="D418" s="22">
        <v>185</v>
      </c>
      <c r="E418" s="25">
        <v>1</v>
      </c>
      <c r="F418" s="27">
        <v>99</v>
      </c>
      <c r="G418" s="25">
        <v>13</v>
      </c>
      <c r="H418" s="25">
        <v>1</v>
      </c>
      <c r="I418" s="25">
        <v>1</v>
      </c>
      <c r="J418" s="35">
        <v>0.0321</v>
      </c>
      <c r="K418" s="27">
        <v>1.57</v>
      </c>
      <c r="L418" s="36">
        <v>0.34</v>
      </c>
      <c r="M418" s="23">
        <v>0</v>
      </c>
      <c r="N418" s="21">
        <f t="shared" si="43"/>
        <v>99</v>
      </c>
      <c r="O418" s="21">
        <f t="shared" si="44"/>
        <v>289.89</v>
      </c>
      <c r="P418" s="16">
        <f t="shared" si="45"/>
        <v>22.2992307692308</v>
      </c>
    </row>
    <row r="419" s="2" customFormat="1" spans="1:16">
      <c r="A419" s="15">
        <f t="shared" si="46"/>
        <v>44614</v>
      </c>
      <c r="B419" s="27">
        <v>313.68</v>
      </c>
      <c r="C419" s="22">
        <v>6675</v>
      </c>
      <c r="D419" s="22">
        <v>211</v>
      </c>
      <c r="E419" s="25">
        <v>0</v>
      </c>
      <c r="F419" s="27">
        <v>0</v>
      </c>
      <c r="G419" s="25">
        <v>5</v>
      </c>
      <c r="H419" s="25">
        <v>0</v>
      </c>
      <c r="I419" s="25">
        <v>1</v>
      </c>
      <c r="J419" s="35">
        <v>0.0316</v>
      </c>
      <c r="K419" s="27">
        <v>1.49</v>
      </c>
      <c r="L419" s="36">
        <v>0</v>
      </c>
      <c r="M419" s="23">
        <v>0</v>
      </c>
      <c r="N419" s="21" t="e">
        <f t="shared" si="43"/>
        <v>#DIV/0!</v>
      </c>
      <c r="O419" s="21" t="e">
        <f t="shared" si="44"/>
        <v>#DIV/0!</v>
      </c>
      <c r="P419" s="16">
        <f t="shared" si="45"/>
        <v>62.736</v>
      </c>
    </row>
    <row r="420" s="2" customFormat="1" spans="1:16">
      <c r="A420" s="15">
        <f t="shared" si="46"/>
        <v>44615</v>
      </c>
      <c r="B420" s="27">
        <v>293.33</v>
      </c>
      <c r="C420" s="22">
        <v>6999</v>
      </c>
      <c r="D420" s="22">
        <v>214</v>
      </c>
      <c r="E420" s="25">
        <v>0</v>
      </c>
      <c r="F420" s="27">
        <v>0</v>
      </c>
      <c r="G420" s="25">
        <v>0</v>
      </c>
      <c r="H420" s="25">
        <v>0</v>
      </c>
      <c r="I420" s="25">
        <v>1</v>
      </c>
      <c r="J420" s="35">
        <v>0.0305</v>
      </c>
      <c r="K420" s="27">
        <v>1.37</v>
      </c>
      <c r="L420" s="36">
        <v>0</v>
      </c>
      <c r="M420" s="23">
        <v>0</v>
      </c>
      <c r="N420" s="21" t="e">
        <f t="shared" si="43"/>
        <v>#DIV/0!</v>
      </c>
      <c r="O420" s="21" t="e">
        <f t="shared" si="44"/>
        <v>#DIV/0!</v>
      </c>
      <c r="P420" s="16" t="e">
        <f t="shared" si="45"/>
        <v>#DIV/0!</v>
      </c>
    </row>
    <row r="421" s="2" customFormat="1" spans="1:16">
      <c r="A421" s="15">
        <f t="shared" si="46"/>
        <v>44616</v>
      </c>
      <c r="B421" s="27">
        <v>289.51</v>
      </c>
      <c r="C421" s="22">
        <v>5361</v>
      </c>
      <c r="D421" s="22">
        <v>175</v>
      </c>
      <c r="E421" s="25">
        <v>0</v>
      </c>
      <c r="F421" s="27">
        <v>0</v>
      </c>
      <c r="G421" s="25">
        <v>0</v>
      </c>
      <c r="H421" s="25">
        <v>1</v>
      </c>
      <c r="I421" s="25">
        <v>2</v>
      </c>
      <c r="J421" s="35">
        <v>3.2643</v>
      </c>
      <c r="K421" s="27">
        <v>1.65</v>
      </c>
      <c r="L421" s="36">
        <v>0</v>
      </c>
      <c r="M421" s="23">
        <v>0</v>
      </c>
      <c r="N421" s="21" t="e">
        <f t="shared" si="43"/>
        <v>#DIV/0!</v>
      </c>
      <c r="O421" s="21" t="e">
        <f t="shared" si="44"/>
        <v>#DIV/0!</v>
      </c>
      <c r="P421" s="16" t="e">
        <f t="shared" si="45"/>
        <v>#DIV/0!</v>
      </c>
    </row>
    <row r="422" s="2" customFormat="1" spans="1:16">
      <c r="A422" s="15">
        <f t="shared" si="46"/>
        <v>44617</v>
      </c>
      <c r="B422" s="21">
        <v>315.36</v>
      </c>
      <c r="C422" s="22">
        <v>4917</v>
      </c>
      <c r="D422" s="31">
        <v>175</v>
      </c>
      <c r="E422" s="25">
        <v>0</v>
      </c>
      <c r="F422" s="16">
        <v>0</v>
      </c>
      <c r="G422" s="25">
        <v>1</v>
      </c>
      <c r="H422" s="25">
        <v>1</v>
      </c>
      <c r="I422" s="25">
        <v>3</v>
      </c>
      <c r="J422" s="37">
        <v>0.0356</v>
      </c>
      <c r="K422" s="21">
        <v>1.8</v>
      </c>
      <c r="L422" s="29">
        <v>0</v>
      </c>
      <c r="M422" s="23">
        <v>0</v>
      </c>
      <c r="N422" s="21" t="e">
        <f t="shared" si="43"/>
        <v>#DIV/0!</v>
      </c>
      <c r="O422" s="21" t="e">
        <f t="shared" si="44"/>
        <v>#DIV/0!</v>
      </c>
      <c r="P422" s="16">
        <f t="shared" si="45"/>
        <v>315.36</v>
      </c>
    </row>
    <row r="423" s="2" customFormat="1" spans="1:16">
      <c r="A423" s="15">
        <f t="shared" si="46"/>
        <v>44618</v>
      </c>
      <c r="B423" s="21">
        <v>285.04</v>
      </c>
      <c r="C423" s="22">
        <v>9159</v>
      </c>
      <c r="D423" s="31">
        <v>166</v>
      </c>
      <c r="E423" s="25">
        <v>0</v>
      </c>
      <c r="F423" s="16">
        <v>0</v>
      </c>
      <c r="G423" s="25">
        <v>0</v>
      </c>
      <c r="H423" s="25">
        <v>0</v>
      </c>
      <c r="I423" s="25">
        <v>1</v>
      </c>
      <c r="J423" s="23">
        <v>0.0181</v>
      </c>
      <c r="K423" s="21">
        <v>1.72</v>
      </c>
      <c r="L423" s="29">
        <v>0</v>
      </c>
      <c r="M423" s="23">
        <v>0</v>
      </c>
      <c r="N423" s="21" t="e">
        <f t="shared" si="43"/>
        <v>#DIV/0!</v>
      </c>
      <c r="O423" s="21" t="e">
        <f t="shared" si="44"/>
        <v>#DIV/0!</v>
      </c>
      <c r="P423" s="16" t="e">
        <f t="shared" si="45"/>
        <v>#DIV/0!</v>
      </c>
    </row>
    <row r="424" s="2" customFormat="1" spans="1:16">
      <c r="A424" s="15">
        <f t="shared" si="46"/>
        <v>44619</v>
      </c>
      <c r="B424" s="21">
        <v>324.26</v>
      </c>
      <c r="C424" s="22">
        <v>10175</v>
      </c>
      <c r="D424" s="31">
        <v>251</v>
      </c>
      <c r="E424" s="25">
        <v>0</v>
      </c>
      <c r="F424" s="16">
        <v>0</v>
      </c>
      <c r="G424" s="25">
        <v>1</v>
      </c>
      <c r="H424" s="25">
        <v>1</v>
      </c>
      <c r="I424" s="25">
        <v>0</v>
      </c>
      <c r="J424" s="23">
        <v>0.0247</v>
      </c>
      <c r="K424" s="21">
        <v>1.29</v>
      </c>
      <c r="L424" s="29">
        <v>0</v>
      </c>
      <c r="M424" s="23">
        <v>0</v>
      </c>
      <c r="N424" s="21" t="e">
        <f t="shared" si="43"/>
        <v>#DIV/0!</v>
      </c>
      <c r="O424" s="21" t="e">
        <f t="shared" si="44"/>
        <v>#DIV/0!</v>
      </c>
      <c r="P424" s="16">
        <f t="shared" si="45"/>
        <v>324.26</v>
      </c>
    </row>
    <row r="425" s="2" customFormat="1" spans="1:16">
      <c r="A425" s="15">
        <f t="shared" si="46"/>
        <v>44620</v>
      </c>
      <c r="B425" s="21">
        <v>251.27</v>
      </c>
      <c r="C425" s="22">
        <v>6984</v>
      </c>
      <c r="D425" s="31">
        <v>168</v>
      </c>
      <c r="E425" s="25">
        <v>0</v>
      </c>
      <c r="F425" s="16">
        <v>0</v>
      </c>
      <c r="G425" s="25">
        <v>0</v>
      </c>
      <c r="H425" s="25">
        <v>1</v>
      </c>
      <c r="I425" s="25">
        <v>0</v>
      </c>
      <c r="J425" s="23">
        <v>0.0241</v>
      </c>
      <c r="K425" s="21">
        <v>1.5</v>
      </c>
      <c r="L425" s="29">
        <v>0</v>
      </c>
      <c r="M425" s="23">
        <v>0</v>
      </c>
      <c r="N425" s="21" t="e">
        <f t="shared" si="43"/>
        <v>#DIV/0!</v>
      </c>
      <c r="O425" s="21" t="e">
        <f t="shared" si="44"/>
        <v>#DIV/0!</v>
      </c>
      <c r="P425" s="16" t="e">
        <f t="shared" si="45"/>
        <v>#DIV/0!</v>
      </c>
    </row>
    <row r="426" s="2" customFormat="1" spans="1:16">
      <c r="A426" s="15">
        <f t="shared" si="46"/>
        <v>44621</v>
      </c>
      <c r="B426" s="21">
        <v>61.75</v>
      </c>
      <c r="C426" s="22">
        <v>4690</v>
      </c>
      <c r="D426" s="31">
        <v>48</v>
      </c>
      <c r="E426" s="38" t="s">
        <v>16</v>
      </c>
      <c r="F426" s="39" t="s">
        <v>16</v>
      </c>
      <c r="G426" s="38" t="s">
        <v>16</v>
      </c>
      <c r="H426" s="25">
        <v>0</v>
      </c>
      <c r="I426" s="25">
        <v>0</v>
      </c>
      <c r="J426" s="23">
        <v>0.0102</v>
      </c>
      <c r="K426" s="21">
        <v>1.29</v>
      </c>
      <c r="L426" s="29">
        <v>0</v>
      </c>
      <c r="M426" s="23">
        <v>0</v>
      </c>
      <c r="N426" s="21" t="e">
        <f t="shared" si="43"/>
        <v>#VALUE!</v>
      </c>
      <c r="O426" s="21" t="e">
        <f t="shared" si="44"/>
        <v>#VALUE!</v>
      </c>
      <c r="P426" s="16" t="e">
        <f t="shared" si="45"/>
        <v>#VALUE!</v>
      </c>
    </row>
    <row r="427" s="2" customFormat="1" spans="1:16">
      <c r="A427" s="15">
        <f t="shared" si="46"/>
        <v>44622</v>
      </c>
      <c r="B427" s="21">
        <v>275.74</v>
      </c>
      <c r="C427" s="22">
        <v>11118</v>
      </c>
      <c r="D427" s="31">
        <v>180</v>
      </c>
      <c r="E427" s="25">
        <v>0</v>
      </c>
      <c r="F427" s="16">
        <v>0</v>
      </c>
      <c r="G427" s="25">
        <v>0</v>
      </c>
      <c r="H427" s="25">
        <v>0</v>
      </c>
      <c r="I427" s="25">
        <v>1</v>
      </c>
      <c r="J427" s="23">
        <v>0.0162</v>
      </c>
      <c r="K427" s="21">
        <v>1.53</v>
      </c>
      <c r="L427" s="29">
        <v>0</v>
      </c>
      <c r="M427" s="23">
        <v>0</v>
      </c>
      <c r="N427" s="21" t="e">
        <f t="shared" si="43"/>
        <v>#DIV/0!</v>
      </c>
      <c r="O427" s="21" t="e">
        <f t="shared" si="44"/>
        <v>#DIV/0!</v>
      </c>
      <c r="P427" s="16" t="e">
        <f t="shared" si="45"/>
        <v>#DIV/0!</v>
      </c>
    </row>
    <row r="428" s="2" customFormat="1" spans="1:16">
      <c r="A428" s="15">
        <f t="shared" si="46"/>
        <v>44623</v>
      </c>
      <c r="B428" s="21">
        <v>331.52</v>
      </c>
      <c r="C428" s="22">
        <v>12546</v>
      </c>
      <c r="D428" s="31">
        <v>216</v>
      </c>
      <c r="E428" s="25">
        <v>0</v>
      </c>
      <c r="F428" s="16">
        <v>0</v>
      </c>
      <c r="G428" s="25">
        <v>0</v>
      </c>
      <c r="H428" s="25">
        <v>0</v>
      </c>
      <c r="I428" s="25">
        <v>1</v>
      </c>
      <c r="J428" s="23">
        <v>0.0172</v>
      </c>
      <c r="K428" s="21">
        <v>1.53</v>
      </c>
      <c r="L428" s="29">
        <v>0</v>
      </c>
      <c r="M428" s="23">
        <v>0</v>
      </c>
      <c r="N428" s="21" t="e">
        <f t="shared" si="43"/>
        <v>#DIV/0!</v>
      </c>
      <c r="O428" s="21" t="e">
        <f t="shared" si="44"/>
        <v>#DIV/0!</v>
      </c>
      <c r="P428" s="16" t="e">
        <f t="shared" si="45"/>
        <v>#DIV/0!</v>
      </c>
    </row>
    <row r="429" s="2" customFormat="1" spans="1:16">
      <c r="A429" s="15">
        <f t="shared" si="46"/>
        <v>44624</v>
      </c>
      <c r="B429" s="21">
        <v>339.2</v>
      </c>
      <c r="C429" s="22">
        <v>13649</v>
      </c>
      <c r="D429" s="31">
        <v>311</v>
      </c>
      <c r="E429" s="25">
        <v>0</v>
      </c>
      <c r="F429" s="16">
        <v>0</v>
      </c>
      <c r="G429" s="25">
        <v>0</v>
      </c>
      <c r="H429" s="25">
        <v>1</v>
      </c>
      <c r="I429" s="25">
        <v>0</v>
      </c>
      <c r="J429" s="23">
        <v>0.0228</v>
      </c>
      <c r="K429" s="21">
        <v>1.09</v>
      </c>
      <c r="L429" s="29">
        <v>0</v>
      </c>
      <c r="M429" s="23">
        <v>0</v>
      </c>
      <c r="N429" s="21" t="e">
        <f t="shared" si="43"/>
        <v>#DIV/0!</v>
      </c>
      <c r="O429" s="21" t="e">
        <f t="shared" si="44"/>
        <v>#DIV/0!</v>
      </c>
      <c r="P429" s="16" t="e">
        <f t="shared" si="45"/>
        <v>#DIV/0!</v>
      </c>
    </row>
    <row r="430" s="2" customFormat="1" spans="1:16">
      <c r="A430" s="15">
        <f t="shared" si="46"/>
        <v>44625</v>
      </c>
      <c r="B430" s="27">
        <v>377.53</v>
      </c>
      <c r="C430" s="22">
        <v>15861</v>
      </c>
      <c r="D430" s="22">
        <v>262</v>
      </c>
      <c r="E430" s="25">
        <v>0</v>
      </c>
      <c r="F430" s="27">
        <v>0</v>
      </c>
      <c r="G430" s="25">
        <v>0</v>
      </c>
      <c r="H430" s="25">
        <v>0</v>
      </c>
      <c r="I430" s="25">
        <v>2</v>
      </c>
      <c r="J430" s="23">
        <f t="shared" ref="J430:J443" si="47">D430/C430</f>
        <v>0.0165185045079125</v>
      </c>
      <c r="K430" s="21">
        <f t="shared" ref="K430:K440" si="48">B430/D430</f>
        <v>1.44095419847328</v>
      </c>
      <c r="L430" s="29">
        <v>0</v>
      </c>
      <c r="M430" s="29">
        <v>0</v>
      </c>
      <c r="N430" s="21" t="e">
        <f t="shared" si="43"/>
        <v>#DIV/0!</v>
      </c>
      <c r="O430" s="21" t="e">
        <f t="shared" si="44"/>
        <v>#DIV/0!</v>
      </c>
      <c r="P430" s="16" t="e">
        <f t="shared" si="45"/>
        <v>#DIV/0!</v>
      </c>
    </row>
    <row r="431" s="2" customFormat="1" spans="1:16">
      <c r="A431" s="15">
        <f t="shared" si="46"/>
        <v>44626</v>
      </c>
      <c r="B431" s="27">
        <v>395.13</v>
      </c>
      <c r="C431" s="22">
        <v>13994</v>
      </c>
      <c r="D431" s="22">
        <v>287</v>
      </c>
      <c r="E431" s="25">
        <v>0</v>
      </c>
      <c r="F431" s="27">
        <v>0</v>
      </c>
      <c r="G431" s="25">
        <v>0</v>
      </c>
      <c r="H431" s="25">
        <v>0</v>
      </c>
      <c r="I431" s="25">
        <v>0</v>
      </c>
      <c r="J431" s="23">
        <f t="shared" si="47"/>
        <v>0.0205087894812062</v>
      </c>
      <c r="K431" s="21">
        <f t="shared" si="48"/>
        <v>1.37675958188153</v>
      </c>
      <c r="L431" s="29">
        <v>0</v>
      </c>
      <c r="M431" s="29">
        <v>0</v>
      </c>
      <c r="N431" s="21" t="e">
        <f t="shared" si="43"/>
        <v>#DIV/0!</v>
      </c>
      <c r="O431" s="21" t="e">
        <f t="shared" si="44"/>
        <v>#DIV/0!</v>
      </c>
      <c r="P431" s="16" t="e">
        <f t="shared" si="45"/>
        <v>#DIV/0!</v>
      </c>
    </row>
    <row r="432" s="2" customFormat="1" spans="1:16">
      <c r="A432" s="15">
        <f t="shared" si="46"/>
        <v>44627</v>
      </c>
      <c r="B432" s="27">
        <v>373.98</v>
      </c>
      <c r="C432" s="22">
        <v>11272</v>
      </c>
      <c r="D432" s="22">
        <v>292</v>
      </c>
      <c r="E432" s="25">
        <v>0</v>
      </c>
      <c r="F432" s="27">
        <v>0</v>
      </c>
      <c r="G432" s="25">
        <v>0</v>
      </c>
      <c r="H432" s="25">
        <v>0</v>
      </c>
      <c r="I432" s="25">
        <v>0</v>
      </c>
      <c r="J432" s="23">
        <f t="shared" si="47"/>
        <v>0.0259048970901348</v>
      </c>
      <c r="K432" s="21">
        <f t="shared" si="48"/>
        <v>1.28075342465753</v>
      </c>
      <c r="L432" s="29">
        <v>0</v>
      </c>
      <c r="M432" s="29">
        <v>0</v>
      </c>
      <c r="N432" s="21" t="e">
        <f t="shared" si="43"/>
        <v>#DIV/0!</v>
      </c>
      <c r="O432" s="21" t="e">
        <f t="shared" si="44"/>
        <v>#DIV/0!</v>
      </c>
      <c r="P432" s="16" t="e">
        <f t="shared" si="45"/>
        <v>#DIV/0!</v>
      </c>
    </row>
    <row r="433" s="2" customFormat="1" spans="1:16">
      <c r="A433" s="15">
        <f t="shared" si="46"/>
        <v>44628</v>
      </c>
      <c r="B433" s="27">
        <v>308.27</v>
      </c>
      <c r="C433" s="22">
        <v>11058</v>
      </c>
      <c r="D433" s="22">
        <v>283</v>
      </c>
      <c r="E433" s="25">
        <v>0</v>
      </c>
      <c r="F433" s="27">
        <v>0</v>
      </c>
      <c r="G433" s="25">
        <v>0</v>
      </c>
      <c r="H433" s="25">
        <v>0</v>
      </c>
      <c r="I433" s="25">
        <v>0</v>
      </c>
      <c r="J433" s="23">
        <f t="shared" si="47"/>
        <v>0.0255923313438235</v>
      </c>
      <c r="K433" s="21">
        <f t="shared" si="48"/>
        <v>1.08929328621908</v>
      </c>
      <c r="L433" s="29">
        <v>0</v>
      </c>
      <c r="M433" s="29">
        <v>0</v>
      </c>
      <c r="N433" s="21" t="e">
        <f t="shared" si="43"/>
        <v>#DIV/0!</v>
      </c>
      <c r="O433" s="21" t="e">
        <f t="shared" si="44"/>
        <v>#DIV/0!</v>
      </c>
      <c r="P433" s="16" t="e">
        <f t="shared" si="45"/>
        <v>#DIV/0!</v>
      </c>
    </row>
    <row r="434" s="2" customFormat="1" spans="1:16">
      <c r="A434" s="15">
        <f t="shared" si="46"/>
        <v>44629</v>
      </c>
      <c r="B434" s="27">
        <v>254.6</v>
      </c>
      <c r="C434" s="22">
        <v>8060</v>
      </c>
      <c r="D434" s="22">
        <v>130</v>
      </c>
      <c r="E434" s="25">
        <v>0</v>
      </c>
      <c r="F434" s="27">
        <v>0</v>
      </c>
      <c r="G434" s="25">
        <v>0</v>
      </c>
      <c r="H434" s="25">
        <v>1</v>
      </c>
      <c r="I434" s="25">
        <v>1</v>
      </c>
      <c r="J434" s="23">
        <f t="shared" si="47"/>
        <v>0.0161290322580645</v>
      </c>
      <c r="K434" s="21">
        <f t="shared" si="48"/>
        <v>1.95846153846154</v>
      </c>
      <c r="L434" s="29">
        <v>0</v>
      </c>
      <c r="M434" s="29">
        <v>0</v>
      </c>
      <c r="N434" s="21" t="e">
        <f t="shared" si="43"/>
        <v>#DIV/0!</v>
      </c>
      <c r="O434" s="21" t="e">
        <f t="shared" si="44"/>
        <v>#DIV/0!</v>
      </c>
      <c r="P434" s="16" t="e">
        <f t="shared" si="45"/>
        <v>#DIV/0!</v>
      </c>
    </row>
    <row r="435" s="2" customFormat="1" spans="1:16">
      <c r="A435" s="15">
        <f t="shared" si="46"/>
        <v>44630</v>
      </c>
      <c r="B435" s="27">
        <v>192.84</v>
      </c>
      <c r="C435" s="22">
        <v>5401</v>
      </c>
      <c r="D435" s="22">
        <v>114</v>
      </c>
      <c r="E435" s="25">
        <v>0</v>
      </c>
      <c r="F435" s="27">
        <v>0</v>
      </c>
      <c r="G435" s="25">
        <v>0</v>
      </c>
      <c r="H435" s="25">
        <v>0</v>
      </c>
      <c r="I435" s="25">
        <v>1</v>
      </c>
      <c r="J435" s="23">
        <f t="shared" si="47"/>
        <v>0.0211072023699315</v>
      </c>
      <c r="K435" s="21">
        <f t="shared" si="48"/>
        <v>1.69157894736842</v>
      </c>
      <c r="L435" s="29">
        <v>0</v>
      </c>
      <c r="M435" s="29">
        <v>0</v>
      </c>
      <c r="N435" s="21" t="e">
        <f t="shared" si="43"/>
        <v>#DIV/0!</v>
      </c>
      <c r="O435" s="21" t="e">
        <f t="shared" si="44"/>
        <v>#DIV/0!</v>
      </c>
      <c r="P435" s="16" t="e">
        <f t="shared" si="45"/>
        <v>#DIV/0!</v>
      </c>
    </row>
    <row r="436" s="2" customFormat="1" spans="1:16">
      <c r="A436" s="15">
        <f t="shared" si="46"/>
        <v>44631</v>
      </c>
      <c r="B436" s="27">
        <v>145.23</v>
      </c>
      <c r="C436" s="22">
        <v>5178</v>
      </c>
      <c r="D436" s="22">
        <v>99</v>
      </c>
      <c r="E436" s="25">
        <v>0</v>
      </c>
      <c r="F436" s="27">
        <v>0</v>
      </c>
      <c r="G436" s="25">
        <v>0</v>
      </c>
      <c r="H436" s="25">
        <v>0</v>
      </c>
      <c r="I436" s="25">
        <v>0</v>
      </c>
      <c r="J436" s="23">
        <f t="shared" si="47"/>
        <v>0.0191193511008111</v>
      </c>
      <c r="K436" s="21">
        <f t="shared" si="48"/>
        <v>1.4669696969697</v>
      </c>
      <c r="L436" s="29">
        <v>0</v>
      </c>
      <c r="M436" s="29">
        <v>0</v>
      </c>
      <c r="N436" s="21" t="e">
        <f t="shared" si="43"/>
        <v>#DIV/0!</v>
      </c>
      <c r="O436" s="21" t="e">
        <f t="shared" si="44"/>
        <v>#DIV/0!</v>
      </c>
      <c r="P436" s="16" t="e">
        <f t="shared" si="45"/>
        <v>#DIV/0!</v>
      </c>
    </row>
    <row r="437" s="2" customFormat="1" spans="1:16">
      <c r="A437" s="15">
        <f t="shared" si="46"/>
        <v>44632</v>
      </c>
      <c r="B437" s="27">
        <v>80</v>
      </c>
      <c r="C437" s="22">
        <v>2737</v>
      </c>
      <c r="D437" s="22">
        <v>63</v>
      </c>
      <c r="E437" s="25">
        <v>0</v>
      </c>
      <c r="F437" s="27">
        <v>0</v>
      </c>
      <c r="G437" s="25">
        <v>0</v>
      </c>
      <c r="H437" s="25">
        <v>0</v>
      </c>
      <c r="I437" s="25">
        <v>1</v>
      </c>
      <c r="J437" s="23">
        <f t="shared" si="47"/>
        <v>0.0230179028132992</v>
      </c>
      <c r="K437" s="21">
        <f t="shared" si="48"/>
        <v>1.26984126984127</v>
      </c>
      <c r="L437" s="29">
        <v>0</v>
      </c>
      <c r="M437" s="29">
        <v>0</v>
      </c>
      <c r="N437" s="21" t="e">
        <f t="shared" si="43"/>
        <v>#DIV/0!</v>
      </c>
      <c r="O437" s="21" t="e">
        <f t="shared" si="44"/>
        <v>#DIV/0!</v>
      </c>
      <c r="P437" s="16" t="e">
        <f t="shared" si="45"/>
        <v>#DIV/0!</v>
      </c>
    </row>
    <row r="438" s="2" customFormat="1" spans="1:16">
      <c r="A438" s="15">
        <f t="shared" si="46"/>
        <v>44633</v>
      </c>
      <c r="B438" s="27">
        <v>80</v>
      </c>
      <c r="C438" s="22">
        <v>1819</v>
      </c>
      <c r="D438" s="22">
        <v>16</v>
      </c>
      <c r="E438" s="25">
        <v>0</v>
      </c>
      <c r="F438" s="27">
        <v>0</v>
      </c>
      <c r="G438" s="25">
        <v>1</v>
      </c>
      <c r="H438" s="25">
        <v>0</v>
      </c>
      <c r="I438" s="25">
        <v>1</v>
      </c>
      <c r="J438" s="23">
        <f t="shared" si="47"/>
        <v>0.00879604178119846</v>
      </c>
      <c r="K438" s="21">
        <f t="shared" si="48"/>
        <v>5</v>
      </c>
      <c r="L438" s="29">
        <v>0</v>
      </c>
      <c r="M438" s="29">
        <v>0</v>
      </c>
      <c r="N438" s="21" t="e">
        <f t="shared" si="43"/>
        <v>#DIV/0!</v>
      </c>
      <c r="O438" s="21" t="e">
        <f t="shared" si="44"/>
        <v>#DIV/0!</v>
      </c>
      <c r="P438" s="16">
        <f t="shared" si="45"/>
        <v>80</v>
      </c>
    </row>
    <row r="439" s="2" customFormat="1" spans="1:16">
      <c r="A439" s="15">
        <f t="shared" si="46"/>
        <v>44634</v>
      </c>
      <c r="B439" s="27">
        <v>80</v>
      </c>
      <c r="C439" s="22">
        <v>2241</v>
      </c>
      <c r="D439" s="22">
        <v>34</v>
      </c>
      <c r="E439" s="25">
        <v>0</v>
      </c>
      <c r="F439" s="27">
        <v>0</v>
      </c>
      <c r="G439" s="25">
        <v>0</v>
      </c>
      <c r="H439" s="25">
        <v>0</v>
      </c>
      <c r="I439" s="25">
        <v>0</v>
      </c>
      <c r="J439" s="23">
        <f t="shared" si="47"/>
        <v>0.0151717983043284</v>
      </c>
      <c r="K439" s="21">
        <f t="shared" si="48"/>
        <v>2.35294117647059</v>
      </c>
      <c r="L439" s="29">
        <v>0</v>
      </c>
      <c r="M439" s="29">
        <v>0</v>
      </c>
      <c r="N439" s="21" t="e">
        <f t="shared" si="43"/>
        <v>#DIV/0!</v>
      </c>
      <c r="O439" s="21" t="e">
        <f t="shared" si="44"/>
        <v>#DIV/0!</v>
      </c>
      <c r="P439" s="16" t="e">
        <f t="shared" si="45"/>
        <v>#DIV/0!</v>
      </c>
    </row>
    <row r="440" s="2" customFormat="1" spans="1:16">
      <c r="A440" s="15">
        <f t="shared" si="46"/>
        <v>44635</v>
      </c>
      <c r="B440" s="27">
        <v>15.71</v>
      </c>
      <c r="C440" s="22">
        <v>380</v>
      </c>
      <c r="D440" s="22">
        <v>11</v>
      </c>
      <c r="E440" s="25">
        <v>0</v>
      </c>
      <c r="F440" s="27">
        <v>0</v>
      </c>
      <c r="G440" s="25">
        <v>0</v>
      </c>
      <c r="H440" s="25">
        <v>0</v>
      </c>
      <c r="I440" s="25">
        <v>0</v>
      </c>
      <c r="J440" s="23">
        <f t="shared" si="47"/>
        <v>0.0289473684210526</v>
      </c>
      <c r="K440" s="21">
        <f t="shared" si="48"/>
        <v>1.42818181818182</v>
      </c>
      <c r="L440" s="29">
        <v>0</v>
      </c>
      <c r="M440" s="29">
        <v>0</v>
      </c>
      <c r="N440" s="21" t="e">
        <f t="shared" si="43"/>
        <v>#DIV/0!</v>
      </c>
      <c r="O440" s="21" t="e">
        <f t="shared" si="44"/>
        <v>#DIV/0!</v>
      </c>
      <c r="P440" s="16" t="e">
        <f t="shared" si="45"/>
        <v>#DIV/0!</v>
      </c>
    </row>
    <row r="441" s="2" customFormat="1" spans="1:16">
      <c r="A441" s="15">
        <f t="shared" si="46"/>
        <v>44636</v>
      </c>
      <c r="B441" s="27">
        <v>0</v>
      </c>
      <c r="C441" s="22">
        <v>0</v>
      </c>
      <c r="D441" s="22">
        <v>0</v>
      </c>
      <c r="E441" s="25">
        <v>0</v>
      </c>
      <c r="F441" s="27">
        <v>0</v>
      </c>
      <c r="G441" s="25">
        <v>0</v>
      </c>
      <c r="H441" s="25">
        <v>0</v>
      </c>
      <c r="I441" s="25">
        <v>0</v>
      </c>
      <c r="J441" s="23" t="e">
        <f t="shared" si="47"/>
        <v>#DIV/0!</v>
      </c>
      <c r="K441" s="21">
        <v>0</v>
      </c>
      <c r="L441" s="29">
        <v>0</v>
      </c>
      <c r="M441" s="29">
        <v>0</v>
      </c>
      <c r="N441" s="21" t="e">
        <f t="shared" si="43"/>
        <v>#DIV/0!</v>
      </c>
      <c r="O441" s="21" t="e">
        <f t="shared" si="44"/>
        <v>#DIV/0!</v>
      </c>
      <c r="P441" s="16" t="e">
        <f t="shared" si="45"/>
        <v>#DIV/0!</v>
      </c>
    </row>
    <row r="442" s="2" customFormat="1" spans="1:16">
      <c r="A442" s="15">
        <f t="shared" si="46"/>
        <v>44637</v>
      </c>
      <c r="B442" s="27">
        <v>0</v>
      </c>
      <c r="C442" s="22">
        <v>0</v>
      </c>
      <c r="D442" s="22">
        <v>0</v>
      </c>
      <c r="E442" s="25">
        <v>0</v>
      </c>
      <c r="F442" s="27">
        <v>0</v>
      </c>
      <c r="G442" s="25">
        <v>0</v>
      </c>
      <c r="H442" s="25">
        <v>0</v>
      </c>
      <c r="I442" s="25">
        <v>0</v>
      </c>
      <c r="J442" s="23" t="e">
        <f t="shared" si="47"/>
        <v>#DIV/0!</v>
      </c>
      <c r="K442" s="21">
        <v>0</v>
      </c>
      <c r="L442" s="29">
        <v>0</v>
      </c>
      <c r="M442" s="29">
        <v>0</v>
      </c>
      <c r="N442" s="21" t="e">
        <f t="shared" si="43"/>
        <v>#DIV/0!</v>
      </c>
      <c r="O442" s="21" t="e">
        <f t="shared" si="44"/>
        <v>#DIV/0!</v>
      </c>
      <c r="P442" s="16" t="e">
        <f t="shared" si="45"/>
        <v>#DIV/0!</v>
      </c>
    </row>
    <row r="443" s="2" customFormat="1" spans="1:16">
      <c r="A443" s="15">
        <f t="shared" si="46"/>
        <v>44638</v>
      </c>
      <c r="B443" s="27">
        <v>0</v>
      </c>
      <c r="C443" s="22">
        <v>0</v>
      </c>
      <c r="D443" s="22">
        <v>0</v>
      </c>
      <c r="E443" s="25">
        <v>0</v>
      </c>
      <c r="F443" s="27">
        <v>0</v>
      </c>
      <c r="G443" s="25">
        <v>0</v>
      </c>
      <c r="H443" s="25">
        <v>0</v>
      </c>
      <c r="I443" s="25">
        <v>0</v>
      </c>
      <c r="J443" s="23" t="e">
        <f t="shared" si="47"/>
        <v>#DIV/0!</v>
      </c>
      <c r="K443" s="21">
        <v>0</v>
      </c>
      <c r="L443" s="29">
        <v>0</v>
      </c>
      <c r="M443" s="29">
        <v>0</v>
      </c>
      <c r="N443" s="21" t="e">
        <f t="shared" si="43"/>
        <v>#DIV/0!</v>
      </c>
      <c r="O443" s="21" t="e">
        <f t="shared" si="44"/>
        <v>#DIV/0!</v>
      </c>
      <c r="P443" s="16" t="e">
        <f t="shared" si="45"/>
        <v>#DIV/0!</v>
      </c>
    </row>
    <row r="444" s="2" customFormat="1" spans="1:16">
      <c r="A444" s="15">
        <f t="shared" si="46"/>
        <v>44639</v>
      </c>
      <c r="B444" s="27">
        <v>0</v>
      </c>
      <c r="C444" s="22">
        <v>0</v>
      </c>
      <c r="D444" s="22">
        <v>0</v>
      </c>
      <c r="E444" s="25">
        <v>0</v>
      </c>
      <c r="F444" s="27">
        <v>0</v>
      </c>
      <c r="G444" s="25">
        <v>0</v>
      </c>
      <c r="H444" s="25">
        <v>0</v>
      </c>
      <c r="I444" s="25">
        <v>0</v>
      </c>
      <c r="J444" s="25">
        <v>0</v>
      </c>
      <c r="K444" s="27">
        <v>0</v>
      </c>
      <c r="L444" s="25">
        <v>0</v>
      </c>
      <c r="M444" s="25">
        <v>0</v>
      </c>
      <c r="N444" s="27">
        <v>0</v>
      </c>
      <c r="O444" s="27">
        <v>0</v>
      </c>
      <c r="P444" s="27">
        <v>0</v>
      </c>
    </row>
    <row r="445" s="2" customFormat="1" spans="1:16">
      <c r="A445" s="15">
        <f t="shared" si="46"/>
        <v>44640</v>
      </c>
      <c r="B445" s="27">
        <v>0</v>
      </c>
      <c r="C445" s="22">
        <v>0</v>
      </c>
      <c r="D445" s="22">
        <v>0</v>
      </c>
      <c r="E445" s="25">
        <v>0</v>
      </c>
      <c r="F445" s="27">
        <v>0</v>
      </c>
      <c r="G445" s="25">
        <v>0</v>
      </c>
      <c r="H445" s="25">
        <v>0</v>
      </c>
      <c r="I445" s="25">
        <v>0</v>
      </c>
      <c r="J445" s="25">
        <v>0</v>
      </c>
      <c r="K445" s="27">
        <v>0</v>
      </c>
      <c r="L445" s="25">
        <v>0</v>
      </c>
      <c r="M445" s="25">
        <v>0</v>
      </c>
      <c r="N445" s="27">
        <v>0</v>
      </c>
      <c r="O445" s="27">
        <v>0</v>
      </c>
      <c r="P445" s="27">
        <v>0</v>
      </c>
    </row>
    <row r="446" s="2" customFormat="1" spans="1:16">
      <c r="A446" s="15">
        <f t="shared" si="46"/>
        <v>44641</v>
      </c>
      <c r="B446" s="27">
        <v>0</v>
      </c>
      <c r="C446" s="22">
        <v>0</v>
      </c>
      <c r="D446" s="22">
        <v>0</v>
      </c>
      <c r="E446" s="25">
        <v>0</v>
      </c>
      <c r="F446" s="27">
        <v>0</v>
      </c>
      <c r="G446" s="25">
        <v>0</v>
      </c>
      <c r="H446" s="25">
        <v>0</v>
      </c>
      <c r="I446" s="25">
        <v>0</v>
      </c>
      <c r="J446" s="25">
        <v>0</v>
      </c>
      <c r="K446" s="27">
        <v>0</v>
      </c>
      <c r="L446" s="25">
        <v>0</v>
      </c>
      <c r="M446" s="25">
        <v>0</v>
      </c>
      <c r="N446" s="27">
        <v>0</v>
      </c>
      <c r="O446" s="27">
        <v>0</v>
      </c>
      <c r="P446" s="27">
        <v>0</v>
      </c>
    </row>
    <row r="447" s="2" customFormat="1" spans="1:16">
      <c r="A447" s="15">
        <f t="shared" si="46"/>
        <v>44642</v>
      </c>
      <c r="B447" s="27">
        <v>0</v>
      </c>
      <c r="C447" s="22">
        <v>0</v>
      </c>
      <c r="D447" s="22">
        <v>0</v>
      </c>
      <c r="E447" s="25">
        <v>0</v>
      </c>
      <c r="F447" s="27">
        <v>0</v>
      </c>
      <c r="G447" s="25">
        <v>0</v>
      </c>
      <c r="H447" s="25">
        <v>0</v>
      </c>
      <c r="I447" s="25">
        <v>0</v>
      </c>
      <c r="J447" s="25">
        <v>0</v>
      </c>
      <c r="K447" s="27">
        <v>0</v>
      </c>
      <c r="L447" s="25">
        <v>0</v>
      </c>
      <c r="M447" s="25">
        <v>0</v>
      </c>
      <c r="N447" s="27">
        <v>0</v>
      </c>
      <c r="O447" s="27">
        <v>0</v>
      </c>
      <c r="P447" s="27">
        <v>0</v>
      </c>
    </row>
    <row r="448" s="2" customFormat="1" spans="1:16">
      <c r="A448" s="15">
        <f t="shared" si="46"/>
        <v>44643</v>
      </c>
      <c r="B448" s="27">
        <v>0</v>
      </c>
      <c r="C448" s="22">
        <v>0</v>
      </c>
      <c r="D448" s="22">
        <v>0</v>
      </c>
      <c r="E448" s="25">
        <v>0</v>
      </c>
      <c r="F448" s="27">
        <v>0</v>
      </c>
      <c r="G448" s="25">
        <v>0</v>
      </c>
      <c r="H448" s="25">
        <v>0</v>
      </c>
      <c r="I448" s="25">
        <v>0</v>
      </c>
      <c r="J448" s="25">
        <v>0</v>
      </c>
      <c r="K448" s="27">
        <v>0</v>
      </c>
      <c r="L448" s="25">
        <v>0</v>
      </c>
      <c r="M448" s="25">
        <v>0</v>
      </c>
      <c r="N448" s="27">
        <v>0</v>
      </c>
      <c r="O448" s="27">
        <v>0</v>
      </c>
      <c r="P448" s="27">
        <v>0</v>
      </c>
    </row>
    <row r="449" s="2" customFormat="1" spans="1:16">
      <c r="A449" s="15">
        <f t="shared" si="46"/>
        <v>44644</v>
      </c>
      <c r="B449" s="27">
        <v>0</v>
      </c>
      <c r="C449" s="22">
        <v>0</v>
      </c>
      <c r="D449" s="22">
        <v>0</v>
      </c>
      <c r="E449" s="25">
        <v>0</v>
      </c>
      <c r="F449" s="27">
        <v>0</v>
      </c>
      <c r="G449" s="25">
        <v>0</v>
      </c>
      <c r="H449" s="25">
        <v>0</v>
      </c>
      <c r="I449" s="25">
        <v>0</v>
      </c>
      <c r="J449" s="25">
        <v>0</v>
      </c>
      <c r="K449" s="27">
        <v>0</v>
      </c>
      <c r="L449" s="25">
        <v>0</v>
      </c>
      <c r="M449" s="25">
        <v>0</v>
      </c>
      <c r="N449" s="27">
        <v>0</v>
      </c>
      <c r="O449" s="27">
        <v>0</v>
      </c>
      <c r="P449" s="27">
        <v>0</v>
      </c>
    </row>
    <row r="450" s="2" customFormat="1" spans="1:16">
      <c r="A450" s="15">
        <f t="shared" si="46"/>
        <v>44645</v>
      </c>
      <c r="B450" s="27">
        <v>0</v>
      </c>
      <c r="C450" s="22">
        <v>0</v>
      </c>
      <c r="D450" s="22">
        <v>0</v>
      </c>
      <c r="E450" s="25">
        <v>0</v>
      </c>
      <c r="F450" s="27">
        <v>0</v>
      </c>
      <c r="G450" s="25">
        <v>0</v>
      </c>
      <c r="H450" s="25">
        <v>0</v>
      </c>
      <c r="I450" s="25">
        <v>0</v>
      </c>
      <c r="J450" s="25">
        <v>0</v>
      </c>
      <c r="K450" s="27">
        <v>0</v>
      </c>
      <c r="L450" s="25">
        <v>0</v>
      </c>
      <c r="M450" s="25">
        <v>0</v>
      </c>
      <c r="N450" s="27">
        <v>0</v>
      </c>
      <c r="O450" s="27">
        <v>0</v>
      </c>
      <c r="P450" s="27">
        <v>0</v>
      </c>
    </row>
    <row r="451" s="2" customFormat="1" spans="1:16">
      <c r="A451" s="15">
        <f t="shared" si="46"/>
        <v>44646</v>
      </c>
      <c r="B451" s="27">
        <v>0</v>
      </c>
      <c r="C451" s="22">
        <v>0</v>
      </c>
      <c r="D451" s="22">
        <v>0</v>
      </c>
      <c r="E451" s="25">
        <v>0</v>
      </c>
      <c r="F451" s="27">
        <v>0</v>
      </c>
      <c r="G451" s="25">
        <v>0</v>
      </c>
      <c r="H451" s="25">
        <v>0</v>
      </c>
      <c r="I451" s="25">
        <v>0</v>
      </c>
      <c r="J451" s="25">
        <v>0</v>
      </c>
      <c r="K451" s="27">
        <v>0</v>
      </c>
      <c r="L451" s="25">
        <v>0</v>
      </c>
      <c r="M451" s="25">
        <v>0</v>
      </c>
      <c r="N451" s="27">
        <v>0</v>
      </c>
      <c r="O451" s="27">
        <v>0</v>
      </c>
      <c r="P451" s="27">
        <v>0</v>
      </c>
    </row>
    <row r="452" s="2" customFormat="1" spans="1:16">
      <c r="A452" s="15">
        <f t="shared" si="46"/>
        <v>44647</v>
      </c>
      <c r="B452" s="27">
        <v>0</v>
      </c>
      <c r="C452" s="22">
        <v>0</v>
      </c>
      <c r="D452" s="22">
        <v>0</v>
      </c>
      <c r="E452" s="25">
        <v>0</v>
      </c>
      <c r="F452" s="27">
        <v>0</v>
      </c>
      <c r="G452" s="25">
        <v>0</v>
      </c>
      <c r="H452" s="25">
        <v>0</v>
      </c>
      <c r="I452" s="25">
        <v>0</v>
      </c>
      <c r="J452" s="25">
        <v>0</v>
      </c>
      <c r="K452" s="27">
        <v>0</v>
      </c>
      <c r="L452" s="25">
        <v>0</v>
      </c>
      <c r="M452" s="25">
        <v>0</v>
      </c>
      <c r="N452" s="27">
        <v>0</v>
      </c>
      <c r="O452" s="27">
        <v>0</v>
      </c>
      <c r="P452" s="27">
        <v>0</v>
      </c>
    </row>
    <row r="453" s="2" customFormat="1" spans="1:16">
      <c r="A453" s="15">
        <f t="shared" si="46"/>
        <v>44648</v>
      </c>
      <c r="B453" s="27">
        <v>0</v>
      </c>
      <c r="C453" s="22">
        <v>0</v>
      </c>
      <c r="D453" s="22">
        <v>0</v>
      </c>
      <c r="E453" s="25">
        <v>0</v>
      </c>
      <c r="F453" s="27">
        <v>0</v>
      </c>
      <c r="G453" s="25">
        <v>0</v>
      </c>
      <c r="H453" s="25">
        <v>0</v>
      </c>
      <c r="I453" s="25">
        <v>0</v>
      </c>
      <c r="J453" s="25">
        <v>0</v>
      </c>
      <c r="K453" s="27">
        <v>0</v>
      </c>
      <c r="L453" s="25">
        <v>0</v>
      </c>
      <c r="M453" s="25">
        <v>0</v>
      </c>
      <c r="N453" s="27">
        <v>0</v>
      </c>
      <c r="O453" s="27">
        <v>0</v>
      </c>
      <c r="P453" s="27">
        <v>0</v>
      </c>
    </row>
    <row r="454" s="2" customFormat="1" spans="1:16">
      <c r="A454" s="15">
        <f t="shared" si="46"/>
        <v>44649</v>
      </c>
      <c r="B454" s="27">
        <v>0</v>
      </c>
      <c r="C454" s="22">
        <v>0</v>
      </c>
      <c r="D454" s="22">
        <v>0</v>
      </c>
      <c r="E454" s="25">
        <v>0</v>
      </c>
      <c r="F454" s="27">
        <v>0</v>
      </c>
      <c r="G454" s="25">
        <v>0</v>
      </c>
      <c r="H454" s="25">
        <v>0</v>
      </c>
      <c r="I454" s="25">
        <v>0</v>
      </c>
      <c r="J454" s="25">
        <v>0</v>
      </c>
      <c r="K454" s="27">
        <v>0</v>
      </c>
      <c r="L454" s="25">
        <v>0</v>
      </c>
      <c r="M454" s="25">
        <v>0</v>
      </c>
      <c r="N454" s="27">
        <v>0</v>
      </c>
      <c r="O454" s="27">
        <v>0</v>
      </c>
      <c r="P454" s="27">
        <v>0</v>
      </c>
    </row>
    <row r="455" s="2" customFormat="1" spans="1:16">
      <c r="A455" s="15">
        <f t="shared" si="46"/>
        <v>44650</v>
      </c>
      <c r="B455" s="27">
        <v>0</v>
      </c>
      <c r="C455" s="22">
        <v>0</v>
      </c>
      <c r="D455" s="22">
        <v>0</v>
      </c>
      <c r="E455" s="25">
        <v>0</v>
      </c>
      <c r="F455" s="27">
        <v>0</v>
      </c>
      <c r="G455" s="25">
        <v>0</v>
      </c>
      <c r="H455" s="25">
        <v>0</v>
      </c>
      <c r="I455" s="25">
        <v>0</v>
      </c>
      <c r="J455" s="25">
        <v>0</v>
      </c>
      <c r="K455" s="27">
        <v>0</v>
      </c>
      <c r="L455" s="25">
        <v>0</v>
      </c>
      <c r="M455" s="25">
        <v>0</v>
      </c>
      <c r="N455" s="27">
        <v>0</v>
      </c>
      <c r="O455" s="27">
        <v>0</v>
      </c>
      <c r="P455" s="27">
        <v>0</v>
      </c>
    </row>
    <row r="456" s="2" customFormat="1" spans="1:16">
      <c r="A456" s="15">
        <f t="shared" si="46"/>
        <v>44651</v>
      </c>
      <c r="B456" s="27">
        <v>0</v>
      </c>
      <c r="C456" s="22">
        <v>0</v>
      </c>
      <c r="D456" s="22">
        <v>0</v>
      </c>
      <c r="E456" s="25">
        <v>0</v>
      </c>
      <c r="F456" s="27">
        <v>0</v>
      </c>
      <c r="G456" s="25">
        <v>0</v>
      </c>
      <c r="H456" s="25">
        <v>0</v>
      </c>
      <c r="I456" s="25">
        <v>0</v>
      </c>
      <c r="J456" s="25">
        <v>0</v>
      </c>
      <c r="K456" s="27">
        <v>0</v>
      </c>
      <c r="L456" s="25">
        <v>0</v>
      </c>
      <c r="M456" s="25">
        <v>0</v>
      </c>
      <c r="N456" s="27">
        <v>0</v>
      </c>
      <c r="O456" s="27">
        <v>0</v>
      </c>
      <c r="P456" s="27">
        <v>0</v>
      </c>
    </row>
    <row r="457" s="2" customFormat="1" spans="1:16">
      <c r="A457" s="15">
        <f t="shared" si="46"/>
        <v>44652</v>
      </c>
      <c r="B457" s="27">
        <v>0</v>
      </c>
      <c r="C457" s="22">
        <v>0</v>
      </c>
      <c r="D457" s="22">
        <v>0</v>
      </c>
      <c r="E457" s="25">
        <v>0</v>
      </c>
      <c r="F457" s="27">
        <v>0</v>
      </c>
      <c r="G457" s="25">
        <v>0</v>
      </c>
      <c r="H457" s="25">
        <v>0</v>
      </c>
      <c r="I457" s="25">
        <v>0</v>
      </c>
      <c r="J457" s="25">
        <v>0</v>
      </c>
      <c r="K457" s="27">
        <v>0</v>
      </c>
      <c r="L457" s="25">
        <v>0</v>
      </c>
      <c r="M457" s="25">
        <v>0</v>
      </c>
      <c r="N457" s="27">
        <v>0</v>
      </c>
      <c r="O457" s="27">
        <v>0</v>
      </c>
      <c r="P457" s="27">
        <v>0</v>
      </c>
    </row>
    <row r="458" s="2" customFormat="1" spans="1:16">
      <c r="A458" s="15">
        <f t="shared" si="46"/>
        <v>44653</v>
      </c>
      <c r="B458" s="27">
        <v>0</v>
      </c>
      <c r="C458" s="22">
        <v>0</v>
      </c>
      <c r="D458" s="22">
        <v>0</v>
      </c>
      <c r="E458" s="25">
        <v>0</v>
      </c>
      <c r="F458" s="27">
        <v>0</v>
      </c>
      <c r="G458" s="25">
        <v>0</v>
      </c>
      <c r="H458" s="25">
        <v>0</v>
      </c>
      <c r="I458" s="25">
        <v>0</v>
      </c>
      <c r="J458" s="25">
        <v>0</v>
      </c>
      <c r="K458" s="27">
        <v>0</v>
      </c>
      <c r="L458" s="25">
        <v>0</v>
      </c>
      <c r="M458" s="25">
        <v>0</v>
      </c>
      <c r="N458" s="27">
        <v>0</v>
      </c>
      <c r="O458" s="27">
        <v>0</v>
      </c>
      <c r="P458" s="27">
        <v>0</v>
      </c>
    </row>
    <row r="459" s="2" customFormat="1" spans="1:16">
      <c r="A459" s="15">
        <f t="shared" si="46"/>
        <v>44654</v>
      </c>
      <c r="B459" s="27">
        <v>0</v>
      </c>
      <c r="C459" s="22">
        <v>0</v>
      </c>
      <c r="D459" s="22">
        <v>0</v>
      </c>
      <c r="E459" s="25">
        <v>0</v>
      </c>
      <c r="F459" s="27">
        <v>0</v>
      </c>
      <c r="G459" s="25">
        <v>0</v>
      </c>
      <c r="H459" s="25">
        <v>0</v>
      </c>
      <c r="I459" s="25">
        <v>0</v>
      </c>
      <c r="J459" s="25">
        <v>0</v>
      </c>
      <c r="K459" s="27">
        <v>0</v>
      </c>
      <c r="L459" s="25">
        <v>0</v>
      </c>
      <c r="M459" s="25">
        <v>0</v>
      </c>
      <c r="N459" s="27">
        <v>0</v>
      </c>
      <c r="O459" s="27">
        <v>0</v>
      </c>
      <c r="P459" s="27">
        <v>0</v>
      </c>
    </row>
    <row r="460" s="2" customFormat="1" spans="1:16">
      <c r="A460" s="15">
        <f t="shared" si="46"/>
        <v>44655</v>
      </c>
      <c r="B460" s="27">
        <v>0</v>
      </c>
      <c r="C460" s="22">
        <v>0</v>
      </c>
      <c r="D460" s="22">
        <v>0</v>
      </c>
      <c r="E460" s="25">
        <v>0</v>
      </c>
      <c r="F460" s="27">
        <v>0</v>
      </c>
      <c r="G460" s="25">
        <v>0</v>
      </c>
      <c r="H460" s="25">
        <v>0</v>
      </c>
      <c r="I460" s="25">
        <v>0</v>
      </c>
      <c r="J460" s="25">
        <v>0</v>
      </c>
      <c r="K460" s="27">
        <v>0</v>
      </c>
      <c r="L460" s="25">
        <v>0</v>
      </c>
      <c r="M460" s="25">
        <v>0</v>
      </c>
      <c r="N460" s="27">
        <v>0</v>
      </c>
      <c r="O460" s="27">
        <v>0</v>
      </c>
      <c r="P460" s="27">
        <v>0</v>
      </c>
    </row>
    <row r="461" s="2" customFormat="1" spans="1:16">
      <c r="A461" s="15">
        <f t="shared" si="46"/>
        <v>44656</v>
      </c>
      <c r="B461" s="27">
        <v>0</v>
      </c>
      <c r="C461" s="22">
        <v>0</v>
      </c>
      <c r="D461" s="22">
        <v>0</v>
      </c>
      <c r="E461" s="25">
        <v>0</v>
      </c>
      <c r="F461" s="27">
        <v>0</v>
      </c>
      <c r="G461" s="25">
        <v>0</v>
      </c>
      <c r="H461" s="25">
        <v>0</v>
      </c>
      <c r="I461" s="25">
        <v>0</v>
      </c>
      <c r="J461" s="25">
        <v>0</v>
      </c>
      <c r="K461" s="27">
        <v>0</v>
      </c>
      <c r="L461" s="25">
        <v>0</v>
      </c>
      <c r="M461" s="25">
        <v>0</v>
      </c>
      <c r="N461" s="27">
        <v>0</v>
      </c>
      <c r="O461" s="27">
        <v>0</v>
      </c>
      <c r="P461" s="27">
        <v>0</v>
      </c>
    </row>
    <row r="462" s="2" customFormat="1" spans="1:16">
      <c r="A462" s="15">
        <f t="shared" si="46"/>
        <v>44657</v>
      </c>
      <c r="B462" s="27">
        <v>0</v>
      </c>
      <c r="C462" s="22">
        <v>0</v>
      </c>
      <c r="D462" s="22">
        <v>0</v>
      </c>
      <c r="E462" s="25">
        <v>0</v>
      </c>
      <c r="F462" s="27">
        <v>0</v>
      </c>
      <c r="G462" s="25">
        <v>0</v>
      </c>
      <c r="H462" s="25">
        <v>0</v>
      </c>
      <c r="I462" s="25">
        <v>0</v>
      </c>
      <c r="J462" s="25">
        <v>0</v>
      </c>
      <c r="K462" s="27">
        <v>0</v>
      </c>
      <c r="L462" s="25">
        <v>0</v>
      </c>
      <c r="M462" s="25">
        <v>0</v>
      </c>
      <c r="N462" s="27">
        <v>0</v>
      </c>
      <c r="O462" s="27">
        <v>0</v>
      </c>
      <c r="P462" s="27">
        <v>0</v>
      </c>
    </row>
    <row r="463" s="2" customFormat="1" spans="1:16">
      <c r="A463" s="15">
        <f t="shared" si="46"/>
        <v>44658</v>
      </c>
      <c r="B463" s="27">
        <v>0</v>
      </c>
      <c r="C463" s="22">
        <v>0</v>
      </c>
      <c r="D463" s="22">
        <v>0</v>
      </c>
      <c r="E463" s="25">
        <v>0</v>
      </c>
      <c r="F463" s="27">
        <v>0</v>
      </c>
      <c r="G463" s="25">
        <v>0</v>
      </c>
      <c r="H463" s="25">
        <v>0</v>
      </c>
      <c r="I463" s="25">
        <v>0</v>
      </c>
      <c r="J463" s="25">
        <v>0</v>
      </c>
      <c r="K463" s="27">
        <v>0</v>
      </c>
      <c r="L463" s="25">
        <v>0</v>
      </c>
      <c r="M463" s="25">
        <v>0</v>
      </c>
      <c r="N463" s="27">
        <v>0</v>
      </c>
      <c r="O463" s="27">
        <v>0</v>
      </c>
      <c r="P463" s="27">
        <v>0</v>
      </c>
    </row>
    <row r="464" s="2" customFormat="1" spans="1:16">
      <c r="A464" s="15">
        <f t="shared" si="46"/>
        <v>44659</v>
      </c>
      <c r="B464" s="27">
        <v>0</v>
      </c>
      <c r="C464" s="22">
        <v>0</v>
      </c>
      <c r="D464" s="22">
        <v>0</v>
      </c>
      <c r="E464" s="25">
        <v>0</v>
      </c>
      <c r="F464" s="27">
        <v>0</v>
      </c>
      <c r="G464" s="25">
        <v>0</v>
      </c>
      <c r="H464" s="25">
        <v>0</v>
      </c>
      <c r="I464" s="25">
        <v>0</v>
      </c>
      <c r="J464" s="25">
        <v>0</v>
      </c>
      <c r="K464" s="27">
        <v>0</v>
      </c>
      <c r="L464" s="25">
        <v>0</v>
      </c>
      <c r="M464" s="25">
        <v>0</v>
      </c>
      <c r="N464" s="27">
        <v>0</v>
      </c>
      <c r="O464" s="27">
        <v>0</v>
      </c>
      <c r="P464" s="27">
        <v>0</v>
      </c>
    </row>
    <row r="465" s="2" customFormat="1" spans="1:16">
      <c r="A465" s="15">
        <f t="shared" si="46"/>
        <v>44660</v>
      </c>
      <c r="B465" s="27">
        <v>0</v>
      </c>
      <c r="C465" s="22">
        <v>0</v>
      </c>
      <c r="D465" s="22">
        <v>0</v>
      </c>
      <c r="E465" s="25">
        <v>0</v>
      </c>
      <c r="F465" s="27">
        <v>0</v>
      </c>
      <c r="G465" s="25">
        <v>0</v>
      </c>
      <c r="H465" s="25">
        <v>0</v>
      </c>
      <c r="I465" s="25">
        <v>0</v>
      </c>
      <c r="J465" s="25">
        <v>0</v>
      </c>
      <c r="K465" s="27">
        <v>0</v>
      </c>
      <c r="L465" s="25">
        <v>0</v>
      </c>
      <c r="M465" s="25">
        <v>0</v>
      </c>
      <c r="N465" s="27">
        <v>0</v>
      </c>
      <c r="O465" s="27">
        <v>0</v>
      </c>
      <c r="P465" s="27">
        <v>0</v>
      </c>
    </row>
    <row r="466" s="2" customFormat="1" spans="1:16">
      <c r="A466" s="15">
        <f t="shared" si="46"/>
        <v>44661</v>
      </c>
      <c r="B466" s="27">
        <v>0</v>
      </c>
      <c r="C466" s="22">
        <v>0</v>
      </c>
      <c r="D466" s="22">
        <v>0</v>
      </c>
      <c r="E466" s="25">
        <v>0</v>
      </c>
      <c r="F466" s="27">
        <v>0</v>
      </c>
      <c r="G466" s="25">
        <v>0</v>
      </c>
      <c r="H466" s="25">
        <v>0</v>
      </c>
      <c r="I466" s="25">
        <v>0</v>
      </c>
      <c r="J466" s="25">
        <v>0</v>
      </c>
      <c r="K466" s="27">
        <v>0</v>
      </c>
      <c r="L466" s="25">
        <v>0</v>
      </c>
      <c r="M466" s="25">
        <v>0</v>
      </c>
      <c r="N466" s="27">
        <v>0</v>
      </c>
      <c r="O466" s="27">
        <v>0</v>
      </c>
      <c r="P466" s="27">
        <v>0</v>
      </c>
    </row>
    <row r="467" s="2" customFormat="1" spans="1:16">
      <c r="A467" s="15">
        <f t="shared" si="46"/>
        <v>44662</v>
      </c>
      <c r="B467" s="27">
        <v>0</v>
      </c>
      <c r="C467" s="22">
        <v>0</v>
      </c>
      <c r="D467" s="22">
        <v>0</v>
      </c>
      <c r="E467" s="25">
        <v>0</v>
      </c>
      <c r="F467" s="27">
        <v>0</v>
      </c>
      <c r="G467" s="25">
        <v>0</v>
      </c>
      <c r="H467" s="25">
        <v>0</v>
      </c>
      <c r="I467" s="25">
        <v>0</v>
      </c>
      <c r="J467" s="25">
        <v>0</v>
      </c>
      <c r="K467" s="27">
        <v>0</v>
      </c>
      <c r="L467" s="25">
        <v>0</v>
      </c>
      <c r="M467" s="25">
        <v>0</v>
      </c>
      <c r="N467" s="27">
        <v>0</v>
      </c>
      <c r="O467" s="27">
        <v>0</v>
      </c>
      <c r="P467" s="27">
        <v>0</v>
      </c>
    </row>
    <row r="468" s="2" customFormat="1" spans="1:16">
      <c r="A468" s="15">
        <f t="shared" si="46"/>
        <v>44663</v>
      </c>
      <c r="B468" s="27">
        <v>0</v>
      </c>
      <c r="C468" s="22">
        <v>0</v>
      </c>
      <c r="D468" s="22">
        <v>0</v>
      </c>
      <c r="E468" s="25">
        <v>0</v>
      </c>
      <c r="F468" s="27">
        <v>0</v>
      </c>
      <c r="G468" s="25">
        <v>0</v>
      </c>
      <c r="H468" s="25">
        <v>0</v>
      </c>
      <c r="I468" s="25">
        <v>0</v>
      </c>
      <c r="J468" s="25">
        <v>0</v>
      </c>
      <c r="K468" s="27">
        <v>0</v>
      </c>
      <c r="L468" s="25">
        <v>0</v>
      </c>
      <c r="M468" s="25">
        <v>0</v>
      </c>
      <c r="N468" s="27">
        <v>0</v>
      </c>
      <c r="O468" s="27">
        <v>0</v>
      </c>
      <c r="P468" s="27">
        <v>0</v>
      </c>
    </row>
    <row r="469" s="2" customFormat="1" spans="1:16">
      <c r="A469" s="15">
        <f t="shared" si="46"/>
        <v>44664</v>
      </c>
      <c r="B469" s="27">
        <v>0</v>
      </c>
      <c r="C469" s="22">
        <v>0</v>
      </c>
      <c r="D469" s="22">
        <v>0</v>
      </c>
      <c r="E469" s="25">
        <v>0</v>
      </c>
      <c r="F469" s="27">
        <v>0</v>
      </c>
      <c r="G469" s="25">
        <v>0</v>
      </c>
      <c r="H469" s="25">
        <v>0</v>
      </c>
      <c r="I469" s="25">
        <v>0</v>
      </c>
      <c r="J469" s="25">
        <v>0</v>
      </c>
      <c r="K469" s="27">
        <v>0</v>
      </c>
      <c r="L469" s="25">
        <v>0</v>
      </c>
      <c r="M469" s="25">
        <v>0</v>
      </c>
      <c r="N469" s="27">
        <v>0</v>
      </c>
      <c r="O469" s="27">
        <v>0</v>
      </c>
      <c r="P469" s="27">
        <v>0</v>
      </c>
    </row>
    <row r="470" s="2" customFormat="1" spans="1:16">
      <c r="A470" s="15">
        <f t="shared" si="46"/>
        <v>44665</v>
      </c>
      <c r="B470" s="27">
        <v>0</v>
      </c>
      <c r="C470" s="22">
        <v>0</v>
      </c>
      <c r="D470" s="22">
        <v>0</v>
      </c>
      <c r="E470" s="25">
        <v>0</v>
      </c>
      <c r="F470" s="27">
        <v>0</v>
      </c>
      <c r="G470" s="25">
        <v>0</v>
      </c>
      <c r="H470" s="25">
        <v>0</v>
      </c>
      <c r="I470" s="25">
        <v>0</v>
      </c>
      <c r="J470" s="25">
        <v>0</v>
      </c>
      <c r="K470" s="27">
        <v>0</v>
      </c>
      <c r="L470" s="25">
        <v>0</v>
      </c>
      <c r="M470" s="25">
        <v>0</v>
      </c>
      <c r="N470" s="27">
        <v>0</v>
      </c>
      <c r="O470" s="27">
        <v>0</v>
      </c>
      <c r="P470" s="27">
        <v>0</v>
      </c>
    </row>
    <row r="471" s="2" customFormat="1" spans="1:16">
      <c r="A471" s="15">
        <f t="shared" si="46"/>
        <v>44666</v>
      </c>
      <c r="B471" s="27">
        <v>0</v>
      </c>
      <c r="C471" s="22">
        <v>0</v>
      </c>
      <c r="D471" s="22">
        <v>0</v>
      </c>
      <c r="E471" s="25">
        <v>0</v>
      </c>
      <c r="F471" s="27">
        <v>0</v>
      </c>
      <c r="G471" s="25">
        <v>0</v>
      </c>
      <c r="H471" s="25">
        <v>0</v>
      </c>
      <c r="I471" s="25">
        <v>0</v>
      </c>
      <c r="J471" s="25">
        <v>0</v>
      </c>
      <c r="K471" s="27">
        <v>0</v>
      </c>
      <c r="L471" s="25">
        <v>0</v>
      </c>
      <c r="M471" s="25">
        <v>0</v>
      </c>
      <c r="N471" s="27">
        <v>0</v>
      </c>
      <c r="O471" s="27">
        <v>0</v>
      </c>
      <c r="P471" s="27">
        <v>0</v>
      </c>
    </row>
    <row r="472" s="2" customFormat="1" spans="1:16">
      <c r="A472" s="15">
        <f t="shared" si="46"/>
        <v>44667</v>
      </c>
      <c r="B472" s="27">
        <v>0</v>
      </c>
      <c r="C472" s="22">
        <v>0</v>
      </c>
      <c r="D472" s="22">
        <v>0</v>
      </c>
      <c r="E472" s="25">
        <v>0</v>
      </c>
      <c r="F472" s="27">
        <v>0</v>
      </c>
      <c r="G472" s="25">
        <v>0</v>
      </c>
      <c r="H472" s="25">
        <v>0</v>
      </c>
      <c r="I472" s="25">
        <v>0</v>
      </c>
      <c r="J472" s="25">
        <v>0</v>
      </c>
      <c r="K472" s="27">
        <v>0</v>
      </c>
      <c r="L472" s="25">
        <v>0</v>
      </c>
      <c r="M472" s="25">
        <v>0</v>
      </c>
      <c r="N472" s="27">
        <v>0</v>
      </c>
      <c r="O472" s="27">
        <v>0</v>
      </c>
      <c r="P472" s="27">
        <v>0</v>
      </c>
    </row>
    <row r="473" s="2" customFormat="1" spans="1:16">
      <c r="A473" s="15">
        <f t="shared" si="46"/>
        <v>44668</v>
      </c>
      <c r="B473" s="27">
        <v>0</v>
      </c>
      <c r="C473" s="22">
        <v>0</v>
      </c>
      <c r="D473" s="22">
        <v>0</v>
      </c>
      <c r="E473" s="25">
        <v>0</v>
      </c>
      <c r="F473" s="27">
        <v>0</v>
      </c>
      <c r="G473" s="25">
        <v>0</v>
      </c>
      <c r="H473" s="25">
        <v>0</v>
      </c>
      <c r="I473" s="25">
        <v>0</v>
      </c>
      <c r="J473" s="25">
        <v>0</v>
      </c>
      <c r="K473" s="27">
        <v>0</v>
      </c>
      <c r="L473" s="25">
        <v>0</v>
      </c>
      <c r="M473" s="25">
        <v>0</v>
      </c>
      <c r="N473" s="27">
        <v>0</v>
      </c>
      <c r="O473" s="27">
        <v>0</v>
      </c>
      <c r="P473" s="27">
        <v>0</v>
      </c>
    </row>
    <row r="474" s="2" customFormat="1" spans="1:16">
      <c r="A474" s="15">
        <f t="shared" si="46"/>
        <v>44669</v>
      </c>
      <c r="B474" s="27">
        <v>0</v>
      </c>
      <c r="C474" s="22">
        <v>0</v>
      </c>
      <c r="D474" s="22">
        <v>0</v>
      </c>
      <c r="E474" s="25">
        <v>0</v>
      </c>
      <c r="F474" s="27">
        <v>0</v>
      </c>
      <c r="G474" s="25">
        <v>0</v>
      </c>
      <c r="H474" s="25">
        <v>0</v>
      </c>
      <c r="I474" s="25">
        <v>0</v>
      </c>
      <c r="J474" s="25">
        <v>0</v>
      </c>
      <c r="K474" s="27">
        <v>0</v>
      </c>
      <c r="L474" s="25">
        <v>0</v>
      </c>
      <c r="M474" s="25">
        <v>0</v>
      </c>
      <c r="N474" s="27">
        <v>0</v>
      </c>
      <c r="O474" s="27">
        <v>0</v>
      </c>
      <c r="P474" s="27">
        <v>0</v>
      </c>
    </row>
    <row r="475" s="2" customFormat="1" spans="1:16">
      <c r="A475" s="15">
        <f t="shared" si="46"/>
        <v>44670</v>
      </c>
      <c r="B475" s="27">
        <v>0</v>
      </c>
      <c r="C475" s="22">
        <v>0</v>
      </c>
      <c r="D475" s="22">
        <v>0</v>
      </c>
      <c r="E475" s="25">
        <v>0</v>
      </c>
      <c r="F475" s="27">
        <v>0</v>
      </c>
      <c r="G475" s="25">
        <v>0</v>
      </c>
      <c r="H475" s="25">
        <v>0</v>
      </c>
      <c r="I475" s="25">
        <v>0</v>
      </c>
      <c r="J475" s="25">
        <v>0</v>
      </c>
      <c r="K475" s="27">
        <v>0</v>
      </c>
      <c r="L475" s="25">
        <v>0</v>
      </c>
      <c r="M475" s="25">
        <v>0</v>
      </c>
      <c r="N475" s="27">
        <v>0</v>
      </c>
      <c r="O475" s="27">
        <v>0</v>
      </c>
      <c r="P475" s="27">
        <v>0</v>
      </c>
    </row>
    <row r="476" s="2" customFormat="1" spans="1:16">
      <c r="A476" s="15">
        <f t="shared" si="46"/>
        <v>44671</v>
      </c>
      <c r="B476" s="27">
        <v>0</v>
      </c>
      <c r="C476" s="22">
        <v>0</v>
      </c>
      <c r="D476" s="22">
        <v>0</v>
      </c>
      <c r="E476" s="25">
        <v>0</v>
      </c>
      <c r="F476" s="27">
        <v>0</v>
      </c>
      <c r="G476" s="25">
        <v>0</v>
      </c>
      <c r="H476" s="25">
        <v>0</v>
      </c>
      <c r="I476" s="25">
        <v>0</v>
      </c>
      <c r="J476" s="25">
        <v>0</v>
      </c>
      <c r="K476" s="27">
        <v>0</v>
      </c>
      <c r="L476" s="25">
        <v>0</v>
      </c>
      <c r="M476" s="25">
        <v>0</v>
      </c>
      <c r="N476" s="27">
        <v>0</v>
      </c>
      <c r="O476" s="27">
        <v>0</v>
      </c>
      <c r="P476" s="27">
        <v>0</v>
      </c>
    </row>
    <row r="477" s="2" customFormat="1" spans="1:16">
      <c r="A477" s="15">
        <f t="shared" si="46"/>
        <v>44672</v>
      </c>
      <c r="B477" s="27">
        <v>0</v>
      </c>
      <c r="C477" s="22">
        <v>0</v>
      </c>
      <c r="D477" s="22">
        <v>0</v>
      </c>
      <c r="E477" s="25">
        <v>0</v>
      </c>
      <c r="F477" s="27">
        <v>0</v>
      </c>
      <c r="G477" s="25">
        <v>0</v>
      </c>
      <c r="H477" s="25">
        <v>0</v>
      </c>
      <c r="I477" s="25">
        <v>0</v>
      </c>
      <c r="J477" s="25">
        <v>0</v>
      </c>
      <c r="K477" s="27">
        <v>0</v>
      </c>
      <c r="L477" s="25">
        <v>0</v>
      </c>
      <c r="M477" s="25">
        <v>0</v>
      </c>
      <c r="N477" s="27">
        <v>0</v>
      </c>
      <c r="O477" s="27">
        <v>0</v>
      </c>
      <c r="P477" s="27">
        <v>0</v>
      </c>
    </row>
    <row r="478" s="2" customFormat="1" spans="1:16">
      <c r="A478" s="15">
        <f t="shared" si="46"/>
        <v>44673</v>
      </c>
      <c r="B478" s="27">
        <v>0</v>
      </c>
      <c r="C478" s="22">
        <v>0</v>
      </c>
      <c r="D478" s="22">
        <v>0</v>
      </c>
      <c r="E478" s="25">
        <v>0</v>
      </c>
      <c r="F478" s="27">
        <v>0</v>
      </c>
      <c r="G478" s="25">
        <v>0</v>
      </c>
      <c r="H478" s="25">
        <v>0</v>
      </c>
      <c r="I478" s="25">
        <v>0</v>
      </c>
      <c r="J478" s="25">
        <v>0</v>
      </c>
      <c r="K478" s="27">
        <v>0</v>
      </c>
      <c r="L478" s="25">
        <v>0</v>
      </c>
      <c r="M478" s="25">
        <v>0</v>
      </c>
      <c r="N478" s="27">
        <v>0</v>
      </c>
      <c r="O478" s="27">
        <v>0</v>
      </c>
      <c r="P478" s="27">
        <v>0</v>
      </c>
    </row>
    <row r="479" s="2" customFormat="1" spans="1:16">
      <c r="A479" s="15">
        <f t="shared" si="46"/>
        <v>44674</v>
      </c>
      <c r="B479" s="27">
        <v>0</v>
      </c>
      <c r="C479" s="22">
        <v>0</v>
      </c>
      <c r="D479" s="22">
        <v>0</v>
      </c>
      <c r="E479" s="25">
        <v>0</v>
      </c>
      <c r="F479" s="27">
        <v>0</v>
      </c>
      <c r="G479" s="25">
        <v>0</v>
      </c>
      <c r="H479" s="25">
        <v>0</v>
      </c>
      <c r="I479" s="25">
        <v>0</v>
      </c>
      <c r="J479" s="25">
        <v>0</v>
      </c>
      <c r="K479" s="27">
        <v>0</v>
      </c>
      <c r="L479" s="25">
        <v>0</v>
      </c>
      <c r="M479" s="25">
        <v>0</v>
      </c>
      <c r="N479" s="27">
        <v>0</v>
      </c>
      <c r="O479" s="27">
        <v>0</v>
      </c>
      <c r="P479" s="27">
        <v>0</v>
      </c>
    </row>
    <row r="480" s="2" customFormat="1" spans="1:16">
      <c r="A480" s="15">
        <f t="shared" si="46"/>
        <v>44675</v>
      </c>
      <c r="B480" s="27">
        <v>0</v>
      </c>
      <c r="C480" s="22">
        <v>0</v>
      </c>
      <c r="D480" s="22">
        <v>0</v>
      </c>
      <c r="E480" s="25">
        <v>0</v>
      </c>
      <c r="F480" s="27">
        <v>0</v>
      </c>
      <c r="G480" s="25">
        <v>0</v>
      </c>
      <c r="H480" s="25">
        <v>0</v>
      </c>
      <c r="I480" s="25">
        <v>0</v>
      </c>
      <c r="J480" s="25">
        <v>0</v>
      </c>
      <c r="K480" s="27">
        <v>0</v>
      </c>
      <c r="L480" s="25">
        <v>0</v>
      </c>
      <c r="M480" s="25">
        <v>0</v>
      </c>
      <c r="N480" s="27">
        <v>0</v>
      </c>
      <c r="O480" s="27">
        <v>0</v>
      </c>
      <c r="P480" s="27">
        <v>0</v>
      </c>
    </row>
    <row r="481" s="2" customFormat="1" spans="1:16">
      <c r="A481" s="15">
        <f t="shared" ref="A481:A513" si="49">A480+1</f>
        <v>44676</v>
      </c>
      <c r="B481" s="27">
        <v>0</v>
      </c>
      <c r="C481" s="22">
        <v>0</v>
      </c>
      <c r="D481" s="22">
        <v>0</v>
      </c>
      <c r="E481" s="25">
        <v>0</v>
      </c>
      <c r="F481" s="27">
        <v>0</v>
      </c>
      <c r="G481" s="25">
        <v>0</v>
      </c>
      <c r="H481" s="25">
        <v>0</v>
      </c>
      <c r="I481" s="25">
        <v>0</v>
      </c>
      <c r="J481" s="25">
        <v>0</v>
      </c>
      <c r="K481" s="27">
        <v>0</v>
      </c>
      <c r="L481" s="25">
        <v>0</v>
      </c>
      <c r="M481" s="25">
        <v>0</v>
      </c>
      <c r="N481" s="27">
        <v>0</v>
      </c>
      <c r="O481" s="27">
        <v>0</v>
      </c>
      <c r="P481" s="27">
        <v>0</v>
      </c>
    </row>
    <row r="482" s="2" customFormat="1" spans="1:16">
      <c r="A482" s="15">
        <f t="shared" si="49"/>
        <v>44677</v>
      </c>
      <c r="B482" s="27">
        <v>0</v>
      </c>
      <c r="C482" s="22">
        <v>0</v>
      </c>
      <c r="D482" s="22">
        <v>0</v>
      </c>
      <c r="E482" s="25">
        <v>0</v>
      </c>
      <c r="F482" s="27">
        <v>0</v>
      </c>
      <c r="G482" s="25">
        <v>0</v>
      </c>
      <c r="H482" s="25">
        <v>0</v>
      </c>
      <c r="I482" s="25">
        <v>0</v>
      </c>
      <c r="J482" s="25">
        <v>0</v>
      </c>
      <c r="K482" s="27">
        <v>0</v>
      </c>
      <c r="L482" s="25">
        <v>0</v>
      </c>
      <c r="M482" s="25">
        <v>0</v>
      </c>
      <c r="N482" s="27">
        <v>0</v>
      </c>
      <c r="O482" s="27">
        <v>0</v>
      </c>
      <c r="P482" s="27">
        <v>0</v>
      </c>
    </row>
    <row r="483" s="2" customFormat="1" spans="1:16">
      <c r="A483" s="15">
        <f t="shared" si="49"/>
        <v>44678</v>
      </c>
      <c r="B483" s="27">
        <v>0</v>
      </c>
      <c r="C483" s="22">
        <v>0</v>
      </c>
      <c r="D483" s="22">
        <v>0</v>
      </c>
      <c r="E483" s="25">
        <v>0</v>
      </c>
      <c r="F483" s="27">
        <v>0</v>
      </c>
      <c r="G483" s="25">
        <v>0</v>
      </c>
      <c r="H483" s="25">
        <v>0</v>
      </c>
      <c r="I483" s="25">
        <v>0</v>
      </c>
      <c r="J483" s="25">
        <v>0</v>
      </c>
      <c r="K483" s="27">
        <v>0</v>
      </c>
      <c r="L483" s="25">
        <v>0</v>
      </c>
      <c r="M483" s="25">
        <v>0</v>
      </c>
      <c r="N483" s="27">
        <v>0</v>
      </c>
      <c r="O483" s="27">
        <v>0</v>
      </c>
      <c r="P483" s="27">
        <v>0</v>
      </c>
    </row>
    <row r="484" s="2" customFormat="1" spans="1:16">
      <c r="A484" s="15">
        <f t="shared" si="49"/>
        <v>44679</v>
      </c>
      <c r="B484" s="27">
        <v>0</v>
      </c>
      <c r="C484" s="22">
        <v>0</v>
      </c>
      <c r="D484" s="22">
        <v>0</v>
      </c>
      <c r="E484" s="25">
        <v>0</v>
      </c>
      <c r="F484" s="27">
        <v>0</v>
      </c>
      <c r="G484" s="25">
        <v>0</v>
      </c>
      <c r="H484" s="25">
        <v>0</v>
      </c>
      <c r="I484" s="25">
        <v>0</v>
      </c>
      <c r="J484" s="25">
        <v>0</v>
      </c>
      <c r="K484" s="27">
        <v>0</v>
      </c>
      <c r="L484" s="25">
        <v>0</v>
      </c>
      <c r="M484" s="25">
        <v>0</v>
      </c>
      <c r="N484" s="27">
        <v>0</v>
      </c>
      <c r="O484" s="27">
        <v>0</v>
      </c>
      <c r="P484" s="27">
        <v>0</v>
      </c>
    </row>
    <row r="485" s="2" customFormat="1" spans="1:16">
      <c r="A485" s="15">
        <f t="shared" si="49"/>
        <v>44680</v>
      </c>
      <c r="B485" s="27">
        <v>0</v>
      </c>
      <c r="C485" s="22">
        <v>0</v>
      </c>
      <c r="D485" s="22">
        <v>0</v>
      </c>
      <c r="E485" s="25">
        <v>0</v>
      </c>
      <c r="F485" s="27">
        <v>0</v>
      </c>
      <c r="G485" s="25">
        <v>0</v>
      </c>
      <c r="H485" s="25">
        <v>0</v>
      </c>
      <c r="I485" s="25">
        <v>0</v>
      </c>
      <c r="J485" s="25">
        <v>0</v>
      </c>
      <c r="K485" s="27">
        <v>0</v>
      </c>
      <c r="L485" s="25">
        <v>0</v>
      </c>
      <c r="M485" s="25">
        <v>0</v>
      </c>
      <c r="N485" s="27">
        <v>0</v>
      </c>
      <c r="O485" s="27">
        <v>0</v>
      </c>
      <c r="P485" s="27">
        <v>0</v>
      </c>
    </row>
    <row r="486" s="2" customFormat="1" spans="1:16">
      <c r="A486" s="15">
        <f t="shared" si="49"/>
        <v>44681</v>
      </c>
      <c r="B486" s="27">
        <v>0</v>
      </c>
      <c r="C486" s="22">
        <v>0</v>
      </c>
      <c r="D486" s="22">
        <v>0</v>
      </c>
      <c r="E486" s="25">
        <v>0</v>
      </c>
      <c r="F486" s="27">
        <v>0</v>
      </c>
      <c r="G486" s="25">
        <v>0</v>
      </c>
      <c r="H486" s="25">
        <v>0</v>
      </c>
      <c r="I486" s="25">
        <v>0</v>
      </c>
      <c r="J486" s="25">
        <v>0</v>
      </c>
      <c r="K486" s="27">
        <v>0</v>
      </c>
      <c r="L486" s="25">
        <v>0</v>
      </c>
      <c r="M486" s="25">
        <v>0</v>
      </c>
      <c r="N486" s="27">
        <v>0</v>
      </c>
      <c r="O486" s="27">
        <v>0</v>
      </c>
      <c r="P486" s="27">
        <v>0</v>
      </c>
    </row>
    <row r="487" s="2" customFormat="1" spans="1:16">
      <c r="A487" s="15">
        <f t="shared" si="49"/>
        <v>44682</v>
      </c>
      <c r="B487" s="27">
        <v>0</v>
      </c>
      <c r="C487" s="22">
        <v>0</v>
      </c>
      <c r="D487" s="22">
        <v>0</v>
      </c>
      <c r="E487" s="25">
        <v>0</v>
      </c>
      <c r="F487" s="27">
        <v>0</v>
      </c>
      <c r="G487" s="25">
        <v>0</v>
      </c>
      <c r="H487" s="25">
        <v>0</v>
      </c>
      <c r="I487" s="25">
        <v>0</v>
      </c>
      <c r="J487" s="25">
        <v>0</v>
      </c>
      <c r="K487" s="27">
        <v>0</v>
      </c>
      <c r="L487" s="25">
        <v>0</v>
      </c>
      <c r="M487" s="25">
        <v>0</v>
      </c>
      <c r="N487" s="27">
        <v>0</v>
      </c>
      <c r="O487" s="27">
        <v>0</v>
      </c>
      <c r="P487" s="27">
        <v>0</v>
      </c>
    </row>
    <row r="488" s="2" customFormat="1" spans="1:16">
      <c r="A488" s="15">
        <f t="shared" si="49"/>
        <v>44683</v>
      </c>
      <c r="B488" s="27">
        <v>0</v>
      </c>
      <c r="C488" s="22">
        <v>0</v>
      </c>
      <c r="D488" s="22">
        <v>0</v>
      </c>
      <c r="E488" s="25">
        <v>0</v>
      </c>
      <c r="F488" s="27">
        <v>0</v>
      </c>
      <c r="G488" s="25">
        <v>0</v>
      </c>
      <c r="H488" s="25">
        <v>0</v>
      </c>
      <c r="I488" s="25">
        <v>0</v>
      </c>
      <c r="J488" s="25">
        <v>0</v>
      </c>
      <c r="K488" s="27">
        <v>0</v>
      </c>
      <c r="L488" s="25">
        <v>0</v>
      </c>
      <c r="M488" s="25">
        <v>0</v>
      </c>
      <c r="N488" s="27">
        <v>0</v>
      </c>
      <c r="O488" s="27">
        <v>0</v>
      </c>
      <c r="P488" s="27">
        <v>0</v>
      </c>
    </row>
    <row r="489" s="2" customFormat="1" spans="1:16">
      <c r="A489" s="15">
        <f t="shared" si="49"/>
        <v>44684</v>
      </c>
      <c r="B489" s="27">
        <v>0</v>
      </c>
      <c r="C489" s="22">
        <v>0</v>
      </c>
      <c r="D489" s="22">
        <v>0</v>
      </c>
      <c r="E489" s="25">
        <v>0</v>
      </c>
      <c r="F489" s="27">
        <v>0</v>
      </c>
      <c r="G489" s="25">
        <v>0</v>
      </c>
      <c r="H489" s="25">
        <v>0</v>
      </c>
      <c r="I489" s="25">
        <v>0</v>
      </c>
      <c r="J489" s="25">
        <v>0</v>
      </c>
      <c r="K489" s="27">
        <v>0</v>
      </c>
      <c r="L489" s="25">
        <v>0</v>
      </c>
      <c r="M489" s="25">
        <v>0</v>
      </c>
      <c r="N489" s="27">
        <v>0</v>
      </c>
      <c r="O489" s="27">
        <v>0</v>
      </c>
      <c r="P489" s="27">
        <v>0</v>
      </c>
    </row>
    <row r="490" s="2" customFormat="1" spans="1:16">
      <c r="A490" s="15">
        <f t="shared" si="49"/>
        <v>44685</v>
      </c>
      <c r="B490" s="27">
        <v>0</v>
      </c>
      <c r="C490" s="22">
        <v>0</v>
      </c>
      <c r="D490" s="22">
        <v>0</v>
      </c>
      <c r="E490" s="25">
        <v>0</v>
      </c>
      <c r="F490" s="27">
        <v>0</v>
      </c>
      <c r="G490" s="25">
        <v>0</v>
      </c>
      <c r="H490" s="25">
        <v>0</v>
      </c>
      <c r="I490" s="25">
        <v>0</v>
      </c>
      <c r="J490" s="25">
        <v>0</v>
      </c>
      <c r="K490" s="27">
        <v>0</v>
      </c>
      <c r="L490" s="25">
        <v>0</v>
      </c>
      <c r="M490" s="25">
        <v>0</v>
      </c>
      <c r="N490" s="27">
        <v>0</v>
      </c>
      <c r="O490" s="27">
        <v>0</v>
      </c>
      <c r="P490" s="27">
        <v>0</v>
      </c>
    </row>
    <row r="491" s="2" customFormat="1" spans="1:16">
      <c r="A491" s="15">
        <f t="shared" si="49"/>
        <v>44686</v>
      </c>
      <c r="B491" s="27">
        <v>0</v>
      </c>
      <c r="C491" s="22">
        <v>0</v>
      </c>
      <c r="D491" s="22">
        <v>0</v>
      </c>
      <c r="E491" s="25">
        <v>0</v>
      </c>
      <c r="F491" s="27">
        <v>0</v>
      </c>
      <c r="G491" s="25">
        <v>0</v>
      </c>
      <c r="H491" s="25">
        <v>0</v>
      </c>
      <c r="I491" s="25">
        <v>0</v>
      </c>
      <c r="J491" s="25">
        <v>0</v>
      </c>
      <c r="K491" s="27">
        <v>0</v>
      </c>
      <c r="L491" s="25">
        <v>0</v>
      </c>
      <c r="M491" s="25">
        <v>0</v>
      </c>
      <c r="N491" s="27">
        <v>0</v>
      </c>
      <c r="O491" s="27">
        <v>0</v>
      </c>
      <c r="P491" s="27">
        <v>0</v>
      </c>
    </row>
    <row r="492" s="2" customFormat="1" spans="1:16">
      <c r="A492" s="15">
        <f t="shared" si="49"/>
        <v>44687</v>
      </c>
      <c r="B492" s="27">
        <v>0</v>
      </c>
      <c r="C492" s="22">
        <v>0</v>
      </c>
      <c r="D492" s="22">
        <v>0</v>
      </c>
      <c r="E492" s="25">
        <v>0</v>
      </c>
      <c r="F492" s="27">
        <v>0</v>
      </c>
      <c r="G492" s="25">
        <v>0</v>
      </c>
      <c r="H492" s="25">
        <v>0</v>
      </c>
      <c r="I492" s="25">
        <v>0</v>
      </c>
      <c r="J492" s="25">
        <v>0</v>
      </c>
      <c r="K492" s="27">
        <v>0</v>
      </c>
      <c r="L492" s="25">
        <v>0</v>
      </c>
      <c r="M492" s="25">
        <v>0</v>
      </c>
      <c r="N492" s="27">
        <v>0</v>
      </c>
      <c r="O492" s="27">
        <v>0</v>
      </c>
      <c r="P492" s="27">
        <v>0</v>
      </c>
    </row>
    <row r="493" s="2" customFormat="1" spans="1:16">
      <c r="A493" s="15">
        <f t="shared" si="49"/>
        <v>44688</v>
      </c>
      <c r="B493" s="27">
        <v>0</v>
      </c>
      <c r="C493" s="22">
        <v>0</v>
      </c>
      <c r="D493" s="22">
        <v>0</v>
      </c>
      <c r="E493" s="25">
        <v>0</v>
      </c>
      <c r="F493" s="27">
        <v>0</v>
      </c>
      <c r="G493" s="25">
        <v>0</v>
      </c>
      <c r="H493" s="25">
        <v>0</v>
      </c>
      <c r="I493" s="25">
        <v>0</v>
      </c>
      <c r="J493" s="25">
        <v>0</v>
      </c>
      <c r="K493" s="27">
        <v>0</v>
      </c>
      <c r="L493" s="25">
        <v>0</v>
      </c>
      <c r="M493" s="25">
        <v>0</v>
      </c>
      <c r="N493" s="27">
        <v>0</v>
      </c>
      <c r="O493" s="27">
        <v>0</v>
      </c>
      <c r="P493" s="27">
        <v>0</v>
      </c>
    </row>
    <row r="494" s="2" customFormat="1" spans="1:16">
      <c r="A494" s="15">
        <f t="shared" si="49"/>
        <v>44689</v>
      </c>
      <c r="B494" s="27">
        <v>0</v>
      </c>
      <c r="C494" s="22">
        <v>0</v>
      </c>
      <c r="D494" s="22">
        <v>0</v>
      </c>
      <c r="E494" s="25">
        <v>0</v>
      </c>
      <c r="F494" s="27">
        <v>0</v>
      </c>
      <c r="G494" s="25">
        <v>0</v>
      </c>
      <c r="H494" s="25">
        <v>0</v>
      </c>
      <c r="I494" s="25">
        <v>0</v>
      </c>
      <c r="J494" s="25">
        <v>0</v>
      </c>
      <c r="K494" s="27">
        <v>0</v>
      </c>
      <c r="L494" s="25">
        <v>0</v>
      </c>
      <c r="M494" s="25">
        <v>0</v>
      </c>
      <c r="N494" s="27">
        <v>0</v>
      </c>
      <c r="O494" s="27">
        <v>0</v>
      </c>
      <c r="P494" s="27">
        <v>0</v>
      </c>
    </row>
    <row r="495" s="2" customFormat="1" spans="1:16">
      <c r="A495" s="15">
        <f t="shared" si="49"/>
        <v>44690</v>
      </c>
      <c r="B495" s="27">
        <v>0</v>
      </c>
      <c r="C495" s="22">
        <v>0</v>
      </c>
      <c r="D495" s="22">
        <v>0</v>
      </c>
      <c r="E495" s="25">
        <v>0</v>
      </c>
      <c r="F495" s="27">
        <v>0</v>
      </c>
      <c r="G495" s="25">
        <v>0</v>
      </c>
      <c r="H495" s="25">
        <v>0</v>
      </c>
      <c r="I495" s="25">
        <v>0</v>
      </c>
      <c r="J495" s="25">
        <v>0</v>
      </c>
      <c r="K495" s="27">
        <v>0</v>
      </c>
      <c r="L495" s="25">
        <v>0</v>
      </c>
      <c r="M495" s="25">
        <v>0</v>
      </c>
      <c r="N495" s="27">
        <v>0</v>
      </c>
      <c r="O495" s="27">
        <v>0</v>
      </c>
      <c r="P495" s="27">
        <v>0</v>
      </c>
    </row>
    <row r="496" s="2" customFormat="1" spans="1:16">
      <c r="A496" s="15">
        <f t="shared" si="49"/>
        <v>44691</v>
      </c>
      <c r="B496" s="27">
        <v>0</v>
      </c>
      <c r="C496" s="22">
        <v>0</v>
      </c>
      <c r="D496" s="22">
        <v>0</v>
      </c>
      <c r="E496" s="25">
        <v>0</v>
      </c>
      <c r="F496" s="27">
        <v>0</v>
      </c>
      <c r="G496" s="25">
        <v>0</v>
      </c>
      <c r="H496" s="25">
        <v>0</v>
      </c>
      <c r="I496" s="25">
        <v>0</v>
      </c>
      <c r="J496" s="25">
        <v>0</v>
      </c>
      <c r="K496" s="27">
        <v>0</v>
      </c>
      <c r="L496" s="25">
        <v>0</v>
      </c>
      <c r="M496" s="25">
        <v>0</v>
      </c>
      <c r="N496" s="27">
        <v>0</v>
      </c>
      <c r="O496" s="27">
        <v>0</v>
      </c>
      <c r="P496" s="27">
        <v>0</v>
      </c>
    </row>
    <row r="497" s="2" customFormat="1" spans="1:16">
      <c r="A497" s="15">
        <f t="shared" si="49"/>
        <v>44692</v>
      </c>
      <c r="B497" s="27">
        <v>0</v>
      </c>
      <c r="C497" s="22">
        <v>0</v>
      </c>
      <c r="D497" s="22">
        <v>0</v>
      </c>
      <c r="E497" s="25">
        <v>0</v>
      </c>
      <c r="F497" s="27">
        <v>0</v>
      </c>
      <c r="G497" s="25">
        <v>0</v>
      </c>
      <c r="H497" s="25">
        <v>0</v>
      </c>
      <c r="I497" s="25">
        <v>0</v>
      </c>
      <c r="J497" s="25">
        <v>0</v>
      </c>
      <c r="K497" s="27">
        <v>0</v>
      </c>
      <c r="L497" s="25">
        <v>0</v>
      </c>
      <c r="M497" s="25">
        <v>0</v>
      </c>
      <c r="N497" s="27">
        <v>0</v>
      </c>
      <c r="O497" s="27">
        <v>0</v>
      </c>
      <c r="P497" s="27">
        <v>0</v>
      </c>
    </row>
    <row r="498" s="2" customFormat="1" spans="1:16">
      <c r="A498" s="15">
        <f t="shared" si="49"/>
        <v>44693</v>
      </c>
      <c r="B498" s="27">
        <v>0</v>
      </c>
      <c r="C498" s="22">
        <v>0</v>
      </c>
      <c r="D498" s="22">
        <v>0</v>
      </c>
      <c r="E498" s="25">
        <v>0</v>
      </c>
      <c r="F498" s="27">
        <v>0</v>
      </c>
      <c r="G498" s="25">
        <v>0</v>
      </c>
      <c r="H498" s="25">
        <v>0</v>
      </c>
      <c r="I498" s="25">
        <v>0</v>
      </c>
      <c r="J498" s="25">
        <v>0</v>
      </c>
      <c r="K498" s="27">
        <v>0</v>
      </c>
      <c r="L498" s="25">
        <v>0</v>
      </c>
      <c r="M498" s="25">
        <v>0</v>
      </c>
      <c r="N498" s="27">
        <v>0</v>
      </c>
      <c r="O498" s="27">
        <v>0</v>
      </c>
      <c r="P498" s="27">
        <v>0</v>
      </c>
    </row>
    <row r="499" s="2" customFormat="1" spans="1:16">
      <c r="A499" s="15">
        <f t="shared" si="49"/>
        <v>44694</v>
      </c>
      <c r="B499" s="27">
        <v>0</v>
      </c>
      <c r="C499" s="22">
        <v>0</v>
      </c>
      <c r="D499" s="22">
        <v>0</v>
      </c>
      <c r="E499" s="25">
        <v>0</v>
      </c>
      <c r="F499" s="27">
        <v>0</v>
      </c>
      <c r="G499" s="25">
        <v>0</v>
      </c>
      <c r="H499" s="25">
        <v>0</v>
      </c>
      <c r="I499" s="25">
        <v>0</v>
      </c>
      <c r="J499" s="25">
        <v>0</v>
      </c>
      <c r="K499" s="27">
        <v>0</v>
      </c>
      <c r="L499" s="25">
        <v>0</v>
      </c>
      <c r="M499" s="25">
        <v>0</v>
      </c>
      <c r="N499" s="27">
        <v>0</v>
      </c>
      <c r="O499" s="27">
        <v>0</v>
      </c>
      <c r="P499" s="27">
        <v>0</v>
      </c>
    </row>
    <row r="500" s="2" customFormat="1" spans="1:16">
      <c r="A500" s="15">
        <f t="shared" si="49"/>
        <v>44695</v>
      </c>
      <c r="B500" s="27">
        <v>0</v>
      </c>
      <c r="C500" s="22">
        <v>0</v>
      </c>
      <c r="D500" s="22">
        <v>0</v>
      </c>
      <c r="E500" s="25">
        <v>0</v>
      </c>
      <c r="F500" s="27">
        <v>0</v>
      </c>
      <c r="G500" s="25">
        <v>0</v>
      </c>
      <c r="H500" s="25">
        <v>0</v>
      </c>
      <c r="I500" s="25">
        <v>0</v>
      </c>
      <c r="J500" s="25">
        <v>0</v>
      </c>
      <c r="K500" s="27">
        <v>0</v>
      </c>
      <c r="L500" s="25">
        <v>0</v>
      </c>
      <c r="M500" s="25">
        <v>0</v>
      </c>
      <c r="N500" s="27">
        <v>0</v>
      </c>
      <c r="O500" s="27">
        <v>0</v>
      </c>
      <c r="P500" s="27">
        <v>0</v>
      </c>
    </row>
    <row r="501" s="2" customFormat="1" spans="1:16">
      <c r="A501" s="15">
        <f t="shared" si="49"/>
        <v>44696</v>
      </c>
      <c r="B501" s="27">
        <v>0</v>
      </c>
      <c r="C501" s="22">
        <v>0</v>
      </c>
      <c r="D501" s="22">
        <v>0</v>
      </c>
      <c r="E501" s="25">
        <v>0</v>
      </c>
      <c r="F501" s="27">
        <v>0</v>
      </c>
      <c r="G501" s="25">
        <v>0</v>
      </c>
      <c r="H501" s="25">
        <v>0</v>
      </c>
      <c r="I501" s="25">
        <v>0</v>
      </c>
      <c r="J501" s="25">
        <v>0</v>
      </c>
      <c r="K501" s="27">
        <v>0</v>
      </c>
      <c r="L501" s="25">
        <v>0</v>
      </c>
      <c r="M501" s="25">
        <v>0</v>
      </c>
      <c r="N501" s="27">
        <v>0</v>
      </c>
      <c r="O501" s="27">
        <v>0</v>
      </c>
      <c r="P501" s="27">
        <v>0</v>
      </c>
    </row>
    <row r="502" s="2" customFormat="1" spans="1:16">
      <c r="A502" s="15">
        <f t="shared" si="49"/>
        <v>44697</v>
      </c>
      <c r="B502" s="27">
        <v>0</v>
      </c>
      <c r="C502" s="22">
        <v>0</v>
      </c>
      <c r="D502" s="22">
        <v>0</v>
      </c>
      <c r="E502" s="25">
        <v>0</v>
      </c>
      <c r="F502" s="27">
        <v>0</v>
      </c>
      <c r="G502" s="25">
        <v>0</v>
      </c>
      <c r="H502" s="25">
        <v>0</v>
      </c>
      <c r="I502" s="25">
        <v>0</v>
      </c>
      <c r="J502" s="25">
        <v>0</v>
      </c>
      <c r="K502" s="27">
        <v>0</v>
      </c>
      <c r="L502" s="25">
        <v>0</v>
      </c>
      <c r="M502" s="25">
        <v>0</v>
      </c>
      <c r="N502" s="27">
        <v>0</v>
      </c>
      <c r="O502" s="27">
        <v>0</v>
      </c>
      <c r="P502" s="27">
        <v>0</v>
      </c>
    </row>
    <row r="503" s="2" customFormat="1" spans="1:16">
      <c r="A503" s="15">
        <f t="shared" si="49"/>
        <v>44698</v>
      </c>
      <c r="B503" s="27">
        <v>0</v>
      </c>
      <c r="C503" s="22">
        <v>0</v>
      </c>
      <c r="D503" s="22">
        <v>0</v>
      </c>
      <c r="E503" s="25">
        <v>0</v>
      </c>
      <c r="F503" s="27">
        <v>0</v>
      </c>
      <c r="G503" s="25">
        <v>0</v>
      </c>
      <c r="H503" s="25">
        <v>0</v>
      </c>
      <c r="I503" s="25">
        <v>0</v>
      </c>
      <c r="J503" s="25">
        <v>0</v>
      </c>
      <c r="K503" s="27">
        <v>0</v>
      </c>
      <c r="L503" s="25">
        <v>0</v>
      </c>
      <c r="M503" s="25">
        <v>0</v>
      </c>
      <c r="N503" s="27">
        <v>0</v>
      </c>
      <c r="O503" s="27">
        <v>0</v>
      </c>
      <c r="P503" s="27">
        <v>0</v>
      </c>
    </row>
    <row r="504" s="2" customFormat="1" spans="1:16">
      <c r="A504" s="15">
        <f t="shared" si="49"/>
        <v>44699</v>
      </c>
      <c r="B504" s="27">
        <v>0</v>
      </c>
      <c r="C504" s="22">
        <v>0</v>
      </c>
      <c r="D504" s="22">
        <v>0</v>
      </c>
      <c r="E504" s="25">
        <v>0</v>
      </c>
      <c r="F504" s="27">
        <v>0</v>
      </c>
      <c r="G504" s="25">
        <v>0</v>
      </c>
      <c r="H504" s="25">
        <v>0</v>
      </c>
      <c r="I504" s="25">
        <v>0</v>
      </c>
      <c r="J504" s="25">
        <v>0</v>
      </c>
      <c r="K504" s="27">
        <v>0</v>
      </c>
      <c r="L504" s="25">
        <v>0</v>
      </c>
      <c r="M504" s="25">
        <v>0</v>
      </c>
      <c r="N504" s="27">
        <v>0</v>
      </c>
      <c r="O504" s="27">
        <v>0</v>
      </c>
      <c r="P504" s="27">
        <v>0</v>
      </c>
    </row>
    <row r="505" s="2" customFormat="1" spans="1:16">
      <c r="A505" s="15">
        <f t="shared" si="49"/>
        <v>44700</v>
      </c>
      <c r="B505" s="27">
        <v>0</v>
      </c>
      <c r="C505" s="22">
        <v>0</v>
      </c>
      <c r="D505" s="22">
        <v>0</v>
      </c>
      <c r="E505" s="25">
        <v>0</v>
      </c>
      <c r="F505" s="27">
        <v>0</v>
      </c>
      <c r="G505" s="25">
        <v>0</v>
      </c>
      <c r="H505" s="25">
        <v>0</v>
      </c>
      <c r="I505" s="25">
        <v>0</v>
      </c>
      <c r="J505" s="25">
        <v>0</v>
      </c>
      <c r="K505" s="27">
        <v>0</v>
      </c>
      <c r="L505" s="25">
        <v>0</v>
      </c>
      <c r="M505" s="25">
        <v>0</v>
      </c>
      <c r="N505" s="27">
        <v>0</v>
      </c>
      <c r="O505" s="27">
        <v>0</v>
      </c>
      <c r="P505" s="27">
        <v>0</v>
      </c>
    </row>
    <row r="506" s="2" customFormat="1" spans="1:16">
      <c r="A506" s="15">
        <f t="shared" si="49"/>
        <v>44701</v>
      </c>
      <c r="B506" s="27">
        <v>0</v>
      </c>
      <c r="C506" s="22">
        <v>0</v>
      </c>
      <c r="D506" s="22">
        <v>0</v>
      </c>
      <c r="E506" s="25">
        <v>0</v>
      </c>
      <c r="F506" s="27">
        <v>0</v>
      </c>
      <c r="G506" s="25">
        <v>0</v>
      </c>
      <c r="H506" s="25">
        <v>0</v>
      </c>
      <c r="I506" s="25">
        <v>0</v>
      </c>
      <c r="J506" s="25">
        <v>0</v>
      </c>
      <c r="K506" s="27">
        <v>0</v>
      </c>
      <c r="L506" s="25">
        <v>0</v>
      </c>
      <c r="M506" s="25">
        <v>0</v>
      </c>
      <c r="N506" s="27">
        <v>0</v>
      </c>
      <c r="O506" s="27">
        <v>0</v>
      </c>
      <c r="P506" s="27">
        <v>0</v>
      </c>
    </row>
    <row r="507" s="2" customFormat="1" spans="1:16">
      <c r="A507" s="15">
        <f t="shared" si="49"/>
        <v>44702</v>
      </c>
      <c r="B507" s="27">
        <v>0</v>
      </c>
      <c r="C507" s="22">
        <v>0</v>
      </c>
      <c r="D507" s="22">
        <v>0</v>
      </c>
      <c r="E507" s="25">
        <v>0</v>
      </c>
      <c r="F507" s="27">
        <v>0</v>
      </c>
      <c r="G507" s="25">
        <v>0</v>
      </c>
      <c r="H507" s="25">
        <v>0</v>
      </c>
      <c r="I507" s="25">
        <v>0</v>
      </c>
      <c r="J507" s="25">
        <v>0</v>
      </c>
      <c r="K507" s="27">
        <v>0</v>
      </c>
      <c r="L507" s="25">
        <v>0</v>
      </c>
      <c r="M507" s="25">
        <v>0</v>
      </c>
      <c r="N507" s="27">
        <v>0</v>
      </c>
      <c r="O507" s="27">
        <v>0</v>
      </c>
      <c r="P507" s="27">
        <v>0</v>
      </c>
    </row>
    <row r="508" s="2" customFormat="1" spans="1:16">
      <c r="A508" s="15">
        <f t="shared" si="49"/>
        <v>44703</v>
      </c>
      <c r="B508" s="27">
        <v>0</v>
      </c>
      <c r="C508" s="22">
        <v>0</v>
      </c>
      <c r="D508" s="22">
        <v>0</v>
      </c>
      <c r="E508" s="25">
        <v>0</v>
      </c>
      <c r="F508" s="27">
        <v>0</v>
      </c>
      <c r="G508" s="25">
        <v>0</v>
      </c>
      <c r="H508" s="25">
        <v>0</v>
      </c>
      <c r="I508" s="25">
        <v>0</v>
      </c>
      <c r="J508" s="25">
        <v>0</v>
      </c>
      <c r="K508" s="27">
        <v>0</v>
      </c>
      <c r="L508" s="25">
        <v>0</v>
      </c>
      <c r="M508" s="25">
        <v>0</v>
      </c>
      <c r="N508" s="27">
        <v>0</v>
      </c>
      <c r="O508" s="27">
        <v>0</v>
      </c>
      <c r="P508" s="27">
        <v>0</v>
      </c>
    </row>
    <row r="509" s="2" customFormat="1" spans="1:16">
      <c r="A509" s="15">
        <f t="shared" si="49"/>
        <v>44704</v>
      </c>
      <c r="B509" s="27">
        <v>0</v>
      </c>
      <c r="C509" s="22">
        <v>0</v>
      </c>
      <c r="D509" s="22">
        <v>0</v>
      </c>
      <c r="E509" s="25">
        <v>0</v>
      </c>
      <c r="F509" s="27">
        <v>0</v>
      </c>
      <c r="G509" s="25">
        <v>0</v>
      </c>
      <c r="H509" s="25">
        <v>0</v>
      </c>
      <c r="I509" s="25">
        <v>0</v>
      </c>
      <c r="J509" s="25">
        <v>0</v>
      </c>
      <c r="K509" s="27">
        <v>0</v>
      </c>
      <c r="L509" s="25">
        <v>0</v>
      </c>
      <c r="M509" s="25">
        <v>0</v>
      </c>
      <c r="N509" s="27">
        <v>0</v>
      </c>
      <c r="O509" s="27">
        <v>0</v>
      </c>
      <c r="P509" s="27">
        <v>0</v>
      </c>
    </row>
    <row r="510" s="2" customFormat="1" spans="1:16">
      <c r="A510" s="15">
        <f t="shared" si="49"/>
        <v>44705</v>
      </c>
      <c r="B510" s="27">
        <v>0</v>
      </c>
      <c r="C510" s="22">
        <v>0</v>
      </c>
      <c r="D510" s="22">
        <v>0</v>
      </c>
      <c r="E510" s="25">
        <v>0</v>
      </c>
      <c r="F510" s="27">
        <v>0</v>
      </c>
      <c r="G510" s="25">
        <v>0</v>
      </c>
      <c r="H510" s="25">
        <v>0</v>
      </c>
      <c r="I510" s="25">
        <v>0</v>
      </c>
      <c r="J510" s="25">
        <v>0</v>
      </c>
      <c r="K510" s="27">
        <v>0</v>
      </c>
      <c r="L510" s="25">
        <v>0</v>
      </c>
      <c r="M510" s="25">
        <v>0</v>
      </c>
      <c r="N510" s="27">
        <v>0</v>
      </c>
      <c r="O510" s="27">
        <v>0</v>
      </c>
      <c r="P510" s="27">
        <v>0</v>
      </c>
    </row>
    <row r="511" s="2" customFormat="1" spans="1:16">
      <c r="A511" s="15">
        <f t="shared" si="49"/>
        <v>44706</v>
      </c>
      <c r="B511" s="27">
        <v>0</v>
      </c>
      <c r="C511" s="22">
        <v>0</v>
      </c>
      <c r="D511" s="22">
        <v>0</v>
      </c>
      <c r="E511" s="25">
        <v>0</v>
      </c>
      <c r="F511" s="27">
        <v>0</v>
      </c>
      <c r="G511" s="25">
        <v>0</v>
      </c>
      <c r="H511" s="25">
        <v>0</v>
      </c>
      <c r="I511" s="25">
        <v>0</v>
      </c>
      <c r="J511" s="25">
        <v>0</v>
      </c>
      <c r="K511" s="27">
        <v>0</v>
      </c>
      <c r="L511" s="25">
        <v>0</v>
      </c>
      <c r="M511" s="25">
        <v>0</v>
      </c>
      <c r="N511" s="27">
        <v>0</v>
      </c>
      <c r="O511" s="27">
        <v>0</v>
      </c>
      <c r="P511" s="27">
        <v>0</v>
      </c>
    </row>
    <row r="512" s="2" customFormat="1" spans="1:16">
      <c r="A512" s="15">
        <f t="shared" si="49"/>
        <v>44707</v>
      </c>
      <c r="B512" s="27">
        <v>0</v>
      </c>
      <c r="C512" s="22">
        <v>0</v>
      </c>
      <c r="D512" s="22">
        <v>0</v>
      </c>
      <c r="E512" s="25">
        <v>0</v>
      </c>
      <c r="F512" s="27">
        <v>0</v>
      </c>
      <c r="G512" s="25">
        <v>0</v>
      </c>
      <c r="H512" s="25">
        <v>0</v>
      </c>
      <c r="I512" s="25">
        <v>0</v>
      </c>
      <c r="J512" s="25">
        <v>0</v>
      </c>
      <c r="K512" s="27">
        <v>0</v>
      </c>
      <c r="L512" s="25">
        <v>0</v>
      </c>
      <c r="M512" s="25">
        <v>0</v>
      </c>
      <c r="N512" s="27">
        <v>0</v>
      </c>
      <c r="O512" s="27">
        <v>0</v>
      </c>
      <c r="P512" s="27">
        <v>0</v>
      </c>
    </row>
    <row r="513" s="2" customFormat="1" spans="1:16">
      <c r="A513" s="40">
        <f t="shared" si="49"/>
        <v>44708</v>
      </c>
      <c r="B513" s="41">
        <v>0</v>
      </c>
      <c r="C513" s="42">
        <v>0</v>
      </c>
      <c r="D513" s="42">
        <v>0</v>
      </c>
      <c r="E513" s="43">
        <v>0</v>
      </c>
      <c r="F513" s="41">
        <v>0</v>
      </c>
      <c r="G513" s="43">
        <v>0</v>
      </c>
      <c r="H513" s="43">
        <v>0</v>
      </c>
      <c r="I513" s="43">
        <v>0</v>
      </c>
      <c r="J513" s="43">
        <v>0</v>
      </c>
      <c r="K513" s="41">
        <v>0</v>
      </c>
      <c r="L513" s="43">
        <v>0</v>
      </c>
      <c r="M513" s="43">
        <v>0</v>
      </c>
      <c r="N513" s="41">
        <v>0</v>
      </c>
      <c r="O513" s="41">
        <v>0</v>
      </c>
      <c r="P513" s="41">
        <v>0</v>
      </c>
    </row>
    <row r="514" s="2" customFormat="1" spans="1:16">
      <c r="A514" s="40">
        <v>45161</v>
      </c>
      <c r="B514" s="41">
        <v>288.65</v>
      </c>
      <c r="C514" s="42">
        <v>1606</v>
      </c>
      <c r="D514" s="42">
        <v>167</v>
      </c>
      <c r="E514" s="43">
        <v>0</v>
      </c>
      <c r="F514" s="41">
        <v>0</v>
      </c>
      <c r="G514" s="43">
        <v>5</v>
      </c>
      <c r="H514" s="43">
        <v>5</v>
      </c>
      <c r="I514" s="43">
        <v>1</v>
      </c>
      <c r="J514" s="44">
        <f t="shared" ref="J514:J577" si="50">D514/C514</f>
        <v>0.103985056039851</v>
      </c>
      <c r="K514" s="41">
        <f t="shared" ref="K514:K577" si="51">B514/D514</f>
        <v>1.72844311377245</v>
      </c>
      <c r="L514" s="45">
        <f t="shared" ref="L514:L577" si="52">F514/B514</f>
        <v>0</v>
      </c>
      <c r="M514" s="44">
        <f t="shared" ref="M514:M577" si="53">E514/D514</f>
        <v>0</v>
      </c>
      <c r="N514" s="46">
        <f t="shared" ref="N514:N577" si="54">IF(E514=0,0,F514/E514)</f>
        <v>0</v>
      </c>
      <c r="O514" s="46">
        <f t="shared" ref="O514:O577" si="55">IF(E514=0,0,B514/E514)</f>
        <v>0</v>
      </c>
      <c r="P514" s="41">
        <f t="shared" ref="P514:P577" si="56">B514/G514</f>
        <v>57.73</v>
      </c>
    </row>
    <row r="515" s="2" customFormat="1" ht="13.8" customHeight="1" spans="1:16">
      <c r="A515" s="40">
        <v>45162</v>
      </c>
      <c r="B515" s="41">
        <v>895.62</v>
      </c>
      <c r="C515" s="47">
        <v>3159</v>
      </c>
      <c r="D515" s="47">
        <v>238</v>
      </c>
      <c r="E515" s="43">
        <v>0</v>
      </c>
      <c r="F515" s="48">
        <v>0</v>
      </c>
      <c r="G515" s="43">
        <v>7</v>
      </c>
      <c r="H515" s="43">
        <v>4</v>
      </c>
      <c r="I515" s="43">
        <v>0</v>
      </c>
      <c r="J515" s="44">
        <f t="shared" si="50"/>
        <v>0.0753402975625198</v>
      </c>
      <c r="K515" s="41">
        <f t="shared" si="51"/>
        <v>3.76310924369748</v>
      </c>
      <c r="L515" s="45">
        <f t="shared" si="52"/>
        <v>0</v>
      </c>
      <c r="M515" s="44">
        <f t="shared" si="53"/>
        <v>0</v>
      </c>
      <c r="N515" s="46">
        <f t="shared" si="54"/>
        <v>0</v>
      </c>
      <c r="O515" s="46">
        <f t="shared" si="55"/>
        <v>0</v>
      </c>
      <c r="P515" s="41">
        <f t="shared" si="56"/>
        <v>127.945714285714</v>
      </c>
    </row>
    <row r="516" s="2" customFormat="1" ht="13.8" customHeight="1" spans="1:16">
      <c r="A516" s="40">
        <v>45163</v>
      </c>
      <c r="B516" s="49">
        <v>1291.54</v>
      </c>
      <c r="C516" s="22">
        <v>4344</v>
      </c>
      <c r="D516" s="22">
        <v>308</v>
      </c>
      <c r="E516" s="25">
        <v>1</v>
      </c>
      <c r="F516" s="49">
        <v>1</v>
      </c>
      <c r="G516" s="25">
        <v>8</v>
      </c>
      <c r="H516" s="25">
        <v>5</v>
      </c>
      <c r="I516" s="25">
        <v>0</v>
      </c>
      <c r="J516" s="44">
        <f t="shared" si="50"/>
        <v>0.070902394106814</v>
      </c>
      <c r="K516" s="41">
        <f t="shared" si="51"/>
        <v>4.19331168831169</v>
      </c>
      <c r="L516" s="45">
        <f t="shared" si="52"/>
        <v>0.000774269476748688</v>
      </c>
      <c r="M516" s="44">
        <f t="shared" si="53"/>
        <v>0.00324675324675325</v>
      </c>
      <c r="N516" s="46">
        <f t="shared" si="54"/>
        <v>1</v>
      </c>
      <c r="O516" s="46">
        <f t="shared" si="55"/>
        <v>1291.54</v>
      </c>
      <c r="P516" s="41">
        <f t="shared" si="56"/>
        <v>161.4425</v>
      </c>
    </row>
    <row r="517" s="2" customFormat="1" ht="13.8" customHeight="1" spans="1:16">
      <c r="A517" s="40">
        <v>45164</v>
      </c>
      <c r="B517" s="49">
        <v>813.1</v>
      </c>
      <c r="C517" s="22">
        <v>3110</v>
      </c>
      <c r="D517" s="22">
        <v>287</v>
      </c>
      <c r="E517" s="25">
        <v>0</v>
      </c>
      <c r="F517" s="49">
        <v>0</v>
      </c>
      <c r="G517" s="25">
        <v>11</v>
      </c>
      <c r="H517" s="25">
        <v>2</v>
      </c>
      <c r="I517" s="25">
        <v>1</v>
      </c>
      <c r="J517" s="44">
        <f t="shared" si="50"/>
        <v>0.0922829581993569</v>
      </c>
      <c r="K517" s="41">
        <f t="shared" si="51"/>
        <v>2.83310104529617</v>
      </c>
      <c r="L517" s="45">
        <f t="shared" si="52"/>
        <v>0</v>
      </c>
      <c r="M517" s="44">
        <f t="shared" si="53"/>
        <v>0</v>
      </c>
      <c r="N517" s="46">
        <f t="shared" si="54"/>
        <v>0</v>
      </c>
      <c r="O517" s="46">
        <f t="shared" si="55"/>
        <v>0</v>
      </c>
      <c r="P517" s="41">
        <f t="shared" si="56"/>
        <v>73.9181818181818</v>
      </c>
    </row>
    <row r="518" s="2" customFormat="1" ht="13.8" customHeight="1" spans="1:16">
      <c r="A518" s="40">
        <v>45165</v>
      </c>
      <c r="B518" s="49">
        <v>834.92</v>
      </c>
      <c r="C518" s="22">
        <v>4137</v>
      </c>
      <c r="D518" s="22">
        <v>334</v>
      </c>
      <c r="E518" s="25">
        <v>0</v>
      </c>
      <c r="F518" s="49">
        <v>0</v>
      </c>
      <c r="G518" s="25">
        <v>4</v>
      </c>
      <c r="H518" s="25">
        <v>5</v>
      </c>
      <c r="I518" s="25">
        <v>2</v>
      </c>
      <c r="J518" s="44">
        <f t="shared" si="50"/>
        <v>0.0807348320038675</v>
      </c>
      <c r="K518" s="41">
        <f t="shared" si="51"/>
        <v>2.49976047904192</v>
      </c>
      <c r="L518" s="45">
        <f t="shared" si="52"/>
        <v>0</v>
      </c>
      <c r="M518" s="44">
        <f t="shared" si="53"/>
        <v>0</v>
      </c>
      <c r="N518" s="46">
        <f t="shared" si="54"/>
        <v>0</v>
      </c>
      <c r="O518" s="46">
        <f t="shared" si="55"/>
        <v>0</v>
      </c>
      <c r="P518" s="41">
        <f t="shared" si="56"/>
        <v>208.73</v>
      </c>
    </row>
    <row r="519" s="2" customFormat="1" spans="1:16">
      <c r="A519" s="40">
        <v>45166</v>
      </c>
      <c r="B519" s="49">
        <v>857.92</v>
      </c>
      <c r="C519" s="22">
        <v>3601</v>
      </c>
      <c r="D519" s="22">
        <v>306</v>
      </c>
      <c r="E519" s="25">
        <v>0</v>
      </c>
      <c r="F519" s="49">
        <v>0</v>
      </c>
      <c r="G519" s="25">
        <v>7</v>
      </c>
      <c r="H519" s="25">
        <v>0</v>
      </c>
      <c r="I519" s="25">
        <v>0</v>
      </c>
      <c r="J519" s="44">
        <f t="shared" si="50"/>
        <v>0.0849763954457095</v>
      </c>
      <c r="K519" s="41">
        <f t="shared" si="51"/>
        <v>2.80366013071895</v>
      </c>
      <c r="L519" s="45">
        <f t="shared" si="52"/>
        <v>0</v>
      </c>
      <c r="M519" s="44">
        <f t="shared" si="53"/>
        <v>0</v>
      </c>
      <c r="N519" s="46">
        <f t="shared" si="54"/>
        <v>0</v>
      </c>
      <c r="O519" s="46">
        <f t="shared" si="55"/>
        <v>0</v>
      </c>
      <c r="P519" s="41">
        <f t="shared" si="56"/>
        <v>122.56</v>
      </c>
    </row>
    <row r="520" s="2" customFormat="1" spans="1:16">
      <c r="A520" s="40">
        <v>45167</v>
      </c>
      <c r="B520" s="49">
        <v>1022.76</v>
      </c>
      <c r="C520" s="22">
        <v>3926</v>
      </c>
      <c r="D520" s="22">
        <v>312</v>
      </c>
      <c r="E520" s="25">
        <v>0</v>
      </c>
      <c r="F520" s="49">
        <v>0</v>
      </c>
      <c r="G520" s="25">
        <v>6</v>
      </c>
      <c r="H520" s="25">
        <v>8</v>
      </c>
      <c r="I520" s="25">
        <v>4</v>
      </c>
      <c r="J520" s="44">
        <f t="shared" si="50"/>
        <v>0.0794701986754967</v>
      </c>
      <c r="K520" s="41">
        <f t="shared" si="51"/>
        <v>3.27807692307692</v>
      </c>
      <c r="L520" s="45">
        <f t="shared" si="52"/>
        <v>0</v>
      </c>
      <c r="M520" s="44">
        <f t="shared" si="53"/>
        <v>0</v>
      </c>
      <c r="N520" s="46">
        <f t="shared" si="54"/>
        <v>0</v>
      </c>
      <c r="O520" s="46">
        <f t="shared" si="55"/>
        <v>0</v>
      </c>
      <c r="P520" s="41">
        <f t="shared" si="56"/>
        <v>170.46</v>
      </c>
    </row>
    <row r="521" s="2" customFormat="1" spans="1:16">
      <c r="A521" s="40">
        <v>45168</v>
      </c>
      <c r="B521" s="49">
        <v>1159.2</v>
      </c>
      <c r="C521" s="22">
        <v>3950</v>
      </c>
      <c r="D521" s="22">
        <v>293</v>
      </c>
      <c r="E521" s="25">
        <v>0</v>
      </c>
      <c r="F521" s="49">
        <v>0</v>
      </c>
      <c r="G521" s="25">
        <v>8</v>
      </c>
      <c r="H521" s="25">
        <v>2</v>
      </c>
      <c r="I521" s="25">
        <v>2</v>
      </c>
      <c r="J521" s="44">
        <f t="shared" si="50"/>
        <v>0.0741772151898734</v>
      </c>
      <c r="K521" s="41">
        <f t="shared" si="51"/>
        <v>3.95631399317406</v>
      </c>
      <c r="L521" s="45">
        <f t="shared" si="52"/>
        <v>0</v>
      </c>
      <c r="M521" s="44">
        <f t="shared" si="53"/>
        <v>0</v>
      </c>
      <c r="N521" s="46">
        <f t="shared" si="54"/>
        <v>0</v>
      </c>
      <c r="O521" s="46">
        <f t="shared" si="55"/>
        <v>0</v>
      </c>
      <c r="P521" s="41">
        <f t="shared" si="56"/>
        <v>144.9</v>
      </c>
    </row>
    <row r="522" s="2" customFormat="1" spans="1:16">
      <c r="A522" s="40">
        <v>45169</v>
      </c>
      <c r="B522" s="49">
        <v>1483.07</v>
      </c>
      <c r="C522" s="22">
        <v>5110</v>
      </c>
      <c r="D522" s="22">
        <v>278</v>
      </c>
      <c r="E522" s="25">
        <v>0</v>
      </c>
      <c r="F522" s="49">
        <v>0</v>
      </c>
      <c r="G522" s="25">
        <v>6</v>
      </c>
      <c r="H522" s="25">
        <v>6</v>
      </c>
      <c r="I522" s="25">
        <v>2</v>
      </c>
      <c r="J522" s="44">
        <f t="shared" si="50"/>
        <v>0.0544031311154599</v>
      </c>
      <c r="K522" s="41">
        <f t="shared" si="51"/>
        <v>5.33478417266187</v>
      </c>
      <c r="L522" s="45">
        <f t="shared" si="52"/>
        <v>0</v>
      </c>
      <c r="M522" s="44">
        <f t="shared" si="53"/>
        <v>0</v>
      </c>
      <c r="N522" s="46">
        <f t="shared" si="54"/>
        <v>0</v>
      </c>
      <c r="O522" s="46">
        <f t="shared" si="55"/>
        <v>0</v>
      </c>
      <c r="P522" s="41">
        <f t="shared" si="56"/>
        <v>247.178333333333</v>
      </c>
    </row>
    <row r="523" s="2" customFormat="1" spans="1:16">
      <c r="A523" s="40">
        <v>45170</v>
      </c>
      <c r="B523" s="50">
        <v>1369.86</v>
      </c>
      <c r="C523" s="51">
        <v>4965</v>
      </c>
      <c r="D523" s="51">
        <v>317</v>
      </c>
      <c r="E523" s="25">
        <v>0</v>
      </c>
      <c r="F523" s="49">
        <v>0</v>
      </c>
      <c r="G523" s="25">
        <v>3</v>
      </c>
      <c r="H523" s="25">
        <v>2</v>
      </c>
      <c r="I523" s="25">
        <v>0</v>
      </c>
      <c r="J523" s="44">
        <f t="shared" si="50"/>
        <v>0.0638469284994965</v>
      </c>
      <c r="K523" s="41">
        <f t="shared" si="51"/>
        <v>4.32132492113565</v>
      </c>
      <c r="L523" s="45">
        <f t="shared" si="52"/>
        <v>0</v>
      </c>
      <c r="M523" s="44">
        <f t="shared" si="53"/>
        <v>0</v>
      </c>
      <c r="N523" s="46">
        <f t="shared" si="54"/>
        <v>0</v>
      </c>
      <c r="O523" s="46">
        <f t="shared" si="55"/>
        <v>0</v>
      </c>
      <c r="P523" s="41">
        <f t="shared" si="56"/>
        <v>456.62</v>
      </c>
    </row>
    <row r="524" s="2" customFormat="1" spans="1:16">
      <c r="A524" s="40">
        <v>45171</v>
      </c>
      <c r="B524" s="50">
        <v>1599.95</v>
      </c>
      <c r="C524" s="51">
        <v>4791</v>
      </c>
      <c r="D524" s="51">
        <v>304</v>
      </c>
      <c r="E524" s="25">
        <v>0</v>
      </c>
      <c r="F524" s="49">
        <v>0</v>
      </c>
      <c r="G524" s="25">
        <v>7</v>
      </c>
      <c r="H524" s="25">
        <v>4</v>
      </c>
      <c r="I524" s="25">
        <v>1</v>
      </c>
      <c r="J524" s="44">
        <f t="shared" si="50"/>
        <v>0.063452306407848</v>
      </c>
      <c r="K524" s="41">
        <f t="shared" si="51"/>
        <v>5.26299342105263</v>
      </c>
      <c r="L524" s="45">
        <f t="shared" si="52"/>
        <v>0</v>
      </c>
      <c r="M524" s="44">
        <f t="shared" si="53"/>
        <v>0</v>
      </c>
      <c r="N524" s="46">
        <f t="shared" si="54"/>
        <v>0</v>
      </c>
      <c r="O524" s="46">
        <f t="shared" si="55"/>
        <v>0</v>
      </c>
      <c r="P524" s="41">
        <f t="shared" si="56"/>
        <v>228.564285714286</v>
      </c>
    </row>
    <row r="525" s="2" customFormat="1" spans="1:16">
      <c r="A525" s="40">
        <v>45172</v>
      </c>
      <c r="B525" s="52">
        <v>1724.22</v>
      </c>
      <c r="C525" s="53">
        <v>5044</v>
      </c>
      <c r="D525" s="53">
        <v>328</v>
      </c>
      <c r="E525" s="25">
        <v>0</v>
      </c>
      <c r="F525" s="49">
        <v>0</v>
      </c>
      <c r="G525" s="25">
        <v>3</v>
      </c>
      <c r="H525" s="25">
        <v>3</v>
      </c>
      <c r="I525" s="25">
        <v>0</v>
      </c>
      <c r="J525" s="44">
        <f t="shared" si="50"/>
        <v>0.0650277557494052</v>
      </c>
      <c r="K525" s="41">
        <f t="shared" si="51"/>
        <v>5.25676829268293</v>
      </c>
      <c r="L525" s="45">
        <f t="shared" si="52"/>
        <v>0</v>
      </c>
      <c r="M525" s="44">
        <f t="shared" si="53"/>
        <v>0</v>
      </c>
      <c r="N525" s="46">
        <f t="shared" si="54"/>
        <v>0</v>
      </c>
      <c r="O525" s="46">
        <f t="shared" si="55"/>
        <v>0</v>
      </c>
      <c r="P525" s="41">
        <f t="shared" si="56"/>
        <v>574.74</v>
      </c>
    </row>
    <row r="526" s="2" customFormat="1" spans="1:16">
      <c r="A526" s="40">
        <v>45173</v>
      </c>
      <c r="B526" s="49">
        <v>1837.5</v>
      </c>
      <c r="C526" s="54">
        <v>5638</v>
      </c>
      <c r="D526" s="54">
        <v>339</v>
      </c>
      <c r="E526" s="25">
        <v>0</v>
      </c>
      <c r="F526" s="49">
        <v>0</v>
      </c>
      <c r="G526" s="25">
        <v>5</v>
      </c>
      <c r="H526" s="25">
        <v>5</v>
      </c>
      <c r="I526" s="25">
        <v>3</v>
      </c>
      <c r="J526" s="44">
        <f t="shared" si="50"/>
        <v>0.0601277048598794</v>
      </c>
      <c r="K526" s="41">
        <f t="shared" si="51"/>
        <v>5.42035398230088</v>
      </c>
      <c r="L526" s="45">
        <f t="shared" si="52"/>
        <v>0</v>
      </c>
      <c r="M526" s="44">
        <f t="shared" si="53"/>
        <v>0</v>
      </c>
      <c r="N526" s="46">
        <f t="shared" si="54"/>
        <v>0</v>
      </c>
      <c r="O526" s="46">
        <f t="shared" si="55"/>
        <v>0</v>
      </c>
      <c r="P526" s="41">
        <f t="shared" si="56"/>
        <v>367.5</v>
      </c>
    </row>
    <row r="527" s="2" customFormat="1" spans="1:16">
      <c r="A527" s="40">
        <v>45174</v>
      </c>
      <c r="B527" s="49">
        <v>1750</v>
      </c>
      <c r="C527" s="54">
        <v>5758</v>
      </c>
      <c r="D527" s="54">
        <v>338</v>
      </c>
      <c r="E527" s="18">
        <v>0</v>
      </c>
      <c r="F527" s="55">
        <v>0</v>
      </c>
      <c r="G527" s="18">
        <v>10</v>
      </c>
      <c r="H527" s="18">
        <v>2</v>
      </c>
      <c r="I527" s="18">
        <v>4</v>
      </c>
      <c r="J527" s="44">
        <f t="shared" si="50"/>
        <v>0.0587009378256339</v>
      </c>
      <c r="K527" s="41">
        <f t="shared" si="51"/>
        <v>5.17751479289941</v>
      </c>
      <c r="L527" s="45">
        <f t="shared" si="52"/>
        <v>0</v>
      </c>
      <c r="M527" s="44">
        <f t="shared" si="53"/>
        <v>0</v>
      </c>
      <c r="N527" s="46">
        <f t="shared" si="54"/>
        <v>0</v>
      </c>
      <c r="O527" s="46">
        <f t="shared" si="55"/>
        <v>0</v>
      </c>
      <c r="P527" s="41">
        <f t="shared" si="56"/>
        <v>175</v>
      </c>
    </row>
    <row r="528" s="2" customFormat="1" spans="1:16">
      <c r="A528" s="40">
        <v>45175</v>
      </c>
      <c r="B528" s="55">
        <v>1701</v>
      </c>
      <c r="C528" s="54">
        <v>3314</v>
      </c>
      <c r="D528" s="54">
        <v>219</v>
      </c>
      <c r="E528" s="18">
        <v>0</v>
      </c>
      <c r="F528" s="55">
        <v>0</v>
      </c>
      <c r="G528" s="18">
        <v>8</v>
      </c>
      <c r="H528" s="18">
        <v>6</v>
      </c>
      <c r="I528" s="18">
        <v>2</v>
      </c>
      <c r="J528" s="44">
        <f t="shared" si="50"/>
        <v>0.0660832830416415</v>
      </c>
      <c r="K528" s="41">
        <f t="shared" si="51"/>
        <v>7.76712328767123</v>
      </c>
      <c r="L528" s="45">
        <f t="shared" si="52"/>
        <v>0</v>
      </c>
      <c r="M528" s="44">
        <f t="shared" si="53"/>
        <v>0</v>
      </c>
      <c r="N528" s="46">
        <f t="shared" si="54"/>
        <v>0</v>
      </c>
      <c r="O528" s="46">
        <f t="shared" si="55"/>
        <v>0</v>
      </c>
      <c r="P528" s="41">
        <f t="shared" si="56"/>
        <v>212.625</v>
      </c>
    </row>
    <row r="529" s="2" customFormat="1" spans="1:16">
      <c r="A529" s="40">
        <v>45176</v>
      </c>
      <c r="B529" s="49">
        <v>1071</v>
      </c>
      <c r="C529" s="54">
        <v>4041</v>
      </c>
      <c r="D529" s="54">
        <v>252</v>
      </c>
      <c r="E529" s="18">
        <v>0</v>
      </c>
      <c r="F529" s="55">
        <v>0</v>
      </c>
      <c r="G529" s="18">
        <v>5</v>
      </c>
      <c r="H529" s="18">
        <v>6</v>
      </c>
      <c r="I529" s="18">
        <v>0</v>
      </c>
      <c r="J529" s="44">
        <f t="shared" si="50"/>
        <v>0.0623608017817372</v>
      </c>
      <c r="K529" s="41">
        <f t="shared" si="51"/>
        <v>4.25</v>
      </c>
      <c r="L529" s="45">
        <f t="shared" si="52"/>
        <v>0</v>
      </c>
      <c r="M529" s="44">
        <f t="shared" si="53"/>
        <v>0</v>
      </c>
      <c r="N529" s="46">
        <f t="shared" si="54"/>
        <v>0</v>
      </c>
      <c r="O529" s="46">
        <f t="shared" si="55"/>
        <v>0</v>
      </c>
      <c r="P529" s="41">
        <f t="shared" si="56"/>
        <v>214.2</v>
      </c>
    </row>
    <row r="530" s="2" customFormat="1" spans="1:16">
      <c r="A530" s="40">
        <v>45177</v>
      </c>
      <c r="B530" s="49">
        <v>1099</v>
      </c>
      <c r="C530" s="54">
        <v>3217</v>
      </c>
      <c r="D530" s="54">
        <v>258</v>
      </c>
      <c r="E530" s="18">
        <v>0</v>
      </c>
      <c r="F530" s="55">
        <v>0</v>
      </c>
      <c r="G530" s="18">
        <v>9</v>
      </c>
      <c r="H530" s="18">
        <v>4</v>
      </c>
      <c r="I530" s="18">
        <v>1</v>
      </c>
      <c r="J530" s="44">
        <f t="shared" si="50"/>
        <v>0.0801989431147031</v>
      </c>
      <c r="K530" s="41">
        <f t="shared" si="51"/>
        <v>4.25968992248062</v>
      </c>
      <c r="L530" s="45">
        <f t="shared" si="52"/>
        <v>0</v>
      </c>
      <c r="M530" s="44">
        <f t="shared" si="53"/>
        <v>0</v>
      </c>
      <c r="N530" s="46">
        <f t="shared" si="54"/>
        <v>0</v>
      </c>
      <c r="O530" s="46">
        <f t="shared" si="55"/>
        <v>0</v>
      </c>
      <c r="P530" s="41">
        <f t="shared" si="56"/>
        <v>122.111111111111</v>
      </c>
    </row>
    <row r="531" s="2" customFormat="1" spans="1:16">
      <c r="A531" s="40">
        <v>45178</v>
      </c>
      <c r="B531" s="49">
        <v>1087</v>
      </c>
      <c r="C531" s="54">
        <v>5056</v>
      </c>
      <c r="D531" s="54">
        <v>296</v>
      </c>
      <c r="E531" s="18">
        <v>0</v>
      </c>
      <c r="F531" s="55">
        <v>0</v>
      </c>
      <c r="G531" s="18">
        <v>6</v>
      </c>
      <c r="H531" s="18">
        <v>4</v>
      </c>
      <c r="I531" s="18">
        <v>1</v>
      </c>
      <c r="J531" s="44">
        <f t="shared" si="50"/>
        <v>0.0585443037974684</v>
      </c>
      <c r="K531" s="41">
        <f t="shared" si="51"/>
        <v>3.6722972972973</v>
      </c>
      <c r="L531" s="45">
        <f t="shared" si="52"/>
        <v>0</v>
      </c>
      <c r="M531" s="44">
        <f t="shared" si="53"/>
        <v>0</v>
      </c>
      <c r="N531" s="46">
        <f t="shared" si="54"/>
        <v>0</v>
      </c>
      <c r="O531" s="46">
        <f t="shared" si="55"/>
        <v>0</v>
      </c>
      <c r="P531" s="41">
        <f t="shared" si="56"/>
        <v>181.166666666667</v>
      </c>
    </row>
    <row r="532" s="2" customFormat="1" spans="1:16">
      <c r="A532" s="40">
        <v>45179</v>
      </c>
      <c r="B532" s="49">
        <v>1091</v>
      </c>
      <c r="C532" s="54">
        <v>3615</v>
      </c>
      <c r="D532" s="54">
        <v>273</v>
      </c>
      <c r="E532" s="18">
        <v>0</v>
      </c>
      <c r="F532" s="55">
        <v>0</v>
      </c>
      <c r="G532" s="18">
        <v>11</v>
      </c>
      <c r="H532" s="18">
        <v>3</v>
      </c>
      <c r="I532" s="18">
        <v>1</v>
      </c>
      <c r="J532" s="44">
        <f t="shared" si="50"/>
        <v>0.0755186721991701</v>
      </c>
      <c r="K532" s="41">
        <f t="shared" si="51"/>
        <v>3.996336996337</v>
      </c>
      <c r="L532" s="45">
        <f t="shared" si="52"/>
        <v>0</v>
      </c>
      <c r="M532" s="44">
        <f t="shared" si="53"/>
        <v>0</v>
      </c>
      <c r="N532" s="46">
        <f t="shared" si="54"/>
        <v>0</v>
      </c>
      <c r="O532" s="46">
        <f t="shared" si="55"/>
        <v>0</v>
      </c>
      <c r="P532" s="41">
        <f t="shared" si="56"/>
        <v>99.1818181818182</v>
      </c>
    </row>
    <row r="533" s="2" customFormat="1" spans="1:16">
      <c r="A533" s="40">
        <v>45180</v>
      </c>
      <c r="B533" s="49">
        <v>1266</v>
      </c>
      <c r="C533" s="54">
        <v>3880</v>
      </c>
      <c r="D533" s="54">
        <v>281</v>
      </c>
      <c r="E533" s="18">
        <v>0</v>
      </c>
      <c r="F533" s="55">
        <v>0</v>
      </c>
      <c r="G533" s="18">
        <v>9</v>
      </c>
      <c r="H533" s="18">
        <v>5</v>
      </c>
      <c r="I533" s="18">
        <v>3</v>
      </c>
      <c r="J533" s="44">
        <f t="shared" si="50"/>
        <v>0.0724226804123711</v>
      </c>
      <c r="K533" s="41">
        <f t="shared" si="51"/>
        <v>4.50533807829181</v>
      </c>
      <c r="L533" s="45">
        <f t="shared" si="52"/>
        <v>0</v>
      </c>
      <c r="M533" s="44">
        <f t="shared" si="53"/>
        <v>0</v>
      </c>
      <c r="N533" s="46">
        <f t="shared" si="54"/>
        <v>0</v>
      </c>
      <c r="O533" s="46">
        <f t="shared" si="55"/>
        <v>0</v>
      </c>
      <c r="P533" s="41">
        <f t="shared" si="56"/>
        <v>140.666666666667</v>
      </c>
    </row>
    <row r="534" s="2" customFormat="1" spans="1:16">
      <c r="A534" s="40">
        <v>45181</v>
      </c>
      <c r="B534" s="50">
        <v>1168</v>
      </c>
      <c r="C534" s="54">
        <v>4358</v>
      </c>
      <c r="D534" s="54">
        <v>275</v>
      </c>
      <c r="E534" s="56">
        <v>1</v>
      </c>
      <c r="F534" s="55">
        <v>2</v>
      </c>
      <c r="G534" s="56">
        <v>7</v>
      </c>
      <c r="H534" s="56">
        <v>9</v>
      </c>
      <c r="I534" s="56">
        <v>5</v>
      </c>
      <c r="J534" s="44">
        <f t="shared" si="50"/>
        <v>0.0631023405231758</v>
      </c>
      <c r="K534" s="41">
        <f t="shared" si="51"/>
        <v>4.24727272727273</v>
      </c>
      <c r="L534" s="45">
        <f t="shared" si="52"/>
        <v>0.00171232876712329</v>
      </c>
      <c r="M534" s="44">
        <f t="shared" si="53"/>
        <v>0.00363636363636364</v>
      </c>
      <c r="N534" s="46">
        <f t="shared" si="54"/>
        <v>2</v>
      </c>
      <c r="O534" s="46">
        <f t="shared" si="55"/>
        <v>1168</v>
      </c>
      <c r="P534" s="41">
        <f t="shared" si="56"/>
        <v>166.857142857143</v>
      </c>
    </row>
    <row r="535" s="2" customFormat="1" spans="1:16">
      <c r="A535" s="15">
        <v>45182</v>
      </c>
      <c r="B535" s="52">
        <v>1159</v>
      </c>
      <c r="C535" s="54">
        <v>5160</v>
      </c>
      <c r="D535" s="54">
        <v>320</v>
      </c>
      <c r="E535" s="18">
        <v>0</v>
      </c>
      <c r="F535" s="55">
        <v>0</v>
      </c>
      <c r="G535" s="18">
        <v>3</v>
      </c>
      <c r="H535" s="18">
        <v>4</v>
      </c>
      <c r="I535" s="18">
        <v>2</v>
      </c>
      <c r="J535" s="44">
        <f t="shared" si="50"/>
        <v>0.062015503875969</v>
      </c>
      <c r="K535" s="41">
        <f t="shared" si="51"/>
        <v>3.621875</v>
      </c>
      <c r="L535" s="45">
        <f t="shared" si="52"/>
        <v>0</v>
      </c>
      <c r="M535" s="44">
        <f t="shared" si="53"/>
        <v>0</v>
      </c>
      <c r="N535" s="46">
        <f t="shared" si="54"/>
        <v>0</v>
      </c>
      <c r="O535" s="46">
        <f t="shared" si="55"/>
        <v>0</v>
      </c>
      <c r="P535" s="41">
        <f t="shared" si="56"/>
        <v>386.333333333333</v>
      </c>
    </row>
    <row r="536" s="2" customFormat="1" spans="1:16">
      <c r="A536" s="15">
        <v>45183</v>
      </c>
      <c r="B536" s="52">
        <v>1167</v>
      </c>
      <c r="C536" s="54">
        <v>4273</v>
      </c>
      <c r="D536" s="54">
        <v>314</v>
      </c>
      <c r="E536" s="18">
        <v>0</v>
      </c>
      <c r="F536" s="55">
        <v>0</v>
      </c>
      <c r="G536" s="18">
        <v>5</v>
      </c>
      <c r="H536" s="18">
        <v>4</v>
      </c>
      <c r="I536" s="18">
        <v>3</v>
      </c>
      <c r="J536" s="44">
        <f t="shared" si="50"/>
        <v>0.0734846711912006</v>
      </c>
      <c r="K536" s="41">
        <f t="shared" si="51"/>
        <v>3.71656050955414</v>
      </c>
      <c r="L536" s="45">
        <f t="shared" si="52"/>
        <v>0</v>
      </c>
      <c r="M536" s="44">
        <f t="shared" si="53"/>
        <v>0</v>
      </c>
      <c r="N536" s="46">
        <f t="shared" si="54"/>
        <v>0</v>
      </c>
      <c r="O536" s="46">
        <f t="shared" si="55"/>
        <v>0</v>
      </c>
      <c r="P536" s="41">
        <f t="shared" si="56"/>
        <v>233.4</v>
      </c>
    </row>
    <row r="537" s="2" customFormat="1" spans="1:16">
      <c r="A537" s="15">
        <v>45184</v>
      </c>
      <c r="B537" s="57">
        <v>1244.2</v>
      </c>
      <c r="C537" s="54">
        <v>5496</v>
      </c>
      <c r="D537" s="54">
        <v>376</v>
      </c>
      <c r="E537" s="18">
        <v>0</v>
      </c>
      <c r="F537" s="55">
        <v>0</v>
      </c>
      <c r="G537" s="18">
        <v>8</v>
      </c>
      <c r="H537" s="18">
        <v>5</v>
      </c>
      <c r="I537" s="18">
        <v>1</v>
      </c>
      <c r="J537" s="44">
        <f t="shared" si="50"/>
        <v>0.0684133915574964</v>
      </c>
      <c r="K537" s="41">
        <f t="shared" si="51"/>
        <v>3.30904255319149</v>
      </c>
      <c r="L537" s="45">
        <f t="shared" si="52"/>
        <v>0</v>
      </c>
      <c r="M537" s="44">
        <f t="shared" si="53"/>
        <v>0</v>
      </c>
      <c r="N537" s="46">
        <f t="shared" si="54"/>
        <v>0</v>
      </c>
      <c r="O537" s="46">
        <f t="shared" si="55"/>
        <v>0</v>
      </c>
      <c r="P537" s="41">
        <f t="shared" si="56"/>
        <v>155.525</v>
      </c>
    </row>
    <row r="538" s="2" customFormat="1" spans="1:16">
      <c r="A538" s="15">
        <v>45185</v>
      </c>
      <c r="B538" s="57">
        <v>1253.73</v>
      </c>
      <c r="C538" s="54">
        <v>5070</v>
      </c>
      <c r="D538" s="54">
        <v>304</v>
      </c>
      <c r="E538" s="18">
        <v>0</v>
      </c>
      <c r="F538" s="55">
        <v>0</v>
      </c>
      <c r="G538" s="18">
        <v>7</v>
      </c>
      <c r="H538" s="18">
        <v>8</v>
      </c>
      <c r="I538" s="18">
        <v>5</v>
      </c>
      <c r="J538" s="44">
        <f t="shared" si="50"/>
        <v>0.0599605522682446</v>
      </c>
      <c r="K538" s="41">
        <f t="shared" si="51"/>
        <v>4.12411184210526</v>
      </c>
      <c r="L538" s="45">
        <f t="shared" si="52"/>
        <v>0</v>
      </c>
      <c r="M538" s="44">
        <f t="shared" si="53"/>
        <v>0</v>
      </c>
      <c r="N538" s="46">
        <f t="shared" si="54"/>
        <v>0</v>
      </c>
      <c r="O538" s="46">
        <f t="shared" si="55"/>
        <v>0</v>
      </c>
      <c r="P538" s="41">
        <f t="shared" si="56"/>
        <v>179.104285714286</v>
      </c>
    </row>
    <row r="539" s="2" customFormat="1" spans="1:16">
      <c r="A539" s="15">
        <v>45186</v>
      </c>
      <c r="B539" s="57">
        <v>1253.09</v>
      </c>
      <c r="C539" s="54">
        <v>4825</v>
      </c>
      <c r="D539" s="54">
        <v>314</v>
      </c>
      <c r="E539" s="18">
        <v>0</v>
      </c>
      <c r="F539" s="55">
        <v>0</v>
      </c>
      <c r="G539" s="25">
        <v>9</v>
      </c>
      <c r="H539" s="25">
        <v>1</v>
      </c>
      <c r="I539" s="25">
        <v>0</v>
      </c>
      <c r="J539" s="44">
        <f t="shared" si="50"/>
        <v>0.0650777202072539</v>
      </c>
      <c r="K539" s="41">
        <f t="shared" si="51"/>
        <v>3.99073248407643</v>
      </c>
      <c r="L539" s="45">
        <f t="shared" si="52"/>
        <v>0</v>
      </c>
      <c r="M539" s="44">
        <f t="shared" si="53"/>
        <v>0</v>
      </c>
      <c r="N539" s="46">
        <f t="shared" si="54"/>
        <v>0</v>
      </c>
      <c r="O539" s="46">
        <f t="shared" si="55"/>
        <v>0</v>
      </c>
      <c r="P539" s="41">
        <f t="shared" si="56"/>
        <v>139.232222222222</v>
      </c>
    </row>
    <row r="540" s="2" customFormat="1" spans="1:16">
      <c r="A540" s="15">
        <v>45187</v>
      </c>
      <c r="B540" s="49">
        <v>1249</v>
      </c>
      <c r="C540" s="54">
        <v>4509</v>
      </c>
      <c r="D540" s="54">
        <v>319</v>
      </c>
      <c r="E540" s="18">
        <v>0</v>
      </c>
      <c r="F540" s="55">
        <v>0</v>
      </c>
      <c r="G540" s="25">
        <v>14</v>
      </c>
      <c r="H540" s="25">
        <v>5</v>
      </c>
      <c r="I540" s="25">
        <v>2</v>
      </c>
      <c r="J540" s="44">
        <f t="shared" si="50"/>
        <v>0.0707473941006875</v>
      </c>
      <c r="K540" s="41">
        <f t="shared" si="51"/>
        <v>3.9153605015674</v>
      </c>
      <c r="L540" s="45">
        <f t="shared" si="52"/>
        <v>0</v>
      </c>
      <c r="M540" s="44">
        <f t="shared" si="53"/>
        <v>0</v>
      </c>
      <c r="N540" s="46">
        <f t="shared" si="54"/>
        <v>0</v>
      </c>
      <c r="O540" s="46">
        <f t="shared" si="55"/>
        <v>0</v>
      </c>
      <c r="P540" s="41">
        <f t="shared" si="56"/>
        <v>89.2142857142857</v>
      </c>
    </row>
    <row r="541" s="2" customFormat="1" spans="1:16">
      <c r="A541" s="15">
        <v>45188</v>
      </c>
      <c r="B541" s="57">
        <v>1275.97</v>
      </c>
      <c r="C541" s="54">
        <v>5064</v>
      </c>
      <c r="D541" s="54">
        <v>346</v>
      </c>
      <c r="E541" s="25">
        <v>0</v>
      </c>
      <c r="F541" s="49">
        <v>0</v>
      </c>
      <c r="G541" s="25">
        <v>5</v>
      </c>
      <c r="H541" s="25">
        <v>3</v>
      </c>
      <c r="I541" s="25">
        <v>2</v>
      </c>
      <c r="J541" s="44">
        <f t="shared" si="50"/>
        <v>0.0683254344391785</v>
      </c>
      <c r="K541" s="41">
        <f t="shared" si="51"/>
        <v>3.68777456647399</v>
      </c>
      <c r="L541" s="45">
        <f t="shared" si="52"/>
        <v>0</v>
      </c>
      <c r="M541" s="44">
        <f t="shared" si="53"/>
        <v>0</v>
      </c>
      <c r="N541" s="46">
        <f t="shared" si="54"/>
        <v>0</v>
      </c>
      <c r="O541" s="46">
        <f t="shared" si="55"/>
        <v>0</v>
      </c>
      <c r="P541" s="41">
        <f t="shared" si="56"/>
        <v>255.194</v>
      </c>
    </row>
    <row r="542" s="2" customFormat="1" spans="1:16">
      <c r="A542" s="15">
        <v>45189</v>
      </c>
      <c r="B542" s="57">
        <v>1472.28</v>
      </c>
      <c r="C542" s="54">
        <v>5314</v>
      </c>
      <c r="D542" s="54">
        <v>449</v>
      </c>
      <c r="E542" s="18">
        <v>0</v>
      </c>
      <c r="F542" s="55">
        <v>0</v>
      </c>
      <c r="G542" s="18">
        <v>5</v>
      </c>
      <c r="H542" s="18">
        <v>11</v>
      </c>
      <c r="I542" s="18">
        <v>6</v>
      </c>
      <c r="J542" s="44">
        <f t="shared" si="50"/>
        <v>0.0844937899887091</v>
      </c>
      <c r="K542" s="41">
        <f t="shared" si="51"/>
        <v>3.27902004454343</v>
      </c>
      <c r="L542" s="45">
        <f t="shared" si="52"/>
        <v>0</v>
      </c>
      <c r="M542" s="44">
        <f t="shared" si="53"/>
        <v>0</v>
      </c>
      <c r="N542" s="46">
        <f t="shared" si="54"/>
        <v>0</v>
      </c>
      <c r="O542" s="46">
        <f t="shared" si="55"/>
        <v>0</v>
      </c>
      <c r="P542" s="41">
        <f t="shared" si="56"/>
        <v>294.456</v>
      </c>
    </row>
    <row r="543" s="2" customFormat="1" spans="1:16">
      <c r="A543" s="15">
        <v>45190</v>
      </c>
      <c r="B543" s="57">
        <v>1515.88</v>
      </c>
      <c r="C543" s="54">
        <v>8512</v>
      </c>
      <c r="D543" s="54">
        <v>517</v>
      </c>
      <c r="E543" s="25">
        <v>1</v>
      </c>
      <c r="F543" s="49">
        <v>1</v>
      </c>
      <c r="G543" s="25">
        <v>7</v>
      </c>
      <c r="H543" s="25">
        <v>9</v>
      </c>
      <c r="I543" s="25">
        <v>6</v>
      </c>
      <c r="J543" s="44">
        <f t="shared" si="50"/>
        <v>0.0607377819548872</v>
      </c>
      <c r="K543" s="41">
        <f t="shared" si="51"/>
        <v>2.93206963249516</v>
      </c>
      <c r="L543" s="45">
        <f t="shared" si="52"/>
        <v>0.000659682824497981</v>
      </c>
      <c r="M543" s="44">
        <f t="shared" si="53"/>
        <v>0.00193423597678917</v>
      </c>
      <c r="N543" s="46">
        <f t="shared" si="54"/>
        <v>1</v>
      </c>
      <c r="O543" s="46">
        <f t="shared" si="55"/>
        <v>1515.88</v>
      </c>
      <c r="P543" s="41">
        <f t="shared" si="56"/>
        <v>216.554285714286</v>
      </c>
    </row>
    <row r="544" s="2" customFormat="1" spans="1:16">
      <c r="A544" s="15">
        <v>45191</v>
      </c>
      <c r="B544" s="49">
        <v>1294.16</v>
      </c>
      <c r="C544" s="22">
        <v>9806</v>
      </c>
      <c r="D544" s="22">
        <v>460</v>
      </c>
      <c r="E544" s="25">
        <v>4</v>
      </c>
      <c r="F544" s="49">
        <v>3918.8</v>
      </c>
      <c r="G544" s="25">
        <v>17</v>
      </c>
      <c r="H544" s="25">
        <v>10</v>
      </c>
      <c r="I544" s="25">
        <v>7</v>
      </c>
      <c r="J544" s="44">
        <f t="shared" si="50"/>
        <v>0.0469100550683255</v>
      </c>
      <c r="K544" s="41">
        <f t="shared" si="51"/>
        <v>2.81339130434783</v>
      </c>
      <c r="L544" s="45">
        <f t="shared" si="52"/>
        <v>3.02806453606973</v>
      </c>
      <c r="M544" s="44">
        <f t="shared" si="53"/>
        <v>0.00869565217391304</v>
      </c>
      <c r="N544" s="46">
        <f t="shared" si="54"/>
        <v>979.7</v>
      </c>
      <c r="O544" s="46">
        <f t="shared" si="55"/>
        <v>323.54</v>
      </c>
      <c r="P544" s="41">
        <f t="shared" si="56"/>
        <v>76.1270588235294</v>
      </c>
    </row>
    <row r="545" s="2" customFormat="1" spans="1:17">
      <c r="A545" s="15">
        <v>45192</v>
      </c>
      <c r="B545" s="49">
        <v>1288.01</v>
      </c>
      <c r="C545" s="22">
        <v>10665</v>
      </c>
      <c r="D545" s="22">
        <v>475</v>
      </c>
      <c r="E545" s="25">
        <v>0</v>
      </c>
      <c r="F545" s="49">
        <v>0</v>
      </c>
      <c r="G545" s="25">
        <v>11</v>
      </c>
      <c r="H545" s="25">
        <v>7</v>
      </c>
      <c r="I545" s="25">
        <v>5</v>
      </c>
      <c r="J545" s="44">
        <f t="shared" si="50"/>
        <v>0.0445382090951711</v>
      </c>
      <c r="K545" s="41">
        <f t="shared" si="51"/>
        <v>2.7116</v>
      </c>
      <c r="L545" s="45">
        <f t="shared" si="52"/>
        <v>0</v>
      </c>
      <c r="M545" s="44">
        <f t="shared" si="53"/>
        <v>0</v>
      </c>
      <c r="N545" s="46">
        <f t="shared" si="54"/>
        <v>0</v>
      </c>
      <c r="O545" s="46">
        <f t="shared" si="55"/>
        <v>0</v>
      </c>
      <c r="P545" s="41">
        <f t="shared" si="56"/>
        <v>117.091818181818</v>
      </c>
    </row>
    <row r="546" s="2" customFormat="1" spans="1:17">
      <c r="A546" s="15">
        <v>45193</v>
      </c>
      <c r="B546" s="55">
        <v>1362.06</v>
      </c>
      <c r="C546" s="17">
        <v>8737</v>
      </c>
      <c r="D546" s="17">
        <v>467</v>
      </c>
      <c r="E546" s="18">
        <v>1</v>
      </c>
      <c r="F546" s="55">
        <v>9.9</v>
      </c>
      <c r="G546" s="18">
        <v>18</v>
      </c>
      <c r="H546" s="18">
        <v>9</v>
      </c>
      <c r="I546" s="18">
        <v>5</v>
      </c>
      <c r="J546" s="44">
        <f t="shared" si="50"/>
        <v>0.0534508412498569</v>
      </c>
      <c r="K546" s="41">
        <f t="shared" si="51"/>
        <v>2.91661670235546</v>
      </c>
      <c r="L546" s="45">
        <f t="shared" si="52"/>
        <v>0.00726840227302762</v>
      </c>
      <c r="M546" s="44">
        <f t="shared" si="53"/>
        <v>0.00214132762312634</v>
      </c>
      <c r="N546" s="46">
        <f t="shared" si="54"/>
        <v>9.9</v>
      </c>
      <c r="O546" s="46">
        <f t="shared" si="55"/>
        <v>1362.06</v>
      </c>
      <c r="P546" s="41">
        <f t="shared" si="56"/>
        <v>75.67</v>
      </c>
    </row>
    <row r="547" s="2" customFormat="1" spans="1:17">
      <c r="A547" s="15">
        <v>45194</v>
      </c>
      <c r="B547" s="58">
        <v>1448.14</v>
      </c>
      <c r="C547" s="59">
        <v>10018</v>
      </c>
      <c r="D547" s="59">
        <v>498</v>
      </c>
      <c r="E547" s="18">
        <v>2</v>
      </c>
      <c r="F547" s="55">
        <v>19.8</v>
      </c>
      <c r="G547" s="18">
        <v>11</v>
      </c>
      <c r="H547" s="18">
        <v>7</v>
      </c>
      <c r="I547" s="18">
        <v>3</v>
      </c>
      <c r="J547" s="44">
        <f t="shared" si="50"/>
        <v>0.0497105210620882</v>
      </c>
      <c r="K547" s="41">
        <f t="shared" si="51"/>
        <v>2.90791164658635</v>
      </c>
      <c r="L547" s="45">
        <f t="shared" si="52"/>
        <v>0.0136727112019556</v>
      </c>
      <c r="M547" s="44">
        <f t="shared" si="53"/>
        <v>0.00401606425702811</v>
      </c>
      <c r="N547" s="46">
        <f t="shared" si="54"/>
        <v>9.9</v>
      </c>
      <c r="O547" s="46">
        <f t="shared" si="55"/>
        <v>724.07</v>
      </c>
      <c r="P547" s="41">
        <f t="shared" si="56"/>
        <v>131.649090909091</v>
      </c>
    </row>
    <row r="548" s="2" customFormat="1" spans="1:17">
      <c r="A548" s="15">
        <v>45195</v>
      </c>
      <c r="B548" s="55">
        <v>1098.25</v>
      </c>
      <c r="C548" s="17">
        <v>6835</v>
      </c>
      <c r="D548" s="17">
        <v>420</v>
      </c>
      <c r="E548" s="18">
        <v>3</v>
      </c>
      <c r="F548" s="55">
        <v>29.7</v>
      </c>
      <c r="G548" s="18">
        <v>7</v>
      </c>
      <c r="H548" s="18">
        <v>10</v>
      </c>
      <c r="I548" s="18">
        <v>4</v>
      </c>
      <c r="J548" s="44">
        <f t="shared" si="50"/>
        <v>0.0614484272128749</v>
      </c>
      <c r="K548" s="41">
        <f t="shared" si="51"/>
        <v>2.61488095238095</v>
      </c>
      <c r="L548" s="45">
        <f t="shared" si="52"/>
        <v>0.0270430229911222</v>
      </c>
      <c r="M548" s="44">
        <f t="shared" si="53"/>
        <v>0.00714285714285714</v>
      </c>
      <c r="N548" s="46">
        <f t="shared" si="54"/>
        <v>9.9</v>
      </c>
      <c r="O548" s="46">
        <f t="shared" si="55"/>
        <v>366.083333333333</v>
      </c>
      <c r="P548" s="41">
        <f t="shared" si="56"/>
        <v>156.892857142857</v>
      </c>
    </row>
    <row r="549" s="2" customFormat="1" spans="1:17">
      <c r="A549" s="15">
        <v>45196</v>
      </c>
      <c r="B549" s="60">
        <v>1201.85</v>
      </c>
      <c r="C549" s="61">
        <v>9339</v>
      </c>
      <c r="D549" s="61">
        <v>473</v>
      </c>
      <c r="E549" s="18">
        <v>1</v>
      </c>
      <c r="F549" s="55">
        <v>9.9</v>
      </c>
      <c r="G549" s="18">
        <v>17</v>
      </c>
      <c r="H549" s="18">
        <v>7</v>
      </c>
      <c r="I549" s="18">
        <v>4</v>
      </c>
      <c r="J549" s="44">
        <f t="shared" si="50"/>
        <v>0.0506478209658422</v>
      </c>
      <c r="K549" s="41">
        <f t="shared" si="51"/>
        <v>2.54090909090909</v>
      </c>
      <c r="L549" s="45">
        <f t="shared" si="52"/>
        <v>0.00823730082789034</v>
      </c>
      <c r="M549" s="44">
        <f t="shared" si="53"/>
        <v>0.00211416490486258</v>
      </c>
      <c r="N549" s="46">
        <f t="shared" si="54"/>
        <v>9.9</v>
      </c>
      <c r="O549" s="46">
        <f t="shared" si="55"/>
        <v>1201.85</v>
      </c>
      <c r="P549" s="41">
        <f t="shared" si="56"/>
        <v>70.6970588235294</v>
      </c>
      <c r="Q549" s="62"/>
    </row>
    <row r="550" s="2" customFormat="1" spans="1:17">
      <c r="A550" s="15">
        <v>45197</v>
      </c>
      <c r="B550" s="63">
        <v>850.47</v>
      </c>
      <c r="C550" s="64">
        <v>7733</v>
      </c>
      <c r="D550" s="64">
        <v>364</v>
      </c>
      <c r="E550" s="18">
        <v>0</v>
      </c>
      <c r="F550" s="55">
        <v>0</v>
      </c>
      <c r="G550" s="18">
        <v>11</v>
      </c>
      <c r="H550" s="18">
        <v>5</v>
      </c>
      <c r="I550" s="18">
        <v>2</v>
      </c>
      <c r="J550" s="44">
        <f t="shared" si="50"/>
        <v>0.0470709944394155</v>
      </c>
      <c r="K550" s="41">
        <f t="shared" si="51"/>
        <v>2.33645604395604</v>
      </c>
      <c r="L550" s="45">
        <f t="shared" si="52"/>
        <v>0</v>
      </c>
      <c r="M550" s="44">
        <f t="shared" si="53"/>
        <v>0</v>
      </c>
      <c r="N550" s="46">
        <f t="shared" si="54"/>
        <v>0</v>
      </c>
      <c r="O550" s="46">
        <f t="shared" si="55"/>
        <v>0</v>
      </c>
      <c r="P550" s="41">
        <f t="shared" si="56"/>
        <v>77.3154545454545</v>
      </c>
      <c r="Q550" s="65"/>
    </row>
    <row r="551" s="2" customFormat="1" spans="1:17">
      <c r="A551" s="15">
        <v>45198</v>
      </c>
      <c r="B551" s="66">
        <v>934.87</v>
      </c>
      <c r="C551" s="61">
        <v>4412</v>
      </c>
      <c r="D551" s="61">
        <v>369</v>
      </c>
      <c r="E551" s="18">
        <v>1</v>
      </c>
      <c r="F551" s="55">
        <v>1950</v>
      </c>
      <c r="G551" s="18">
        <v>6</v>
      </c>
      <c r="H551" s="18">
        <v>12</v>
      </c>
      <c r="I551" s="18">
        <v>6</v>
      </c>
      <c r="J551" s="44">
        <f t="shared" si="50"/>
        <v>0.0836355394378966</v>
      </c>
      <c r="K551" s="41">
        <f t="shared" si="51"/>
        <v>2.53352303523035</v>
      </c>
      <c r="L551" s="45">
        <f t="shared" si="52"/>
        <v>2.08585150876592</v>
      </c>
      <c r="M551" s="44">
        <f t="shared" si="53"/>
        <v>0.002710027100271</v>
      </c>
      <c r="N551" s="46">
        <f t="shared" si="54"/>
        <v>1950</v>
      </c>
      <c r="O551" s="46">
        <f t="shared" si="55"/>
        <v>934.87</v>
      </c>
      <c r="P551" s="41">
        <f t="shared" si="56"/>
        <v>155.811666666667</v>
      </c>
      <c r="Q551" s="65"/>
    </row>
    <row r="552" s="2" customFormat="1" spans="1:17">
      <c r="A552" s="15">
        <v>45199</v>
      </c>
      <c r="B552" s="63">
        <v>930.79</v>
      </c>
      <c r="C552" s="64">
        <v>4654</v>
      </c>
      <c r="D552" s="64">
        <v>441</v>
      </c>
      <c r="E552" s="18">
        <v>5</v>
      </c>
      <c r="F552" s="55">
        <v>19024</v>
      </c>
      <c r="G552" s="18">
        <v>8</v>
      </c>
      <c r="H552" s="18">
        <v>7</v>
      </c>
      <c r="I552" s="18">
        <v>4</v>
      </c>
      <c r="J552" s="44">
        <f t="shared" si="50"/>
        <v>0.0947571981091534</v>
      </c>
      <c r="K552" s="41">
        <f t="shared" si="51"/>
        <v>2.11063492063492</v>
      </c>
      <c r="L552" s="45">
        <f t="shared" si="52"/>
        <v>20.4385521975956</v>
      </c>
      <c r="M552" s="44">
        <f t="shared" si="53"/>
        <v>0.0113378684807256</v>
      </c>
      <c r="N552" s="46">
        <f t="shared" si="54"/>
        <v>3804.8</v>
      </c>
      <c r="O552" s="46">
        <f t="shared" si="55"/>
        <v>186.158</v>
      </c>
      <c r="P552" s="41">
        <f t="shared" si="56"/>
        <v>116.34875</v>
      </c>
      <c r="Q552" s="65"/>
    </row>
    <row r="553" s="2" customFormat="1" spans="1:17">
      <c r="A553" s="15">
        <v>45200</v>
      </c>
      <c r="B553" s="66">
        <v>1067.82</v>
      </c>
      <c r="C553" s="67">
        <v>7702</v>
      </c>
      <c r="D553" s="67">
        <v>425</v>
      </c>
      <c r="E553" s="18">
        <v>0</v>
      </c>
      <c r="F553" s="55">
        <v>0</v>
      </c>
      <c r="G553" s="18">
        <v>11</v>
      </c>
      <c r="H553" s="18">
        <v>11</v>
      </c>
      <c r="I553" s="18">
        <v>5</v>
      </c>
      <c r="J553" s="44">
        <f t="shared" si="50"/>
        <v>0.0551804726045183</v>
      </c>
      <c r="K553" s="41">
        <f t="shared" si="51"/>
        <v>2.51251764705882</v>
      </c>
      <c r="L553" s="45">
        <f t="shared" si="52"/>
        <v>0</v>
      </c>
      <c r="M553" s="44">
        <f t="shared" si="53"/>
        <v>0</v>
      </c>
      <c r="N553" s="46">
        <f t="shared" si="54"/>
        <v>0</v>
      </c>
      <c r="O553" s="46">
        <f t="shared" si="55"/>
        <v>0</v>
      </c>
      <c r="P553" s="41">
        <f t="shared" si="56"/>
        <v>97.0745454545454</v>
      </c>
      <c r="Q553" s="65"/>
    </row>
    <row r="554" s="2" customFormat="1" spans="1:17">
      <c r="A554" s="15">
        <v>45201</v>
      </c>
      <c r="B554" s="63">
        <v>1085.62</v>
      </c>
      <c r="C554" s="68">
        <v>9448</v>
      </c>
      <c r="D554" s="64">
        <v>430</v>
      </c>
      <c r="E554" s="18">
        <v>2</v>
      </c>
      <c r="F554" s="55">
        <v>44682</v>
      </c>
      <c r="G554" s="18">
        <v>7</v>
      </c>
      <c r="H554" s="18">
        <v>4</v>
      </c>
      <c r="I554" s="18">
        <v>1</v>
      </c>
      <c r="J554" s="44">
        <f t="shared" si="50"/>
        <v>0.0455122777307367</v>
      </c>
      <c r="K554" s="41">
        <f t="shared" si="51"/>
        <v>2.5246976744186</v>
      </c>
      <c r="L554" s="45">
        <f t="shared" si="52"/>
        <v>41.1580479357418</v>
      </c>
      <c r="M554" s="44">
        <f t="shared" si="53"/>
        <v>0.00465116279069767</v>
      </c>
      <c r="N554" s="46">
        <f t="shared" si="54"/>
        <v>22341</v>
      </c>
      <c r="O554" s="46">
        <f t="shared" si="55"/>
        <v>542.81</v>
      </c>
      <c r="P554" s="41">
        <f t="shared" si="56"/>
        <v>155.088571428571</v>
      </c>
      <c r="Q554" s="65"/>
    </row>
    <row r="555" s="2" customFormat="1" spans="1:17">
      <c r="A555" s="15">
        <v>45202</v>
      </c>
      <c r="B555" s="63">
        <v>1111.04</v>
      </c>
      <c r="C555" s="68">
        <v>12012</v>
      </c>
      <c r="D555" s="64">
        <v>439</v>
      </c>
      <c r="E555" s="18">
        <v>0</v>
      </c>
      <c r="F555" s="55">
        <v>0</v>
      </c>
      <c r="G555" s="18">
        <v>9</v>
      </c>
      <c r="H555" s="18">
        <v>5</v>
      </c>
      <c r="I555" s="18">
        <v>2</v>
      </c>
      <c r="J555" s="44">
        <f t="shared" si="50"/>
        <v>0.0365467865467865</v>
      </c>
      <c r="K555" s="41">
        <f t="shared" si="51"/>
        <v>2.53084282460137</v>
      </c>
      <c r="L555" s="45">
        <f t="shared" si="52"/>
        <v>0</v>
      </c>
      <c r="M555" s="44">
        <f t="shared" si="53"/>
        <v>0</v>
      </c>
      <c r="N555" s="46">
        <f t="shared" si="54"/>
        <v>0</v>
      </c>
      <c r="O555" s="46">
        <f t="shared" si="55"/>
        <v>0</v>
      </c>
      <c r="P555" s="41">
        <f t="shared" si="56"/>
        <v>123.448888888889</v>
      </c>
      <c r="Q555" s="65"/>
    </row>
    <row r="556" s="2" customFormat="1" spans="1:17">
      <c r="A556" s="15">
        <v>45203</v>
      </c>
      <c r="B556" s="63">
        <v>1341.5</v>
      </c>
      <c r="C556" s="68">
        <v>11444</v>
      </c>
      <c r="D556" s="64">
        <v>599</v>
      </c>
      <c r="E556" s="18">
        <v>1</v>
      </c>
      <c r="F556" s="55">
        <v>9.9</v>
      </c>
      <c r="G556" s="18">
        <v>16</v>
      </c>
      <c r="H556" s="18">
        <v>6</v>
      </c>
      <c r="I556" s="18">
        <v>2</v>
      </c>
      <c r="J556" s="44">
        <f t="shared" si="50"/>
        <v>0.0523418385180007</v>
      </c>
      <c r="K556" s="41">
        <f t="shared" si="51"/>
        <v>2.23956594323873</v>
      </c>
      <c r="L556" s="45">
        <f t="shared" si="52"/>
        <v>0.00737979873276183</v>
      </c>
      <c r="M556" s="44">
        <f t="shared" si="53"/>
        <v>0.00166944908180301</v>
      </c>
      <c r="N556" s="46">
        <f t="shared" si="54"/>
        <v>9.9</v>
      </c>
      <c r="O556" s="46">
        <f t="shared" si="55"/>
        <v>1341.5</v>
      </c>
      <c r="P556" s="41">
        <f t="shared" si="56"/>
        <v>83.84375</v>
      </c>
      <c r="Q556" s="65"/>
    </row>
    <row r="557" s="2" customFormat="1" spans="1:17">
      <c r="A557" s="15">
        <v>45204</v>
      </c>
      <c r="B557" s="69">
        <v>1250.2</v>
      </c>
      <c r="C557" s="68">
        <v>9497</v>
      </c>
      <c r="D557" s="64">
        <v>529</v>
      </c>
      <c r="E557" s="18">
        <v>1</v>
      </c>
      <c r="F557" s="55">
        <v>2800</v>
      </c>
      <c r="G557" s="18">
        <v>11</v>
      </c>
      <c r="H557" s="18">
        <v>5</v>
      </c>
      <c r="I557" s="18">
        <v>4</v>
      </c>
      <c r="J557" s="44">
        <f t="shared" si="50"/>
        <v>0.0557018005686006</v>
      </c>
      <c r="K557" s="41">
        <f t="shared" si="51"/>
        <v>2.36332703213611</v>
      </c>
      <c r="L557" s="45">
        <f t="shared" si="52"/>
        <v>2.23964165733483</v>
      </c>
      <c r="M557" s="44">
        <f t="shared" si="53"/>
        <v>0.00189035916824197</v>
      </c>
      <c r="N557" s="46">
        <f t="shared" si="54"/>
        <v>2800</v>
      </c>
      <c r="O557" s="46">
        <f t="shared" si="55"/>
        <v>1250.2</v>
      </c>
      <c r="P557" s="41">
        <f t="shared" si="56"/>
        <v>113.654545454545</v>
      </c>
      <c r="Q557" s="65"/>
    </row>
    <row r="558" s="2" customFormat="1" spans="1:17">
      <c r="A558" s="15">
        <v>45205</v>
      </c>
      <c r="B558" s="63">
        <v>1369.6</v>
      </c>
      <c r="C558" s="68">
        <v>9711</v>
      </c>
      <c r="D558" s="68">
        <v>601</v>
      </c>
      <c r="E558" s="18">
        <v>0</v>
      </c>
      <c r="F558" s="55">
        <v>0</v>
      </c>
      <c r="G558" s="18">
        <v>21</v>
      </c>
      <c r="H558" s="18">
        <v>13</v>
      </c>
      <c r="I558" s="18">
        <v>5</v>
      </c>
      <c r="J558" s="44">
        <f t="shared" si="50"/>
        <v>0.0618885799608691</v>
      </c>
      <c r="K558" s="41">
        <f t="shared" si="51"/>
        <v>2.27886855241265</v>
      </c>
      <c r="L558" s="45">
        <f t="shared" si="52"/>
        <v>0</v>
      </c>
      <c r="M558" s="44">
        <f t="shared" si="53"/>
        <v>0</v>
      </c>
      <c r="N558" s="46">
        <f t="shared" si="54"/>
        <v>0</v>
      </c>
      <c r="O558" s="46">
        <f t="shared" si="55"/>
        <v>0</v>
      </c>
      <c r="P558" s="41">
        <f t="shared" si="56"/>
        <v>65.2190476190476</v>
      </c>
      <c r="Q558" s="65"/>
    </row>
    <row r="559" s="2" customFormat="1" spans="1:17">
      <c r="A559" s="15">
        <v>45206</v>
      </c>
      <c r="B559" s="63">
        <v>1378.33</v>
      </c>
      <c r="C559" s="68">
        <v>8430</v>
      </c>
      <c r="D559" s="68">
        <v>537</v>
      </c>
      <c r="E559" s="18">
        <v>1</v>
      </c>
      <c r="F559" s="55">
        <v>9.9</v>
      </c>
      <c r="G559" s="18">
        <v>14</v>
      </c>
      <c r="H559" s="18">
        <v>8</v>
      </c>
      <c r="I559" s="18">
        <v>6</v>
      </c>
      <c r="J559" s="44">
        <f t="shared" si="50"/>
        <v>0.0637010676156584</v>
      </c>
      <c r="K559" s="41">
        <f t="shared" si="51"/>
        <v>2.56672253258845</v>
      </c>
      <c r="L559" s="45">
        <f t="shared" si="52"/>
        <v>0.00718260503652971</v>
      </c>
      <c r="M559" s="44">
        <f t="shared" si="53"/>
        <v>0.00186219739292365</v>
      </c>
      <c r="N559" s="46">
        <f t="shared" si="54"/>
        <v>9.9</v>
      </c>
      <c r="O559" s="46">
        <f t="shared" si="55"/>
        <v>1378.33</v>
      </c>
      <c r="P559" s="41">
        <f t="shared" si="56"/>
        <v>98.4521428571428</v>
      </c>
      <c r="Q559" s="65"/>
    </row>
    <row r="560" s="2" customFormat="1" spans="1:17">
      <c r="A560" s="15">
        <v>45207</v>
      </c>
      <c r="B560" s="63">
        <v>1374.33</v>
      </c>
      <c r="C560" s="64">
        <v>8291</v>
      </c>
      <c r="D560" s="64">
        <v>533</v>
      </c>
      <c r="E560" s="18">
        <v>1</v>
      </c>
      <c r="F560" s="55">
        <v>3000</v>
      </c>
      <c r="G560" s="18">
        <v>10</v>
      </c>
      <c r="H560" s="18">
        <v>15</v>
      </c>
      <c r="I560" s="18">
        <v>6</v>
      </c>
      <c r="J560" s="44">
        <f t="shared" si="50"/>
        <v>0.0642865758050899</v>
      </c>
      <c r="K560" s="41">
        <f t="shared" si="51"/>
        <v>2.57848030018762</v>
      </c>
      <c r="L560" s="45">
        <f t="shared" si="52"/>
        <v>2.18288184060597</v>
      </c>
      <c r="M560" s="44">
        <f t="shared" si="53"/>
        <v>0.00187617260787992</v>
      </c>
      <c r="N560" s="46">
        <f t="shared" si="54"/>
        <v>3000</v>
      </c>
      <c r="O560" s="46">
        <f t="shared" si="55"/>
        <v>1374.33</v>
      </c>
      <c r="P560" s="41">
        <f t="shared" si="56"/>
        <v>137.433</v>
      </c>
      <c r="Q560" s="65"/>
    </row>
    <row r="561" s="2" customFormat="1" spans="1:17">
      <c r="A561" s="15">
        <v>45208</v>
      </c>
      <c r="B561" s="69">
        <v>1359.15</v>
      </c>
      <c r="C561" s="64">
        <v>9252</v>
      </c>
      <c r="D561" s="64">
        <v>543</v>
      </c>
      <c r="E561" s="18">
        <v>2</v>
      </c>
      <c r="F561" s="55">
        <v>3009</v>
      </c>
      <c r="G561" s="18">
        <v>15</v>
      </c>
      <c r="H561" s="18">
        <v>12</v>
      </c>
      <c r="I561" s="18">
        <v>5</v>
      </c>
      <c r="J561" s="44">
        <f t="shared" si="50"/>
        <v>0.0586900129701686</v>
      </c>
      <c r="K561" s="41">
        <f t="shared" si="51"/>
        <v>2.50303867403315</v>
      </c>
      <c r="L561" s="45">
        <f t="shared" si="52"/>
        <v>2.21388367729831</v>
      </c>
      <c r="M561" s="44">
        <f t="shared" si="53"/>
        <v>0.00368324125230203</v>
      </c>
      <c r="N561" s="46">
        <f t="shared" si="54"/>
        <v>1504.5</v>
      </c>
      <c r="O561" s="46">
        <f t="shared" si="55"/>
        <v>679.575</v>
      </c>
      <c r="P561" s="41">
        <f t="shared" si="56"/>
        <v>90.61</v>
      </c>
      <c r="Q561" s="65"/>
    </row>
    <row r="562" s="2" customFormat="1" spans="1:17">
      <c r="A562" s="15">
        <v>45209</v>
      </c>
      <c r="B562" s="57">
        <v>1469.09</v>
      </c>
      <c r="C562" s="54">
        <v>9461</v>
      </c>
      <c r="D562" s="54">
        <v>605</v>
      </c>
      <c r="E562" s="18">
        <v>1</v>
      </c>
      <c r="F562" s="55">
        <v>48262</v>
      </c>
      <c r="G562" s="18">
        <v>16</v>
      </c>
      <c r="H562" s="18">
        <v>12</v>
      </c>
      <c r="I562" s="18">
        <v>5</v>
      </c>
      <c r="J562" s="44">
        <f t="shared" si="50"/>
        <v>0.0639467286756157</v>
      </c>
      <c r="K562" s="41">
        <f t="shared" si="51"/>
        <v>2.4282479338843</v>
      </c>
      <c r="L562" s="45">
        <f t="shared" si="52"/>
        <v>32.8516292398696</v>
      </c>
      <c r="M562" s="44">
        <f t="shared" si="53"/>
        <v>0.00165289256198347</v>
      </c>
      <c r="N562" s="46">
        <f t="shared" si="54"/>
        <v>48262</v>
      </c>
      <c r="O562" s="46">
        <f t="shared" si="55"/>
        <v>1469.09</v>
      </c>
      <c r="P562" s="41">
        <f t="shared" si="56"/>
        <v>91.818125</v>
      </c>
    </row>
    <row r="563" s="2" customFormat="1" spans="1:17">
      <c r="A563" s="15">
        <v>45210</v>
      </c>
      <c r="B563" s="70">
        <v>1470.94</v>
      </c>
      <c r="C563" s="54">
        <v>10217</v>
      </c>
      <c r="D563" s="54">
        <v>607</v>
      </c>
      <c r="E563" s="18">
        <v>4</v>
      </c>
      <c r="F563" s="55">
        <v>39.6</v>
      </c>
      <c r="G563" s="18">
        <v>19</v>
      </c>
      <c r="H563" s="18">
        <v>9</v>
      </c>
      <c r="I563" s="18">
        <v>5</v>
      </c>
      <c r="J563" s="44">
        <f t="shared" si="50"/>
        <v>0.0594107859449936</v>
      </c>
      <c r="K563" s="41">
        <f t="shared" si="51"/>
        <v>2.42329489291598</v>
      </c>
      <c r="L563" s="45">
        <f t="shared" si="52"/>
        <v>0.0269215603627612</v>
      </c>
      <c r="M563" s="44">
        <f t="shared" si="53"/>
        <v>0.00658978583196046</v>
      </c>
      <c r="N563" s="46">
        <f t="shared" si="54"/>
        <v>9.9</v>
      </c>
      <c r="O563" s="46">
        <f t="shared" si="55"/>
        <v>367.735</v>
      </c>
      <c r="P563" s="41">
        <f t="shared" si="56"/>
        <v>77.4178947368421</v>
      </c>
    </row>
    <row r="564" s="2" customFormat="1" spans="1:17">
      <c r="A564" s="15">
        <v>45211</v>
      </c>
      <c r="B564" s="70">
        <v>1368.39</v>
      </c>
      <c r="C564" s="54">
        <v>6461</v>
      </c>
      <c r="D564" s="54">
        <v>550</v>
      </c>
      <c r="E564" s="18">
        <v>2</v>
      </c>
      <c r="F564" s="55">
        <v>11892.9</v>
      </c>
      <c r="G564" s="18">
        <v>19</v>
      </c>
      <c r="H564" s="18">
        <v>11</v>
      </c>
      <c r="I564" s="18">
        <v>5</v>
      </c>
      <c r="J564" s="44">
        <f t="shared" si="50"/>
        <v>0.0851261414641696</v>
      </c>
      <c r="K564" s="41">
        <f t="shared" si="51"/>
        <v>2.48798181818182</v>
      </c>
      <c r="L564" s="45">
        <f t="shared" si="52"/>
        <v>8.69116260715147</v>
      </c>
      <c r="M564" s="44">
        <f t="shared" si="53"/>
        <v>0.00363636363636364</v>
      </c>
      <c r="N564" s="46">
        <f t="shared" si="54"/>
        <v>5946.45</v>
      </c>
      <c r="O564" s="46">
        <f t="shared" si="55"/>
        <v>684.195</v>
      </c>
      <c r="P564" s="41">
        <f t="shared" si="56"/>
        <v>72.0205263157895</v>
      </c>
    </row>
    <row r="565" s="2" customFormat="1" spans="1:17">
      <c r="A565" s="15">
        <v>45212</v>
      </c>
      <c r="B565" s="70">
        <v>907.12</v>
      </c>
      <c r="C565" s="54">
        <v>3561</v>
      </c>
      <c r="D565" s="54">
        <v>454</v>
      </c>
      <c r="E565" s="18">
        <v>0</v>
      </c>
      <c r="F565" s="55">
        <v>0</v>
      </c>
      <c r="G565" s="18">
        <v>14</v>
      </c>
      <c r="H565" s="18">
        <v>8</v>
      </c>
      <c r="I565" s="18">
        <v>3</v>
      </c>
      <c r="J565" s="44">
        <f t="shared" si="50"/>
        <v>0.127492277450154</v>
      </c>
      <c r="K565" s="41">
        <f t="shared" si="51"/>
        <v>1.99806167400881</v>
      </c>
      <c r="L565" s="45">
        <f t="shared" si="52"/>
        <v>0</v>
      </c>
      <c r="M565" s="44">
        <f t="shared" si="53"/>
        <v>0</v>
      </c>
      <c r="N565" s="46">
        <f t="shared" si="54"/>
        <v>0</v>
      </c>
      <c r="O565" s="46">
        <f t="shared" si="55"/>
        <v>0</v>
      </c>
      <c r="P565" s="41">
        <f t="shared" si="56"/>
        <v>64.7942857142857</v>
      </c>
    </row>
    <row r="566" s="2" customFormat="1" spans="1:17">
      <c r="A566" s="15">
        <v>45213</v>
      </c>
      <c r="B566" s="70">
        <v>835.85</v>
      </c>
      <c r="C566" s="54">
        <v>4354</v>
      </c>
      <c r="D566" s="54">
        <v>504</v>
      </c>
      <c r="E566" s="25">
        <v>1</v>
      </c>
      <c r="F566" s="49">
        <v>25614</v>
      </c>
      <c r="G566" s="25">
        <v>18</v>
      </c>
      <c r="H566" s="25">
        <v>7</v>
      </c>
      <c r="I566" s="25">
        <v>1</v>
      </c>
      <c r="J566" s="44">
        <f t="shared" si="50"/>
        <v>0.115755627009646</v>
      </c>
      <c r="K566" s="41">
        <f t="shared" si="51"/>
        <v>1.65843253968254</v>
      </c>
      <c r="L566" s="45">
        <f t="shared" si="52"/>
        <v>30.6442543518574</v>
      </c>
      <c r="M566" s="44">
        <f t="shared" si="53"/>
        <v>0.00198412698412698</v>
      </c>
      <c r="N566" s="46">
        <f t="shared" si="54"/>
        <v>25614</v>
      </c>
      <c r="O566" s="46">
        <f t="shared" si="55"/>
        <v>835.85</v>
      </c>
      <c r="P566" s="41">
        <f t="shared" si="56"/>
        <v>46.4361111111111</v>
      </c>
    </row>
    <row r="567" s="2" customFormat="1" spans="1:17">
      <c r="A567" s="15">
        <v>45214</v>
      </c>
      <c r="B567" s="70">
        <v>895.32</v>
      </c>
      <c r="C567" s="54">
        <v>4354</v>
      </c>
      <c r="D567" s="54">
        <v>466</v>
      </c>
      <c r="E567" s="25">
        <v>0</v>
      </c>
      <c r="F567" s="49">
        <v>0</v>
      </c>
      <c r="G567" s="25">
        <v>16</v>
      </c>
      <c r="H567" s="25">
        <v>8</v>
      </c>
      <c r="I567" s="25">
        <v>4</v>
      </c>
      <c r="J567" s="44">
        <f t="shared" si="50"/>
        <v>0.1070280202113</v>
      </c>
      <c r="K567" s="41">
        <f t="shared" si="51"/>
        <v>1.92128755364807</v>
      </c>
      <c r="L567" s="45">
        <f t="shared" si="52"/>
        <v>0</v>
      </c>
      <c r="M567" s="44">
        <f t="shared" si="53"/>
        <v>0</v>
      </c>
      <c r="N567" s="46">
        <f t="shared" si="54"/>
        <v>0</v>
      </c>
      <c r="O567" s="46">
        <f t="shared" si="55"/>
        <v>0</v>
      </c>
      <c r="P567" s="41">
        <f t="shared" si="56"/>
        <v>55.9575</v>
      </c>
    </row>
    <row r="568" s="2" customFormat="1" spans="1:17">
      <c r="A568" s="15">
        <v>45215</v>
      </c>
      <c r="B568" s="71">
        <v>1241.53</v>
      </c>
      <c r="C568" s="72">
        <v>4666</v>
      </c>
      <c r="D568" s="72">
        <v>585</v>
      </c>
      <c r="E568" s="25">
        <v>0</v>
      </c>
      <c r="F568" s="49">
        <v>0</v>
      </c>
      <c r="G568" s="25">
        <v>44</v>
      </c>
      <c r="H568" s="25">
        <v>19</v>
      </c>
      <c r="I568" s="25">
        <v>8</v>
      </c>
      <c r="J568" s="44">
        <f t="shared" si="50"/>
        <v>0.125375053579083</v>
      </c>
      <c r="K568" s="41">
        <f t="shared" si="51"/>
        <v>2.1222735042735</v>
      </c>
      <c r="L568" s="45">
        <f t="shared" si="52"/>
        <v>0</v>
      </c>
      <c r="M568" s="44">
        <f t="shared" si="53"/>
        <v>0</v>
      </c>
      <c r="N568" s="46">
        <f t="shared" si="54"/>
        <v>0</v>
      </c>
      <c r="O568" s="46">
        <f t="shared" si="55"/>
        <v>0</v>
      </c>
      <c r="P568" s="41">
        <f t="shared" si="56"/>
        <v>28.2165909090909</v>
      </c>
    </row>
    <row r="569" s="2" customFormat="1" spans="1:17">
      <c r="A569" s="15">
        <v>45216</v>
      </c>
      <c r="B569" s="49">
        <v>1230</v>
      </c>
      <c r="C569" s="22">
        <v>3063</v>
      </c>
      <c r="D569" s="22">
        <v>540</v>
      </c>
      <c r="E569" s="25">
        <v>0</v>
      </c>
      <c r="F569" s="49">
        <v>0</v>
      </c>
      <c r="G569" s="25">
        <v>33</v>
      </c>
      <c r="H569" s="25">
        <v>10</v>
      </c>
      <c r="I569" s="25">
        <v>2</v>
      </c>
      <c r="J569" s="44">
        <f t="shared" si="50"/>
        <v>0.176297747306562</v>
      </c>
      <c r="K569" s="41">
        <f t="shared" si="51"/>
        <v>2.27777777777778</v>
      </c>
      <c r="L569" s="45">
        <f t="shared" si="52"/>
        <v>0</v>
      </c>
      <c r="M569" s="44">
        <f t="shared" si="53"/>
        <v>0</v>
      </c>
      <c r="N569" s="46">
        <f t="shared" si="54"/>
        <v>0</v>
      </c>
      <c r="O569" s="46">
        <f t="shared" si="55"/>
        <v>0</v>
      </c>
      <c r="P569" s="41">
        <f t="shared" si="56"/>
        <v>37.2727272727273</v>
      </c>
    </row>
    <row r="570" s="2" customFormat="1" spans="1:17">
      <c r="A570" s="15">
        <v>45217</v>
      </c>
      <c r="B570" s="71">
        <v>1388.99</v>
      </c>
      <c r="C570" s="72">
        <v>3107</v>
      </c>
      <c r="D570" s="72">
        <v>646</v>
      </c>
      <c r="E570" s="25">
        <v>0</v>
      </c>
      <c r="F570" s="49">
        <v>0</v>
      </c>
      <c r="G570" s="25">
        <v>37</v>
      </c>
      <c r="H570" s="25">
        <v>24</v>
      </c>
      <c r="I570" s="25">
        <v>12</v>
      </c>
      <c r="J570" s="44">
        <f t="shared" si="50"/>
        <v>0.207917605407145</v>
      </c>
      <c r="K570" s="41">
        <f t="shared" si="51"/>
        <v>2.15013931888545</v>
      </c>
      <c r="L570" s="45">
        <f t="shared" si="52"/>
        <v>0</v>
      </c>
      <c r="M570" s="44">
        <f t="shared" si="53"/>
        <v>0</v>
      </c>
      <c r="N570" s="46">
        <f t="shared" si="54"/>
        <v>0</v>
      </c>
      <c r="O570" s="46">
        <f t="shared" si="55"/>
        <v>0</v>
      </c>
      <c r="P570" s="41">
        <f t="shared" si="56"/>
        <v>37.5402702702703</v>
      </c>
    </row>
    <row r="571" s="2" customFormat="1" spans="1:17">
      <c r="A571" s="15">
        <v>45218</v>
      </c>
      <c r="B571" s="71">
        <v>1489.2</v>
      </c>
      <c r="C571" s="72">
        <v>4569</v>
      </c>
      <c r="D571" s="72">
        <v>590</v>
      </c>
      <c r="E571" s="25">
        <v>0</v>
      </c>
      <c r="F571" s="49">
        <v>0</v>
      </c>
      <c r="G571" s="25">
        <v>46</v>
      </c>
      <c r="H571" s="25">
        <v>24</v>
      </c>
      <c r="I571" s="25">
        <v>11</v>
      </c>
      <c r="J571" s="44">
        <f t="shared" si="50"/>
        <v>0.129131100897352</v>
      </c>
      <c r="K571" s="41">
        <f t="shared" si="51"/>
        <v>2.52406779661017</v>
      </c>
      <c r="L571" s="45">
        <f t="shared" si="52"/>
        <v>0</v>
      </c>
      <c r="M571" s="44">
        <f t="shared" si="53"/>
        <v>0</v>
      </c>
      <c r="N571" s="46">
        <f t="shared" si="54"/>
        <v>0</v>
      </c>
      <c r="O571" s="46">
        <f t="shared" si="55"/>
        <v>0</v>
      </c>
      <c r="P571" s="41">
        <f t="shared" si="56"/>
        <v>32.3739130434783</v>
      </c>
    </row>
    <row r="572" s="2" customFormat="1" spans="1:17">
      <c r="A572" s="15">
        <v>45219</v>
      </c>
      <c r="B572" s="70">
        <v>1092.9</v>
      </c>
      <c r="C572" s="54">
        <v>3795</v>
      </c>
      <c r="D572" s="54">
        <v>472</v>
      </c>
      <c r="E572" s="25">
        <v>1</v>
      </c>
      <c r="F572" s="27">
        <v>13176</v>
      </c>
      <c r="G572" s="25">
        <v>38</v>
      </c>
      <c r="H572" s="25">
        <v>14</v>
      </c>
      <c r="I572" s="25">
        <v>6</v>
      </c>
      <c r="J572" s="44">
        <f t="shared" si="50"/>
        <v>0.12437417654809</v>
      </c>
      <c r="K572" s="41">
        <f t="shared" si="51"/>
        <v>2.31546610169492</v>
      </c>
      <c r="L572" s="45">
        <f t="shared" si="52"/>
        <v>12.0559978040077</v>
      </c>
      <c r="M572" s="44">
        <f t="shared" si="53"/>
        <v>0.00211864406779661</v>
      </c>
      <c r="N572" s="46">
        <f t="shared" si="54"/>
        <v>13176</v>
      </c>
      <c r="O572" s="46">
        <f t="shared" si="55"/>
        <v>1092.9</v>
      </c>
      <c r="P572" s="41">
        <f t="shared" si="56"/>
        <v>28.7605263157895</v>
      </c>
    </row>
    <row r="573" s="2" customFormat="1" spans="1:17">
      <c r="A573" s="15">
        <v>45220</v>
      </c>
      <c r="B573" s="70">
        <v>1263.09</v>
      </c>
      <c r="C573" s="54">
        <v>3723</v>
      </c>
      <c r="D573" s="54">
        <v>537</v>
      </c>
      <c r="E573" s="25">
        <v>0</v>
      </c>
      <c r="F573" s="27">
        <v>0</v>
      </c>
      <c r="G573" s="25">
        <v>32</v>
      </c>
      <c r="H573" s="25">
        <v>14</v>
      </c>
      <c r="I573" s="25">
        <v>8</v>
      </c>
      <c r="J573" s="44">
        <f t="shared" si="50"/>
        <v>0.144238517324738</v>
      </c>
      <c r="K573" s="41">
        <f t="shared" si="51"/>
        <v>2.35212290502793</v>
      </c>
      <c r="L573" s="45">
        <f t="shared" si="52"/>
        <v>0</v>
      </c>
      <c r="M573" s="44">
        <f t="shared" si="53"/>
        <v>0</v>
      </c>
      <c r="N573" s="46">
        <f t="shared" si="54"/>
        <v>0</v>
      </c>
      <c r="O573" s="46">
        <f t="shared" si="55"/>
        <v>0</v>
      </c>
      <c r="P573" s="41">
        <f t="shared" si="56"/>
        <v>39.4715625</v>
      </c>
    </row>
    <row r="574" s="2" customFormat="1" spans="1:17">
      <c r="A574" s="15">
        <v>45221</v>
      </c>
      <c r="B574" s="70">
        <v>1390.1</v>
      </c>
      <c r="C574" s="54">
        <v>3946</v>
      </c>
      <c r="D574" s="54">
        <v>587</v>
      </c>
      <c r="E574" s="25">
        <v>0</v>
      </c>
      <c r="F574" s="27">
        <v>0</v>
      </c>
      <c r="G574" s="25">
        <v>38</v>
      </c>
      <c r="H574" s="25">
        <v>13</v>
      </c>
      <c r="I574" s="25">
        <v>9</v>
      </c>
      <c r="J574" s="44">
        <f t="shared" si="50"/>
        <v>0.148758236188545</v>
      </c>
      <c r="K574" s="41">
        <f t="shared" si="51"/>
        <v>2.36814310051107</v>
      </c>
      <c r="L574" s="45">
        <f t="shared" si="52"/>
        <v>0</v>
      </c>
      <c r="M574" s="44">
        <f t="shared" si="53"/>
        <v>0</v>
      </c>
      <c r="N574" s="46">
        <f t="shared" si="54"/>
        <v>0</v>
      </c>
      <c r="O574" s="46">
        <f t="shared" si="55"/>
        <v>0</v>
      </c>
      <c r="P574" s="41">
        <f t="shared" si="56"/>
        <v>36.5815789473684</v>
      </c>
    </row>
    <row r="575" s="2" customFormat="1" spans="1:17">
      <c r="A575" s="15">
        <v>45222</v>
      </c>
      <c r="B575" s="71">
        <v>1335.95</v>
      </c>
      <c r="C575" s="72">
        <v>4284</v>
      </c>
      <c r="D575" s="72">
        <v>512</v>
      </c>
      <c r="E575" s="25">
        <v>1</v>
      </c>
      <c r="F575" s="49">
        <v>25962</v>
      </c>
      <c r="G575" s="25">
        <v>31</v>
      </c>
      <c r="H575" s="25">
        <v>13</v>
      </c>
      <c r="I575" s="25">
        <v>9</v>
      </c>
      <c r="J575" s="44">
        <f t="shared" si="50"/>
        <v>0.119514472455649</v>
      </c>
      <c r="K575" s="41">
        <f t="shared" si="51"/>
        <v>2.60927734375</v>
      </c>
      <c r="L575" s="45">
        <f t="shared" si="52"/>
        <v>19.433362027022</v>
      </c>
      <c r="M575" s="44">
        <f t="shared" si="53"/>
        <v>0.001953125</v>
      </c>
      <c r="N575" s="46">
        <f t="shared" si="54"/>
        <v>25962</v>
      </c>
      <c r="O575" s="46">
        <f t="shared" si="55"/>
        <v>1335.95</v>
      </c>
      <c r="P575" s="41">
        <f t="shared" si="56"/>
        <v>43.0951612903226</v>
      </c>
    </row>
    <row r="576" s="2" customFormat="1" ht="14.5" spans="1:17">
      <c r="A576" s="15">
        <v>45223</v>
      </c>
      <c r="B576" s="73">
        <v>2977.19</v>
      </c>
      <c r="C576" s="74">
        <v>5946</v>
      </c>
      <c r="D576" s="22">
        <v>896</v>
      </c>
      <c r="E576" s="25">
        <v>16</v>
      </c>
      <c r="F576" s="55">
        <f>121296+97076</f>
        <v>218372</v>
      </c>
      <c r="G576" s="25">
        <v>57</v>
      </c>
      <c r="H576" s="25">
        <v>49</v>
      </c>
      <c r="I576" s="25">
        <v>31</v>
      </c>
      <c r="J576" s="44">
        <f t="shared" si="50"/>
        <v>0.150689539186007</v>
      </c>
      <c r="K576" s="41">
        <f t="shared" si="51"/>
        <v>3.32275669642857</v>
      </c>
      <c r="L576" s="45">
        <f t="shared" si="52"/>
        <v>73.3483586872185</v>
      </c>
      <c r="M576" s="44">
        <f t="shared" si="53"/>
        <v>0.0178571428571429</v>
      </c>
      <c r="N576" s="46">
        <f t="shared" si="54"/>
        <v>13648.25</v>
      </c>
      <c r="O576" s="46">
        <f t="shared" si="55"/>
        <v>186.074375</v>
      </c>
      <c r="P576" s="41">
        <f t="shared" si="56"/>
        <v>52.2314035087719</v>
      </c>
    </row>
    <row r="577" s="2" customFormat="1" ht="14.5" spans="1:16">
      <c r="A577" s="15">
        <v>45224</v>
      </c>
      <c r="B577" s="75">
        <v>3045.95</v>
      </c>
      <c r="C577" s="74">
        <v>6426</v>
      </c>
      <c r="D577" s="22">
        <v>767</v>
      </c>
      <c r="E577" s="25">
        <v>14</v>
      </c>
      <c r="F577" s="55">
        <f>82579+83179</f>
        <v>165758</v>
      </c>
      <c r="G577" s="25">
        <v>51</v>
      </c>
      <c r="H577" s="25">
        <v>29</v>
      </c>
      <c r="I577" s="25">
        <v>16</v>
      </c>
      <c r="J577" s="44">
        <f t="shared" si="50"/>
        <v>0.119358854652972</v>
      </c>
      <c r="K577" s="41">
        <f t="shared" si="51"/>
        <v>3.97125162972621</v>
      </c>
      <c r="L577" s="45">
        <f t="shared" si="52"/>
        <v>54.4191467358295</v>
      </c>
      <c r="M577" s="44">
        <f t="shared" si="53"/>
        <v>0.0182529335071708</v>
      </c>
      <c r="N577" s="46">
        <f t="shared" si="54"/>
        <v>11839.8571428571</v>
      </c>
      <c r="O577" s="46">
        <f t="shared" si="55"/>
        <v>217.567857142857</v>
      </c>
      <c r="P577" s="41">
        <f t="shared" si="56"/>
        <v>59.7245098039216</v>
      </c>
    </row>
    <row r="578" s="2" customFormat="1" ht="14.5" spans="1:16">
      <c r="A578" s="15">
        <v>45225</v>
      </c>
      <c r="B578" s="75">
        <v>2480.84</v>
      </c>
      <c r="C578" s="74">
        <v>5143</v>
      </c>
      <c r="D578" s="22">
        <v>670</v>
      </c>
      <c r="E578" s="25">
        <v>11</v>
      </c>
      <c r="F578" s="55">
        <f>63121+52187</f>
        <v>115308</v>
      </c>
      <c r="G578" s="25">
        <v>25</v>
      </c>
      <c r="H578" s="25">
        <v>41</v>
      </c>
      <c r="I578" s="25">
        <v>24</v>
      </c>
      <c r="J578" s="44">
        <f t="shared" ref="J578:J641" si="57">D578/C578</f>
        <v>0.130274159051137</v>
      </c>
      <c r="K578" s="41">
        <f t="shared" ref="K578:K641" si="58">B578/D578</f>
        <v>3.70274626865672</v>
      </c>
      <c r="L578" s="45">
        <f t="shared" ref="L578:L641" si="59">F578/B578</f>
        <v>46.4794182615566</v>
      </c>
      <c r="M578" s="44">
        <f t="shared" ref="M578:M641" si="60">E578/D578</f>
        <v>0.0164179104477612</v>
      </c>
      <c r="N578" s="46">
        <f t="shared" ref="N578:N641" si="61">IF(E578=0,0,F578/E578)</f>
        <v>10482.5454545455</v>
      </c>
      <c r="O578" s="46">
        <f t="shared" ref="O578:O641" si="62">IF(E578=0,0,B578/E578)</f>
        <v>225.530909090909</v>
      </c>
      <c r="P578" s="41">
        <f t="shared" ref="P578:P641" si="63">B578/G578</f>
        <v>99.2336</v>
      </c>
    </row>
    <row r="579" s="2" customFormat="1" ht="14.5" spans="1:16">
      <c r="A579" s="15">
        <v>45226</v>
      </c>
      <c r="B579" s="75">
        <v>3227.27</v>
      </c>
      <c r="C579" s="74">
        <v>7030</v>
      </c>
      <c r="D579" s="22">
        <v>857</v>
      </c>
      <c r="E579" s="25">
        <v>4</v>
      </c>
      <c r="F579" s="55">
        <f>24093+24293</f>
        <v>48386</v>
      </c>
      <c r="G579" s="25">
        <v>76</v>
      </c>
      <c r="H579" s="25">
        <v>61</v>
      </c>
      <c r="I579" s="25">
        <v>30</v>
      </c>
      <c r="J579" s="44">
        <f t="shared" si="57"/>
        <v>0.121906116642959</v>
      </c>
      <c r="K579" s="41">
        <f t="shared" si="58"/>
        <v>3.76577596266044</v>
      </c>
      <c r="L579" s="45">
        <f t="shared" si="59"/>
        <v>14.9928577404432</v>
      </c>
      <c r="M579" s="44">
        <f t="shared" si="60"/>
        <v>0.00466744457409568</v>
      </c>
      <c r="N579" s="46">
        <f t="shared" si="61"/>
        <v>12096.5</v>
      </c>
      <c r="O579" s="46">
        <f t="shared" si="62"/>
        <v>806.8175</v>
      </c>
      <c r="P579" s="41">
        <f t="shared" si="63"/>
        <v>42.4640789473684</v>
      </c>
    </row>
    <row r="580" s="2" customFormat="1" ht="14.5" spans="1:16">
      <c r="A580" s="15">
        <v>45227</v>
      </c>
      <c r="B580" s="73">
        <v>2963.19</v>
      </c>
      <c r="C580" s="74">
        <v>6879</v>
      </c>
      <c r="D580" s="22">
        <v>813</v>
      </c>
      <c r="E580" s="25">
        <v>6</v>
      </c>
      <c r="F580" s="55">
        <f>64901+35593</f>
        <v>100494</v>
      </c>
      <c r="G580" s="25">
        <v>56</v>
      </c>
      <c r="H580" s="25">
        <v>52</v>
      </c>
      <c r="I580" s="25">
        <v>31</v>
      </c>
      <c r="J580" s="44">
        <f t="shared" si="57"/>
        <v>0.11818578281727</v>
      </c>
      <c r="K580" s="41">
        <f t="shared" si="58"/>
        <v>3.64476014760148</v>
      </c>
      <c r="L580" s="45">
        <f t="shared" si="59"/>
        <v>33.91412633007</v>
      </c>
      <c r="M580" s="44">
        <f t="shared" si="60"/>
        <v>0.00738007380073801</v>
      </c>
      <c r="N580" s="46">
        <f t="shared" si="61"/>
        <v>16749</v>
      </c>
      <c r="O580" s="46">
        <f t="shared" si="62"/>
        <v>493.865</v>
      </c>
      <c r="P580" s="41">
        <f t="shared" si="63"/>
        <v>52.9141071428571</v>
      </c>
    </row>
    <row r="581" s="2" customFormat="1" ht="14.5" spans="1:16">
      <c r="A581" s="15">
        <v>45228</v>
      </c>
      <c r="B581" s="75">
        <v>2688.85</v>
      </c>
      <c r="C581" s="74">
        <v>6981</v>
      </c>
      <c r="D581" s="22">
        <v>714</v>
      </c>
      <c r="E581" s="25">
        <v>18</v>
      </c>
      <c r="F581" s="55">
        <f>137869+111677</f>
        <v>249546</v>
      </c>
      <c r="G581" s="25">
        <v>32</v>
      </c>
      <c r="H581" s="25">
        <v>38</v>
      </c>
      <c r="I581" s="25">
        <v>24</v>
      </c>
      <c r="J581" s="44">
        <f t="shared" si="57"/>
        <v>0.102277610657499</v>
      </c>
      <c r="K581" s="41">
        <f t="shared" si="58"/>
        <v>3.76589635854342</v>
      </c>
      <c r="L581" s="45">
        <f t="shared" si="59"/>
        <v>92.8077058965729</v>
      </c>
      <c r="M581" s="44">
        <f t="shared" si="60"/>
        <v>0.0252100840336134</v>
      </c>
      <c r="N581" s="46">
        <f t="shared" si="61"/>
        <v>13863.6666666667</v>
      </c>
      <c r="O581" s="46">
        <f t="shared" si="62"/>
        <v>149.380555555556</v>
      </c>
      <c r="P581" s="41">
        <f t="shared" si="63"/>
        <v>84.0265625</v>
      </c>
    </row>
    <row r="582" s="2" customFormat="1" spans="1:16">
      <c r="A582" s="15">
        <v>45229</v>
      </c>
      <c r="B582" s="73">
        <v>2545.54</v>
      </c>
      <c r="C582" s="76">
        <v>9368</v>
      </c>
      <c r="D582" s="77">
        <v>730</v>
      </c>
      <c r="E582" s="78">
        <v>16</v>
      </c>
      <c r="F582" s="79">
        <f>110327+76782</f>
        <v>187109</v>
      </c>
      <c r="G582" s="78">
        <v>39</v>
      </c>
      <c r="H582" s="78">
        <v>38</v>
      </c>
      <c r="I582" s="78">
        <v>24</v>
      </c>
      <c r="J582" s="44">
        <f t="shared" si="57"/>
        <v>0.0779248505550811</v>
      </c>
      <c r="K582" s="41">
        <f t="shared" si="58"/>
        <v>3.48704109589041</v>
      </c>
      <c r="L582" s="45">
        <f t="shared" si="59"/>
        <v>73.5046394871029</v>
      </c>
      <c r="M582" s="44">
        <f t="shared" si="60"/>
        <v>0.0219178082191781</v>
      </c>
      <c r="N582" s="46">
        <f t="shared" si="61"/>
        <v>11694.3125</v>
      </c>
      <c r="O582" s="46">
        <f t="shared" si="62"/>
        <v>159.09625</v>
      </c>
      <c r="P582" s="41">
        <f t="shared" si="63"/>
        <v>65.2702564102564</v>
      </c>
    </row>
    <row r="583" s="2" customFormat="1" spans="1:16">
      <c r="A583" s="15">
        <v>45230</v>
      </c>
      <c r="B583" s="73">
        <v>8913.97</v>
      </c>
      <c r="C583" s="76">
        <v>16089</v>
      </c>
      <c r="D583" s="77">
        <v>1213</v>
      </c>
      <c r="E583" s="78">
        <v>30</v>
      </c>
      <c r="F583" s="79">
        <f>262297+115070</f>
        <v>377367</v>
      </c>
      <c r="G583" s="78">
        <v>73</v>
      </c>
      <c r="H583" s="78">
        <v>53</v>
      </c>
      <c r="I583" s="78">
        <v>32</v>
      </c>
      <c r="J583" s="44">
        <f t="shared" si="57"/>
        <v>0.0753931257380819</v>
      </c>
      <c r="K583" s="41">
        <f t="shared" si="58"/>
        <v>7.34869744435284</v>
      </c>
      <c r="L583" s="45">
        <f t="shared" si="59"/>
        <v>42.3343358795239</v>
      </c>
      <c r="M583" s="44">
        <f t="shared" si="60"/>
        <v>0.0247320692497939</v>
      </c>
      <c r="N583" s="46">
        <f t="shared" si="61"/>
        <v>12578.9</v>
      </c>
      <c r="O583" s="46">
        <f t="shared" si="62"/>
        <v>297.132333333333</v>
      </c>
      <c r="P583" s="41">
        <f t="shared" si="63"/>
        <v>122.109178082192</v>
      </c>
    </row>
    <row r="584" s="2" customFormat="1" spans="1:16">
      <c r="A584" s="15">
        <v>45231</v>
      </c>
      <c r="B584" s="80">
        <v>4213.87</v>
      </c>
      <c r="C584" s="76">
        <v>11116</v>
      </c>
      <c r="D584" s="77">
        <v>868</v>
      </c>
      <c r="E584" s="78">
        <v>11</v>
      </c>
      <c r="F584" s="79">
        <v>136164</v>
      </c>
      <c r="G584" s="78">
        <v>99</v>
      </c>
      <c r="H584" s="78">
        <v>27</v>
      </c>
      <c r="I584" s="78">
        <v>15</v>
      </c>
      <c r="J584" s="44">
        <f t="shared" si="57"/>
        <v>0.0780856423173804</v>
      </c>
      <c r="K584" s="41">
        <f t="shared" si="58"/>
        <v>4.85468894009217</v>
      </c>
      <c r="L584" s="45">
        <f t="shared" si="59"/>
        <v>32.3132892092067</v>
      </c>
      <c r="M584" s="44">
        <f t="shared" si="60"/>
        <v>0.0126728110599078</v>
      </c>
      <c r="N584" s="46">
        <f t="shared" si="61"/>
        <v>12378.5454545455</v>
      </c>
      <c r="O584" s="46">
        <f t="shared" si="62"/>
        <v>383.079090909091</v>
      </c>
      <c r="P584" s="41">
        <f t="shared" si="63"/>
        <v>42.5643434343434</v>
      </c>
    </row>
    <row r="585" s="2" customFormat="1" spans="1:16">
      <c r="A585" s="15">
        <v>45232</v>
      </c>
      <c r="B585" s="80">
        <v>3751.24</v>
      </c>
      <c r="C585" s="76">
        <v>11653</v>
      </c>
      <c r="D585" s="77">
        <v>797</v>
      </c>
      <c r="E585" s="78">
        <v>11</v>
      </c>
      <c r="F585" s="79">
        <v>135969</v>
      </c>
      <c r="G585" s="78">
        <v>88</v>
      </c>
      <c r="H585" s="78">
        <v>46</v>
      </c>
      <c r="I585" s="78">
        <v>28</v>
      </c>
      <c r="J585" s="44">
        <f t="shared" si="57"/>
        <v>0.0683944048742813</v>
      </c>
      <c r="K585" s="41">
        <f t="shared" si="58"/>
        <v>4.70670012547051</v>
      </c>
      <c r="L585" s="45">
        <f t="shared" si="59"/>
        <v>36.2464145189324</v>
      </c>
      <c r="M585" s="44">
        <f t="shared" si="60"/>
        <v>0.013801756587202</v>
      </c>
      <c r="N585" s="46">
        <f t="shared" si="61"/>
        <v>12360.8181818182</v>
      </c>
      <c r="O585" s="46">
        <f t="shared" si="62"/>
        <v>341.021818181818</v>
      </c>
      <c r="P585" s="41">
        <f t="shared" si="63"/>
        <v>42.6277272727273</v>
      </c>
    </row>
    <row r="586" s="2" customFormat="1" spans="1:16">
      <c r="A586" s="15">
        <v>45233</v>
      </c>
      <c r="B586" s="80">
        <v>3735.33</v>
      </c>
      <c r="C586" s="76">
        <v>9232</v>
      </c>
      <c r="D586" s="77">
        <v>676</v>
      </c>
      <c r="E586" s="78">
        <v>5</v>
      </c>
      <c r="F586" s="79">
        <v>74759</v>
      </c>
      <c r="G586" s="78">
        <v>45</v>
      </c>
      <c r="H586" s="78">
        <v>14</v>
      </c>
      <c r="I586" s="78">
        <v>7</v>
      </c>
      <c r="J586" s="44">
        <f t="shared" si="57"/>
        <v>0.0732235701906413</v>
      </c>
      <c r="K586" s="41">
        <f t="shared" si="58"/>
        <v>5.52563609467456</v>
      </c>
      <c r="L586" s="45">
        <f t="shared" si="59"/>
        <v>20.0140282116975</v>
      </c>
      <c r="M586" s="44">
        <f t="shared" si="60"/>
        <v>0.00739644970414201</v>
      </c>
      <c r="N586" s="46">
        <f t="shared" si="61"/>
        <v>14951.8</v>
      </c>
      <c r="O586" s="46">
        <f t="shared" si="62"/>
        <v>747.066</v>
      </c>
      <c r="P586" s="41">
        <f t="shared" si="63"/>
        <v>83.0073333333333</v>
      </c>
    </row>
    <row r="587" s="2" customFormat="1" spans="1:16">
      <c r="A587" s="15">
        <v>45234</v>
      </c>
      <c r="B587" s="80">
        <v>3645.96</v>
      </c>
      <c r="C587" s="76">
        <v>11216</v>
      </c>
      <c r="D587" s="77">
        <v>797</v>
      </c>
      <c r="E587" s="78">
        <v>2</v>
      </c>
      <c r="F587" s="79">
        <v>22094</v>
      </c>
      <c r="G587" s="78">
        <v>52</v>
      </c>
      <c r="H587" s="78">
        <v>20</v>
      </c>
      <c r="I587" s="78">
        <v>14</v>
      </c>
      <c r="J587" s="44">
        <f t="shared" si="57"/>
        <v>0.0710592011412268</v>
      </c>
      <c r="K587" s="41">
        <f t="shared" si="58"/>
        <v>4.57460476787955</v>
      </c>
      <c r="L587" s="45">
        <f t="shared" si="59"/>
        <v>6.05985803464657</v>
      </c>
      <c r="M587" s="44">
        <f t="shared" si="60"/>
        <v>0.00250941028858218</v>
      </c>
      <c r="N587" s="46">
        <f t="shared" si="61"/>
        <v>11047</v>
      </c>
      <c r="O587" s="46">
        <f t="shared" si="62"/>
        <v>1822.98</v>
      </c>
      <c r="P587" s="41">
        <f t="shared" si="63"/>
        <v>70.1146153846154</v>
      </c>
    </row>
    <row r="588" s="2" customFormat="1" spans="1:16">
      <c r="A588" s="15">
        <v>45235</v>
      </c>
      <c r="B588" s="80">
        <v>4354.76</v>
      </c>
      <c r="C588" s="76">
        <v>11741</v>
      </c>
      <c r="D588" s="77">
        <v>1057</v>
      </c>
      <c r="E588" s="78">
        <v>5</v>
      </c>
      <c r="F588" s="79">
        <v>51473</v>
      </c>
      <c r="G588" s="78">
        <v>74</v>
      </c>
      <c r="H588" s="78">
        <v>40</v>
      </c>
      <c r="I588" s="78">
        <v>22</v>
      </c>
      <c r="J588" s="44">
        <f t="shared" si="57"/>
        <v>0.0900264032024529</v>
      </c>
      <c r="K588" s="41">
        <f t="shared" si="58"/>
        <v>4.1199243140965</v>
      </c>
      <c r="L588" s="45">
        <f t="shared" si="59"/>
        <v>11.8199395603891</v>
      </c>
      <c r="M588" s="44">
        <f t="shared" si="60"/>
        <v>0.00473036896877956</v>
      </c>
      <c r="N588" s="46">
        <f t="shared" si="61"/>
        <v>10294.6</v>
      </c>
      <c r="O588" s="46">
        <f t="shared" si="62"/>
        <v>870.952</v>
      </c>
      <c r="P588" s="41">
        <f t="shared" si="63"/>
        <v>58.8481081081081</v>
      </c>
    </row>
    <row r="589" s="2" customFormat="1" spans="1:16">
      <c r="A589" s="15">
        <v>45236</v>
      </c>
      <c r="B589" s="80">
        <v>4224.21</v>
      </c>
      <c r="C589" s="76">
        <v>11756</v>
      </c>
      <c r="D589" s="77">
        <v>968</v>
      </c>
      <c r="E589" s="78">
        <v>3</v>
      </c>
      <c r="F589" s="79">
        <v>32191</v>
      </c>
      <c r="G589" s="78">
        <v>62</v>
      </c>
      <c r="H589" s="78">
        <v>29</v>
      </c>
      <c r="I589" s="78">
        <v>17</v>
      </c>
      <c r="J589" s="44">
        <f t="shared" si="57"/>
        <v>0.0823409322898945</v>
      </c>
      <c r="K589" s="41">
        <f t="shared" si="58"/>
        <v>4.36385330578512</v>
      </c>
      <c r="L589" s="45">
        <f t="shared" si="59"/>
        <v>7.62059651390437</v>
      </c>
      <c r="M589" s="44">
        <f t="shared" si="60"/>
        <v>0.00309917355371901</v>
      </c>
      <c r="N589" s="46">
        <f t="shared" si="61"/>
        <v>10730.3333333333</v>
      </c>
      <c r="O589" s="46">
        <f t="shared" si="62"/>
        <v>1408.07</v>
      </c>
      <c r="P589" s="41">
        <f t="shared" si="63"/>
        <v>68.1324193548387</v>
      </c>
    </row>
    <row r="590" s="2" customFormat="1" spans="1:16">
      <c r="A590" s="15">
        <v>45237</v>
      </c>
      <c r="B590" s="73">
        <v>3889.46</v>
      </c>
      <c r="C590" s="76">
        <v>11123</v>
      </c>
      <c r="D590" s="76">
        <v>895</v>
      </c>
      <c r="E590" s="81">
        <v>2</v>
      </c>
      <c r="F590" s="73">
        <v>20196</v>
      </c>
      <c r="G590" s="81">
        <v>50</v>
      </c>
      <c r="H590" s="81">
        <v>26</v>
      </c>
      <c r="I590" s="81">
        <v>15</v>
      </c>
      <c r="J590" s="44">
        <f t="shared" si="57"/>
        <v>0.0804639036231233</v>
      </c>
      <c r="K590" s="41">
        <f t="shared" si="58"/>
        <v>4.34576536312849</v>
      </c>
      <c r="L590" s="45">
        <f t="shared" si="59"/>
        <v>5.19249458793766</v>
      </c>
      <c r="M590" s="44">
        <f t="shared" si="60"/>
        <v>0.00223463687150838</v>
      </c>
      <c r="N590" s="46">
        <f t="shared" si="61"/>
        <v>10098</v>
      </c>
      <c r="O590" s="46">
        <f t="shared" si="62"/>
        <v>1944.73</v>
      </c>
      <c r="P590" s="41">
        <f t="shared" si="63"/>
        <v>77.7892</v>
      </c>
    </row>
    <row r="591" s="2" customFormat="1" spans="1:16">
      <c r="A591" s="82">
        <v>45238</v>
      </c>
      <c r="B591" s="79">
        <v>4255.42</v>
      </c>
      <c r="C591" s="77">
        <v>11267</v>
      </c>
      <c r="D591" s="77">
        <v>913</v>
      </c>
      <c r="E591" s="78">
        <v>5</v>
      </c>
      <c r="F591" s="79">
        <v>0.05</v>
      </c>
      <c r="G591" s="78">
        <v>53</v>
      </c>
      <c r="H591" s="78">
        <v>22</v>
      </c>
      <c r="I591" s="78">
        <v>11</v>
      </c>
      <c r="J591" s="44">
        <f t="shared" si="57"/>
        <v>0.0810331055294222</v>
      </c>
      <c r="K591" s="41">
        <f t="shared" si="58"/>
        <v>4.66092004381161</v>
      </c>
      <c r="L591" s="45">
        <f t="shared" si="59"/>
        <v>1.17497215315997e-5</v>
      </c>
      <c r="M591" s="44">
        <f t="shared" si="60"/>
        <v>0.00547645125958379</v>
      </c>
      <c r="N591" s="46">
        <f t="shared" si="61"/>
        <v>0.01</v>
      </c>
      <c r="O591" s="46">
        <f t="shared" si="62"/>
        <v>851.084</v>
      </c>
      <c r="P591" s="41">
        <f t="shared" si="63"/>
        <v>80.2909433962264</v>
      </c>
    </row>
    <row r="592" s="2" customFormat="1" spans="1:16">
      <c r="A592" s="82">
        <v>45239</v>
      </c>
      <c r="B592" s="79">
        <v>4281.38</v>
      </c>
      <c r="C592" s="77">
        <v>12095</v>
      </c>
      <c r="D592" s="77">
        <v>908</v>
      </c>
      <c r="E592" s="78">
        <v>9</v>
      </c>
      <c r="F592" s="79">
        <v>53549.04</v>
      </c>
      <c r="G592" s="78">
        <v>48</v>
      </c>
      <c r="H592" s="78">
        <v>21</v>
      </c>
      <c r="I592" s="78">
        <v>13</v>
      </c>
      <c r="J592" s="44">
        <f t="shared" si="57"/>
        <v>0.0750723439437784</v>
      </c>
      <c r="K592" s="41">
        <f t="shared" si="58"/>
        <v>4.71517621145374</v>
      </c>
      <c r="L592" s="45">
        <f t="shared" si="59"/>
        <v>12.5074251759947</v>
      </c>
      <c r="M592" s="44">
        <f t="shared" si="60"/>
        <v>0.00991189427312775</v>
      </c>
      <c r="N592" s="46">
        <f t="shared" si="61"/>
        <v>5949.89333333333</v>
      </c>
      <c r="O592" s="46">
        <f t="shared" si="62"/>
        <v>475.708888888889</v>
      </c>
      <c r="P592" s="41">
        <f t="shared" si="63"/>
        <v>89.1954166666667</v>
      </c>
    </row>
    <row r="593" s="2" customFormat="1" spans="1:16">
      <c r="A593" s="82">
        <v>45240</v>
      </c>
      <c r="B593" s="73">
        <v>4494.95</v>
      </c>
      <c r="C593" s="76">
        <v>10394</v>
      </c>
      <c r="D593" s="76">
        <v>928</v>
      </c>
      <c r="E593" s="81">
        <v>17</v>
      </c>
      <c r="F593" s="79">
        <v>78355.11</v>
      </c>
      <c r="G593" s="78">
        <v>88</v>
      </c>
      <c r="H593" s="78">
        <v>30</v>
      </c>
      <c r="I593" s="78">
        <v>17</v>
      </c>
      <c r="J593" s="44">
        <f t="shared" si="57"/>
        <v>0.0892822782374447</v>
      </c>
      <c r="K593" s="41">
        <f t="shared" si="58"/>
        <v>4.84369612068966</v>
      </c>
      <c r="L593" s="45">
        <f t="shared" si="59"/>
        <v>17.4318090301338</v>
      </c>
      <c r="M593" s="44">
        <f t="shared" si="60"/>
        <v>0.0183189655172414</v>
      </c>
      <c r="N593" s="46">
        <f t="shared" si="61"/>
        <v>4609.12411764706</v>
      </c>
      <c r="O593" s="46">
        <f t="shared" si="62"/>
        <v>264.408823529412</v>
      </c>
      <c r="P593" s="41">
        <f t="shared" si="63"/>
        <v>51.0789772727273</v>
      </c>
    </row>
    <row r="594" s="2" customFormat="1" spans="1:16">
      <c r="A594" s="82">
        <v>45241</v>
      </c>
      <c r="B594" s="73">
        <v>5276.98</v>
      </c>
      <c r="C594" s="76">
        <v>11759</v>
      </c>
      <c r="D594" s="76">
        <v>1047</v>
      </c>
      <c r="E594" s="81">
        <v>32</v>
      </c>
      <c r="F594" s="83">
        <v>217552.14</v>
      </c>
      <c r="G594" s="78">
        <v>77</v>
      </c>
      <c r="H594" s="78">
        <v>34</v>
      </c>
      <c r="I594" s="78">
        <v>24</v>
      </c>
      <c r="J594" s="44">
        <f t="shared" si="57"/>
        <v>0.0890381835190067</v>
      </c>
      <c r="K594" s="41">
        <f t="shared" si="58"/>
        <v>5.04009551098376</v>
      </c>
      <c r="L594" s="45">
        <f t="shared" si="59"/>
        <v>41.2266372053713</v>
      </c>
      <c r="M594" s="44">
        <f t="shared" si="60"/>
        <v>0.0305635148042025</v>
      </c>
      <c r="N594" s="46">
        <f t="shared" si="61"/>
        <v>6798.504375</v>
      </c>
      <c r="O594" s="46">
        <f t="shared" si="62"/>
        <v>164.905625</v>
      </c>
      <c r="P594" s="41">
        <f t="shared" si="63"/>
        <v>68.5322077922078</v>
      </c>
    </row>
    <row r="595" s="2" customFormat="1" spans="1:16">
      <c r="A595" s="82">
        <v>45242</v>
      </c>
      <c r="B595" s="84">
        <v>3325.97</v>
      </c>
      <c r="C595" s="68">
        <v>10727</v>
      </c>
      <c r="D595" s="68">
        <v>828</v>
      </c>
      <c r="E595" s="85">
        <v>3</v>
      </c>
      <c r="F595" s="55">
        <v>10997.02</v>
      </c>
      <c r="G595" s="78">
        <v>46</v>
      </c>
      <c r="H595" s="78">
        <v>13</v>
      </c>
      <c r="I595" s="78">
        <v>6</v>
      </c>
      <c r="J595" s="44">
        <f t="shared" si="57"/>
        <v>0.0771884030949939</v>
      </c>
      <c r="K595" s="41">
        <f t="shared" si="58"/>
        <v>4.01687198067633</v>
      </c>
      <c r="L595" s="45">
        <f t="shared" si="59"/>
        <v>3.30640985937937</v>
      </c>
      <c r="M595" s="44">
        <f t="shared" si="60"/>
        <v>0.0036231884057971</v>
      </c>
      <c r="N595" s="46">
        <f t="shared" si="61"/>
        <v>3665.67333333333</v>
      </c>
      <c r="O595" s="46">
        <f t="shared" si="62"/>
        <v>1108.65666666667</v>
      </c>
      <c r="P595" s="41">
        <f t="shared" si="63"/>
        <v>72.3036956521739</v>
      </c>
    </row>
    <row r="596" s="2" customFormat="1" spans="1:16">
      <c r="A596" s="82">
        <v>45243</v>
      </c>
      <c r="B596" s="79">
        <v>2877.89</v>
      </c>
      <c r="C596" s="17">
        <v>12093</v>
      </c>
      <c r="D596" s="17">
        <v>835</v>
      </c>
      <c r="E596" s="18">
        <v>5</v>
      </c>
      <c r="F596" s="55">
        <v>20895.03</v>
      </c>
      <c r="G596" s="25">
        <v>33</v>
      </c>
      <c r="H596" s="25">
        <v>9</v>
      </c>
      <c r="I596" s="25">
        <v>4</v>
      </c>
      <c r="J596" s="44">
        <f t="shared" si="57"/>
        <v>0.0690482097080956</v>
      </c>
      <c r="K596" s="41">
        <f t="shared" si="58"/>
        <v>3.4465748502994</v>
      </c>
      <c r="L596" s="45">
        <f t="shared" si="59"/>
        <v>7.2605381025682</v>
      </c>
      <c r="M596" s="44">
        <f t="shared" si="60"/>
        <v>0.00598802395209581</v>
      </c>
      <c r="N596" s="46">
        <f t="shared" si="61"/>
        <v>4179.006</v>
      </c>
      <c r="O596" s="46">
        <f t="shared" si="62"/>
        <v>575.578</v>
      </c>
      <c r="P596" s="41">
        <f t="shared" si="63"/>
        <v>87.2087878787879</v>
      </c>
    </row>
    <row r="597" s="2" customFormat="1" spans="1:16">
      <c r="A597" s="82">
        <v>45244</v>
      </c>
      <c r="B597" s="79">
        <v>2012.29</v>
      </c>
      <c r="C597" s="86">
        <v>9606</v>
      </c>
      <c r="D597" s="86">
        <v>610</v>
      </c>
      <c r="E597" s="18">
        <v>0</v>
      </c>
      <c r="F597" s="55">
        <v>0</v>
      </c>
      <c r="G597" s="25">
        <v>20</v>
      </c>
      <c r="H597" s="25">
        <v>9</v>
      </c>
      <c r="I597" s="25">
        <v>3</v>
      </c>
      <c r="J597" s="44">
        <f t="shared" si="57"/>
        <v>0.0635019779304601</v>
      </c>
      <c r="K597" s="41">
        <f t="shared" si="58"/>
        <v>3.29883606557377</v>
      </c>
      <c r="L597" s="45">
        <f t="shared" si="59"/>
        <v>0</v>
      </c>
      <c r="M597" s="44">
        <f t="shared" si="60"/>
        <v>0</v>
      </c>
      <c r="N597" s="46">
        <f t="shared" si="61"/>
        <v>0</v>
      </c>
      <c r="O597" s="46">
        <f t="shared" si="62"/>
        <v>0</v>
      </c>
      <c r="P597" s="41">
        <f t="shared" si="63"/>
        <v>100.6145</v>
      </c>
    </row>
    <row r="598" s="2" customFormat="1" spans="1:16">
      <c r="A598" s="82">
        <v>45245</v>
      </c>
      <c r="B598" s="79">
        <v>2317</v>
      </c>
      <c r="C598" s="54">
        <v>10156</v>
      </c>
      <c r="D598" s="54">
        <v>704</v>
      </c>
      <c r="E598" s="18">
        <v>0</v>
      </c>
      <c r="F598" s="55">
        <v>0</v>
      </c>
      <c r="G598" s="25">
        <v>20</v>
      </c>
      <c r="H598" s="25">
        <v>20</v>
      </c>
      <c r="I598" s="25">
        <v>7</v>
      </c>
      <c r="J598" s="44">
        <f t="shared" si="57"/>
        <v>0.0693186293816463</v>
      </c>
      <c r="K598" s="41">
        <f t="shared" si="58"/>
        <v>3.29119318181818</v>
      </c>
      <c r="L598" s="45">
        <f t="shared" si="59"/>
        <v>0</v>
      </c>
      <c r="M598" s="44">
        <f t="shared" si="60"/>
        <v>0</v>
      </c>
      <c r="N598" s="46">
        <f t="shared" si="61"/>
        <v>0</v>
      </c>
      <c r="O598" s="46">
        <f t="shared" si="62"/>
        <v>0</v>
      </c>
      <c r="P598" s="41">
        <f t="shared" si="63"/>
        <v>115.85</v>
      </c>
    </row>
    <row r="599" s="2" customFormat="1" spans="1:16">
      <c r="A599" s="82">
        <v>45246</v>
      </c>
      <c r="B599" s="87">
        <v>2201.35</v>
      </c>
      <c r="C599" s="53">
        <v>8378</v>
      </c>
      <c r="D599" s="53">
        <v>614</v>
      </c>
      <c r="E599" s="18">
        <v>0</v>
      </c>
      <c r="F599" s="55">
        <v>0</v>
      </c>
      <c r="G599" s="25">
        <v>22</v>
      </c>
      <c r="H599" s="25">
        <v>2</v>
      </c>
      <c r="I599" s="25">
        <v>4</v>
      </c>
      <c r="J599" s="44">
        <f t="shared" si="57"/>
        <v>0.073287180711387</v>
      </c>
      <c r="K599" s="41">
        <f t="shared" si="58"/>
        <v>3.58526058631922</v>
      </c>
      <c r="L599" s="45">
        <f t="shared" si="59"/>
        <v>0</v>
      </c>
      <c r="M599" s="44">
        <f t="shared" si="60"/>
        <v>0</v>
      </c>
      <c r="N599" s="46">
        <f t="shared" si="61"/>
        <v>0</v>
      </c>
      <c r="O599" s="46">
        <f t="shared" si="62"/>
        <v>0</v>
      </c>
      <c r="P599" s="41">
        <f t="shared" si="63"/>
        <v>100.061363636364</v>
      </c>
    </row>
    <row r="600" s="2" customFormat="1" spans="1:16">
      <c r="A600" s="82">
        <v>45247</v>
      </c>
      <c r="B600" s="70">
        <v>2018.14</v>
      </c>
      <c r="C600" s="54">
        <v>6890</v>
      </c>
      <c r="D600" s="54">
        <v>582</v>
      </c>
      <c r="E600" s="18">
        <v>0</v>
      </c>
      <c r="F600" s="55">
        <v>0</v>
      </c>
      <c r="G600" s="25">
        <v>9</v>
      </c>
      <c r="H600" s="25">
        <v>6</v>
      </c>
      <c r="I600" s="25">
        <v>3</v>
      </c>
      <c r="J600" s="44">
        <f t="shared" si="57"/>
        <v>0.0844702467343977</v>
      </c>
      <c r="K600" s="41">
        <f t="shared" si="58"/>
        <v>3.46759450171821</v>
      </c>
      <c r="L600" s="45">
        <f t="shared" si="59"/>
        <v>0</v>
      </c>
      <c r="M600" s="44">
        <f t="shared" si="60"/>
        <v>0</v>
      </c>
      <c r="N600" s="46">
        <f t="shared" si="61"/>
        <v>0</v>
      </c>
      <c r="O600" s="46">
        <f t="shared" si="62"/>
        <v>0</v>
      </c>
      <c r="P600" s="41">
        <f t="shared" si="63"/>
        <v>224.237777777778</v>
      </c>
    </row>
    <row r="601" s="2" customFormat="1" spans="1:16">
      <c r="A601" s="82">
        <v>45248</v>
      </c>
      <c r="B601" s="70">
        <v>1915.23</v>
      </c>
      <c r="C601" s="54">
        <v>7000</v>
      </c>
      <c r="D601" s="54">
        <v>571</v>
      </c>
      <c r="E601" s="18">
        <v>0</v>
      </c>
      <c r="F601" s="55">
        <v>0</v>
      </c>
      <c r="G601" s="25">
        <v>15</v>
      </c>
      <c r="H601" s="25">
        <v>10</v>
      </c>
      <c r="I601" s="25">
        <v>5</v>
      </c>
      <c r="J601" s="44">
        <f t="shared" si="57"/>
        <v>0.0815714285714286</v>
      </c>
      <c r="K601" s="41">
        <f t="shared" si="58"/>
        <v>3.35416812609457</v>
      </c>
      <c r="L601" s="45">
        <f t="shared" si="59"/>
        <v>0</v>
      </c>
      <c r="M601" s="44">
        <f t="shared" si="60"/>
        <v>0</v>
      </c>
      <c r="N601" s="46">
        <f t="shared" si="61"/>
        <v>0</v>
      </c>
      <c r="O601" s="46">
        <f t="shared" si="62"/>
        <v>0</v>
      </c>
      <c r="P601" s="41">
        <f t="shared" si="63"/>
        <v>127.682</v>
      </c>
    </row>
    <row r="602" s="2" customFormat="1" spans="1:16">
      <c r="A602" s="82">
        <v>45249</v>
      </c>
      <c r="B602" s="70">
        <v>1931.67</v>
      </c>
      <c r="C602" s="54">
        <v>7671</v>
      </c>
      <c r="D602" s="54">
        <v>615</v>
      </c>
      <c r="E602" s="18">
        <v>0</v>
      </c>
      <c r="F602" s="55">
        <v>0</v>
      </c>
      <c r="G602" s="25">
        <v>19</v>
      </c>
      <c r="H602" s="25">
        <v>16</v>
      </c>
      <c r="I602" s="25">
        <v>6</v>
      </c>
      <c r="J602" s="44">
        <f t="shared" si="57"/>
        <v>0.080172076652327</v>
      </c>
      <c r="K602" s="41">
        <f t="shared" si="58"/>
        <v>3.14092682926829</v>
      </c>
      <c r="L602" s="45">
        <f t="shared" si="59"/>
        <v>0</v>
      </c>
      <c r="M602" s="44">
        <f t="shared" si="60"/>
        <v>0</v>
      </c>
      <c r="N602" s="46">
        <f t="shared" si="61"/>
        <v>0</v>
      </c>
      <c r="O602" s="46">
        <f t="shared" si="62"/>
        <v>0</v>
      </c>
      <c r="P602" s="41">
        <f t="shared" si="63"/>
        <v>101.666842105263</v>
      </c>
    </row>
    <row r="603" s="2" customFormat="1" spans="1:16">
      <c r="A603" s="82">
        <v>45250</v>
      </c>
      <c r="B603" s="49">
        <v>1927.64</v>
      </c>
      <c r="C603" s="22">
        <v>7957</v>
      </c>
      <c r="D603" s="22">
        <v>622</v>
      </c>
      <c r="E603" s="25">
        <v>0</v>
      </c>
      <c r="F603" s="49">
        <v>0</v>
      </c>
      <c r="G603" s="25">
        <v>10</v>
      </c>
      <c r="H603" s="25">
        <v>12</v>
      </c>
      <c r="I603" s="25">
        <v>6</v>
      </c>
      <c r="J603" s="44">
        <f t="shared" si="57"/>
        <v>0.0781701646349127</v>
      </c>
      <c r="K603" s="41">
        <f t="shared" si="58"/>
        <v>3.09909967845659</v>
      </c>
      <c r="L603" s="45">
        <f t="shared" si="59"/>
        <v>0</v>
      </c>
      <c r="M603" s="44">
        <f t="shared" si="60"/>
        <v>0</v>
      </c>
      <c r="N603" s="46">
        <f t="shared" si="61"/>
        <v>0</v>
      </c>
      <c r="O603" s="46">
        <f t="shared" si="62"/>
        <v>0</v>
      </c>
      <c r="P603" s="41">
        <f t="shared" si="63"/>
        <v>192.764</v>
      </c>
    </row>
    <row r="604" s="2" customFormat="1" spans="1:16">
      <c r="A604" s="82">
        <v>45251</v>
      </c>
      <c r="B604" s="55">
        <v>1898.73</v>
      </c>
      <c r="C604" s="17">
        <v>8283</v>
      </c>
      <c r="D604" s="17">
        <v>656</v>
      </c>
      <c r="E604" s="18">
        <v>0</v>
      </c>
      <c r="F604" s="49">
        <v>0</v>
      </c>
      <c r="G604" s="25">
        <v>14</v>
      </c>
      <c r="H604" s="25">
        <v>10</v>
      </c>
      <c r="I604" s="25">
        <v>7</v>
      </c>
      <c r="J604" s="44">
        <f t="shared" si="57"/>
        <v>0.0791983580828202</v>
      </c>
      <c r="K604" s="41">
        <f t="shared" si="58"/>
        <v>2.89440548780488</v>
      </c>
      <c r="L604" s="45">
        <f t="shared" si="59"/>
        <v>0</v>
      </c>
      <c r="M604" s="44">
        <f t="shared" si="60"/>
        <v>0</v>
      </c>
      <c r="N604" s="46">
        <f t="shared" si="61"/>
        <v>0</v>
      </c>
      <c r="O604" s="46">
        <f t="shared" si="62"/>
        <v>0</v>
      </c>
      <c r="P604" s="41">
        <f t="shared" si="63"/>
        <v>135.623571428571</v>
      </c>
    </row>
    <row r="605" s="2" customFormat="1" spans="1:16">
      <c r="A605" s="82">
        <v>45252</v>
      </c>
      <c r="B605" s="70">
        <v>1914</v>
      </c>
      <c r="C605" s="54">
        <v>7351</v>
      </c>
      <c r="D605" s="54">
        <v>647</v>
      </c>
      <c r="E605" s="18">
        <v>0</v>
      </c>
      <c r="F605" s="49">
        <v>0</v>
      </c>
      <c r="G605" s="25">
        <v>22</v>
      </c>
      <c r="H605" s="25">
        <v>13</v>
      </c>
      <c r="I605" s="25">
        <v>8</v>
      </c>
      <c r="J605" s="44">
        <f t="shared" si="57"/>
        <v>0.0880152360223099</v>
      </c>
      <c r="K605" s="41">
        <f t="shared" si="58"/>
        <v>2.95826893353941</v>
      </c>
      <c r="L605" s="45">
        <f t="shared" si="59"/>
        <v>0</v>
      </c>
      <c r="M605" s="44">
        <f t="shared" si="60"/>
        <v>0</v>
      </c>
      <c r="N605" s="46">
        <f t="shared" si="61"/>
        <v>0</v>
      </c>
      <c r="O605" s="46">
        <f t="shared" si="62"/>
        <v>0</v>
      </c>
      <c r="P605" s="41">
        <f t="shared" si="63"/>
        <v>87</v>
      </c>
    </row>
    <row r="606" s="2" customFormat="1" spans="1:16">
      <c r="A606" s="82">
        <v>45253</v>
      </c>
      <c r="B606" s="49">
        <v>1870.75</v>
      </c>
      <c r="C606" s="22">
        <v>5988</v>
      </c>
      <c r="D606" s="22">
        <v>622</v>
      </c>
      <c r="E606" s="25">
        <v>0</v>
      </c>
      <c r="F606" s="49">
        <v>0</v>
      </c>
      <c r="G606" s="25">
        <v>24</v>
      </c>
      <c r="H606" s="25">
        <v>12</v>
      </c>
      <c r="I606" s="25">
        <v>5</v>
      </c>
      <c r="J606" s="44">
        <f t="shared" si="57"/>
        <v>0.103874415497662</v>
      </c>
      <c r="K606" s="41">
        <f t="shared" si="58"/>
        <v>3.00763665594855</v>
      </c>
      <c r="L606" s="45">
        <f t="shared" si="59"/>
        <v>0</v>
      </c>
      <c r="M606" s="44">
        <f t="shared" si="60"/>
        <v>0</v>
      </c>
      <c r="N606" s="46">
        <f t="shared" si="61"/>
        <v>0</v>
      </c>
      <c r="O606" s="46">
        <f t="shared" si="62"/>
        <v>0</v>
      </c>
      <c r="P606" s="41">
        <f t="shared" si="63"/>
        <v>77.9479166666667</v>
      </c>
    </row>
    <row r="607" s="2" customFormat="1" spans="1:16">
      <c r="A607" s="82">
        <v>45254</v>
      </c>
      <c r="B607" s="49">
        <v>1811.22</v>
      </c>
      <c r="C607" s="22">
        <v>6422</v>
      </c>
      <c r="D607" s="22">
        <v>597</v>
      </c>
      <c r="E607" s="25">
        <v>0</v>
      </c>
      <c r="F607" s="49">
        <v>0</v>
      </c>
      <c r="G607" s="25">
        <v>20</v>
      </c>
      <c r="H607" s="25">
        <v>13</v>
      </c>
      <c r="I607" s="25">
        <v>9</v>
      </c>
      <c r="J607" s="44">
        <f t="shared" si="57"/>
        <v>0.0929616941762691</v>
      </c>
      <c r="K607" s="41">
        <f t="shared" si="58"/>
        <v>3.03386934673367</v>
      </c>
      <c r="L607" s="45">
        <f t="shared" si="59"/>
        <v>0</v>
      </c>
      <c r="M607" s="44">
        <f t="shared" si="60"/>
        <v>0</v>
      </c>
      <c r="N607" s="46">
        <f t="shared" si="61"/>
        <v>0</v>
      </c>
      <c r="O607" s="46">
        <f t="shared" si="62"/>
        <v>0</v>
      </c>
      <c r="P607" s="41">
        <f t="shared" si="63"/>
        <v>90.561</v>
      </c>
    </row>
    <row r="608" s="2" customFormat="1" spans="1:16">
      <c r="A608" s="82">
        <v>45255</v>
      </c>
      <c r="B608" s="49">
        <v>1820.46</v>
      </c>
      <c r="C608" s="22">
        <v>5904</v>
      </c>
      <c r="D608" s="22">
        <v>571</v>
      </c>
      <c r="E608" s="25">
        <v>0</v>
      </c>
      <c r="F608" s="49">
        <v>0</v>
      </c>
      <c r="G608" s="25">
        <v>14</v>
      </c>
      <c r="H608" s="25">
        <v>15</v>
      </c>
      <c r="I608" s="25">
        <v>6</v>
      </c>
      <c r="J608" s="44">
        <f t="shared" si="57"/>
        <v>0.0967140921409214</v>
      </c>
      <c r="K608" s="41">
        <f t="shared" si="58"/>
        <v>3.18819614711033</v>
      </c>
      <c r="L608" s="45">
        <f t="shared" si="59"/>
        <v>0</v>
      </c>
      <c r="M608" s="44">
        <f t="shared" si="60"/>
        <v>0</v>
      </c>
      <c r="N608" s="46">
        <f t="shared" si="61"/>
        <v>0</v>
      </c>
      <c r="O608" s="46">
        <f t="shared" si="62"/>
        <v>0</v>
      </c>
      <c r="P608" s="41">
        <f t="shared" si="63"/>
        <v>130.032857142857</v>
      </c>
    </row>
    <row r="609" s="2" customFormat="1" spans="1:16">
      <c r="A609" s="82">
        <v>45256</v>
      </c>
      <c r="B609" s="49">
        <v>1797.64</v>
      </c>
      <c r="C609" s="22">
        <v>6356</v>
      </c>
      <c r="D609" s="22">
        <v>597</v>
      </c>
      <c r="E609" s="25">
        <v>0</v>
      </c>
      <c r="F609" s="49">
        <v>0</v>
      </c>
      <c r="G609" s="25">
        <v>16</v>
      </c>
      <c r="H609" s="25">
        <v>11</v>
      </c>
      <c r="I609" s="25">
        <v>7</v>
      </c>
      <c r="J609" s="44">
        <f t="shared" si="57"/>
        <v>0.0939269981120201</v>
      </c>
      <c r="K609" s="41">
        <f t="shared" si="58"/>
        <v>3.01112227805695</v>
      </c>
      <c r="L609" s="45">
        <f t="shared" si="59"/>
        <v>0</v>
      </c>
      <c r="M609" s="44">
        <f t="shared" si="60"/>
        <v>0</v>
      </c>
      <c r="N609" s="46">
        <f t="shared" si="61"/>
        <v>0</v>
      </c>
      <c r="O609" s="46">
        <f t="shared" si="62"/>
        <v>0</v>
      </c>
      <c r="P609" s="41">
        <f t="shared" si="63"/>
        <v>112.3525</v>
      </c>
    </row>
    <row r="610" s="2" customFormat="1" spans="1:16">
      <c r="A610" s="82">
        <v>45257</v>
      </c>
      <c r="B610" s="49">
        <v>1811.51</v>
      </c>
      <c r="C610" s="22">
        <v>6217</v>
      </c>
      <c r="D610" s="22">
        <v>583</v>
      </c>
      <c r="E610" s="25">
        <v>0</v>
      </c>
      <c r="F610" s="49">
        <v>0</v>
      </c>
      <c r="G610" s="25">
        <v>19</v>
      </c>
      <c r="H610" s="25">
        <v>7</v>
      </c>
      <c r="I610" s="25">
        <v>3</v>
      </c>
      <c r="J610" s="44">
        <f t="shared" si="57"/>
        <v>0.0937751327006595</v>
      </c>
      <c r="K610" s="41">
        <f t="shared" si="58"/>
        <v>3.10722126929674</v>
      </c>
      <c r="L610" s="45">
        <f t="shared" si="59"/>
        <v>0</v>
      </c>
      <c r="M610" s="44">
        <f t="shared" si="60"/>
        <v>0</v>
      </c>
      <c r="N610" s="46">
        <f t="shared" si="61"/>
        <v>0</v>
      </c>
      <c r="O610" s="46">
        <f t="shared" si="62"/>
        <v>0</v>
      </c>
      <c r="P610" s="41">
        <f t="shared" si="63"/>
        <v>95.3426315789474</v>
      </c>
    </row>
    <row r="611" s="2" customFormat="1" spans="1:16">
      <c r="A611" s="82">
        <v>45258</v>
      </c>
      <c r="B611" s="49">
        <v>1823.44</v>
      </c>
      <c r="C611" s="22">
        <v>7311</v>
      </c>
      <c r="D611" s="22">
        <v>628</v>
      </c>
      <c r="E611" s="25">
        <v>0</v>
      </c>
      <c r="F611" s="49">
        <v>0</v>
      </c>
      <c r="G611" s="25">
        <v>9</v>
      </c>
      <c r="H611" s="25">
        <v>9</v>
      </c>
      <c r="I611" s="25">
        <v>3</v>
      </c>
      <c r="J611" s="44">
        <f t="shared" si="57"/>
        <v>0.085897961975106</v>
      </c>
      <c r="K611" s="41">
        <f t="shared" si="58"/>
        <v>2.90356687898089</v>
      </c>
      <c r="L611" s="45">
        <f t="shared" si="59"/>
        <v>0</v>
      </c>
      <c r="M611" s="44">
        <f t="shared" si="60"/>
        <v>0</v>
      </c>
      <c r="N611" s="46">
        <f t="shared" si="61"/>
        <v>0</v>
      </c>
      <c r="O611" s="46">
        <f t="shared" si="62"/>
        <v>0</v>
      </c>
      <c r="P611" s="41">
        <f t="shared" si="63"/>
        <v>202.604444444444</v>
      </c>
    </row>
    <row r="612" s="2" customFormat="1" spans="1:16">
      <c r="A612" s="82">
        <v>45259</v>
      </c>
      <c r="B612" s="49">
        <v>1777.93</v>
      </c>
      <c r="C612" s="22">
        <v>8562</v>
      </c>
      <c r="D612" s="22">
        <v>683</v>
      </c>
      <c r="E612" s="25">
        <v>0</v>
      </c>
      <c r="F612" s="49">
        <v>0</v>
      </c>
      <c r="G612" s="25">
        <v>14</v>
      </c>
      <c r="H612" s="25">
        <v>6</v>
      </c>
      <c r="I612" s="25">
        <v>4</v>
      </c>
      <c r="J612" s="44">
        <f t="shared" si="57"/>
        <v>0.0797710815230086</v>
      </c>
      <c r="K612" s="41">
        <f t="shared" si="58"/>
        <v>2.60311859443631</v>
      </c>
      <c r="L612" s="45">
        <f t="shared" si="59"/>
        <v>0</v>
      </c>
      <c r="M612" s="44">
        <f t="shared" si="60"/>
        <v>0</v>
      </c>
      <c r="N612" s="46">
        <f t="shared" si="61"/>
        <v>0</v>
      </c>
      <c r="O612" s="46">
        <f t="shared" si="62"/>
        <v>0</v>
      </c>
      <c r="P612" s="41">
        <f t="shared" si="63"/>
        <v>126.995</v>
      </c>
    </row>
    <row r="613" s="2" customFormat="1" spans="1:16">
      <c r="A613" s="82">
        <v>45260</v>
      </c>
      <c r="B613" s="88">
        <v>1824.84</v>
      </c>
      <c r="C613" s="89">
        <v>7708</v>
      </c>
      <c r="D613" s="89">
        <v>643</v>
      </c>
      <c r="E613" s="25">
        <v>1</v>
      </c>
      <c r="F613" s="55">
        <v>18210</v>
      </c>
      <c r="G613" s="25">
        <v>17</v>
      </c>
      <c r="H613" s="25">
        <v>11</v>
      </c>
      <c r="I613" s="25">
        <v>6</v>
      </c>
      <c r="J613" s="44">
        <f t="shared" si="57"/>
        <v>0.0834198235599377</v>
      </c>
      <c r="K613" s="41">
        <f t="shared" si="58"/>
        <v>2.83800933125972</v>
      </c>
      <c r="L613" s="45">
        <f t="shared" si="59"/>
        <v>9.97895705924903</v>
      </c>
      <c r="M613" s="44">
        <f t="shared" si="60"/>
        <v>0.0015552099533437</v>
      </c>
      <c r="N613" s="46">
        <f t="shared" si="61"/>
        <v>18210</v>
      </c>
      <c r="O613" s="46">
        <f t="shared" si="62"/>
        <v>1824.84</v>
      </c>
      <c r="P613" s="41">
        <f t="shared" si="63"/>
        <v>107.343529411765</v>
      </c>
    </row>
    <row r="614" s="2" customFormat="1" spans="1:16">
      <c r="A614" s="82">
        <v>45261</v>
      </c>
      <c r="B614" s="21">
        <v>2420.01</v>
      </c>
      <c r="C614" s="22">
        <v>7250</v>
      </c>
      <c r="D614" s="22">
        <v>609</v>
      </c>
      <c r="E614" s="25">
        <v>0</v>
      </c>
      <c r="F614" s="21">
        <v>0</v>
      </c>
      <c r="G614" s="25">
        <v>34</v>
      </c>
      <c r="H614" s="25">
        <v>12</v>
      </c>
      <c r="I614" s="25">
        <v>6</v>
      </c>
      <c r="J614" s="44">
        <f t="shared" si="57"/>
        <v>0.084</v>
      </c>
      <c r="K614" s="41">
        <f t="shared" si="58"/>
        <v>3.97374384236453</v>
      </c>
      <c r="L614" s="45">
        <f t="shared" si="59"/>
        <v>0</v>
      </c>
      <c r="M614" s="44">
        <f t="shared" si="60"/>
        <v>0</v>
      </c>
      <c r="N614" s="46">
        <f t="shared" si="61"/>
        <v>0</v>
      </c>
      <c r="O614" s="46">
        <f t="shared" si="62"/>
        <v>0</v>
      </c>
      <c r="P614" s="41">
        <f t="shared" si="63"/>
        <v>71.1767647058824</v>
      </c>
    </row>
    <row r="615" s="2" customFormat="1" spans="1:16">
      <c r="A615" s="82">
        <v>45262</v>
      </c>
      <c r="B615" s="21">
        <v>4043.45</v>
      </c>
      <c r="C615" s="22">
        <v>10903</v>
      </c>
      <c r="D615" s="22">
        <v>748</v>
      </c>
      <c r="E615" s="25">
        <v>0</v>
      </c>
      <c r="F615" s="21">
        <v>0</v>
      </c>
      <c r="G615" s="25">
        <v>20</v>
      </c>
      <c r="H615" s="25">
        <v>13</v>
      </c>
      <c r="I615" s="25">
        <v>6</v>
      </c>
      <c r="J615" s="44">
        <f t="shared" si="57"/>
        <v>0.0686049711088691</v>
      </c>
      <c r="K615" s="41">
        <f t="shared" si="58"/>
        <v>5.40568181818182</v>
      </c>
      <c r="L615" s="45">
        <f t="shared" si="59"/>
        <v>0</v>
      </c>
      <c r="M615" s="44">
        <f t="shared" si="60"/>
        <v>0</v>
      </c>
      <c r="N615" s="46">
        <f t="shared" si="61"/>
        <v>0</v>
      </c>
      <c r="O615" s="46">
        <f t="shared" si="62"/>
        <v>0</v>
      </c>
      <c r="P615" s="41">
        <f t="shared" si="63"/>
        <v>202.1725</v>
      </c>
    </row>
    <row r="616" s="2" customFormat="1" spans="1:16">
      <c r="A616" s="82">
        <v>45263</v>
      </c>
      <c r="B616" s="21">
        <v>5694.11</v>
      </c>
      <c r="C616" s="22">
        <v>13897</v>
      </c>
      <c r="D616" s="22">
        <v>841</v>
      </c>
      <c r="E616" s="25">
        <v>0</v>
      </c>
      <c r="F616" s="21">
        <v>0</v>
      </c>
      <c r="G616" s="25">
        <v>25</v>
      </c>
      <c r="H616" s="25">
        <v>17</v>
      </c>
      <c r="I616" s="25">
        <v>11</v>
      </c>
      <c r="J616" s="44">
        <f t="shared" si="57"/>
        <v>0.0605166582715694</v>
      </c>
      <c r="K616" s="41">
        <f t="shared" si="58"/>
        <v>6.77064209274673</v>
      </c>
      <c r="L616" s="45">
        <f t="shared" si="59"/>
        <v>0</v>
      </c>
      <c r="M616" s="44">
        <f t="shared" si="60"/>
        <v>0</v>
      </c>
      <c r="N616" s="46">
        <f t="shared" si="61"/>
        <v>0</v>
      </c>
      <c r="O616" s="46">
        <f t="shared" si="62"/>
        <v>0</v>
      </c>
      <c r="P616" s="41">
        <f t="shared" si="63"/>
        <v>227.7644</v>
      </c>
    </row>
    <row r="617" s="2" customFormat="1" spans="1:16">
      <c r="A617" s="82">
        <v>45264</v>
      </c>
      <c r="B617" s="21">
        <v>4251.86</v>
      </c>
      <c r="C617" s="22">
        <v>10737</v>
      </c>
      <c r="D617" s="22">
        <v>719</v>
      </c>
      <c r="E617" s="25">
        <v>0</v>
      </c>
      <c r="F617" s="21">
        <v>0</v>
      </c>
      <c r="G617" s="25">
        <v>25</v>
      </c>
      <c r="H617" s="25">
        <v>14</v>
      </c>
      <c r="I617" s="25">
        <v>8</v>
      </c>
      <c r="J617" s="44">
        <f t="shared" si="57"/>
        <v>0.0669647014994878</v>
      </c>
      <c r="K617" s="41">
        <f t="shared" si="58"/>
        <v>5.91357440890125</v>
      </c>
      <c r="L617" s="45">
        <f t="shared" si="59"/>
        <v>0</v>
      </c>
      <c r="M617" s="44">
        <f t="shared" si="60"/>
        <v>0</v>
      </c>
      <c r="N617" s="46">
        <f t="shared" si="61"/>
        <v>0</v>
      </c>
      <c r="O617" s="46">
        <f t="shared" si="62"/>
        <v>0</v>
      </c>
      <c r="P617" s="41">
        <f t="shared" si="63"/>
        <v>170.0744</v>
      </c>
    </row>
    <row r="618" s="2" customFormat="1" spans="1:16">
      <c r="A618" s="82">
        <v>45265</v>
      </c>
      <c r="B618" s="21">
        <v>3579.86</v>
      </c>
      <c r="C618" s="22">
        <v>11360</v>
      </c>
      <c r="D618" s="22">
        <v>572</v>
      </c>
      <c r="E618" s="25">
        <v>1</v>
      </c>
      <c r="F618" s="21">
        <v>30155</v>
      </c>
      <c r="G618" s="25">
        <v>36</v>
      </c>
      <c r="H618" s="25">
        <v>15</v>
      </c>
      <c r="I618" s="25">
        <v>9</v>
      </c>
      <c r="J618" s="44">
        <f t="shared" si="57"/>
        <v>0.0503521126760563</v>
      </c>
      <c r="K618" s="41">
        <f t="shared" si="58"/>
        <v>6.2584965034965</v>
      </c>
      <c r="L618" s="45">
        <f t="shared" si="59"/>
        <v>8.42351376869486</v>
      </c>
      <c r="M618" s="44">
        <f t="shared" si="60"/>
        <v>0.00174825174825175</v>
      </c>
      <c r="N618" s="46">
        <f t="shared" si="61"/>
        <v>30155</v>
      </c>
      <c r="O618" s="46">
        <f t="shared" si="62"/>
        <v>3579.86</v>
      </c>
      <c r="P618" s="41">
        <f t="shared" si="63"/>
        <v>99.4405555555556</v>
      </c>
    </row>
    <row r="619" s="2" customFormat="1" spans="1:16">
      <c r="A619" s="82">
        <v>45266</v>
      </c>
      <c r="B619" s="21">
        <v>3364.99</v>
      </c>
      <c r="C619" s="22">
        <v>13074</v>
      </c>
      <c r="D619" s="22">
        <v>802</v>
      </c>
      <c r="E619" s="25">
        <v>0</v>
      </c>
      <c r="F619" s="21">
        <v>0</v>
      </c>
      <c r="G619" s="25">
        <v>29</v>
      </c>
      <c r="H619" s="25">
        <v>19</v>
      </c>
      <c r="I619" s="25">
        <v>10</v>
      </c>
      <c r="J619" s="44">
        <f t="shared" si="57"/>
        <v>0.0613431237570751</v>
      </c>
      <c r="K619" s="41">
        <f t="shared" si="58"/>
        <v>4.19574812967581</v>
      </c>
      <c r="L619" s="45">
        <f t="shared" si="59"/>
        <v>0</v>
      </c>
      <c r="M619" s="44">
        <f t="shared" si="60"/>
        <v>0</v>
      </c>
      <c r="N619" s="46">
        <f t="shared" si="61"/>
        <v>0</v>
      </c>
      <c r="O619" s="46">
        <f t="shared" si="62"/>
        <v>0</v>
      </c>
      <c r="P619" s="41">
        <f t="shared" si="63"/>
        <v>116.034137931034</v>
      </c>
    </row>
    <row r="620" s="2" customFormat="1" spans="1:16">
      <c r="A620" s="82">
        <v>45267</v>
      </c>
      <c r="B620" s="21">
        <v>3711.06</v>
      </c>
      <c r="C620" s="22">
        <v>13399</v>
      </c>
      <c r="D620" s="22">
        <v>870</v>
      </c>
      <c r="E620" s="25">
        <v>0</v>
      </c>
      <c r="F620" s="21">
        <v>0</v>
      </c>
      <c r="G620" s="25">
        <v>22</v>
      </c>
      <c r="H620" s="25">
        <v>19</v>
      </c>
      <c r="I620" s="25">
        <v>12</v>
      </c>
      <c r="J620" s="44">
        <f t="shared" si="57"/>
        <v>0.0649302186730353</v>
      </c>
      <c r="K620" s="41">
        <f t="shared" si="58"/>
        <v>4.26558620689655</v>
      </c>
      <c r="L620" s="45">
        <f t="shared" si="59"/>
        <v>0</v>
      </c>
      <c r="M620" s="44">
        <f t="shared" si="60"/>
        <v>0</v>
      </c>
      <c r="N620" s="46">
        <f t="shared" si="61"/>
        <v>0</v>
      </c>
      <c r="O620" s="46">
        <f t="shared" si="62"/>
        <v>0</v>
      </c>
      <c r="P620" s="41">
        <f t="shared" si="63"/>
        <v>168.684545454545</v>
      </c>
    </row>
    <row r="621" s="2" customFormat="1" spans="1:16">
      <c r="A621" s="82">
        <v>45268</v>
      </c>
      <c r="B621" s="21">
        <v>3547.1</v>
      </c>
      <c r="C621" s="22">
        <v>17099</v>
      </c>
      <c r="D621" s="22">
        <v>790</v>
      </c>
      <c r="E621" s="25">
        <v>0</v>
      </c>
      <c r="F621" s="21">
        <v>0</v>
      </c>
      <c r="G621" s="25">
        <v>16</v>
      </c>
      <c r="H621" s="25">
        <v>10</v>
      </c>
      <c r="I621" s="25">
        <v>7</v>
      </c>
      <c r="J621" s="44">
        <f t="shared" si="57"/>
        <v>0.0462015322533482</v>
      </c>
      <c r="K621" s="41">
        <f t="shared" si="58"/>
        <v>4.49</v>
      </c>
      <c r="L621" s="45">
        <f t="shared" si="59"/>
        <v>0</v>
      </c>
      <c r="M621" s="44">
        <f t="shared" si="60"/>
        <v>0</v>
      </c>
      <c r="N621" s="46">
        <f t="shared" si="61"/>
        <v>0</v>
      </c>
      <c r="O621" s="46">
        <f t="shared" si="62"/>
        <v>0</v>
      </c>
      <c r="P621" s="41">
        <f t="shared" si="63"/>
        <v>221.69375</v>
      </c>
    </row>
    <row r="622" s="2" customFormat="1" spans="1:16">
      <c r="A622" s="82">
        <v>45269</v>
      </c>
      <c r="B622" s="21">
        <v>5337.765</v>
      </c>
      <c r="C622" s="22">
        <v>16450</v>
      </c>
      <c r="D622" s="22">
        <v>993</v>
      </c>
      <c r="E622" s="25">
        <v>1</v>
      </c>
      <c r="F622" s="21">
        <v>30354</v>
      </c>
      <c r="G622" s="25">
        <v>49</v>
      </c>
      <c r="H622" s="25">
        <v>13</v>
      </c>
      <c r="I622" s="25">
        <v>6</v>
      </c>
      <c r="J622" s="44">
        <f t="shared" si="57"/>
        <v>0.0603647416413374</v>
      </c>
      <c r="K622" s="41">
        <f t="shared" si="58"/>
        <v>5.37539274924471</v>
      </c>
      <c r="L622" s="45">
        <f t="shared" si="59"/>
        <v>5.6866497494738</v>
      </c>
      <c r="M622" s="44">
        <f t="shared" si="60"/>
        <v>0.00100704934541793</v>
      </c>
      <c r="N622" s="46">
        <f t="shared" si="61"/>
        <v>30354</v>
      </c>
      <c r="O622" s="46">
        <f t="shared" si="62"/>
        <v>5337.765</v>
      </c>
      <c r="P622" s="41">
        <f t="shared" si="63"/>
        <v>108.933979591837</v>
      </c>
    </row>
    <row r="623" s="2" customFormat="1" spans="1:16">
      <c r="A623" s="82">
        <v>45270</v>
      </c>
      <c r="B623" s="21">
        <v>6430.67</v>
      </c>
      <c r="C623" s="22">
        <v>13621</v>
      </c>
      <c r="D623" s="22">
        <v>1280</v>
      </c>
      <c r="E623" s="25">
        <v>2</v>
      </c>
      <c r="F623" s="21">
        <v>25528</v>
      </c>
      <c r="G623" s="25">
        <v>82</v>
      </c>
      <c r="H623" s="25">
        <v>28</v>
      </c>
      <c r="I623" s="25">
        <v>21</v>
      </c>
      <c r="J623" s="44">
        <f t="shared" si="57"/>
        <v>0.0939725423977682</v>
      </c>
      <c r="K623" s="41">
        <f t="shared" si="58"/>
        <v>5.0239609375</v>
      </c>
      <c r="L623" s="45">
        <f t="shared" si="59"/>
        <v>3.96972632711677</v>
      </c>
      <c r="M623" s="44">
        <f t="shared" si="60"/>
        <v>0.0015625</v>
      </c>
      <c r="N623" s="46">
        <f t="shared" si="61"/>
        <v>12764</v>
      </c>
      <c r="O623" s="46">
        <f t="shared" si="62"/>
        <v>3215.335</v>
      </c>
      <c r="P623" s="41">
        <f t="shared" si="63"/>
        <v>78.4228048780488</v>
      </c>
    </row>
    <row r="624" s="2" customFormat="1" spans="1:16">
      <c r="A624" s="82">
        <v>45271</v>
      </c>
      <c r="B624" s="21">
        <v>6024.31</v>
      </c>
      <c r="C624" s="22">
        <v>11896</v>
      </c>
      <c r="D624" s="22">
        <v>1088</v>
      </c>
      <c r="E624" s="25">
        <v>1</v>
      </c>
      <c r="F624" s="21">
        <v>14432</v>
      </c>
      <c r="G624" s="25">
        <v>48</v>
      </c>
      <c r="H624" s="25">
        <v>21</v>
      </c>
      <c r="I624" s="25">
        <v>10</v>
      </c>
      <c r="J624" s="44">
        <f t="shared" si="57"/>
        <v>0.0914593140551446</v>
      </c>
      <c r="K624" s="41">
        <f t="shared" si="58"/>
        <v>5.53704963235294</v>
      </c>
      <c r="L624" s="45">
        <f t="shared" si="59"/>
        <v>2.39562705106477</v>
      </c>
      <c r="M624" s="44">
        <f t="shared" si="60"/>
        <v>0.000919117647058824</v>
      </c>
      <c r="N624" s="46">
        <f t="shared" si="61"/>
        <v>14432</v>
      </c>
      <c r="O624" s="46">
        <f t="shared" si="62"/>
        <v>6024.31</v>
      </c>
      <c r="P624" s="41">
        <f t="shared" si="63"/>
        <v>125.506458333333</v>
      </c>
    </row>
    <row r="625" s="2" customFormat="1" spans="1:16">
      <c r="A625" s="82">
        <v>45272</v>
      </c>
      <c r="B625" s="21">
        <v>6414.14</v>
      </c>
      <c r="C625" s="22">
        <v>14223</v>
      </c>
      <c r="D625" s="22">
        <v>1002</v>
      </c>
      <c r="E625" s="25">
        <v>2</v>
      </c>
      <c r="F625" s="21">
        <v>23515</v>
      </c>
      <c r="G625" s="25">
        <v>56</v>
      </c>
      <c r="H625" s="25">
        <v>27</v>
      </c>
      <c r="I625" s="25">
        <v>18</v>
      </c>
      <c r="J625" s="44">
        <f t="shared" si="57"/>
        <v>0.0704492723054208</v>
      </c>
      <c r="K625" s="41">
        <f t="shared" si="58"/>
        <v>6.4013373253493</v>
      </c>
      <c r="L625" s="45">
        <f t="shared" si="59"/>
        <v>3.66611891851441</v>
      </c>
      <c r="M625" s="44">
        <f t="shared" si="60"/>
        <v>0.00199600798403194</v>
      </c>
      <c r="N625" s="46">
        <f t="shared" si="61"/>
        <v>11757.5</v>
      </c>
      <c r="O625" s="46">
        <f t="shared" si="62"/>
        <v>3207.07</v>
      </c>
      <c r="P625" s="41">
        <f t="shared" si="63"/>
        <v>114.538214285714</v>
      </c>
    </row>
    <row r="626" s="2" customFormat="1" spans="1:16">
      <c r="A626" s="82">
        <v>45273</v>
      </c>
      <c r="B626" s="21">
        <v>6113.77</v>
      </c>
      <c r="C626" s="22">
        <v>15157</v>
      </c>
      <c r="D626" s="22">
        <v>985</v>
      </c>
      <c r="E626" s="25">
        <v>2</v>
      </c>
      <c r="F626" s="21">
        <v>38884</v>
      </c>
      <c r="G626" s="25">
        <v>44</v>
      </c>
      <c r="H626" s="25">
        <v>19</v>
      </c>
      <c r="I626" s="25">
        <v>8</v>
      </c>
      <c r="J626" s="44">
        <f t="shared" si="57"/>
        <v>0.0649864748960876</v>
      </c>
      <c r="K626" s="41">
        <f t="shared" si="58"/>
        <v>6.2068730964467</v>
      </c>
      <c r="L626" s="45">
        <f t="shared" si="59"/>
        <v>6.36006915536567</v>
      </c>
      <c r="M626" s="44">
        <f t="shared" si="60"/>
        <v>0.00203045685279188</v>
      </c>
      <c r="N626" s="46">
        <f t="shared" si="61"/>
        <v>19442</v>
      </c>
      <c r="O626" s="46">
        <f t="shared" si="62"/>
        <v>3056.885</v>
      </c>
      <c r="P626" s="41">
        <f t="shared" si="63"/>
        <v>138.949318181818</v>
      </c>
    </row>
    <row r="627" s="2" customFormat="1" spans="1:16">
      <c r="A627" s="82">
        <v>45274</v>
      </c>
      <c r="B627" s="16">
        <v>5391.41</v>
      </c>
      <c r="C627" s="17">
        <v>10979</v>
      </c>
      <c r="D627" s="17">
        <v>831</v>
      </c>
      <c r="E627" s="25">
        <v>0</v>
      </c>
      <c r="F627" s="21">
        <v>0</v>
      </c>
      <c r="G627" s="25">
        <v>24</v>
      </c>
      <c r="H627" s="25">
        <v>9</v>
      </c>
      <c r="I627" s="25">
        <v>5</v>
      </c>
      <c r="J627" s="44">
        <f t="shared" si="57"/>
        <v>0.0756899535476819</v>
      </c>
      <c r="K627" s="41">
        <f t="shared" si="58"/>
        <v>6.48785800240674</v>
      </c>
      <c r="L627" s="45">
        <f t="shared" si="59"/>
        <v>0</v>
      </c>
      <c r="M627" s="44">
        <f t="shared" si="60"/>
        <v>0</v>
      </c>
      <c r="N627" s="46">
        <f t="shared" si="61"/>
        <v>0</v>
      </c>
      <c r="O627" s="46">
        <f t="shared" si="62"/>
        <v>0</v>
      </c>
      <c r="P627" s="41">
        <f t="shared" si="63"/>
        <v>224.642083333333</v>
      </c>
    </row>
    <row r="628" s="2" customFormat="1" spans="1:16">
      <c r="A628" s="82">
        <v>45275</v>
      </c>
      <c r="B628" s="21">
        <v>5304.13</v>
      </c>
      <c r="C628" s="90">
        <v>11092</v>
      </c>
      <c r="D628" s="90">
        <v>830</v>
      </c>
      <c r="E628" s="25">
        <v>0</v>
      </c>
      <c r="F628" s="21">
        <v>0</v>
      </c>
      <c r="G628" s="25">
        <v>21</v>
      </c>
      <c r="H628" s="25">
        <v>10</v>
      </c>
      <c r="I628" s="25">
        <v>1</v>
      </c>
      <c r="J628" s="44">
        <f t="shared" si="57"/>
        <v>0.074828705373242</v>
      </c>
      <c r="K628" s="41">
        <f t="shared" si="58"/>
        <v>6.39051807228916</v>
      </c>
      <c r="L628" s="45">
        <f t="shared" si="59"/>
        <v>0</v>
      </c>
      <c r="M628" s="44">
        <f t="shared" si="60"/>
        <v>0</v>
      </c>
      <c r="N628" s="46">
        <f t="shared" si="61"/>
        <v>0</v>
      </c>
      <c r="O628" s="46">
        <f t="shared" si="62"/>
        <v>0</v>
      </c>
      <c r="P628" s="41">
        <f t="shared" si="63"/>
        <v>252.577619047619</v>
      </c>
    </row>
    <row r="629" s="2" customFormat="1" spans="1:16">
      <c r="A629" s="82">
        <v>45276</v>
      </c>
      <c r="B629" s="21">
        <v>4881.17</v>
      </c>
      <c r="C629" s="90">
        <v>10573</v>
      </c>
      <c r="D629" s="90">
        <v>800</v>
      </c>
      <c r="E629" s="25">
        <v>0</v>
      </c>
      <c r="F629" s="21">
        <v>0</v>
      </c>
      <c r="G629" s="25">
        <v>26</v>
      </c>
      <c r="H629" s="25">
        <v>12</v>
      </c>
      <c r="I629" s="25">
        <v>6</v>
      </c>
      <c r="J629" s="44">
        <f t="shared" si="57"/>
        <v>0.075664428260664</v>
      </c>
      <c r="K629" s="41">
        <f t="shared" si="58"/>
        <v>6.1014625</v>
      </c>
      <c r="L629" s="45">
        <f t="shared" si="59"/>
        <v>0</v>
      </c>
      <c r="M629" s="44">
        <f t="shared" si="60"/>
        <v>0</v>
      </c>
      <c r="N629" s="46">
        <f t="shared" si="61"/>
        <v>0</v>
      </c>
      <c r="O629" s="46">
        <f t="shared" si="62"/>
        <v>0</v>
      </c>
      <c r="P629" s="41">
        <f t="shared" si="63"/>
        <v>187.737307692308</v>
      </c>
    </row>
    <row r="630" s="2" customFormat="1" spans="1:16">
      <c r="A630" s="82">
        <v>45277</v>
      </c>
      <c r="B630" s="21">
        <v>5396.7</v>
      </c>
      <c r="C630" s="90">
        <v>10262</v>
      </c>
      <c r="D630" s="90">
        <v>826</v>
      </c>
      <c r="E630" s="25">
        <v>2</v>
      </c>
      <c r="F630" s="21">
        <v>58244</v>
      </c>
      <c r="G630" s="25">
        <v>29</v>
      </c>
      <c r="H630" s="25">
        <v>13</v>
      </c>
      <c r="I630" s="25">
        <v>5</v>
      </c>
      <c r="J630" s="44">
        <f t="shared" si="57"/>
        <v>0.0804911323328786</v>
      </c>
      <c r="K630" s="41">
        <f t="shared" si="58"/>
        <v>6.53353510895884</v>
      </c>
      <c r="L630" s="45">
        <f t="shared" si="59"/>
        <v>10.7925213556433</v>
      </c>
      <c r="M630" s="44">
        <f t="shared" si="60"/>
        <v>0.00242130750605327</v>
      </c>
      <c r="N630" s="46">
        <f t="shared" si="61"/>
        <v>29122</v>
      </c>
      <c r="O630" s="46">
        <f t="shared" si="62"/>
        <v>2698.35</v>
      </c>
      <c r="P630" s="41">
        <f t="shared" si="63"/>
        <v>186.093103448276</v>
      </c>
    </row>
    <row r="631" s="2" customFormat="1" spans="1:16">
      <c r="A631" s="82">
        <v>45278</v>
      </c>
      <c r="B631" s="21">
        <v>6965.16</v>
      </c>
      <c r="C631" s="17">
        <v>12658</v>
      </c>
      <c r="D631" s="17">
        <v>998</v>
      </c>
      <c r="E631" s="25">
        <v>0</v>
      </c>
      <c r="F631" s="21">
        <v>0</v>
      </c>
      <c r="G631" s="25">
        <v>23</v>
      </c>
      <c r="H631" s="25">
        <v>16</v>
      </c>
      <c r="I631" s="25">
        <v>8</v>
      </c>
      <c r="J631" s="44">
        <f t="shared" si="57"/>
        <v>0.0788434191815453</v>
      </c>
      <c r="K631" s="41">
        <f t="shared" si="58"/>
        <v>6.97911823647295</v>
      </c>
      <c r="L631" s="45">
        <f t="shared" si="59"/>
        <v>0</v>
      </c>
      <c r="M631" s="44">
        <f t="shared" si="60"/>
        <v>0</v>
      </c>
      <c r="N631" s="46">
        <f t="shared" si="61"/>
        <v>0</v>
      </c>
      <c r="O631" s="46">
        <f t="shared" si="62"/>
        <v>0</v>
      </c>
      <c r="P631" s="41">
        <f t="shared" si="63"/>
        <v>302.833043478261</v>
      </c>
    </row>
    <row r="632" s="2" customFormat="1" spans="1:16">
      <c r="A632" s="82">
        <v>45279</v>
      </c>
      <c r="B632" s="21">
        <v>5654.38</v>
      </c>
      <c r="C632" s="22">
        <v>11387</v>
      </c>
      <c r="D632" s="22">
        <v>790</v>
      </c>
      <c r="E632" s="25">
        <v>0</v>
      </c>
      <c r="F632" s="21">
        <v>0</v>
      </c>
      <c r="G632" s="25">
        <v>27</v>
      </c>
      <c r="H632" s="25">
        <v>10</v>
      </c>
      <c r="I632" s="25">
        <v>6</v>
      </c>
      <c r="J632" s="44">
        <f t="shared" si="57"/>
        <v>0.0693773601475367</v>
      </c>
      <c r="K632" s="41">
        <f t="shared" si="58"/>
        <v>7.15744303797468</v>
      </c>
      <c r="L632" s="45">
        <f t="shared" si="59"/>
        <v>0</v>
      </c>
      <c r="M632" s="44">
        <f t="shared" si="60"/>
        <v>0</v>
      </c>
      <c r="N632" s="46">
        <f t="shared" si="61"/>
        <v>0</v>
      </c>
      <c r="O632" s="46">
        <f t="shared" si="62"/>
        <v>0</v>
      </c>
      <c r="P632" s="41">
        <f t="shared" si="63"/>
        <v>209.421481481481</v>
      </c>
    </row>
    <row r="633" s="2" customFormat="1" spans="1:16">
      <c r="A633" s="82">
        <v>45280</v>
      </c>
      <c r="B633" s="21">
        <v>2758.46</v>
      </c>
      <c r="C633" s="22">
        <v>5468</v>
      </c>
      <c r="D633" s="22">
        <v>437</v>
      </c>
      <c r="E633" s="25">
        <v>0</v>
      </c>
      <c r="F633" s="21">
        <v>0</v>
      </c>
      <c r="G633" s="25">
        <v>13</v>
      </c>
      <c r="H633" s="25">
        <v>7</v>
      </c>
      <c r="I633" s="25">
        <v>5</v>
      </c>
      <c r="J633" s="44">
        <f t="shared" si="57"/>
        <v>0.0799195318215069</v>
      </c>
      <c r="K633" s="41">
        <f t="shared" si="58"/>
        <v>6.31226544622426</v>
      </c>
      <c r="L633" s="45">
        <f t="shared" si="59"/>
        <v>0</v>
      </c>
      <c r="M633" s="44">
        <f t="shared" si="60"/>
        <v>0</v>
      </c>
      <c r="N633" s="46">
        <f t="shared" si="61"/>
        <v>0</v>
      </c>
      <c r="O633" s="46">
        <f t="shared" si="62"/>
        <v>0</v>
      </c>
      <c r="P633" s="41">
        <f t="shared" si="63"/>
        <v>212.189230769231</v>
      </c>
    </row>
    <row r="634" s="2" customFormat="1" spans="1:16">
      <c r="A634" s="82">
        <v>45281</v>
      </c>
      <c r="B634" s="21">
        <v>2605.35</v>
      </c>
      <c r="C634" s="22">
        <v>4047</v>
      </c>
      <c r="D634" s="22">
        <v>423</v>
      </c>
      <c r="E634" s="25">
        <v>0</v>
      </c>
      <c r="F634" s="21">
        <v>0</v>
      </c>
      <c r="G634" s="25">
        <v>30</v>
      </c>
      <c r="H634" s="25">
        <v>5</v>
      </c>
      <c r="I634" s="25">
        <v>5</v>
      </c>
      <c r="J634" s="44">
        <f t="shared" si="57"/>
        <v>0.104521868050408</v>
      </c>
      <c r="K634" s="41">
        <f t="shared" si="58"/>
        <v>6.15921985815603</v>
      </c>
      <c r="L634" s="45">
        <f t="shared" si="59"/>
        <v>0</v>
      </c>
      <c r="M634" s="44">
        <f t="shared" si="60"/>
        <v>0</v>
      </c>
      <c r="N634" s="46">
        <f t="shared" si="61"/>
        <v>0</v>
      </c>
      <c r="O634" s="46">
        <f t="shared" si="62"/>
        <v>0</v>
      </c>
      <c r="P634" s="41">
        <f t="shared" si="63"/>
        <v>86.845</v>
      </c>
    </row>
    <row r="635" s="2" customFormat="1" spans="1:16">
      <c r="A635" s="82">
        <v>45282</v>
      </c>
      <c r="B635" s="21">
        <v>1566.8</v>
      </c>
      <c r="C635" s="22">
        <v>3527</v>
      </c>
      <c r="D635" s="22">
        <v>330</v>
      </c>
      <c r="E635" s="25">
        <v>0</v>
      </c>
      <c r="F635" s="21">
        <v>0</v>
      </c>
      <c r="G635" s="25">
        <v>16</v>
      </c>
      <c r="H635" s="25">
        <v>8</v>
      </c>
      <c r="I635" s="25">
        <v>7</v>
      </c>
      <c r="J635" s="44">
        <f t="shared" si="57"/>
        <v>0.0935639353558265</v>
      </c>
      <c r="K635" s="41">
        <f t="shared" si="58"/>
        <v>4.74787878787879</v>
      </c>
      <c r="L635" s="45">
        <f t="shared" si="59"/>
        <v>0</v>
      </c>
      <c r="M635" s="44">
        <f t="shared" si="60"/>
        <v>0</v>
      </c>
      <c r="N635" s="46">
        <f t="shared" si="61"/>
        <v>0</v>
      </c>
      <c r="O635" s="46">
        <f t="shared" si="62"/>
        <v>0</v>
      </c>
      <c r="P635" s="41">
        <f t="shared" si="63"/>
        <v>97.925</v>
      </c>
    </row>
    <row r="636" s="2" customFormat="1" spans="1:16">
      <c r="A636" s="82">
        <v>45283</v>
      </c>
      <c r="B636" s="21">
        <v>1561.02</v>
      </c>
      <c r="C636" s="22">
        <v>4711</v>
      </c>
      <c r="D636" s="22">
        <v>373</v>
      </c>
      <c r="E636" s="25">
        <v>0</v>
      </c>
      <c r="F636" s="21">
        <v>0</v>
      </c>
      <c r="G636" s="25">
        <v>26</v>
      </c>
      <c r="H636" s="25">
        <v>9</v>
      </c>
      <c r="I636" s="25">
        <v>6</v>
      </c>
      <c r="J636" s="44">
        <f t="shared" si="57"/>
        <v>0.0791763956697092</v>
      </c>
      <c r="K636" s="41">
        <f t="shared" si="58"/>
        <v>4.18504021447721</v>
      </c>
      <c r="L636" s="45">
        <f t="shared" si="59"/>
        <v>0</v>
      </c>
      <c r="M636" s="44">
        <f t="shared" si="60"/>
        <v>0</v>
      </c>
      <c r="N636" s="46">
        <f t="shared" si="61"/>
        <v>0</v>
      </c>
      <c r="O636" s="46">
        <f t="shared" si="62"/>
        <v>0</v>
      </c>
      <c r="P636" s="41">
        <f t="shared" si="63"/>
        <v>60.0392307692308</v>
      </c>
    </row>
    <row r="637" s="2" customFormat="1" spans="1:16">
      <c r="A637" s="82">
        <v>45284</v>
      </c>
      <c r="B637" s="21">
        <v>1745.25</v>
      </c>
      <c r="C637" s="22">
        <v>4110</v>
      </c>
      <c r="D637" s="22">
        <v>394</v>
      </c>
      <c r="E637" s="25">
        <v>0</v>
      </c>
      <c r="F637" s="21">
        <v>0</v>
      </c>
      <c r="G637" s="25">
        <v>14</v>
      </c>
      <c r="H637" s="25">
        <v>5</v>
      </c>
      <c r="I637" s="25">
        <v>4</v>
      </c>
      <c r="J637" s="44">
        <f t="shared" si="57"/>
        <v>0.0958637469586375</v>
      </c>
      <c r="K637" s="41">
        <f t="shared" si="58"/>
        <v>4.42956852791878</v>
      </c>
      <c r="L637" s="45">
        <f t="shared" si="59"/>
        <v>0</v>
      </c>
      <c r="M637" s="44">
        <f t="shared" si="60"/>
        <v>0</v>
      </c>
      <c r="N637" s="46">
        <f t="shared" si="61"/>
        <v>0</v>
      </c>
      <c r="O637" s="46">
        <f t="shared" si="62"/>
        <v>0</v>
      </c>
      <c r="P637" s="41">
        <f t="shared" si="63"/>
        <v>124.660714285714</v>
      </c>
    </row>
    <row r="638" s="2" customFormat="1" spans="1:16">
      <c r="A638" s="82">
        <v>45285</v>
      </c>
      <c r="B638" s="21">
        <v>2250</v>
      </c>
      <c r="C638" s="22">
        <v>4783</v>
      </c>
      <c r="D638" s="22">
        <v>414</v>
      </c>
      <c r="E638" s="25">
        <v>0</v>
      </c>
      <c r="F638" s="21">
        <v>0</v>
      </c>
      <c r="G638" s="25">
        <v>13</v>
      </c>
      <c r="H638" s="25">
        <v>8</v>
      </c>
      <c r="I638" s="25">
        <v>3</v>
      </c>
      <c r="J638" s="44">
        <f t="shared" si="57"/>
        <v>0.0865565544637257</v>
      </c>
      <c r="K638" s="41">
        <f t="shared" si="58"/>
        <v>5.43478260869565</v>
      </c>
      <c r="L638" s="45">
        <f t="shared" si="59"/>
        <v>0</v>
      </c>
      <c r="M638" s="44">
        <f t="shared" si="60"/>
        <v>0</v>
      </c>
      <c r="N638" s="46">
        <f t="shared" si="61"/>
        <v>0</v>
      </c>
      <c r="O638" s="46">
        <f t="shared" si="62"/>
        <v>0</v>
      </c>
      <c r="P638" s="41">
        <f t="shared" si="63"/>
        <v>173.076923076923</v>
      </c>
    </row>
    <row r="639" s="2" customFormat="1" spans="1:16">
      <c r="A639" s="82">
        <v>45286</v>
      </c>
      <c r="B639" s="91">
        <v>2125.91</v>
      </c>
      <c r="C639" s="22">
        <v>4994</v>
      </c>
      <c r="D639" s="22">
        <v>415</v>
      </c>
      <c r="E639" s="25">
        <v>0</v>
      </c>
      <c r="F639" s="21">
        <v>0</v>
      </c>
      <c r="G639" s="25">
        <v>28</v>
      </c>
      <c r="H639" s="25">
        <v>5</v>
      </c>
      <c r="I639" s="25">
        <v>5</v>
      </c>
      <c r="J639" s="44">
        <f t="shared" si="57"/>
        <v>0.0830997196635963</v>
      </c>
      <c r="K639" s="41">
        <f t="shared" si="58"/>
        <v>5.12267469879518</v>
      </c>
      <c r="L639" s="45">
        <f t="shared" si="59"/>
        <v>0</v>
      </c>
      <c r="M639" s="44">
        <f t="shared" si="60"/>
        <v>0</v>
      </c>
      <c r="N639" s="46">
        <f t="shared" si="61"/>
        <v>0</v>
      </c>
      <c r="O639" s="46">
        <f t="shared" si="62"/>
        <v>0</v>
      </c>
      <c r="P639" s="41">
        <f t="shared" si="63"/>
        <v>75.9253571428571</v>
      </c>
    </row>
    <row r="640" s="2" customFormat="1" spans="1:16">
      <c r="A640" s="82">
        <v>45287</v>
      </c>
      <c r="B640" s="91">
        <v>1783.47</v>
      </c>
      <c r="C640" s="22">
        <v>4998</v>
      </c>
      <c r="D640" s="22">
        <v>372</v>
      </c>
      <c r="E640" s="25">
        <v>0</v>
      </c>
      <c r="F640" s="21">
        <v>0</v>
      </c>
      <c r="G640" s="25">
        <v>7</v>
      </c>
      <c r="H640" s="25">
        <v>0</v>
      </c>
      <c r="I640" s="25">
        <v>3</v>
      </c>
      <c r="J640" s="44">
        <f t="shared" si="57"/>
        <v>0.0744297719087635</v>
      </c>
      <c r="K640" s="41">
        <f t="shared" si="58"/>
        <v>4.79427419354839</v>
      </c>
      <c r="L640" s="45">
        <f t="shared" si="59"/>
        <v>0</v>
      </c>
      <c r="M640" s="44">
        <f t="shared" si="60"/>
        <v>0</v>
      </c>
      <c r="N640" s="46">
        <f t="shared" si="61"/>
        <v>0</v>
      </c>
      <c r="O640" s="46">
        <f t="shared" si="62"/>
        <v>0</v>
      </c>
      <c r="P640" s="41">
        <f t="shared" si="63"/>
        <v>254.781428571429</v>
      </c>
    </row>
    <row r="641" s="2" customFormat="1" spans="1:16">
      <c r="A641" s="82">
        <v>45288</v>
      </c>
      <c r="B641" s="21">
        <v>2048.29</v>
      </c>
      <c r="C641" s="22">
        <v>7077</v>
      </c>
      <c r="D641" s="22">
        <v>496</v>
      </c>
      <c r="E641" s="25">
        <v>3</v>
      </c>
      <c r="F641" s="21">
        <v>9000</v>
      </c>
      <c r="G641" s="25">
        <v>15</v>
      </c>
      <c r="H641" s="25">
        <v>3</v>
      </c>
      <c r="I641" s="25">
        <v>6</v>
      </c>
      <c r="J641" s="44">
        <f t="shared" si="57"/>
        <v>0.0700861947152748</v>
      </c>
      <c r="K641" s="41">
        <f t="shared" si="58"/>
        <v>4.12961693548387</v>
      </c>
      <c r="L641" s="45">
        <f t="shared" si="59"/>
        <v>4.39390906561083</v>
      </c>
      <c r="M641" s="44">
        <f t="shared" si="60"/>
        <v>0.00604838709677419</v>
      </c>
      <c r="N641" s="46">
        <f t="shared" si="61"/>
        <v>3000</v>
      </c>
      <c r="O641" s="46">
        <f t="shared" si="62"/>
        <v>682.763333333333</v>
      </c>
      <c r="P641" s="41">
        <f t="shared" si="63"/>
        <v>136.552666666667</v>
      </c>
    </row>
    <row r="642" s="2" customFormat="1" spans="1:16">
      <c r="A642" s="82">
        <v>45289</v>
      </c>
      <c r="B642" s="21">
        <v>2570.89</v>
      </c>
      <c r="C642" s="22">
        <v>7030</v>
      </c>
      <c r="D642" s="22">
        <v>530</v>
      </c>
      <c r="E642" s="25">
        <v>2</v>
      </c>
      <c r="F642" s="21">
        <v>23108</v>
      </c>
      <c r="G642" s="25">
        <v>22</v>
      </c>
      <c r="H642" s="25">
        <v>2</v>
      </c>
      <c r="I642" s="25">
        <v>4</v>
      </c>
      <c r="J642" s="44">
        <f t="shared" ref="J642:J705" si="64">D642/C642</f>
        <v>0.0753911806543385</v>
      </c>
      <c r="K642" s="41">
        <f t="shared" ref="K642:K705" si="65">B642/D642</f>
        <v>4.8507358490566</v>
      </c>
      <c r="L642" s="45">
        <f t="shared" ref="L642:L705" si="66">F642/B642</f>
        <v>8.98832699959936</v>
      </c>
      <c r="M642" s="44">
        <f t="shared" ref="M642:M705" si="67">E642/D642</f>
        <v>0.00377358490566038</v>
      </c>
      <c r="N642" s="46">
        <f t="shared" ref="N642:N705" si="68">IF(E642=0,0,F642/E642)</f>
        <v>11554</v>
      </c>
      <c r="O642" s="46">
        <f t="shared" ref="O642:O705" si="69">IF(E642=0,0,B642/E642)</f>
        <v>1285.445</v>
      </c>
      <c r="P642" s="41">
        <f t="shared" ref="P642:P705" si="70">B642/G642</f>
        <v>116.858636363636</v>
      </c>
    </row>
    <row r="643" s="2" customFormat="1" spans="1:16">
      <c r="A643" s="82">
        <v>45290</v>
      </c>
      <c r="B643" s="21">
        <v>2892.09</v>
      </c>
      <c r="C643" s="22">
        <v>6056</v>
      </c>
      <c r="D643" s="22">
        <v>572</v>
      </c>
      <c r="E643" s="25">
        <v>2</v>
      </c>
      <c r="F643" s="21">
        <v>22108</v>
      </c>
      <c r="G643" s="25">
        <v>34</v>
      </c>
      <c r="H643" s="25">
        <v>2</v>
      </c>
      <c r="I643" s="25">
        <v>2</v>
      </c>
      <c r="J643" s="44">
        <f t="shared" si="64"/>
        <v>0.0944517833553501</v>
      </c>
      <c r="K643" s="41">
        <f t="shared" si="65"/>
        <v>5.0561013986014</v>
      </c>
      <c r="L643" s="45">
        <f t="shared" si="66"/>
        <v>7.64429875972048</v>
      </c>
      <c r="M643" s="44">
        <f t="shared" si="67"/>
        <v>0.0034965034965035</v>
      </c>
      <c r="N643" s="46">
        <f t="shared" si="68"/>
        <v>11054</v>
      </c>
      <c r="O643" s="46">
        <f t="shared" si="69"/>
        <v>1446.045</v>
      </c>
      <c r="P643" s="41">
        <f t="shared" si="70"/>
        <v>85.0614705882353</v>
      </c>
    </row>
    <row r="644" s="2" customFormat="1" spans="1:16">
      <c r="A644" s="82">
        <v>45291</v>
      </c>
      <c r="B644" s="21">
        <v>2911.11</v>
      </c>
      <c r="C644" s="22">
        <v>6668</v>
      </c>
      <c r="D644" s="22">
        <v>573</v>
      </c>
      <c r="E644" s="25">
        <v>0</v>
      </c>
      <c r="F644" s="21">
        <v>0</v>
      </c>
      <c r="G644" s="25">
        <v>37</v>
      </c>
      <c r="H644" s="25">
        <v>2</v>
      </c>
      <c r="I644" s="25">
        <v>6</v>
      </c>
      <c r="J644" s="44">
        <f t="shared" si="64"/>
        <v>0.0859328134373125</v>
      </c>
      <c r="K644" s="41">
        <f t="shared" si="65"/>
        <v>5.08047120418848</v>
      </c>
      <c r="L644" s="45">
        <f t="shared" si="66"/>
        <v>0</v>
      </c>
      <c r="M644" s="44">
        <f t="shared" si="67"/>
        <v>0</v>
      </c>
      <c r="N644" s="46">
        <f t="shared" si="68"/>
        <v>0</v>
      </c>
      <c r="O644" s="46">
        <f t="shared" si="69"/>
        <v>0</v>
      </c>
      <c r="P644" s="41">
        <f t="shared" si="70"/>
        <v>78.6786486486486</v>
      </c>
    </row>
    <row r="645" s="2" customFormat="1" spans="1:16">
      <c r="A645" s="82">
        <v>45292</v>
      </c>
      <c r="B645" s="21">
        <v>2996.34</v>
      </c>
      <c r="C645" s="22">
        <v>6794</v>
      </c>
      <c r="D645" s="22">
        <v>601</v>
      </c>
      <c r="E645" s="25">
        <v>3</v>
      </c>
      <c r="F645" s="21">
        <v>50251</v>
      </c>
      <c r="G645" s="25">
        <v>25</v>
      </c>
      <c r="H645" s="25">
        <v>3</v>
      </c>
      <c r="I645" s="25">
        <v>4</v>
      </c>
      <c r="J645" s="44">
        <f t="shared" si="64"/>
        <v>0.0884604062408007</v>
      </c>
      <c r="K645" s="41">
        <f t="shared" si="65"/>
        <v>4.98559068219634</v>
      </c>
      <c r="L645" s="45">
        <f t="shared" si="66"/>
        <v>16.7707937016493</v>
      </c>
      <c r="M645" s="44">
        <f t="shared" si="67"/>
        <v>0.00499168053244592</v>
      </c>
      <c r="N645" s="46">
        <f t="shared" si="68"/>
        <v>16750.3333333333</v>
      </c>
      <c r="O645" s="46">
        <f t="shared" si="69"/>
        <v>998.78</v>
      </c>
      <c r="P645" s="41">
        <f t="shared" si="70"/>
        <v>119.8536</v>
      </c>
    </row>
    <row r="646" s="2" customFormat="1" spans="1:16">
      <c r="A646" s="82">
        <v>45293</v>
      </c>
      <c r="B646" s="21">
        <v>2987.48</v>
      </c>
      <c r="C646" s="22">
        <v>8129</v>
      </c>
      <c r="D646" s="22">
        <v>688</v>
      </c>
      <c r="E646" s="25">
        <v>0</v>
      </c>
      <c r="F646" s="21">
        <v>0</v>
      </c>
      <c r="G646" s="25">
        <v>28</v>
      </c>
      <c r="H646" s="25">
        <v>3</v>
      </c>
      <c r="I646" s="25">
        <v>3</v>
      </c>
      <c r="J646" s="44">
        <f t="shared" si="64"/>
        <v>0.084635256489113</v>
      </c>
      <c r="K646" s="41">
        <f t="shared" si="65"/>
        <v>4.34226744186047</v>
      </c>
      <c r="L646" s="45">
        <f t="shared" si="66"/>
        <v>0</v>
      </c>
      <c r="M646" s="44">
        <f t="shared" si="67"/>
        <v>0</v>
      </c>
      <c r="N646" s="46">
        <f t="shared" si="68"/>
        <v>0</v>
      </c>
      <c r="O646" s="46">
        <f t="shared" si="69"/>
        <v>0</v>
      </c>
      <c r="P646" s="41">
        <f t="shared" si="70"/>
        <v>106.695714285714</v>
      </c>
    </row>
    <row r="647" s="2" customFormat="1" spans="1:16">
      <c r="A647" s="82">
        <v>45294</v>
      </c>
      <c r="B647" s="21">
        <v>2968.11</v>
      </c>
      <c r="C647" s="22">
        <v>8223</v>
      </c>
      <c r="D647" s="22">
        <v>836</v>
      </c>
      <c r="E647" s="25">
        <v>0</v>
      </c>
      <c r="F647" s="21">
        <v>0</v>
      </c>
      <c r="G647" s="25">
        <v>64</v>
      </c>
      <c r="H647" s="25">
        <v>12</v>
      </c>
      <c r="I647" s="25">
        <v>13</v>
      </c>
      <c r="J647" s="44">
        <f t="shared" si="64"/>
        <v>0.101666058616077</v>
      </c>
      <c r="K647" s="41">
        <f t="shared" si="65"/>
        <v>3.55037081339713</v>
      </c>
      <c r="L647" s="45">
        <f t="shared" si="66"/>
        <v>0</v>
      </c>
      <c r="M647" s="44">
        <f t="shared" si="67"/>
        <v>0</v>
      </c>
      <c r="N647" s="46">
        <f t="shared" si="68"/>
        <v>0</v>
      </c>
      <c r="O647" s="46">
        <f t="shared" si="69"/>
        <v>0</v>
      </c>
      <c r="P647" s="41">
        <f t="shared" si="70"/>
        <v>46.37671875</v>
      </c>
    </row>
    <row r="648" s="2" customFormat="1" spans="1:16">
      <c r="A648" s="82">
        <v>45295</v>
      </c>
      <c r="B648" s="21">
        <v>2827.71</v>
      </c>
      <c r="C648" s="22">
        <v>7414</v>
      </c>
      <c r="D648" s="22">
        <v>826</v>
      </c>
      <c r="E648" s="25">
        <v>2</v>
      </c>
      <c r="F648" s="21">
        <v>4000</v>
      </c>
      <c r="G648" s="25">
        <v>46</v>
      </c>
      <c r="H648" s="25">
        <v>7</v>
      </c>
      <c r="I648" s="25">
        <v>10</v>
      </c>
      <c r="J648" s="44">
        <f t="shared" si="64"/>
        <v>0.11141084434853</v>
      </c>
      <c r="K648" s="41">
        <f t="shared" si="65"/>
        <v>3.42337772397094</v>
      </c>
      <c r="L648" s="45">
        <f t="shared" si="66"/>
        <v>1.41457221567983</v>
      </c>
      <c r="M648" s="44">
        <f t="shared" si="67"/>
        <v>0.00242130750605327</v>
      </c>
      <c r="N648" s="46">
        <f t="shared" si="68"/>
        <v>2000</v>
      </c>
      <c r="O648" s="46">
        <f t="shared" si="69"/>
        <v>1413.855</v>
      </c>
      <c r="P648" s="41">
        <f t="shared" si="70"/>
        <v>61.4719565217391</v>
      </c>
    </row>
    <row r="649" s="2" customFormat="1" spans="1:16">
      <c r="A649" s="82">
        <v>45296</v>
      </c>
      <c r="B649" s="21">
        <v>1911.85</v>
      </c>
      <c r="C649" s="22">
        <v>7142</v>
      </c>
      <c r="D649" s="22">
        <v>597</v>
      </c>
      <c r="E649" s="25">
        <v>0</v>
      </c>
      <c r="F649" s="21">
        <v>0</v>
      </c>
      <c r="G649" s="25">
        <v>32</v>
      </c>
      <c r="H649" s="25">
        <v>13</v>
      </c>
      <c r="I649" s="25">
        <v>8</v>
      </c>
      <c r="J649" s="44">
        <f t="shared" si="64"/>
        <v>0.0835900308036964</v>
      </c>
      <c r="K649" s="41">
        <f t="shared" si="65"/>
        <v>3.20242881072027</v>
      </c>
      <c r="L649" s="45">
        <f t="shared" si="66"/>
        <v>0</v>
      </c>
      <c r="M649" s="44">
        <f t="shared" si="67"/>
        <v>0</v>
      </c>
      <c r="N649" s="46">
        <f t="shared" si="68"/>
        <v>0</v>
      </c>
      <c r="O649" s="46">
        <f t="shared" si="69"/>
        <v>0</v>
      </c>
      <c r="P649" s="41">
        <f t="shared" si="70"/>
        <v>59.7453125</v>
      </c>
    </row>
    <row r="650" s="2" customFormat="1" spans="1:16">
      <c r="A650" s="82">
        <v>45297</v>
      </c>
      <c r="B650" s="21">
        <v>2332.51</v>
      </c>
      <c r="C650" s="22">
        <v>6304</v>
      </c>
      <c r="D650" s="22">
        <v>648</v>
      </c>
      <c r="E650" s="25">
        <v>0</v>
      </c>
      <c r="F650" s="21">
        <v>0</v>
      </c>
      <c r="G650" s="25">
        <v>16</v>
      </c>
      <c r="H650" s="25">
        <v>10</v>
      </c>
      <c r="I650" s="25">
        <v>6</v>
      </c>
      <c r="J650" s="44">
        <f t="shared" si="64"/>
        <v>0.102791878172589</v>
      </c>
      <c r="K650" s="41">
        <f t="shared" si="65"/>
        <v>3.5995524691358</v>
      </c>
      <c r="L650" s="45">
        <f t="shared" si="66"/>
        <v>0</v>
      </c>
      <c r="M650" s="44">
        <f t="shared" si="67"/>
        <v>0</v>
      </c>
      <c r="N650" s="46">
        <f t="shared" si="68"/>
        <v>0</v>
      </c>
      <c r="O650" s="46">
        <f t="shared" si="69"/>
        <v>0</v>
      </c>
      <c r="P650" s="41">
        <f t="shared" si="70"/>
        <v>145.781875</v>
      </c>
    </row>
    <row r="651" s="2" customFormat="1" spans="1:16">
      <c r="A651" s="82">
        <v>45298</v>
      </c>
      <c r="B651" s="21">
        <v>2783.59</v>
      </c>
      <c r="C651" s="22">
        <v>6220</v>
      </c>
      <c r="D651" s="22">
        <v>680</v>
      </c>
      <c r="E651" s="25">
        <v>0</v>
      </c>
      <c r="F651" s="21">
        <v>0</v>
      </c>
      <c r="G651" s="25">
        <v>40</v>
      </c>
      <c r="H651" s="25">
        <v>12</v>
      </c>
      <c r="I651" s="25">
        <v>4</v>
      </c>
      <c r="J651" s="44">
        <f t="shared" si="64"/>
        <v>0.109324758842444</v>
      </c>
      <c r="K651" s="41">
        <f t="shared" si="65"/>
        <v>4.09351470588235</v>
      </c>
      <c r="L651" s="45">
        <f t="shared" si="66"/>
        <v>0</v>
      </c>
      <c r="M651" s="44">
        <f t="shared" si="67"/>
        <v>0</v>
      </c>
      <c r="N651" s="46">
        <f t="shared" si="68"/>
        <v>0</v>
      </c>
      <c r="O651" s="46">
        <f t="shared" si="69"/>
        <v>0</v>
      </c>
      <c r="P651" s="41">
        <f t="shared" si="70"/>
        <v>69.58975</v>
      </c>
    </row>
    <row r="652" s="2" customFormat="1" spans="1:16">
      <c r="A652" s="82">
        <v>45299</v>
      </c>
      <c r="B652" s="21">
        <v>2694.91</v>
      </c>
      <c r="C652" s="22">
        <v>6646</v>
      </c>
      <c r="D652" s="22">
        <v>707</v>
      </c>
      <c r="E652" s="25">
        <v>0</v>
      </c>
      <c r="F652" s="21">
        <v>0</v>
      </c>
      <c r="G652" s="25">
        <v>43</v>
      </c>
      <c r="H652" s="25">
        <v>12</v>
      </c>
      <c r="I652" s="25">
        <v>6</v>
      </c>
      <c r="J652" s="44">
        <f t="shared" si="64"/>
        <v>0.10637977730966</v>
      </c>
      <c r="K652" s="41">
        <f t="shared" si="65"/>
        <v>3.81175388967468</v>
      </c>
      <c r="L652" s="45">
        <f t="shared" si="66"/>
        <v>0</v>
      </c>
      <c r="M652" s="44">
        <f t="shared" si="67"/>
        <v>0</v>
      </c>
      <c r="N652" s="46">
        <f t="shared" si="68"/>
        <v>0</v>
      </c>
      <c r="O652" s="46">
        <f t="shared" si="69"/>
        <v>0</v>
      </c>
      <c r="P652" s="41">
        <f t="shared" si="70"/>
        <v>62.6723255813953</v>
      </c>
    </row>
    <row r="653" s="2" customFormat="1" spans="1:16">
      <c r="A653" s="82">
        <v>45300</v>
      </c>
      <c r="B653" s="21">
        <v>2444.84</v>
      </c>
      <c r="C653" s="22">
        <v>5723</v>
      </c>
      <c r="D653" s="22">
        <v>645</v>
      </c>
      <c r="E653" s="25">
        <v>0</v>
      </c>
      <c r="F653" s="21">
        <v>0</v>
      </c>
      <c r="G653" s="25">
        <v>29</v>
      </c>
      <c r="H653" s="25">
        <v>8</v>
      </c>
      <c r="I653" s="25">
        <v>2</v>
      </c>
      <c r="J653" s="92">
        <f t="shared" si="64"/>
        <v>0.112703127730211</v>
      </c>
      <c r="K653" s="93">
        <f t="shared" si="65"/>
        <v>3.7904496124031</v>
      </c>
      <c r="L653" s="94">
        <f t="shared" si="66"/>
        <v>0</v>
      </c>
      <c r="M653" s="92">
        <f t="shared" si="67"/>
        <v>0</v>
      </c>
      <c r="N653" s="46">
        <f t="shared" si="68"/>
        <v>0</v>
      </c>
      <c r="O653" s="46">
        <f t="shared" si="69"/>
        <v>0</v>
      </c>
      <c r="P653" s="93">
        <f t="shared" si="70"/>
        <v>84.3048275862069</v>
      </c>
    </row>
    <row r="654" s="2" customFormat="1" spans="1:16">
      <c r="A654" s="82">
        <v>45301</v>
      </c>
      <c r="B654" s="21">
        <v>1706.18</v>
      </c>
      <c r="C654" s="22">
        <v>4050</v>
      </c>
      <c r="D654" s="22">
        <v>468</v>
      </c>
      <c r="E654" s="25">
        <v>0</v>
      </c>
      <c r="F654" s="21">
        <v>0</v>
      </c>
      <c r="G654" s="25">
        <v>26</v>
      </c>
      <c r="H654" s="25">
        <v>3</v>
      </c>
      <c r="I654" s="25">
        <v>7</v>
      </c>
      <c r="J654" s="92">
        <f t="shared" si="64"/>
        <v>0.115555555555556</v>
      </c>
      <c r="K654" s="93">
        <f t="shared" si="65"/>
        <v>3.64568376068376</v>
      </c>
      <c r="L654" s="94">
        <f t="shared" si="66"/>
        <v>0</v>
      </c>
      <c r="M654" s="92">
        <f t="shared" si="67"/>
        <v>0</v>
      </c>
      <c r="N654" s="46">
        <f t="shared" si="68"/>
        <v>0</v>
      </c>
      <c r="O654" s="46">
        <f t="shared" si="69"/>
        <v>0</v>
      </c>
      <c r="P654" s="93">
        <f t="shared" si="70"/>
        <v>65.6223076923077</v>
      </c>
    </row>
    <row r="655" s="2" customFormat="1" spans="1:16">
      <c r="A655" s="82">
        <v>45302</v>
      </c>
      <c r="B655" s="21">
        <v>1530.95</v>
      </c>
      <c r="C655" s="22">
        <v>4252</v>
      </c>
      <c r="D655" s="22">
        <v>431</v>
      </c>
      <c r="E655" s="25">
        <v>0</v>
      </c>
      <c r="F655" s="21">
        <v>0</v>
      </c>
      <c r="G655" s="25">
        <v>15</v>
      </c>
      <c r="H655" s="25">
        <v>2</v>
      </c>
      <c r="I655" s="25">
        <v>2</v>
      </c>
      <c r="J655" s="92">
        <f t="shared" si="64"/>
        <v>0.101364063969897</v>
      </c>
      <c r="K655" s="93">
        <f t="shared" si="65"/>
        <v>3.55208816705336</v>
      </c>
      <c r="L655" s="94">
        <f t="shared" si="66"/>
        <v>0</v>
      </c>
      <c r="M655" s="92">
        <f t="shared" si="67"/>
        <v>0</v>
      </c>
      <c r="N655" s="46">
        <f t="shared" si="68"/>
        <v>0</v>
      </c>
      <c r="O655" s="46">
        <f t="shared" si="69"/>
        <v>0</v>
      </c>
      <c r="P655" s="93">
        <f t="shared" si="70"/>
        <v>102.063333333333</v>
      </c>
    </row>
    <row r="656" s="2" customFormat="1" spans="1:16">
      <c r="A656" s="82">
        <v>45303</v>
      </c>
      <c r="B656" s="21">
        <v>1790.68</v>
      </c>
      <c r="C656" s="22">
        <v>4045</v>
      </c>
      <c r="D656" s="22">
        <v>484</v>
      </c>
      <c r="E656" s="25">
        <v>0</v>
      </c>
      <c r="F656" s="21">
        <v>0</v>
      </c>
      <c r="G656" s="25">
        <v>17</v>
      </c>
      <c r="H656" s="25">
        <v>3</v>
      </c>
      <c r="I656" s="25">
        <v>7</v>
      </c>
      <c r="J656" s="92">
        <f t="shared" si="64"/>
        <v>0.119653893695921</v>
      </c>
      <c r="K656" s="93">
        <f t="shared" si="65"/>
        <v>3.6997520661157</v>
      </c>
      <c r="L656" s="94">
        <f t="shared" si="66"/>
        <v>0</v>
      </c>
      <c r="M656" s="92">
        <f t="shared" si="67"/>
        <v>0</v>
      </c>
      <c r="N656" s="46">
        <f t="shared" si="68"/>
        <v>0</v>
      </c>
      <c r="O656" s="46">
        <f t="shared" si="69"/>
        <v>0</v>
      </c>
      <c r="P656" s="93">
        <f t="shared" si="70"/>
        <v>105.334117647059</v>
      </c>
    </row>
    <row r="657" s="2" customFormat="1" spans="1:16">
      <c r="A657" s="82">
        <v>45304</v>
      </c>
      <c r="B657" s="21">
        <v>1383.36</v>
      </c>
      <c r="C657" s="22">
        <v>3827</v>
      </c>
      <c r="D657" s="22">
        <v>414</v>
      </c>
      <c r="E657" s="25">
        <v>0</v>
      </c>
      <c r="F657" s="21">
        <v>0</v>
      </c>
      <c r="G657" s="25">
        <v>11</v>
      </c>
      <c r="H657" s="25">
        <v>3</v>
      </c>
      <c r="I657" s="25">
        <v>4</v>
      </c>
      <c r="J657" s="92">
        <f t="shared" si="64"/>
        <v>0.108178730075777</v>
      </c>
      <c r="K657" s="93">
        <f t="shared" si="65"/>
        <v>3.34144927536232</v>
      </c>
      <c r="L657" s="94">
        <f t="shared" si="66"/>
        <v>0</v>
      </c>
      <c r="M657" s="92">
        <f t="shared" si="67"/>
        <v>0</v>
      </c>
      <c r="N657" s="46">
        <f t="shared" si="68"/>
        <v>0</v>
      </c>
      <c r="O657" s="46">
        <f t="shared" si="69"/>
        <v>0</v>
      </c>
      <c r="P657" s="93">
        <f t="shared" si="70"/>
        <v>125.76</v>
      </c>
    </row>
    <row r="658" s="2" customFormat="1" spans="1:16">
      <c r="A658" s="82">
        <v>45305</v>
      </c>
      <c r="B658" s="21">
        <v>1815.97</v>
      </c>
      <c r="C658" s="22">
        <v>4150</v>
      </c>
      <c r="D658" s="22">
        <v>536</v>
      </c>
      <c r="E658" s="25">
        <v>0</v>
      </c>
      <c r="F658" s="21">
        <v>0</v>
      </c>
      <c r="G658" s="25">
        <v>22</v>
      </c>
      <c r="H658" s="25">
        <v>4</v>
      </c>
      <c r="I658" s="25">
        <v>3</v>
      </c>
      <c r="J658" s="92">
        <f t="shared" si="64"/>
        <v>0.129156626506024</v>
      </c>
      <c r="K658" s="93">
        <f t="shared" si="65"/>
        <v>3.38800373134328</v>
      </c>
      <c r="L658" s="94">
        <f t="shared" si="66"/>
        <v>0</v>
      </c>
      <c r="M658" s="92">
        <f t="shared" si="67"/>
        <v>0</v>
      </c>
      <c r="N658" s="46">
        <f t="shared" si="68"/>
        <v>0</v>
      </c>
      <c r="O658" s="46">
        <f t="shared" si="69"/>
        <v>0</v>
      </c>
      <c r="P658" s="93">
        <f t="shared" si="70"/>
        <v>82.5440909090909</v>
      </c>
    </row>
    <row r="659" s="2" customFormat="1" spans="1:16">
      <c r="A659" s="82">
        <v>45306</v>
      </c>
      <c r="B659" s="21">
        <v>1965.86</v>
      </c>
      <c r="C659" s="22">
        <v>4760</v>
      </c>
      <c r="D659" s="22">
        <v>535</v>
      </c>
      <c r="E659" s="25">
        <v>0</v>
      </c>
      <c r="F659" s="21">
        <v>0</v>
      </c>
      <c r="G659" s="25">
        <v>22</v>
      </c>
      <c r="H659" s="25">
        <v>5</v>
      </c>
      <c r="I659" s="25">
        <v>3</v>
      </c>
      <c r="J659" s="92">
        <f t="shared" si="64"/>
        <v>0.112394957983193</v>
      </c>
      <c r="K659" s="93">
        <f t="shared" si="65"/>
        <v>3.6745046728972</v>
      </c>
      <c r="L659" s="94">
        <f t="shared" si="66"/>
        <v>0</v>
      </c>
      <c r="M659" s="92">
        <f t="shared" si="67"/>
        <v>0</v>
      </c>
      <c r="N659" s="46">
        <f t="shared" si="68"/>
        <v>0</v>
      </c>
      <c r="O659" s="46">
        <f t="shared" si="69"/>
        <v>0</v>
      </c>
      <c r="P659" s="93">
        <f t="shared" si="70"/>
        <v>89.3572727272727</v>
      </c>
    </row>
    <row r="660" s="2" customFormat="1" spans="1:16">
      <c r="A660" s="82">
        <v>45307</v>
      </c>
      <c r="B660" s="21">
        <v>2265.95</v>
      </c>
      <c r="C660" s="22">
        <v>5197</v>
      </c>
      <c r="D660" s="22">
        <v>552</v>
      </c>
      <c r="E660" s="25">
        <v>0</v>
      </c>
      <c r="F660" s="21">
        <v>0</v>
      </c>
      <c r="G660" s="25">
        <v>20</v>
      </c>
      <c r="H660" s="25">
        <v>2</v>
      </c>
      <c r="I660" s="25">
        <v>2</v>
      </c>
      <c r="J660" s="92">
        <f t="shared" si="64"/>
        <v>0.106215124110063</v>
      </c>
      <c r="K660" s="93">
        <f t="shared" si="65"/>
        <v>4.10498188405797</v>
      </c>
      <c r="L660" s="94">
        <f t="shared" si="66"/>
        <v>0</v>
      </c>
      <c r="M660" s="92">
        <f t="shared" si="67"/>
        <v>0</v>
      </c>
      <c r="N660" s="46">
        <f t="shared" si="68"/>
        <v>0</v>
      </c>
      <c r="O660" s="46">
        <f t="shared" si="69"/>
        <v>0</v>
      </c>
      <c r="P660" s="93">
        <f t="shared" si="70"/>
        <v>113.2975</v>
      </c>
    </row>
    <row r="661" s="2" customFormat="1" spans="1:16">
      <c r="A661" s="82">
        <v>45308</v>
      </c>
      <c r="B661" s="21">
        <v>1887.44</v>
      </c>
      <c r="C661" s="22">
        <v>4577</v>
      </c>
      <c r="D661" s="22">
        <v>441</v>
      </c>
      <c r="E661" s="25">
        <v>0</v>
      </c>
      <c r="F661" s="21">
        <v>0</v>
      </c>
      <c r="G661" s="25">
        <v>16</v>
      </c>
      <c r="H661" s="25">
        <v>1</v>
      </c>
      <c r="I661" s="25">
        <v>2</v>
      </c>
      <c r="J661" s="92">
        <f t="shared" si="64"/>
        <v>0.0963513218265239</v>
      </c>
      <c r="K661" s="93">
        <f t="shared" si="65"/>
        <v>4.27990929705215</v>
      </c>
      <c r="L661" s="94">
        <f t="shared" si="66"/>
        <v>0</v>
      </c>
      <c r="M661" s="92">
        <f t="shared" si="67"/>
        <v>0</v>
      </c>
      <c r="N661" s="46">
        <f t="shared" si="68"/>
        <v>0</v>
      </c>
      <c r="O661" s="46">
        <f t="shared" si="69"/>
        <v>0</v>
      </c>
      <c r="P661" s="93">
        <f t="shared" si="70"/>
        <v>117.965</v>
      </c>
    </row>
    <row r="662" s="2" customFormat="1" spans="1:16">
      <c r="A662" s="82">
        <v>45309</v>
      </c>
      <c r="B662" s="21">
        <v>2045.73</v>
      </c>
      <c r="C662" s="22">
        <v>4094</v>
      </c>
      <c r="D662" s="22">
        <v>459</v>
      </c>
      <c r="E662" s="25">
        <v>0</v>
      </c>
      <c r="F662" s="21">
        <v>0</v>
      </c>
      <c r="G662" s="25">
        <v>26</v>
      </c>
      <c r="H662" s="25">
        <v>4</v>
      </c>
      <c r="I662" s="25">
        <v>3</v>
      </c>
      <c r="J662" s="92">
        <f t="shared" si="64"/>
        <v>0.112115290669272</v>
      </c>
      <c r="K662" s="93">
        <f t="shared" si="65"/>
        <v>4.45692810457516</v>
      </c>
      <c r="L662" s="94">
        <f t="shared" si="66"/>
        <v>0</v>
      </c>
      <c r="M662" s="92">
        <f t="shared" si="67"/>
        <v>0</v>
      </c>
      <c r="N662" s="46">
        <f t="shared" si="68"/>
        <v>0</v>
      </c>
      <c r="O662" s="46">
        <f t="shared" si="69"/>
        <v>0</v>
      </c>
      <c r="P662" s="93">
        <f t="shared" si="70"/>
        <v>78.6819230769231</v>
      </c>
    </row>
    <row r="663" s="2" customFormat="1" spans="1:16">
      <c r="A663" s="82">
        <v>45310</v>
      </c>
      <c r="B663" s="21">
        <v>1944.33</v>
      </c>
      <c r="C663" s="22">
        <v>3997</v>
      </c>
      <c r="D663" s="22">
        <v>394</v>
      </c>
      <c r="E663" s="25">
        <v>0</v>
      </c>
      <c r="F663" s="21">
        <v>0</v>
      </c>
      <c r="G663" s="25">
        <v>26</v>
      </c>
      <c r="H663" s="25">
        <v>4</v>
      </c>
      <c r="I663" s="25">
        <v>4</v>
      </c>
      <c r="J663" s="92">
        <f t="shared" si="64"/>
        <v>0.0985739304478359</v>
      </c>
      <c r="K663" s="93">
        <f t="shared" si="65"/>
        <v>4.93484771573604</v>
      </c>
      <c r="L663" s="94">
        <f t="shared" si="66"/>
        <v>0</v>
      </c>
      <c r="M663" s="92">
        <f t="shared" si="67"/>
        <v>0</v>
      </c>
      <c r="N663" s="46">
        <f t="shared" si="68"/>
        <v>0</v>
      </c>
      <c r="O663" s="46">
        <f t="shared" si="69"/>
        <v>0</v>
      </c>
      <c r="P663" s="93">
        <f t="shared" si="70"/>
        <v>74.7819230769231</v>
      </c>
    </row>
    <row r="664" s="2" customFormat="1" spans="1:16">
      <c r="A664" s="82">
        <v>45311</v>
      </c>
      <c r="B664" s="21">
        <v>1981.61</v>
      </c>
      <c r="C664" s="22">
        <v>4333</v>
      </c>
      <c r="D664" s="22">
        <v>385</v>
      </c>
      <c r="E664" s="25">
        <v>0</v>
      </c>
      <c r="F664" s="21">
        <v>0</v>
      </c>
      <c r="G664" s="25">
        <v>18</v>
      </c>
      <c r="H664" s="25">
        <v>1</v>
      </c>
      <c r="I664" s="25">
        <v>2</v>
      </c>
      <c r="J664" s="92">
        <f t="shared" si="64"/>
        <v>0.0888529886914378</v>
      </c>
      <c r="K664" s="93">
        <f t="shared" si="65"/>
        <v>5.14703896103896</v>
      </c>
      <c r="L664" s="94">
        <f t="shared" si="66"/>
        <v>0</v>
      </c>
      <c r="M664" s="92">
        <f t="shared" si="67"/>
        <v>0</v>
      </c>
      <c r="N664" s="46">
        <f t="shared" si="68"/>
        <v>0</v>
      </c>
      <c r="O664" s="46">
        <f t="shared" si="69"/>
        <v>0</v>
      </c>
      <c r="P664" s="93">
        <f t="shared" si="70"/>
        <v>110.089444444444</v>
      </c>
    </row>
    <row r="665" s="2" customFormat="1" spans="1:16">
      <c r="A665" s="82">
        <v>45312</v>
      </c>
      <c r="B665" s="21">
        <v>2142.49</v>
      </c>
      <c r="C665" s="22">
        <v>4422</v>
      </c>
      <c r="D665" s="22">
        <v>416</v>
      </c>
      <c r="E665" s="25">
        <v>0</v>
      </c>
      <c r="F665" s="21">
        <v>0</v>
      </c>
      <c r="G665" s="25">
        <v>23</v>
      </c>
      <c r="H665" s="25">
        <v>7</v>
      </c>
      <c r="I665" s="25">
        <v>6</v>
      </c>
      <c r="J665" s="92">
        <f t="shared" si="64"/>
        <v>0.094075079149706</v>
      </c>
      <c r="K665" s="93">
        <f t="shared" si="65"/>
        <v>5.15021634615385</v>
      </c>
      <c r="L665" s="94">
        <f t="shared" si="66"/>
        <v>0</v>
      </c>
      <c r="M665" s="92">
        <f t="shared" si="67"/>
        <v>0</v>
      </c>
      <c r="N665" s="46">
        <f t="shared" si="68"/>
        <v>0</v>
      </c>
      <c r="O665" s="46">
        <f t="shared" si="69"/>
        <v>0</v>
      </c>
      <c r="P665" s="93">
        <f t="shared" si="70"/>
        <v>93.1517391304348</v>
      </c>
    </row>
    <row r="666" s="2" customFormat="1" spans="1:16">
      <c r="A666" s="82">
        <v>45313</v>
      </c>
      <c r="B666" s="21">
        <v>1965.2</v>
      </c>
      <c r="C666" s="22">
        <v>5306</v>
      </c>
      <c r="D666" s="22">
        <v>372</v>
      </c>
      <c r="E666" s="25">
        <v>0</v>
      </c>
      <c r="F666" s="21">
        <v>0</v>
      </c>
      <c r="G666" s="25">
        <v>18</v>
      </c>
      <c r="H666" s="25">
        <v>2</v>
      </c>
      <c r="I666" s="25">
        <v>3</v>
      </c>
      <c r="J666" s="92">
        <f t="shared" si="64"/>
        <v>0.0701093102148511</v>
      </c>
      <c r="K666" s="93">
        <f t="shared" si="65"/>
        <v>5.28279569892473</v>
      </c>
      <c r="L666" s="94">
        <f t="shared" si="66"/>
        <v>0</v>
      </c>
      <c r="M666" s="92">
        <f t="shared" si="67"/>
        <v>0</v>
      </c>
      <c r="N666" s="46">
        <f t="shared" si="68"/>
        <v>0</v>
      </c>
      <c r="O666" s="46">
        <f t="shared" si="69"/>
        <v>0</v>
      </c>
      <c r="P666" s="93">
        <f t="shared" si="70"/>
        <v>109.177777777778</v>
      </c>
    </row>
    <row r="667" s="2" customFormat="1" spans="1:16">
      <c r="A667" s="82">
        <v>45314</v>
      </c>
      <c r="B667" s="21">
        <v>1745.64</v>
      </c>
      <c r="C667" s="22">
        <v>5173</v>
      </c>
      <c r="D667" s="22">
        <v>357</v>
      </c>
      <c r="E667" s="25">
        <v>0</v>
      </c>
      <c r="F667" s="21">
        <v>0</v>
      </c>
      <c r="G667" s="25">
        <v>16</v>
      </c>
      <c r="H667" s="25">
        <v>1</v>
      </c>
      <c r="I667" s="25">
        <v>1</v>
      </c>
      <c r="J667" s="92">
        <f t="shared" si="64"/>
        <v>0.0690121786197564</v>
      </c>
      <c r="K667" s="93">
        <f t="shared" si="65"/>
        <v>4.88974789915966</v>
      </c>
      <c r="L667" s="94">
        <f t="shared" si="66"/>
        <v>0</v>
      </c>
      <c r="M667" s="92">
        <f t="shared" si="67"/>
        <v>0</v>
      </c>
      <c r="N667" s="46">
        <f t="shared" si="68"/>
        <v>0</v>
      </c>
      <c r="O667" s="46">
        <f t="shared" si="69"/>
        <v>0</v>
      </c>
      <c r="P667" s="93">
        <f t="shared" si="70"/>
        <v>109.1025</v>
      </c>
    </row>
    <row r="668" s="2" customFormat="1" spans="1:16">
      <c r="A668" s="82">
        <v>45315</v>
      </c>
      <c r="B668" s="21">
        <v>1932.4</v>
      </c>
      <c r="C668" s="22">
        <v>5887</v>
      </c>
      <c r="D668" s="22">
        <v>427</v>
      </c>
      <c r="E668" s="25">
        <v>0</v>
      </c>
      <c r="F668" s="21">
        <v>0</v>
      </c>
      <c r="G668" s="25">
        <v>14</v>
      </c>
      <c r="H668" s="25">
        <v>3</v>
      </c>
      <c r="I668" s="25">
        <v>1</v>
      </c>
      <c r="J668" s="92">
        <f t="shared" si="64"/>
        <v>0.0725326991676575</v>
      </c>
      <c r="K668" s="93">
        <f t="shared" si="65"/>
        <v>4.52552693208431</v>
      </c>
      <c r="L668" s="94">
        <f t="shared" si="66"/>
        <v>0</v>
      </c>
      <c r="M668" s="92">
        <f t="shared" si="67"/>
        <v>0</v>
      </c>
      <c r="N668" s="46">
        <f t="shared" si="68"/>
        <v>0</v>
      </c>
      <c r="O668" s="46">
        <f t="shared" si="69"/>
        <v>0</v>
      </c>
      <c r="P668" s="93">
        <f t="shared" si="70"/>
        <v>138.028571428571</v>
      </c>
    </row>
    <row r="669" s="2" customFormat="1" spans="1:16">
      <c r="A669" s="82">
        <v>45316</v>
      </c>
      <c r="B669" s="21">
        <v>1925.14</v>
      </c>
      <c r="C669" s="22">
        <v>5070</v>
      </c>
      <c r="D669" s="22">
        <v>409</v>
      </c>
      <c r="E669" s="25">
        <v>0</v>
      </c>
      <c r="F669" s="21">
        <v>0</v>
      </c>
      <c r="G669" s="25">
        <v>20</v>
      </c>
      <c r="H669" s="25">
        <v>1</v>
      </c>
      <c r="I669" s="25">
        <v>3</v>
      </c>
      <c r="J669" s="92">
        <f t="shared" si="64"/>
        <v>0.0806706114398422</v>
      </c>
      <c r="K669" s="93">
        <f t="shared" si="65"/>
        <v>4.70694376528117</v>
      </c>
      <c r="L669" s="94">
        <f t="shared" si="66"/>
        <v>0</v>
      </c>
      <c r="M669" s="92">
        <f t="shared" si="67"/>
        <v>0</v>
      </c>
      <c r="N669" s="46">
        <f t="shared" si="68"/>
        <v>0</v>
      </c>
      <c r="O669" s="46">
        <f t="shared" si="69"/>
        <v>0</v>
      </c>
      <c r="P669" s="93">
        <f t="shared" si="70"/>
        <v>96.257</v>
      </c>
    </row>
    <row r="670" s="2" customFormat="1" spans="1:16">
      <c r="A670" s="82">
        <v>45317</v>
      </c>
      <c r="B670" s="21">
        <v>1854.37</v>
      </c>
      <c r="C670" s="22">
        <v>5555</v>
      </c>
      <c r="D670" s="22">
        <v>388</v>
      </c>
      <c r="E670" s="25">
        <v>0</v>
      </c>
      <c r="F670" s="21">
        <v>0</v>
      </c>
      <c r="G670" s="25">
        <v>24</v>
      </c>
      <c r="H670" s="25">
        <v>5</v>
      </c>
      <c r="I670" s="25">
        <v>2</v>
      </c>
      <c r="J670" s="92">
        <f t="shared" si="64"/>
        <v>0.0698469846984699</v>
      </c>
      <c r="K670" s="93">
        <f t="shared" si="65"/>
        <v>4.77930412371134</v>
      </c>
      <c r="L670" s="94">
        <f t="shared" si="66"/>
        <v>0</v>
      </c>
      <c r="M670" s="92">
        <f t="shared" si="67"/>
        <v>0</v>
      </c>
      <c r="N670" s="46">
        <f t="shared" si="68"/>
        <v>0</v>
      </c>
      <c r="O670" s="46">
        <f t="shared" si="69"/>
        <v>0</v>
      </c>
      <c r="P670" s="93">
        <f t="shared" si="70"/>
        <v>77.2654166666667</v>
      </c>
    </row>
    <row r="671" s="2" customFormat="1" spans="1:16">
      <c r="A671" s="82">
        <v>45318</v>
      </c>
      <c r="B671" s="21">
        <v>1780.96</v>
      </c>
      <c r="C671" s="22">
        <v>4731</v>
      </c>
      <c r="D671" s="22">
        <v>378</v>
      </c>
      <c r="E671" s="25">
        <v>0</v>
      </c>
      <c r="F671" s="21">
        <v>0</v>
      </c>
      <c r="G671" s="25">
        <v>21</v>
      </c>
      <c r="H671" s="25">
        <v>2</v>
      </c>
      <c r="I671" s="25">
        <v>2</v>
      </c>
      <c r="J671" s="92">
        <f t="shared" si="64"/>
        <v>0.0798985415345593</v>
      </c>
      <c r="K671" s="93">
        <f t="shared" si="65"/>
        <v>4.71153439153439</v>
      </c>
      <c r="L671" s="94">
        <f t="shared" si="66"/>
        <v>0</v>
      </c>
      <c r="M671" s="92">
        <f t="shared" si="67"/>
        <v>0</v>
      </c>
      <c r="N671" s="46">
        <f t="shared" si="68"/>
        <v>0</v>
      </c>
      <c r="O671" s="46">
        <f t="shared" si="69"/>
        <v>0</v>
      </c>
      <c r="P671" s="93">
        <f t="shared" si="70"/>
        <v>84.8076190476191</v>
      </c>
    </row>
    <row r="672" s="2" customFormat="1" spans="1:16">
      <c r="A672" s="82">
        <v>45319</v>
      </c>
      <c r="B672" s="21">
        <v>1897.95</v>
      </c>
      <c r="C672" s="22">
        <v>4407</v>
      </c>
      <c r="D672" s="22">
        <v>383</v>
      </c>
      <c r="E672" s="25">
        <v>0</v>
      </c>
      <c r="F672" s="21">
        <v>0</v>
      </c>
      <c r="G672" s="25">
        <v>16</v>
      </c>
      <c r="H672" s="25">
        <v>5</v>
      </c>
      <c r="I672" s="25">
        <v>3</v>
      </c>
      <c r="J672" s="92">
        <f t="shared" si="64"/>
        <v>0.0869071931018834</v>
      </c>
      <c r="K672" s="93">
        <f t="shared" si="65"/>
        <v>4.95548302872063</v>
      </c>
      <c r="L672" s="94">
        <f t="shared" si="66"/>
        <v>0</v>
      </c>
      <c r="M672" s="92">
        <f t="shared" si="67"/>
        <v>0</v>
      </c>
      <c r="N672" s="46">
        <f t="shared" si="68"/>
        <v>0</v>
      </c>
      <c r="O672" s="46">
        <f t="shared" si="69"/>
        <v>0</v>
      </c>
      <c r="P672" s="93">
        <f t="shared" si="70"/>
        <v>118.621875</v>
      </c>
    </row>
    <row r="673" s="2" customFormat="1" spans="1:16">
      <c r="A673" s="82">
        <v>45320</v>
      </c>
      <c r="B673" s="21">
        <v>1785.78</v>
      </c>
      <c r="C673" s="22">
        <v>4289</v>
      </c>
      <c r="D673" s="22">
        <v>363</v>
      </c>
      <c r="E673" s="25">
        <v>0</v>
      </c>
      <c r="F673" s="21">
        <v>0</v>
      </c>
      <c r="G673" s="25">
        <v>20</v>
      </c>
      <c r="H673" s="25">
        <v>2</v>
      </c>
      <c r="I673" s="25">
        <v>1</v>
      </c>
      <c r="J673" s="92">
        <f t="shared" si="64"/>
        <v>0.084635113079972</v>
      </c>
      <c r="K673" s="93">
        <f t="shared" si="65"/>
        <v>4.91950413223141</v>
      </c>
      <c r="L673" s="94">
        <f t="shared" si="66"/>
        <v>0</v>
      </c>
      <c r="M673" s="92">
        <f t="shared" si="67"/>
        <v>0</v>
      </c>
      <c r="N673" s="46">
        <f t="shared" si="68"/>
        <v>0</v>
      </c>
      <c r="O673" s="46">
        <f t="shared" si="69"/>
        <v>0</v>
      </c>
      <c r="P673" s="93">
        <f t="shared" si="70"/>
        <v>89.289</v>
      </c>
    </row>
    <row r="674" s="2" customFormat="1" spans="1:16">
      <c r="A674" s="82">
        <v>45321</v>
      </c>
      <c r="B674" s="21">
        <v>1714.41</v>
      </c>
      <c r="C674" s="22">
        <v>4207</v>
      </c>
      <c r="D674" s="22">
        <v>375</v>
      </c>
      <c r="E674" s="25">
        <v>0</v>
      </c>
      <c r="F674" s="21">
        <v>0</v>
      </c>
      <c r="G674" s="25">
        <v>21</v>
      </c>
      <c r="H674" s="25">
        <v>5</v>
      </c>
      <c r="I674" s="25">
        <v>4</v>
      </c>
      <c r="J674" s="92">
        <f t="shared" si="64"/>
        <v>0.0891371523651058</v>
      </c>
      <c r="K674" s="93">
        <f t="shared" si="65"/>
        <v>4.57176</v>
      </c>
      <c r="L674" s="94">
        <f t="shared" si="66"/>
        <v>0</v>
      </c>
      <c r="M674" s="92">
        <f t="shared" si="67"/>
        <v>0</v>
      </c>
      <c r="N674" s="46">
        <f t="shared" si="68"/>
        <v>0</v>
      </c>
      <c r="O674" s="46">
        <f t="shared" si="69"/>
        <v>0</v>
      </c>
      <c r="P674" s="93">
        <f t="shared" si="70"/>
        <v>81.6385714285714</v>
      </c>
    </row>
    <row r="675" s="2" customFormat="1" spans="1:16">
      <c r="A675" s="82">
        <v>45322</v>
      </c>
      <c r="B675" s="21">
        <v>1535.21</v>
      </c>
      <c r="C675" s="22">
        <v>4670</v>
      </c>
      <c r="D675" s="22">
        <v>337</v>
      </c>
      <c r="E675" s="25">
        <v>0</v>
      </c>
      <c r="F675" s="21">
        <v>0</v>
      </c>
      <c r="G675" s="25">
        <v>14</v>
      </c>
      <c r="H675" s="25">
        <v>3</v>
      </c>
      <c r="I675" s="25">
        <v>3</v>
      </c>
      <c r="J675" s="92">
        <f t="shared" si="64"/>
        <v>0.0721627408993576</v>
      </c>
      <c r="K675" s="93">
        <f t="shared" si="65"/>
        <v>4.55551928783383</v>
      </c>
      <c r="L675" s="94">
        <f t="shared" si="66"/>
        <v>0</v>
      </c>
      <c r="M675" s="92">
        <f t="shared" si="67"/>
        <v>0</v>
      </c>
      <c r="N675" s="46">
        <f t="shared" si="68"/>
        <v>0</v>
      </c>
      <c r="O675" s="46">
        <f t="shared" si="69"/>
        <v>0</v>
      </c>
      <c r="P675" s="93">
        <f t="shared" si="70"/>
        <v>109.657857142857</v>
      </c>
    </row>
    <row r="676" s="2" customFormat="1" spans="1:16">
      <c r="A676" s="82">
        <v>45323</v>
      </c>
      <c r="B676" s="21">
        <v>1491.16</v>
      </c>
      <c r="C676" s="22">
        <v>3829</v>
      </c>
      <c r="D676" s="22">
        <v>336</v>
      </c>
      <c r="E676" s="25">
        <v>0</v>
      </c>
      <c r="F676" s="21">
        <v>0</v>
      </c>
      <c r="G676" s="25">
        <v>15</v>
      </c>
      <c r="H676" s="25">
        <v>5</v>
      </c>
      <c r="I676" s="25">
        <v>7</v>
      </c>
      <c r="J676" s="92">
        <f t="shared" si="64"/>
        <v>0.0877513711151737</v>
      </c>
      <c r="K676" s="93">
        <f t="shared" si="65"/>
        <v>4.43797619047619</v>
      </c>
      <c r="L676" s="94">
        <f t="shared" si="66"/>
        <v>0</v>
      </c>
      <c r="M676" s="92">
        <f t="shared" si="67"/>
        <v>0</v>
      </c>
      <c r="N676" s="46">
        <f t="shared" si="68"/>
        <v>0</v>
      </c>
      <c r="O676" s="46">
        <f t="shared" si="69"/>
        <v>0</v>
      </c>
      <c r="P676" s="93">
        <f t="shared" si="70"/>
        <v>99.4106666666667</v>
      </c>
    </row>
    <row r="677" s="2" customFormat="1" spans="1:16">
      <c r="A677" s="82">
        <v>45324</v>
      </c>
      <c r="B677" s="21">
        <v>1562.1</v>
      </c>
      <c r="C677" s="22">
        <v>3649</v>
      </c>
      <c r="D677" s="22">
        <v>323</v>
      </c>
      <c r="E677" s="25">
        <v>0</v>
      </c>
      <c r="F677" s="21">
        <v>0</v>
      </c>
      <c r="G677" s="25">
        <v>20</v>
      </c>
      <c r="H677" s="25">
        <v>0</v>
      </c>
      <c r="I677" s="25">
        <v>4</v>
      </c>
      <c r="J677" s="92">
        <f t="shared" si="64"/>
        <v>0.0885174020279529</v>
      </c>
      <c r="K677" s="93">
        <f t="shared" si="65"/>
        <v>4.83622291021672</v>
      </c>
      <c r="L677" s="94">
        <f t="shared" si="66"/>
        <v>0</v>
      </c>
      <c r="M677" s="92">
        <f t="shared" si="67"/>
        <v>0</v>
      </c>
      <c r="N677" s="46">
        <f t="shared" si="68"/>
        <v>0</v>
      </c>
      <c r="O677" s="46">
        <f t="shared" si="69"/>
        <v>0</v>
      </c>
      <c r="P677" s="93">
        <f t="shared" si="70"/>
        <v>78.105</v>
      </c>
    </row>
    <row r="678" s="2" customFormat="1" spans="1:16">
      <c r="A678" s="82">
        <v>45325</v>
      </c>
      <c r="B678" s="21">
        <v>1507.92</v>
      </c>
      <c r="C678" s="22">
        <v>3826</v>
      </c>
      <c r="D678" s="22">
        <v>335</v>
      </c>
      <c r="E678" s="25">
        <v>0</v>
      </c>
      <c r="F678" s="21">
        <v>0</v>
      </c>
      <c r="G678" s="25">
        <v>10</v>
      </c>
      <c r="H678" s="25">
        <v>1</v>
      </c>
      <c r="I678" s="25">
        <v>3</v>
      </c>
      <c r="J678" s="92">
        <f t="shared" si="64"/>
        <v>0.0875588081547308</v>
      </c>
      <c r="K678" s="93">
        <f t="shared" si="65"/>
        <v>4.50125373134328</v>
      </c>
      <c r="L678" s="94">
        <f t="shared" si="66"/>
        <v>0</v>
      </c>
      <c r="M678" s="92">
        <f t="shared" si="67"/>
        <v>0</v>
      </c>
      <c r="N678" s="46">
        <f t="shared" si="68"/>
        <v>0</v>
      </c>
      <c r="O678" s="46">
        <f t="shared" si="69"/>
        <v>0</v>
      </c>
      <c r="P678" s="93">
        <f t="shared" si="70"/>
        <v>150.792</v>
      </c>
    </row>
    <row r="679" s="2" customFormat="1" spans="1:16">
      <c r="A679" s="82">
        <v>45326</v>
      </c>
      <c r="B679" s="21">
        <v>1651.62</v>
      </c>
      <c r="C679" s="22">
        <v>3982</v>
      </c>
      <c r="D679" s="22">
        <v>373</v>
      </c>
      <c r="E679" s="25">
        <v>1</v>
      </c>
      <c r="F679" s="21">
        <v>5447</v>
      </c>
      <c r="G679" s="25">
        <v>13</v>
      </c>
      <c r="H679" s="25">
        <v>0</v>
      </c>
      <c r="I679" s="25">
        <v>3</v>
      </c>
      <c r="J679" s="92">
        <f t="shared" si="64"/>
        <v>0.0936715218483174</v>
      </c>
      <c r="K679" s="93">
        <f t="shared" si="65"/>
        <v>4.42793565683646</v>
      </c>
      <c r="L679" s="94">
        <f t="shared" si="66"/>
        <v>3.29797411026749</v>
      </c>
      <c r="M679" s="92">
        <f t="shared" si="67"/>
        <v>0.00268096514745308</v>
      </c>
      <c r="N679" s="46">
        <f t="shared" si="68"/>
        <v>5447</v>
      </c>
      <c r="O679" s="46">
        <f t="shared" si="69"/>
        <v>1651.62</v>
      </c>
      <c r="P679" s="93">
        <f t="shared" si="70"/>
        <v>127.047692307692</v>
      </c>
    </row>
    <row r="680" s="2" customFormat="1" spans="1:16">
      <c r="A680" s="82">
        <v>45327</v>
      </c>
      <c r="B680" s="21">
        <v>1499.65</v>
      </c>
      <c r="C680" s="22">
        <v>3466</v>
      </c>
      <c r="D680" s="22">
        <v>311</v>
      </c>
      <c r="E680" s="25">
        <v>0</v>
      </c>
      <c r="F680" s="21">
        <v>0</v>
      </c>
      <c r="G680" s="25">
        <v>10</v>
      </c>
      <c r="H680" s="25">
        <v>1</v>
      </c>
      <c r="I680" s="25">
        <v>1</v>
      </c>
      <c r="J680" s="92">
        <f t="shared" si="64"/>
        <v>0.0897287939988459</v>
      </c>
      <c r="K680" s="93">
        <f t="shared" si="65"/>
        <v>4.82202572347267</v>
      </c>
      <c r="L680" s="94">
        <f t="shared" si="66"/>
        <v>0</v>
      </c>
      <c r="M680" s="92">
        <f t="shared" si="67"/>
        <v>0</v>
      </c>
      <c r="N680" s="46">
        <f t="shared" si="68"/>
        <v>0</v>
      </c>
      <c r="O680" s="46">
        <f t="shared" si="69"/>
        <v>0</v>
      </c>
      <c r="P680" s="93">
        <f t="shared" si="70"/>
        <v>149.965</v>
      </c>
    </row>
    <row r="681" s="2" customFormat="1" spans="1:16">
      <c r="A681" s="82">
        <v>45328</v>
      </c>
      <c r="B681" s="21">
        <v>1610.94</v>
      </c>
      <c r="C681" s="22">
        <v>9204</v>
      </c>
      <c r="D681" s="22">
        <v>333</v>
      </c>
      <c r="E681" s="25">
        <v>1</v>
      </c>
      <c r="F681" s="21">
        <v>7922</v>
      </c>
      <c r="G681" s="25">
        <v>14</v>
      </c>
      <c r="H681" s="25">
        <v>2</v>
      </c>
      <c r="I681" s="25">
        <v>5</v>
      </c>
      <c r="J681" s="92">
        <f t="shared" si="64"/>
        <v>0.0361799217731421</v>
      </c>
      <c r="K681" s="93">
        <f t="shared" si="65"/>
        <v>4.83765765765766</v>
      </c>
      <c r="L681" s="94">
        <f t="shared" si="66"/>
        <v>4.91762573404348</v>
      </c>
      <c r="M681" s="92">
        <f t="shared" si="67"/>
        <v>0.003003003003003</v>
      </c>
      <c r="N681" s="46">
        <f t="shared" si="68"/>
        <v>7922</v>
      </c>
      <c r="O681" s="46">
        <f t="shared" si="69"/>
        <v>1610.94</v>
      </c>
      <c r="P681" s="93">
        <f t="shared" si="70"/>
        <v>115.067142857143</v>
      </c>
    </row>
    <row r="682" s="2" customFormat="1" spans="1:16">
      <c r="A682" s="82">
        <v>45329</v>
      </c>
      <c r="B682" s="21">
        <v>1687.36</v>
      </c>
      <c r="C682" s="22">
        <v>4075</v>
      </c>
      <c r="D682" s="22">
        <v>310</v>
      </c>
      <c r="E682" s="25">
        <v>0</v>
      </c>
      <c r="F682" s="21">
        <v>0</v>
      </c>
      <c r="G682" s="25">
        <v>21</v>
      </c>
      <c r="H682" s="25">
        <v>4</v>
      </c>
      <c r="I682" s="25">
        <v>10</v>
      </c>
      <c r="J682" s="92">
        <f t="shared" si="64"/>
        <v>0.0760736196319018</v>
      </c>
      <c r="K682" s="93">
        <f t="shared" si="65"/>
        <v>5.44309677419355</v>
      </c>
      <c r="L682" s="94">
        <f t="shared" si="66"/>
        <v>0</v>
      </c>
      <c r="M682" s="92">
        <f t="shared" si="67"/>
        <v>0</v>
      </c>
      <c r="N682" s="46">
        <f t="shared" si="68"/>
        <v>0</v>
      </c>
      <c r="O682" s="46">
        <f t="shared" si="69"/>
        <v>0</v>
      </c>
      <c r="P682" s="93">
        <f t="shared" si="70"/>
        <v>80.3504761904762</v>
      </c>
    </row>
    <row r="683" s="2" customFormat="1" spans="1:16">
      <c r="A683" s="82">
        <v>45330</v>
      </c>
      <c r="B683" s="21">
        <v>1556.59</v>
      </c>
      <c r="C683" s="22">
        <v>5600</v>
      </c>
      <c r="D683" s="22">
        <v>296</v>
      </c>
      <c r="E683" s="25">
        <v>3</v>
      </c>
      <c r="F683" s="21">
        <v>28115</v>
      </c>
      <c r="G683" s="25">
        <v>36</v>
      </c>
      <c r="H683" s="25">
        <v>6</v>
      </c>
      <c r="I683" s="25">
        <v>3</v>
      </c>
      <c r="J683" s="92">
        <f t="shared" si="64"/>
        <v>0.0528571428571429</v>
      </c>
      <c r="K683" s="93">
        <f t="shared" si="65"/>
        <v>5.25875</v>
      </c>
      <c r="L683" s="94">
        <f t="shared" si="66"/>
        <v>18.06191739636</v>
      </c>
      <c r="M683" s="92">
        <f t="shared" si="67"/>
        <v>0.0101351351351351</v>
      </c>
      <c r="N683" s="46">
        <f t="shared" si="68"/>
        <v>9371.66666666667</v>
      </c>
      <c r="O683" s="46">
        <f t="shared" si="69"/>
        <v>518.863333333333</v>
      </c>
      <c r="P683" s="93">
        <f t="shared" si="70"/>
        <v>43.2386111111111</v>
      </c>
    </row>
    <row r="684" s="2" customFormat="1" spans="1:16">
      <c r="A684" s="82">
        <v>45331</v>
      </c>
      <c r="B684" s="21">
        <v>1297.78</v>
      </c>
      <c r="C684" s="22">
        <v>4387</v>
      </c>
      <c r="D684" s="22">
        <v>270</v>
      </c>
      <c r="E684" s="25">
        <v>0</v>
      </c>
      <c r="F684" s="21">
        <v>0</v>
      </c>
      <c r="G684" s="25">
        <v>15</v>
      </c>
      <c r="H684" s="25">
        <v>1</v>
      </c>
      <c r="I684" s="25">
        <v>1</v>
      </c>
      <c r="J684" s="92">
        <f t="shared" si="64"/>
        <v>0.0615454752678368</v>
      </c>
      <c r="K684" s="93">
        <f t="shared" si="65"/>
        <v>4.80659259259259</v>
      </c>
      <c r="L684" s="94">
        <f t="shared" si="66"/>
        <v>0</v>
      </c>
      <c r="M684" s="92">
        <f t="shared" si="67"/>
        <v>0</v>
      </c>
      <c r="N684" s="46">
        <f t="shared" si="68"/>
        <v>0</v>
      </c>
      <c r="O684" s="46">
        <f t="shared" si="69"/>
        <v>0</v>
      </c>
      <c r="P684" s="93">
        <f t="shared" si="70"/>
        <v>86.5186666666667</v>
      </c>
    </row>
    <row r="685" s="2" customFormat="1" spans="1:16">
      <c r="A685" s="82">
        <v>45332</v>
      </c>
      <c r="B685" s="21">
        <v>1246.46</v>
      </c>
      <c r="C685" s="22">
        <v>5186</v>
      </c>
      <c r="D685" s="22">
        <v>300</v>
      </c>
      <c r="E685" s="25">
        <v>0</v>
      </c>
      <c r="F685" s="21">
        <v>0</v>
      </c>
      <c r="G685" s="25">
        <v>15</v>
      </c>
      <c r="H685" s="25">
        <v>1</v>
      </c>
      <c r="I685" s="25">
        <v>2</v>
      </c>
      <c r="J685" s="92">
        <f t="shared" si="64"/>
        <v>0.0578480524489009</v>
      </c>
      <c r="K685" s="93">
        <f t="shared" si="65"/>
        <v>4.15486666666667</v>
      </c>
      <c r="L685" s="94">
        <f t="shared" si="66"/>
        <v>0</v>
      </c>
      <c r="M685" s="92">
        <f t="shared" si="67"/>
        <v>0</v>
      </c>
      <c r="N685" s="46">
        <f t="shared" si="68"/>
        <v>0</v>
      </c>
      <c r="O685" s="46">
        <f t="shared" si="69"/>
        <v>0</v>
      </c>
      <c r="P685" s="93">
        <f t="shared" si="70"/>
        <v>83.0973333333333</v>
      </c>
    </row>
    <row r="686" s="2" customFormat="1" spans="1:16">
      <c r="A686" s="82">
        <v>45333</v>
      </c>
      <c r="B686" s="21">
        <v>1469.3</v>
      </c>
      <c r="C686" s="22">
        <v>4234</v>
      </c>
      <c r="D686" s="22">
        <v>305</v>
      </c>
      <c r="E686" s="25">
        <v>1</v>
      </c>
      <c r="F686" s="21">
        <v>16581</v>
      </c>
      <c r="G686" s="25">
        <v>24</v>
      </c>
      <c r="H686" s="25">
        <v>7</v>
      </c>
      <c r="I686" s="25">
        <v>9</v>
      </c>
      <c r="J686" s="92">
        <f t="shared" si="64"/>
        <v>0.07203589985829</v>
      </c>
      <c r="K686" s="93">
        <f t="shared" si="65"/>
        <v>4.81737704918033</v>
      </c>
      <c r="L686" s="94">
        <f t="shared" si="66"/>
        <v>11.2849656298918</v>
      </c>
      <c r="M686" s="92">
        <f t="shared" si="67"/>
        <v>0.00327868852459016</v>
      </c>
      <c r="N686" s="46">
        <f t="shared" si="68"/>
        <v>16581</v>
      </c>
      <c r="O686" s="46">
        <f t="shared" si="69"/>
        <v>1469.3</v>
      </c>
      <c r="P686" s="93">
        <f t="shared" si="70"/>
        <v>61.2208333333333</v>
      </c>
    </row>
    <row r="687" s="2" customFormat="1" spans="1:16">
      <c r="A687" s="82">
        <v>45334</v>
      </c>
      <c r="B687" s="21">
        <v>1472.87</v>
      </c>
      <c r="C687" s="22">
        <v>4346</v>
      </c>
      <c r="D687" s="22">
        <v>315</v>
      </c>
      <c r="E687" s="25">
        <v>0</v>
      </c>
      <c r="F687" s="21">
        <v>0</v>
      </c>
      <c r="G687" s="25">
        <v>12</v>
      </c>
      <c r="H687" s="25">
        <v>4</v>
      </c>
      <c r="I687" s="25">
        <v>0</v>
      </c>
      <c r="J687" s="92">
        <f t="shared" si="64"/>
        <v>0.0724804417855499</v>
      </c>
      <c r="K687" s="93">
        <f t="shared" si="65"/>
        <v>4.67577777777778</v>
      </c>
      <c r="L687" s="94">
        <f t="shared" si="66"/>
        <v>0</v>
      </c>
      <c r="M687" s="92">
        <f t="shared" si="67"/>
        <v>0</v>
      </c>
      <c r="N687" s="46">
        <f t="shared" si="68"/>
        <v>0</v>
      </c>
      <c r="O687" s="46">
        <f t="shared" si="69"/>
        <v>0</v>
      </c>
      <c r="P687" s="93">
        <f t="shared" si="70"/>
        <v>122.739166666667</v>
      </c>
    </row>
    <row r="688" s="2" customFormat="1" spans="1:16">
      <c r="A688" s="82">
        <v>45335</v>
      </c>
      <c r="B688" s="21">
        <v>1582.65</v>
      </c>
      <c r="C688" s="22">
        <v>4029</v>
      </c>
      <c r="D688" s="22">
        <v>320</v>
      </c>
      <c r="E688" s="25">
        <v>0</v>
      </c>
      <c r="F688" s="21">
        <v>0</v>
      </c>
      <c r="G688" s="25">
        <v>35</v>
      </c>
      <c r="H688" s="25">
        <v>3</v>
      </c>
      <c r="I688" s="25">
        <v>9</v>
      </c>
      <c r="J688" s="92">
        <f t="shared" si="64"/>
        <v>0.0794241747331844</v>
      </c>
      <c r="K688" s="93">
        <f t="shared" si="65"/>
        <v>4.94578125</v>
      </c>
      <c r="L688" s="94">
        <f t="shared" si="66"/>
        <v>0</v>
      </c>
      <c r="M688" s="92">
        <f t="shared" si="67"/>
        <v>0</v>
      </c>
      <c r="N688" s="46">
        <f t="shared" si="68"/>
        <v>0</v>
      </c>
      <c r="O688" s="46">
        <f t="shared" si="69"/>
        <v>0</v>
      </c>
      <c r="P688" s="93">
        <f t="shared" si="70"/>
        <v>45.2185714285714</v>
      </c>
    </row>
    <row r="689" s="2" customFormat="1" spans="1:16">
      <c r="A689" s="82">
        <v>45336</v>
      </c>
      <c r="B689" s="21">
        <v>1626.22</v>
      </c>
      <c r="C689" s="22">
        <v>4343</v>
      </c>
      <c r="D689" s="22">
        <v>359</v>
      </c>
      <c r="E689" s="25">
        <v>1</v>
      </c>
      <c r="F689" s="21">
        <v>12754</v>
      </c>
      <c r="G689" s="25">
        <v>9</v>
      </c>
      <c r="H689" s="25">
        <v>8</v>
      </c>
      <c r="I689" s="25">
        <v>3</v>
      </c>
      <c r="J689" s="92">
        <f t="shared" si="64"/>
        <v>0.0826617545475478</v>
      </c>
      <c r="K689" s="93">
        <f t="shared" si="65"/>
        <v>4.52986072423398</v>
      </c>
      <c r="L689" s="94">
        <f t="shared" si="66"/>
        <v>7.84272730626852</v>
      </c>
      <c r="M689" s="92">
        <f t="shared" si="67"/>
        <v>0.00278551532033426</v>
      </c>
      <c r="N689" s="46">
        <f t="shared" si="68"/>
        <v>12754</v>
      </c>
      <c r="O689" s="46">
        <f t="shared" si="69"/>
        <v>1626.22</v>
      </c>
      <c r="P689" s="93">
        <f t="shared" si="70"/>
        <v>180.691111111111</v>
      </c>
    </row>
    <row r="690" s="2" customFormat="1" spans="1:16">
      <c r="A690" s="82">
        <v>45337</v>
      </c>
      <c r="B690" s="21">
        <v>1764.21</v>
      </c>
      <c r="C690" s="22">
        <v>4654</v>
      </c>
      <c r="D690" s="22">
        <v>373</v>
      </c>
      <c r="E690" s="25">
        <v>0</v>
      </c>
      <c r="F690" s="21">
        <v>0</v>
      </c>
      <c r="G690" s="25">
        <v>26</v>
      </c>
      <c r="H690" s="25">
        <v>3</v>
      </c>
      <c r="I690" s="25">
        <v>6</v>
      </c>
      <c r="J690" s="92">
        <f t="shared" si="64"/>
        <v>0.0801461108723679</v>
      </c>
      <c r="K690" s="93">
        <f t="shared" si="65"/>
        <v>4.7297855227882</v>
      </c>
      <c r="L690" s="94">
        <f t="shared" si="66"/>
        <v>0</v>
      </c>
      <c r="M690" s="92">
        <f t="shared" si="67"/>
        <v>0</v>
      </c>
      <c r="N690" s="46">
        <f t="shared" si="68"/>
        <v>0</v>
      </c>
      <c r="O690" s="46">
        <f t="shared" si="69"/>
        <v>0</v>
      </c>
      <c r="P690" s="93">
        <f t="shared" si="70"/>
        <v>67.8542307692308</v>
      </c>
    </row>
    <row r="691" s="2" customFormat="1" spans="1:16">
      <c r="A691" s="82">
        <v>45338</v>
      </c>
      <c r="B691" s="21">
        <v>1844.63</v>
      </c>
      <c r="C691" s="22">
        <v>4022</v>
      </c>
      <c r="D691" s="22">
        <v>408</v>
      </c>
      <c r="E691" s="25">
        <v>0</v>
      </c>
      <c r="F691" s="21">
        <v>0</v>
      </c>
      <c r="G691" s="25">
        <v>37</v>
      </c>
      <c r="H691" s="25">
        <v>3</v>
      </c>
      <c r="I691" s="25">
        <v>8</v>
      </c>
      <c r="J691" s="92">
        <f t="shared" si="64"/>
        <v>0.101442068622576</v>
      </c>
      <c r="K691" s="93">
        <f t="shared" si="65"/>
        <v>4.52115196078431</v>
      </c>
      <c r="L691" s="94">
        <f t="shared" si="66"/>
        <v>0</v>
      </c>
      <c r="M691" s="92">
        <f t="shared" si="67"/>
        <v>0</v>
      </c>
      <c r="N691" s="46">
        <f t="shared" si="68"/>
        <v>0</v>
      </c>
      <c r="O691" s="46">
        <f t="shared" si="69"/>
        <v>0</v>
      </c>
      <c r="P691" s="93">
        <f t="shared" si="70"/>
        <v>49.8548648648649</v>
      </c>
    </row>
    <row r="692" s="2" customFormat="1" spans="1:16">
      <c r="A692" s="82">
        <v>45339</v>
      </c>
      <c r="B692" s="21">
        <v>1827.04</v>
      </c>
      <c r="C692" s="22">
        <v>4549</v>
      </c>
      <c r="D692" s="22">
        <v>402</v>
      </c>
      <c r="E692" s="25">
        <v>0</v>
      </c>
      <c r="F692" s="21">
        <v>0</v>
      </c>
      <c r="G692" s="25">
        <v>26</v>
      </c>
      <c r="H692" s="25">
        <v>2</v>
      </c>
      <c r="I692" s="25">
        <v>9</v>
      </c>
      <c r="J692" s="92">
        <f t="shared" si="64"/>
        <v>0.0883710705649593</v>
      </c>
      <c r="K692" s="93">
        <f t="shared" si="65"/>
        <v>4.54487562189055</v>
      </c>
      <c r="L692" s="94">
        <f t="shared" si="66"/>
        <v>0</v>
      </c>
      <c r="M692" s="92">
        <f t="shared" si="67"/>
        <v>0</v>
      </c>
      <c r="N692" s="46">
        <f t="shared" si="68"/>
        <v>0</v>
      </c>
      <c r="O692" s="46">
        <f t="shared" si="69"/>
        <v>0</v>
      </c>
      <c r="P692" s="93">
        <f t="shared" si="70"/>
        <v>70.2707692307692</v>
      </c>
    </row>
    <row r="693" s="2" customFormat="1" spans="1:16">
      <c r="A693" s="82">
        <v>45340</v>
      </c>
      <c r="B693" s="21">
        <v>1843.83</v>
      </c>
      <c r="C693" s="22">
        <v>4328</v>
      </c>
      <c r="D693" s="22">
        <v>386</v>
      </c>
      <c r="E693" s="25">
        <v>0</v>
      </c>
      <c r="F693" s="21">
        <v>0</v>
      </c>
      <c r="G693" s="25">
        <v>22</v>
      </c>
      <c r="H693" s="25">
        <v>2</v>
      </c>
      <c r="I693" s="25">
        <v>6</v>
      </c>
      <c r="J693" s="92">
        <f t="shared" si="64"/>
        <v>0.0891866913123845</v>
      </c>
      <c r="K693" s="93">
        <f t="shared" si="65"/>
        <v>4.77676165803109</v>
      </c>
      <c r="L693" s="94">
        <f t="shared" si="66"/>
        <v>0</v>
      </c>
      <c r="M693" s="92">
        <f t="shared" si="67"/>
        <v>0</v>
      </c>
      <c r="N693" s="46">
        <f t="shared" si="68"/>
        <v>0</v>
      </c>
      <c r="O693" s="46">
        <f t="shared" si="69"/>
        <v>0</v>
      </c>
      <c r="P693" s="93">
        <f t="shared" si="70"/>
        <v>83.8104545454545</v>
      </c>
    </row>
    <row r="694" s="2" customFormat="1" spans="1:16">
      <c r="A694" s="82">
        <v>45341</v>
      </c>
      <c r="B694" s="21">
        <v>1987.38</v>
      </c>
      <c r="C694" s="22">
        <v>4875</v>
      </c>
      <c r="D694" s="22">
        <v>419</v>
      </c>
      <c r="E694" s="25">
        <v>0</v>
      </c>
      <c r="F694" s="21">
        <v>0</v>
      </c>
      <c r="G694" s="25">
        <v>43</v>
      </c>
      <c r="H694" s="25">
        <v>3</v>
      </c>
      <c r="I694" s="25">
        <v>6</v>
      </c>
      <c r="J694" s="92">
        <f t="shared" si="64"/>
        <v>0.0859487179487179</v>
      </c>
      <c r="K694" s="93">
        <f t="shared" si="65"/>
        <v>4.74315035799523</v>
      </c>
      <c r="L694" s="94">
        <f t="shared" si="66"/>
        <v>0</v>
      </c>
      <c r="M694" s="92">
        <f t="shared" si="67"/>
        <v>0</v>
      </c>
      <c r="N694" s="46">
        <f t="shared" si="68"/>
        <v>0</v>
      </c>
      <c r="O694" s="46">
        <f t="shared" si="69"/>
        <v>0</v>
      </c>
      <c r="P694" s="93">
        <f t="shared" si="70"/>
        <v>46.2181395348837</v>
      </c>
    </row>
    <row r="695" s="2" customFormat="1" spans="1:16">
      <c r="A695" s="82">
        <v>45342</v>
      </c>
      <c r="B695" s="21">
        <v>1492.33</v>
      </c>
      <c r="C695" s="22">
        <v>5063</v>
      </c>
      <c r="D695" s="22">
        <v>375</v>
      </c>
      <c r="E695" s="25">
        <v>1</v>
      </c>
      <c r="F695" s="21">
        <v>17356</v>
      </c>
      <c r="G695" s="25">
        <v>36</v>
      </c>
      <c r="H695" s="25">
        <v>3</v>
      </c>
      <c r="I695" s="25">
        <v>3</v>
      </c>
      <c r="J695" s="92">
        <f t="shared" si="64"/>
        <v>0.0740667588386332</v>
      </c>
      <c r="K695" s="93">
        <f t="shared" si="65"/>
        <v>3.97954666666667</v>
      </c>
      <c r="L695" s="94">
        <f t="shared" si="66"/>
        <v>11.6301354258106</v>
      </c>
      <c r="M695" s="92">
        <f t="shared" si="67"/>
        <v>0.00266666666666667</v>
      </c>
      <c r="N695" s="46">
        <f t="shared" si="68"/>
        <v>17356</v>
      </c>
      <c r="O695" s="46">
        <f t="shared" si="69"/>
        <v>1492.33</v>
      </c>
      <c r="P695" s="93">
        <f t="shared" si="70"/>
        <v>41.4536111111111</v>
      </c>
    </row>
    <row r="696" s="2" customFormat="1" spans="1:16">
      <c r="A696" s="82">
        <v>45343</v>
      </c>
      <c r="B696" s="21">
        <v>1485.83</v>
      </c>
      <c r="C696" s="22">
        <v>4925</v>
      </c>
      <c r="D696" s="22">
        <v>363</v>
      </c>
      <c r="E696" s="25">
        <v>0</v>
      </c>
      <c r="F696" s="21">
        <v>0</v>
      </c>
      <c r="G696" s="25">
        <v>22</v>
      </c>
      <c r="H696" s="25">
        <v>2</v>
      </c>
      <c r="I696" s="25">
        <v>4</v>
      </c>
      <c r="J696" s="92">
        <f t="shared" si="64"/>
        <v>0.0737055837563452</v>
      </c>
      <c r="K696" s="93">
        <f t="shared" si="65"/>
        <v>4.0931955922865</v>
      </c>
      <c r="L696" s="94">
        <f t="shared" si="66"/>
        <v>0</v>
      </c>
      <c r="M696" s="92">
        <f t="shared" si="67"/>
        <v>0</v>
      </c>
      <c r="N696" s="46">
        <f t="shared" si="68"/>
        <v>0</v>
      </c>
      <c r="O696" s="46">
        <f t="shared" si="69"/>
        <v>0</v>
      </c>
      <c r="P696" s="93">
        <f t="shared" si="70"/>
        <v>67.5377272727273</v>
      </c>
    </row>
    <row r="697" s="2" customFormat="1" spans="1:16">
      <c r="A697" s="82">
        <v>45344</v>
      </c>
      <c r="B697" s="21">
        <v>1490.04</v>
      </c>
      <c r="C697" s="22">
        <v>4343</v>
      </c>
      <c r="D697" s="22">
        <v>353</v>
      </c>
      <c r="E697" s="25">
        <v>0</v>
      </c>
      <c r="F697" s="21">
        <v>0</v>
      </c>
      <c r="G697" s="25">
        <v>22</v>
      </c>
      <c r="H697" s="25">
        <v>3</v>
      </c>
      <c r="I697" s="25">
        <v>3</v>
      </c>
      <c r="J697" s="92">
        <f t="shared" si="64"/>
        <v>0.0812802210453604</v>
      </c>
      <c r="K697" s="93">
        <f t="shared" si="65"/>
        <v>4.22107648725212</v>
      </c>
      <c r="L697" s="94">
        <f t="shared" si="66"/>
        <v>0</v>
      </c>
      <c r="M697" s="92">
        <f t="shared" si="67"/>
        <v>0</v>
      </c>
      <c r="N697" s="46">
        <f t="shared" si="68"/>
        <v>0</v>
      </c>
      <c r="O697" s="46">
        <f t="shared" si="69"/>
        <v>0</v>
      </c>
      <c r="P697" s="93">
        <f t="shared" si="70"/>
        <v>67.7290909090909</v>
      </c>
    </row>
    <row r="698" s="2" customFormat="1" spans="1:16">
      <c r="A698" s="82">
        <v>45345</v>
      </c>
      <c r="B698" s="21">
        <v>1164.86</v>
      </c>
      <c r="C698" s="22">
        <v>3741</v>
      </c>
      <c r="D698" s="22">
        <v>264</v>
      </c>
      <c r="E698" s="25">
        <v>1</v>
      </c>
      <c r="F698" s="21">
        <v>14808</v>
      </c>
      <c r="G698" s="25">
        <v>34</v>
      </c>
      <c r="H698" s="25">
        <v>2</v>
      </c>
      <c r="I698" s="25">
        <v>4</v>
      </c>
      <c r="J698" s="92">
        <f t="shared" si="64"/>
        <v>0.0705693664795509</v>
      </c>
      <c r="K698" s="93">
        <f t="shared" si="65"/>
        <v>4.41234848484848</v>
      </c>
      <c r="L698" s="94">
        <f t="shared" si="66"/>
        <v>12.7122572669677</v>
      </c>
      <c r="M698" s="92">
        <f t="shared" si="67"/>
        <v>0.00378787878787879</v>
      </c>
      <c r="N698" s="46">
        <f t="shared" si="68"/>
        <v>14808</v>
      </c>
      <c r="O698" s="46">
        <f t="shared" si="69"/>
        <v>1164.86</v>
      </c>
      <c r="P698" s="93">
        <f t="shared" si="70"/>
        <v>34.2605882352941</v>
      </c>
    </row>
    <row r="699" s="2" customFormat="1" spans="1:16">
      <c r="A699" s="82">
        <v>45346</v>
      </c>
      <c r="B699" s="21">
        <v>1165.16</v>
      </c>
      <c r="C699" s="22">
        <v>3856</v>
      </c>
      <c r="D699" s="22">
        <v>270</v>
      </c>
      <c r="E699" s="25">
        <v>0</v>
      </c>
      <c r="F699" s="21">
        <v>0</v>
      </c>
      <c r="G699" s="25">
        <v>18</v>
      </c>
      <c r="H699" s="25">
        <v>2</v>
      </c>
      <c r="I699" s="25">
        <v>2</v>
      </c>
      <c r="J699" s="92">
        <f t="shared" si="64"/>
        <v>0.0700207468879668</v>
      </c>
      <c r="K699" s="93">
        <f t="shared" si="65"/>
        <v>4.31540740740741</v>
      </c>
      <c r="L699" s="94">
        <f t="shared" si="66"/>
        <v>0</v>
      </c>
      <c r="M699" s="92">
        <f t="shared" si="67"/>
        <v>0</v>
      </c>
      <c r="N699" s="46">
        <f t="shared" si="68"/>
        <v>0</v>
      </c>
      <c r="O699" s="46">
        <f t="shared" si="69"/>
        <v>0</v>
      </c>
      <c r="P699" s="93">
        <f t="shared" si="70"/>
        <v>64.7311111111111</v>
      </c>
    </row>
    <row r="700" s="2" customFormat="1" spans="1:16">
      <c r="A700" s="82">
        <v>45347</v>
      </c>
      <c r="B700" s="21">
        <v>1164.65</v>
      </c>
      <c r="C700" s="22">
        <v>3015</v>
      </c>
      <c r="D700" s="22">
        <v>272</v>
      </c>
      <c r="E700" s="25">
        <v>0</v>
      </c>
      <c r="F700" s="21">
        <v>0</v>
      </c>
      <c r="G700" s="25">
        <v>25</v>
      </c>
      <c r="H700" s="25">
        <v>3</v>
      </c>
      <c r="I700" s="25">
        <v>1</v>
      </c>
      <c r="J700" s="92">
        <f t="shared" si="64"/>
        <v>0.0902155887230514</v>
      </c>
      <c r="K700" s="93">
        <f t="shared" si="65"/>
        <v>4.28180147058824</v>
      </c>
      <c r="L700" s="94">
        <f t="shared" si="66"/>
        <v>0</v>
      </c>
      <c r="M700" s="92">
        <f t="shared" si="67"/>
        <v>0</v>
      </c>
      <c r="N700" s="46">
        <f t="shared" si="68"/>
        <v>0</v>
      </c>
      <c r="O700" s="46">
        <f t="shared" si="69"/>
        <v>0</v>
      </c>
      <c r="P700" s="93">
        <f t="shared" si="70"/>
        <v>46.586</v>
      </c>
    </row>
    <row r="701" s="2" customFormat="1" spans="1:16">
      <c r="A701" s="82">
        <v>45348</v>
      </c>
      <c r="B701" s="21">
        <v>1101.17</v>
      </c>
      <c r="C701" s="22">
        <v>3381</v>
      </c>
      <c r="D701" s="22">
        <v>288</v>
      </c>
      <c r="E701" s="25">
        <v>0</v>
      </c>
      <c r="F701" s="21">
        <v>0</v>
      </c>
      <c r="G701" s="25">
        <v>17</v>
      </c>
      <c r="H701" s="25">
        <v>3</v>
      </c>
      <c r="I701" s="25">
        <v>2</v>
      </c>
      <c r="J701" s="92">
        <f t="shared" si="64"/>
        <v>0.0851818988464951</v>
      </c>
      <c r="K701" s="93">
        <f t="shared" si="65"/>
        <v>3.82350694444444</v>
      </c>
      <c r="L701" s="94">
        <f t="shared" si="66"/>
        <v>0</v>
      </c>
      <c r="M701" s="92">
        <f t="shared" si="67"/>
        <v>0</v>
      </c>
      <c r="N701" s="46">
        <f t="shared" si="68"/>
        <v>0</v>
      </c>
      <c r="O701" s="46">
        <f t="shared" si="69"/>
        <v>0</v>
      </c>
      <c r="P701" s="93">
        <f t="shared" si="70"/>
        <v>64.7747058823529</v>
      </c>
    </row>
    <row r="702" s="2" customFormat="1" spans="1:16">
      <c r="A702" s="82">
        <v>45349</v>
      </c>
      <c r="B702" s="21">
        <v>496.01</v>
      </c>
      <c r="C702" s="22">
        <v>1911</v>
      </c>
      <c r="D702" s="22">
        <v>136</v>
      </c>
      <c r="E702" s="25">
        <v>0</v>
      </c>
      <c r="F702" s="21">
        <v>0</v>
      </c>
      <c r="G702" s="25">
        <v>6</v>
      </c>
      <c r="H702" s="25">
        <v>1</v>
      </c>
      <c r="I702" s="25">
        <v>1</v>
      </c>
      <c r="J702" s="92">
        <f t="shared" si="64"/>
        <v>0.0711669283097855</v>
      </c>
      <c r="K702" s="93">
        <f t="shared" si="65"/>
        <v>3.64713235294118</v>
      </c>
      <c r="L702" s="94">
        <f t="shared" si="66"/>
        <v>0</v>
      </c>
      <c r="M702" s="92">
        <f t="shared" si="67"/>
        <v>0</v>
      </c>
      <c r="N702" s="46">
        <f t="shared" si="68"/>
        <v>0</v>
      </c>
      <c r="O702" s="46">
        <f t="shared" si="69"/>
        <v>0</v>
      </c>
      <c r="P702" s="93">
        <f t="shared" si="70"/>
        <v>82.6683333333333</v>
      </c>
    </row>
    <row r="703" s="2" customFormat="1" spans="1:16">
      <c r="A703" s="82">
        <v>45350</v>
      </c>
      <c r="B703" s="21">
        <v>488.97</v>
      </c>
      <c r="C703" s="22">
        <v>1369</v>
      </c>
      <c r="D703" s="22">
        <v>121</v>
      </c>
      <c r="E703" s="25">
        <v>0</v>
      </c>
      <c r="F703" s="21">
        <v>0</v>
      </c>
      <c r="G703" s="25">
        <v>5</v>
      </c>
      <c r="H703" s="25">
        <v>2</v>
      </c>
      <c r="I703" s="25">
        <v>0</v>
      </c>
      <c r="J703" s="92">
        <f t="shared" si="64"/>
        <v>0.0883856829802776</v>
      </c>
      <c r="K703" s="93">
        <f t="shared" si="65"/>
        <v>4.04107438016529</v>
      </c>
      <c r="L703" s="94">
        <f t="shared" si="66"/>
        <v>0</v>
      </c>
      <c r="M703" s="92">
        <f t="shared" si="67"/>
        <v>0</v>
      </c>
      <c r="N703" s="46">
        <f t="shared" si="68"/>
        <v>0</v>
      </c>
      <c r="O703" s="46">
        <f t="shared" si="69"/>
        <v>0</v>
      </c>
      <c r="P703" s="93">
        <f t="shared" si="70"/>
        <v>97.794</v>
      </c>
    </row>
    <row r="704" s="2" customFormat="1" spans="1:16">
      <c r="A704" s="82">
        <v>45351</v>
      </c>
      <c r="B704" s="21">
        <v>492.47</v>
      </c>
      <c r="C704" s="22">
        <v>1963</v>
      </c>
      <c r="D704" s="22">
        <v>132</v>
      </c>
      <c r="E704" s="25">
        <v>0</v>
      </c>
      <c r="F704" s="21">
        <v>0</v>
      </c>
      <c r="G704" s="25">
        <v>2</v>
      </c>
      <c r="H704" s="25">
        <v>2</v>
      </c>
      <c r="I704" s="25">
        <v>0</v>
      </c>
      <c r="J704" s="92">
        <f t="shared" si="64"/>
        <v>0.0672440142638818</v>
      </c>
      <c r="K704" s="93">
        <f t="shared" si="65"/>
        <v>3.73083333333333</v>
      </c>
      <c r="L704" s="94">
        <f t="shared" si="66"/>
        <v>0</v>
      </c>
      <c r="M704" s="92">
        <f t="shared" si="67"/>
        <v>0</v>
      </c>
      <c r="N704" s="46">
        <f t="shared" si="68"/>
        <v>0</v>
      </c>
      <c r="O704" s="46">
        <f t="shared" si="69"/>
        <v>0</v>
      </c>
      <c r="P704" s="93">
        <f t="shared" si="70"/>
        <v>246.235</v>
      </c>
    </row>
    <row r="705" s="2" customFormat="1" spans="1:16">
      <c r="A705" s="82">
        <v>45352</v>
      </c>
      <c r="B705" s="21">
        <v>496.6</v>
      </c>
      <c r="C705" s="22">
        <v>1559</v>
      </c>
      <c r="D705" s="22">
        <v>127</v>
      </c>
      <c r="E705" s="25">
        <v>0</v>
      </c>
      <c r="F705" s="21">
        <v>0</v>
      </c>
      <c r="G705" s="25">
        <v>6</v>
      </c>
      <c r="H705" s="25">
        <v>1</v>
      </c>
      <c r="I705" s="25">
        <v>1</v>
      </c>
      <c r="J705" s="92">
        <f t="shared" si="64"/>
        <v>0.0814624759461193</v>
      </c>
      <c r="K705" s="93">
        <f t="shared" si="65"/>
        <v>3.91023622047244</v>
      </c>
      <c r="L705" s="94">
        <f t="shared" si="66"/>
        <v>0</v>
      </c>
      <c r="M705" s="92">
        <f t="shared" si="67"/>
        <v>0</v>
      </c>
      <c r="N705" s="46">
        <f t="shared" si="68"/>
        <v>0</v>
      </c>
      <c r="O705" s="46">
        <f t="shared" si="69"/>
        <v>0</v>
      </c>
      <c r="P705" s="93">
        <f t="shared" si="70"/>
        <v>82.7666666666667</v>
      </c>
    </row>
    <row r="706" s="2" customFormat="1" spans="1:16">
      <c r="A706" s="82">
        <v>45353</v>
      </c>
      <c r="B706" s="21">
        <v>934.95</v>
      </c>
      <c r="C706" s="22">
        <v>2699</v>
      </c>
      <c r="D706" s="22">
        <v>213</v>
      </c>
      <c r="E706" s="33">
        <v>0</v>
      </c>
      <c r="F706" s="21">
        <v>0</v>
      </c>
      <c r="G706" s="25">
        <v>13</v>
      </c>
      <c r="H706" s="25">
        <v>4</v>
      </c>
      <c r="I706" s="25">
        <v>0</v>
      </c>
      <c r="J706" s="92">
        <f t="shared" ref="J706:J769" si="71">D706/C706</f>
        <v>0.0789181178214153</v>
      </c>
      <c r="K706" s="93">
        <f t="shared" ref="K706:K769" si="72">B706/D706</f>
        <v>4.38943661971831</v>
      </c>
      <c r="L706" s="94">
        <f t="shared" ref="L706:L769" si="73">F706/B706</f>
        <v>0</v>
      </c>
      <c r="M706" s="92">
        <f t="shared" ref="M706:M769" si="74">E706/D706</f>
        <v>0</v>
      </c>
      <c r="N706" s="46">
        <f t="shared" ref="N706:N769" si="75">IF(E706=0,0,F706/E706)</f>
        <v>0</v>
      </c>
      <c r="O706" s="46">
        <f t="shared" ref="O706:O769" si="76">IF(E706=0,0,B706/E706)</f>
        <v>0</v>
      </c>
      <c r="P706" s="93">
        <f t="shared" ref="P706:P769" si="77">B706/G706</f>
        <v>71.9192307692308</v>
      </c>
    </row>
    <row r="707" s="2" customFormat="1" spans="1:16">
      <c r="A707" s="82">
        <v>45354</v>
      </c>
      <c r="B707" s="21">
        <v>937.28</v>
      </c>
      <c r="C707" s="22">
        <v>2907</v>
      </c>
      <c r="D707" s="22">
        <v>243</v>
      </c>
      <c r="E707" s="25">
        <v>0</v>
      </c>
      <c r="F707" s="21">
        <v>0</v>
      </c>
      <c r="G707" s="25">
        <v>23</v>
      </c>
      <c r="H707" s="25">
        <v>0</v>
      </c>
      <c r="I707" s="25">
        <v>4</v>
      </c>
      <c r="J707" s="92">
        <f t="shared" si="71"/>
        <v>0.0835913312693498</v>
      </c>
      <c r="K707" s="93">
        <f t="shared" si="72"/>
        <v>3.85711934156379</v>
      </c>
      <c r="L707" s="94">
        <f t="shared" si="73"/>
        <v>0</v>
      </c>
      <c r="M707" s="92">
        <f t="shared" si="74"/>
        <v>0</v>
      </c>
      <c r="N707" s="46">
        <f t="shared" si="75"/>
        <v>0</v>
      </c>
      <c r="O707" s="46">
        <f t="shared" si="76"/>
        <v>0</v>
      </c>
      <c r="P707" s="93">
        <f t="shared" si="77"/>
        <v>40.7513043478261</v>
      </c>
    </row>
    <row r="708" s="2" customFormat="1" spans="1:16">
      <c r="A708" s="82">
        <v>45355</v>
      </c>
      <c r="B708" s="21">
        <v>942.14</v>
      </c>
      <c r="C708" s="22">
        <v>2959</v>
      </c>
      <c r="D708" s="22">
        <v>217</v>
      </c>
      <c r="E708" s="33">
        <v>0</v>
      </c>
      <c r="F708" s="21">
        <v>0</v>
      </c>
      <c r="G708" s="25">
        <v>9</v>
      </c>
      <c r="H708" s="25">
        <v>4</v>
      </c>
      <c r="I708" s="25">
        <v>1</v>
      </c>
      <c r="J708" s="92">
        <f t="shared" si="71"/>
        <v>0.0733355863467388</v>
      </c>
      <c r="K708" s="93">
        <f t="shared" si="72"/>
        <v>4.34165898617512</v>
      </c>
      <c r="L708" s="94">
        <f t="shared" si="73"/>
        <v>0</v>
      </c>
      <c r="M708" s="92">
        <f t="shared" si="74"/>
        <v>0</v>
      </c>
      <c r="N708" s="46">
        <f t="shared" si="75"/>
        <v>0</v>
      </c>
      <c r="O708" s="46">
        <f t="shared" si="76"/>
        <v>0</v>
      </c>
      <c r="P708" s="93">
        <f t="shared" si="77"/>
        <v>104.682222222222</v>
      </c>
    </row>
    <row r="709" s="2" customFormat="1" spans="1:16">
      <c r="A709" s="82">
        <v>45356</v>
      </c>
      <c r="B709" s="21">
        <v>935.01</v>
      </c>
      <c r="C709" s="22">
        <v>2905</v>
      </c>
      <c r="D709" s="22">
        <v>225</v>
      </c>
      <c r="E709" s="33">
        <v>0</v>
      </c>
      <c r="F709" s="21">
        <v>0</v>
      </c>
      <c r="G709" s="25">
        <v>20</v>
      </c>
      <c r="H709" s="25">
        <v>2</v>
      </c>
      <c r="I709" s="25">
        <v>5</v>
      </c>
      <c r="J709" s="92">
        <f t="shared" si="71"/>
        <v>0.0774526678141136</v>
      </c>
      <c r="K709" s="93">
        <f t="shared" si="72"/>
        <v>4.1556</v>
      </c>
      <c r="L709" s="94">
        <f t="shared" si="73"/>
        <v>0</v>
      </c>
      <c r="M709" s="92">
        <f t="shared" si="74"/>
        <v>0</v>
      </c>
      <c r="N709" s="46">
        <f t="shared" si="75"/>
        <v>0</v>
      </c>
      <c r="O709" s="46">
        <f t="shared" si="76"/>
        <v>0</v>
      </c>
      <c r="P709" s="93">
        <f t="shared" si="77"/>
        <v>46.7505</v>
      </c>
    </row>
    <row r="710" s="2" customFormat="1" spans="1:16">
      <c r="A710" s="82">
        <v>45357</v>
      </c>
      <c r="B710" s="21">
        <v>1514.93</v>
      </c>
      <c r="C710" s="22">
        <v>3216</v>
      </c>
      <c r="D710" s="72">
        <v>320</v>
      </c>
      <c r="E710" s="33">
        <v>0</v>
      </c>
      <c r="F710" s="21">
        <v>0</v>
      </c>
      <c r="G710" s="25">
        <v>27</v>
      </c>
      <c r="H710" s="25">
        <v>4</v>
      </c>
      <c r="I710" s="25">
        <v>4</v>
      </c>
      <c r="J710" s="92">
        <f t="shared" si="71"/>
        <v>0.0995024875621891</v>
      </c>
      <c r="K710" s="93">
        <f t="shared" si="72"/>
        <v>4.73415625</v>
      </c>
      <c r="L710" s="94">
        <f t="shared" si="73"/>
        <v>0</v>
      </c>
      <c r="M710" s="92">
        <f t="shared" si="74"/>
        <v>0</v>
      </c>
      <c r="N710" s="46">
        <f t="shared" si="75"/>
        <v>0</v>
      </c>
      <c r="O710" s="46">
        <f t="shared" si="76"/>
        <v>0</v>
      </c>
      <c r="P710" s="93">
        <f t="shared" si="77"/>
        <v>56.1085185185185</v>
      </c>
    </row>
    <row r="711" s="2" customFormat="1" spans="1:16">
      <c r="A711" s="82">
        <v>45358</v>
      </c>
      <c r="B711" s="21">
        <v>2619.11</v>
      </c>
      <c r="C711" s="22">
        <v>5816</v>
      </c>
      <c r="D711" s="72">
        <v>503</v>
      </c>
      <c r="E711" s="25">
        <v>4</v>
      </c>
      <c r="F711" s="21">
        <v>62132</v>
      </c>
      <c r="G711" s="25">
        <v>43</v>
      </c>
      <c r="H711" s="25">
        <v>3</v>
      </c>
      <c r="I711" s="25">
        <v>8</v>
      </c>
      <c r="J711" s="92">
        <f t="shared" si="71"/>
        <v>0.0864855570839065</v>
      </c>
      <c r="K711" s="93">
        <f t="shared" si="72"/>
        <v>5.20697813121272</v>
      </c>
      <c r="L711" s="94">
        <f t="shared" si="73"/>
        <v>23.7225622444265</v>
      </c>
      <c r="M711" s="92">
        <f t="shared" si="74"/>
        <v>0.00795228628230616</v>
      </c>
      <c r="N711" s="46">
        <f t="shared" si="75"/>
        <v>15533</v>
      </c>
      <c r="O711" s="46">
        <f t="shared" si="76"/>
        <v>654.7775</v>
      </c>
      <c r="P711" s="93">
        <f t="shared" si="77"/>
        <v>60.9095348837209</v>
      </c>
    </row>
    <row r="712" s="2" customFormat="1" spans="1:16">
      <c r="A712" s="82">
        <v>45359</v>
      </c>
      <c r="B712" s="21">
        <v>2615.75</v>
      </c>
      <c r="C712" s="22">
        <v>7630</v>
      </c>
      <c r="D712" s="72">
        <v>480</v>
      </c>
      <c r="E712" s="25">
        <v>1</v>
      </c>
      <c r="F712" s="21">
        <v>17664</v>
      </c>
      <c r="G712" s="25">
        <v>19</v>
      </c>
      <c r="H712" s="25">
        <v>5</v>
      </c>
      <c r="I712" s="25">
        <v>0</v>
      </c>
      <c r="J712" s="92">
        <f t="shared" si="71"/>
        <v>0.0629095674967235</v>
      </c>
      <c r="K712" s="93">
        <f t="shared" si="72"/>
        <v>5.44947916666667</v>
      </c>
      <c r="L712" s="94">
        <f t="shared" si="73"/>
        <v>6.75293892764981</v>
      </c>
      <c r="M712" s="92">
        <f t="shared" si="74"/>
        <v>0.00208333333333333</v>
      </c>
      <c r="N712" s="46">
        <f t="shared" si="75"/>
        <v>17664</v>
      </c>
      <c r="O712" s="46">
        <f t="shared" si="76"/>
        <v>2615.75</v>
      </c>
      <c r="P712" s="93">
        <f t="shared" si="77"/>
        <v>137.671052631579</v>
      </c>
    </row>
    <row r="713" s="2" customFormat="1" spans="1:16">
      <c r="A713" s="82">
        <v>45360</v>
      </c>
      <c r="B713" s="21">
        <v>2938.28</v>
      </c>
      <c r="C713" s="22">
        <v>8217</v>
      </c>
      <c r="D713" s="72">
        <v>558</v>
      </c>
      <c r="E713" s="25">
        <v>5</v>
      </c>
      <c r="F713" s="21">
        <v>91628</v>
      </c>
      <c r="G713" s="25">
        <v>27</v>
      </c>
      <c r="H713" s="25">
        <v>3</v>
      </c>
      <c r="I713" s="25">
        <v>6</v>
      </c>
      <c r="J713" s="92">
        <f t="shared" si="71"/>
        <v>0.067907995618839</v>
      </c>
      <c r="K713" s="93">
        <f t="shared" si="72"/>
        <v>5.26573476702509</v>
      </c>
      <c r="L713" s="94">
        <f t="shared" si="73"/>
        <v>31.1842302299304</v>
      </c>
      <c r="M713" s="92">
        <f t="shared" si="74"/>
        <v>0.00896057347670251</v>
      </c>
      <c r="N713" s="46">
        <f t="shared" si="75"/>
        <v>18325.6</v>
      </c>
      <c r="O713" s="46">
        <f t="shared" si="76"/>
        <v>587.656</v>
      </c>
      <c r="P713" s="93">
        <f t="shared" si="77"/>
        <v>108.825185185185</v>
      </c>
    </row>
    <row r="714" s="2" customFormat="1" spans="1:16">
      <c r="A714" s="82">
        <v>45361</v>
      </c>
      <c r="B714" s="21">
        <v>3173.82</v>
      </c>
      <c r="C714" s="22">
        <v>10210</v>
      </c>
      <c r="D714" s="72">
        <v>658</v>
      </c>
      <c r="E714" s="25">
        <v>1</v>
      </c>
      <c r="F714" s="21">
        <v>36908</v>
      </c>
      <c r="G714" s="25">
        <v>28</v>
      </c>
      <c r="H714" s="25">
        <v>5</v>
      </c>
      <c r="I714" s="25">
        <v>6</v>
      </c>
      <c r="J714" s="92">
        <f t="shared" si="71"/>
        <v>0.0644466209598433</v>
      </c>
      <c r="K714" s="93">
        <f t="shared" si="72"/>
        <v>4.82343465045593</v>
      </c>
      <c r="L714" s="94">
        <f t="shared" si="73"/>
        <v>11.6288888468785</v>
      </c>
      <c r="M714" s="92">
        <f t="shared" si="74"/>
        <v>0.00151975683890578</v>
      </c>
      <c r="N714" s="46">
        <f t="shared" si="75"/>
        <v>36908</v>
      </c>
      <c r="O714" s="46">
        <f t="shared" si="76"/>
        <v>3173.82</v>
      </c>
      <c r="P714" s="93">
        <f t="shared" si="77"/>
        <v>113.350714285714</v>
      </c>
    </row>
    <row r="715" s="2" customFormat="1" spans="1:16">
      <c r="A715" s="82">
        <v>45362</v>
      </c>
      <c r="B715" s="21">
        <v>2697.78</v>
      </c>
      <c r="C715" s="22">
        <v>8641</v>
      </c>
      <c r="D715" s="72">
        <v>558</v>
      </c>
      <c r="E715" s="25">
        <v>0</v>
      </c>
      <c r="F715" s="21">
        <v>0</v>
      </c>
      <c r="G715" s="25">
        <v>30</v>
      </c>
      <c r="H715" s="25">
        <v>4</v>
      </c>
      <c r="I715" s="25">
        <v>3</v>
      </c>
      <c r="J715" s="92">
        <f t="shared" si="71"/>
        <v>0.0645758592755468</v>
      </c>
      <c r="K715" s="93">
        <f t="shared" si="72"/>
        <v>4.8347311827957</v>
      </c>
      <c r="L715" s="94">
        <f t="shared" si="73"/>
        <v>0</v>
      </c>
      <c r="M715" s="92">
        <f t="shared" si="74"/>
        <v>0</v>
      </c>
      <c r="N715" s="46">
        <f t="shared" si="75"/>
        <v>0</v>
      </c>
      <c r="O715" s="46">
        <f t="shared" si="76"/>
        <v>0</v>
      </c>
      <c r="P715" s="93">
        <f t="shared" si="77"/>
        <v>89.926</v>
      </c>
    </row>
    <row r="716" s="2" customFormat="1" spans="1:16">
      <c r="A716" s="82">
        <v>45363</v>
      </c>
      <c r="B716" s="21">
        <v>2504.15</v>
      </c>
      <c r="C716" s="22">
        <v>8200</v>
      </c>
      <c r="D716" s="72">
        <v>515</v>
      </c>
      <c r="E716" s="25">
        <v>1</v>
      </c>
      <c r="F716" s="21">
        <v>13376</v>
      </c>
      <c r="G716" s="25">
        <v>37</v>
      </c>
      <c r="H716" s="25">
        <v>10</v>
      </c>
      <c r="I716" s="25">
        <v>2</v>
      </c>
      <c r="J716" s="92">
        <f t="shared" si="71"/>
        <v>0.0628048780487805</v>
      </c>
      <c r="K716" s="93">
        <f t="shared" si="72"/>
        <v>4.86242718446602</v>
      </c>
      <c r="L716" s="94">
        <f t="shared" si="73"/>
        <v>5.34153305512849</v>
      </c>
      <c r="M716" s="92">
        <f t="shared" si="74"/>
        <v>0.00194174757281553</v>
      </c>
      <c r="N716" s="46">
        <f t="shared" si="75"/>
        <v>13376</v>
      </c>
      <c r="O716" s="46">
        <f t="shared" si="76"/>
        <v>2504.15</v>
      </c>
      <c r="P716" s="93">
        <f t="shared" si="77"/>
        <v>67.6797297297297</v>
      </c>
    </row>
    <row r="717" s="2" customFormat="1" spans="1:16">
      <c r="A717" s="82">
        <v>45364</v>
      </c>
      <c r="B717" s="21">
        <v>2498.38</v>
      </c>
      <c r="C717" s="22">
        <v>7728</v>
      </c>
      <c r="D717" s="72">
        <v>528</v>
      </c>
      <c r="E717" s="25">
        <v>0</v>
      </c>
      <c r="F717" s="21">
        <v>0</v>
      </c>
      <c r="G717" s="25">
        <v>60</v>
      </c>
      <c r="H717" s="25">
        <v>9</v>
      </c>
      <c r="I717" s="25">
        <v>13</v>
      </c>
      <c r="J717" s="92">
        <f t="shared" si="71"/>
        <v>0.0683229813664596</v>
      </c>
      <c r="K717" s="93">
        <f t="shared" si="72"/>
        <v>4.7317803030303</v>
      </c>
      <c r="L717" s="94">
        <f t="shared" si="73"/>
        <v>0</v>
      </c>
      <c r="M717" s="92">
        <f t="shared" si="74"/>
        <v>0</v>
      </c>
      <c r="N717" s="46">
        <f t="shared" si="75"/>
        <v>0</v>
      </c>
      <c r="O717" s="46">
        <f t="shared" si="76"/>
        <v>0</v>
      </c>
      <c r="P717" s="93">
        <f t="shared" si="77"/>
        <v>41.6396666666667</v>
      </c>
    </row>
    <row r="718" s="2" customFormat="1" spans="1:16">
      <c r="A718" s="82">
        <v>45365</v>
      </c>
      <c r="B718" s="21">
        <v>2363.76</v>
      </c>
      <c r="C718" s="22">
        <v>7911</v>
      </c>
      <c r="D718" s="72">
        <v>519</v>
      </c>
      <c r="E718" s="25">
        <v>3</v>
      </c>
      <c r="F718" s="21">
        <v>50762</v>
      </c>
      <c r="G718" s="25">
        <v>29</v>
      </c>
      <c r="H718" s="25">
        <v>4</v>
      </c>
      <c r="I718" s="25">
        <v>8</v>
      </c>
      <c r="J718" s="92">
        <f t="shared" si="71"/>
        <v>0.0656048540007584</v>
      </c>
      <c r="K718" s="93">
        <f t="shared" si="72"/>
        <v>4.55445086705202</v>
      </c>
      <c r="L718" s="94">
        <f t="shared" si="73"/>
        <v>21.4751074559177</v>
      </c>
      <c r="M718" s="92">
        <f t="shared" si="74"/>
        <v>0.00578034682080925</v>
      </c>
      <c r="N718" s="46">
        <f t="shared" si="75"/>
        <v>16920.6666666667</v>
      </c>
      <c r="O718" s="46">
        <f t="shared" si="76"/>
        <v>787.92</v>
      </c>
      <c r="P718" s="93">
        <f t="shared" si="77"/>
        <v>81.5089655172414</v>
      </c>
    </row>
    <row r="719" s="2" customFormat="1" spans="1:16">
      <c r="A719" s="82">
        <v>45366</v>
      </c>
      <c r="B719" s="21">
        <v>2220.39</v>
      </c>
      <c r="C719" s="22">
        <v>8650</v>
      </c>
      <c r="D719" s="72">
        <v>488</v>
      </c>
      <c r="E719" s="25">
        <v>0</v>
      </c>
      <c r="F719" s="21">
        <v>0</v>
      </c>
      <c r="G719" s="25">
        <v>32</v>
      </c>
      <c r="H719" s="25">
        <v>3</v>
      </c>
      <c r="I719" s="25">
        <v>9</v>
      </c>
      <c r="J719" s="92">
        <f t="shared" si="71"/>
        <v>0.0564161849710983</v>
      </c>
      <c r="K719" s="93">
        <f t="shared" si="72"/>
        <v>4.54997950819672</v>
      </c>
      <c r="L719" s="94">
        <f t="shared" si="73"/>
        <v>0</v>
      </c>
      <c r="M719" s="92">
        <f t="shared" si="74"/>
        <v>0</v>
      </c>
      <c r="N719" s="46">
        <f t="shared" si="75"/>
        <v>0</v>
      </c>
      <c r="O719" s="46">
        <f t="shared" si="76"/>
        <v>0</v>
      </c>
      <c r="P719" s="93">
        <f t="shared" si="77"/>
        <v>69.3871875</v>
      </c>
    </row>
    <row r="720" s="2" customFormat="1" spans="1:16">
      <c r="A720" s="82">
        <v>45367</v>
      </c>
      <c r="B720" s="21">
        <v>3203.34</v>
      </c>
      <c r="C720" s="22">
        <v>25841</v>
      </c>
      <c r="D720" s="72">
        <v>753</v>
      </c>
      <c r="E720" s="25">
        <v>0</v>
      </c>
      <c r="F720" s="21">
        <v>0</v>
      </c>
      <c r="G720" s="25">
        <v>32</v>
      </c>
      <c r="H720" s="25">
        <v>5</v>
      </c>
      <c r="I720" s="25">
        <v>8</v>
      </c>
      <c r="J720" s="92">
        <f t="shared" si="71"/>
        <v>0.0291397391741806</v>
      </c>
      <c r="K720" s="93">
        <f t="shared" si="72"/>
        <v>4.25410358565737</v>
      </c>
      <c r="L720" s="94">
        <f t="shared" si="73"/>
        <v>0</v>
      </c>
      <c r="M720" s="92">
        <f t="shared" si="74"/>
        <v>0</v>
      </c>
      <c r="N720" s="46">
        <f t="shared" si="75"/>
        <v>0</v>
      </c>
      <c r="O720" s="46">
        <f t="shared" si="76"/>
        <v>0</v>
      </c>
      <c r="P720" s="93">
        <f t="shared" si="77"/>
        <v>100.104375</v>
      </c>
    </row>
    <row r="721" s="2" customFormat="1" spans="1:16">
      <c r="A721" s="82">
        <v>45368</v>
      </c>
      <c r="B721" s="21">
        <v>3568.8</v>
      </c>
      <c r="C721" s="22">
        <v>25315</v>
      </c>
      <c r="D721" s="72">
        <v>780</v>
      </c>
      <c r="E721" s="25">
        <v>0</v>
      </c>
      <c r="F721" s="21">
        <v>0</v>
      </c>
      <c r="G721" s="25">
        <v>35</v>
      </c>
      <c r="H721" s="25">
        <v>6</v>
      </c>
      <c r="I721" s="25">
        <v>2</v>
      </c>
      <c r="J721" s="92">
        <f t="shared" si="71"/>
        <v>0.0308117716768714</v>
      </c>
      <c r="K721" s="93">
        <f t="shared" si="72"/>
        <v>4.57538461538462</v>
      </c>
      <c r="L721" s="94">
        <f t="shared" si="73"/>
        <v>0</v>
      </c>
      <c r="M721" s="92">
        <f t="shared" si="74"/>
        <v>0</v>
      </c>
      <c r="N721" s="46">
        <f t="shared" si="75"/>
        <v>0</v>
      </c>
      <c r="O721" s="46">
        <f t="shared" si="76"/>
        <v>0</v>
      </c>
      <c r="P721" s="93">
        <f t="shared" si="77"/>
        <v>101.965714285714</v>
      </c>
    </row>
    <row r="722" s="2" customFormat="1" spans="1:16">
      <c r="A722" s="82">
        <v>45369</v>
      </c>
      <c r="B722" s="21">
        <v>3511.29</v>
      </c>
      <c r="C722" s="22">
        <v>13964</v>
      </c>
      <c r="D722" s="72">
        <v>693</v>
      </c>
      <c r="E722" s="25">
        <v>2</v>
      </c>
      <c r="F722" s="21">
        <v>38028</v>
      </c>
      <c r="G722" s="25">
        <v>24</v>
      </c>
      <c r="H722" s="25">
        <v>6</v>
      </c>
      <c r="I722" s="25">
        <v>9</v>
      </c>
      <c r="J722" s="92">
        <f t="shared" si="71"/>
        <v>0.0496276138642223</v>
      </c>
      <c r="K722" s="93">
        <f t="shared" si="72"/>
        <v>5.06679653679654</v>
      </c>
      <c r="L722" s="94">
        <f t="shared" si="73"/>
        <v>10.8302077014431</v>
      </c>
      <c r="M722" s="92">
        <f t="shared" si="74"/>
        <v>0.00288600288600289</v>
      </c>
      <c r="N722" s="46">
        <f t="shared" si="75"/>
        <v>19014</v>
      </c>
      <c r="O722" s="46">
        <f t="shared" si="76"/>
        <v>1755.645</v>
      </c>
      <c r="P722" s="93">
        <f t="shared" si="77"/>
        <v>146.30375</v>
      </c>
    </row>
    <row r="723" s="2" customFormat="1" spans="1:16">
      <c r="A723" s="82">
        <v>45370</v>
      </c>
      <c r="B723" s="21">
        <v>3399.76</v>
      </c>
      <c r="C723" s="22">
        <v>10168</v>
      </c>
      <c r="D723" s="72">
        <v>670</v>
      </c>
      <c r="E723" s="25">
        <v>2</v>
      </c>
      <c r="F723" s="21">
        <v>20708</v>
      </c>
      <c r="G723" s="25">
        <v>31</v>
      </c>
      <c r="H723" s="25">
        <v>3</v>
      </c>
      <c r="I723" s="25">
        <v>10</v>
      </c>
      <c r="J723" s="92">
        <f t="shared" si="71"/>
        <v>0.0658929976396538</v>
      </c>
      <c r="K723" s="93">
        <f t="shared" si="72"/>
        <v>5.07426865671642</v>
      </c>
      <c r="L723" s="94">
        <f t="shared" si="73"/>
        <v>6.09101818951926</v>
      </c>
      <c r="M723" s="92">
        <f t="shared" si="74"/>
        <v>0.00298507462686567</v>
      </c>
      <c r="N723" s="46">
        <f t="shared" si="75"/>
        <v>10354</v>
      </c>
      <c r="O723" s="46">
        <f t="shared" si="76"/>
        <v>1699.88</v>
      </c>
      <c r="P723" s="93">
        <f t="shared" si="77"/>
        <v>109.669677419355</v>
      </c>
    </row>
    <row r="724" s="2" customFormat="1" spans="1:16">
      <c r="A724" s="82">
        <v>45371</v>
      </c>
      <c r="B724" s="21">
        <v>3628.84</v>
      </c>
      <c r="C724" s="22">
        <v>13731</v>
      </c>
      <c r="D724" s="22">
        <v>732</v>
      </c>
      <c r="E724" s="25">
        <v>0</v>
      </c>
      <c r="F724" s="21">
        <v>0</v>
      </c>
      <c r="G724" s="25">
        <v>41</v>
      </c>
      <c r="H724" s="25">
        <v>4</v>
      </c>
      <c r="I724" s="25">
        <v>10</v>
      </c>
      <c r="J724" s="92">
        <f t="shared" si="71"/>
        <v>0.053310028402884</v>
      </c>
      <c r="K724" s="93">
        <f t="shared" si="72"/>
        <v>4.95743169398907</v>
      </c>
      <c r="L724" s="94">
        <f t="shared" si="73"/>
        <v>0</v>
      </c>
      <c r="M724" s="92">
        <f t="shared" si="74"/>
        <v>0</v>
      </c>
      <c r="N724" s="46">
        <f t="shared" si="75"/>
        <v>0</v>
      </c>
      <c r="O724" s="46">
        <f t="shared" si="76"/>
        <v>0</v>
      </c>
      <c r="P724" s="93">
        <f t="shared" si="77"/>
        <v>88.5082926829268</v>
      </c>
    </row>
    <row r="725" s="2" customFormat="1" spans="1:16">
      <c r="A725" s="82">
        <v>45372</v>
      </c>
      <c r="B725" s="21">
        <v>3534.04</v>
      </c>
      <c r="C725" s="22">
        <v>11819</v>
      </c>
      <c r="D725" s="22">
        <v>670</v>
      </c>
      <c r="E725" s="25">
        <v>2</v>
      </c>
      <c r="F725" s="21">
        <v>20928</v>
      </c>
      <c r="G725" s="25">
        <v>65</v>
      </c>
      <c r="H725" s="25">
        <v>5</v>
      </c>
      <c r="I725" s="25">
        <v>3</v>
      </c>
      <c r="J725" s="92">
        <f t="shared" si="71"/>
        <v>0.0566883831119384</v>
      </c>
      <c r="K725" s="93">
        <f t="shared" si="72"/>
        <v>5.27468656716418</v>
      </c>
      <c r="L725" s="94">
        <f t="shared" si="73"/>
        <v>5.92183450102432</v>
      </c>
      <c r="M725" s="92">
        <f t="shared" si="74"/>
        <v>0.00298507462686567</v>
      </c>
      <c r="N725" s="46">
        <f t="shared" si="75"/>
        <v>10464</v>
      </c>
      <c r="O725" s="46">
        <f t="shared" si="76"/>
        <v>1767.02</v>
      </c>
      <c r="P725" s="93">
        <f t="shared" si="77"/>
        <v>54.3698461538462</v>
      </c>
    </row>
    <row r="726" s="2" customFormat="1" spans="1:16">
      <c r="A726" s="82">
        <v>45373</v>
      </c>
      <c r="B726" s="21">
        <v>3134.9</v>
      </c>
      <c r="C726" s="22">
        <v>11147</v>
      </c>
      <c r="D726" s="22">
        <v>601</v>
      </c>
      <c r="E726" s="25">
        <v>2</v>
      </c>
      <c r="F726" s="21">
        <v>23068</v>
      </c>
      <c r="G726" s="25">
        <v>48</v>
      </c>
      <c r="H726" s="25">
        <v>7</v>
      </c>
      <c r="I726" s="25">
        <v>5</v>
      </c>
      <c r="J726" s="92">
        <f t="shared" si="71"/>
        <v>0.0539158517986902</v>
      </c>
      <c r="K726" s="93">
        <f t="shared" si="72"/>
        <v>5.21613976705491</v>
      </c>
      <c r="L726" s="94">
        <f t="shared" si="73"/>
        <v>7.35844843535679</v>
      </c>
      <c r="M726" s="92">
        <f t="shared" si="74"/>
        <v>0.00332778702163062</v>
      </c>
      <c r="N726" s="46">
        <f t="shared" si="75"/>
        <v>11534</v>
      </c>
      <c r="O726" s="46">
        <f t="shared" si="76"/>
        <v>1567.45</v>
      </c>
      <c r="P726" s="93">
        <f t="shared" si="77"/>
        <v>65.3104166666667</v>
      </c>
    </row>
    <row r="727" s="2" customFormat="1" spans="1:16">
      <c r="A727" s="82">
        <v>45374</v>
      </c>
      <c r="B727" s="21">
        <v>3193.22</v>
      </c>
      <c r="C727" s="22">
        <v>12340</v>
      </c>
      <c r="D727" s="22">
        <v>621</v>
      </c>
      <c r="E727" s="25">
        <v>1</v>
      </c>
      <c r="F727" s="21">
        <v>17664</v>
      </c>
      <c r="G727" s="25">
        <v>29</v>
      </c>
      <c r="H727" s="25">
        <v>12</v>
      </c>
      <c r="I727" s="25">
        <v>3</v>
      </c>
      <c r="J727" s="92">
        <f t="shared" si="71"/>
        <v>0.0503241491085899</v>
      </c>
      <c r="K727" s="93">
        <f t="shared" si="72"/>
        <v>5.14206119162641</v>
      </c>
      <c r="L727" s="94">
        <f t="shared" si="73"/>
        <v>5.53172033245439</v>
      </c>
      <c r="M727" s="92">
        <f t="shared" si="74"/>
        <v>0.00161030595813205</v>
      </c>
      <c r="N727" s="46">
        <f t="shared" si="75"/>
        <v>17664</v>
      </c>
      <c r="O727" s="46">
        <f t="shared" si="76"/>
        <v>3193.22</v>
      </c>
      <c r="P727" s="93">
        <f t="shared" si="77"/>
        <v>110.111034482759</v>
      </c>
    </row>
    <row r="728" s="2" customFormat="1" spans="1:16">
      <c r="A728" s="82">
        <v>45375</v>
      </c>
      <c r="B728" s="21">
        <v>3541.27</v>
      </c>
      <c r="C728" s="22">
        <v>11699</v>
      </c>
      <c r="D728" s="22">
        <v>696</v>
      </c>
      <c r="E728" s="25">
        <v>2</v>
      </c>
      <c r="F728" s="21">
        <v>33295</v>
      </c>
      <c r="G728" s="25">
        <v>29</v>
      </c>
      <c r="H728" s="25">
        <v>7</v>
      </c>
      <c r="I728" s="25">
        <v>4</v>
      </c>
      <c r="J728" s="92">
        <f t="shared" si="71"/>
        <v>0.0594922642960937</v>
      </c>
      <c r="K728" s="93">
        <f t="shared" si="72"/>
        <v>5.0880316091954</v>
      </c>
      <c r="L728" s="94">
        <f t="shared" si="73"/>
        <v>9.40199419982097</v>
      </c>
      <c r="M728" s="92">
        <f t="shared" si="74"/>
        <v>0.0028735632183908</v>
      </c>
      <c r="N728" s="46">
        <f t="shared" si="75"/>
        <v>16647.5</v>
      </c>
      <c r="O728" s="46">
        <f t="shared" si="76"/>
        <v>1770.635</v>
      </c>
      <c r="P728" s="93">
        <f t="shared" si="77"/>
        <v>122.11275862069</v>
      </c>
    </row>
    <row r="729" s="2" customFormat="1" spans="1:16">
      <c r="A729" s="82">
        <v>45376</v>
      </c>
      <c r="B729" s="21">
        <v>3561.6</v>
      </c>
      <c r="C729" s="22">
        <v>13028</v>
      </c>
      <c r="D729" s="22">
        <v>707</v>
      </c>
      <c r="E729" s="25">
        <v>1</v>
      </c>
      <c r="F729" s="21">
        <v>21952</v>
      </c>
      <c r="G729" s="25">
        <v>49</v>
      </c>
      <c r="H729" s="25">
        <v>3</v>
      </c>
      <c r="I729" s="25">
        <v>7</v>
      </c>
      <c r="J729" s="92">
        <f t="shared" si="71"/>
        <v>0.0542677310408351</v>
      </c>
      <c r="K729" s="93">
        <f t="shared" si="72"/>
        <v>5.03762376237624</v>
      </c>
      <c r="L729" s="94">
        <f t="shared" si="73"/>
        <v>6.16352201257862</v>
      </c>
      <c r="M729" s="92">
        <f t="shared" si="74"/>
        <v>0.00141442715700141</v>
      </c>
      <c r="N729" s="46">
        <f t="shared" si="75"/>
        <v>21952</v>
      </c>
      <c r="O729" s="46">
        <f t="shared" si="76"/>
        <v>3561.6</v>
      </c>
      <c r="P729" s="93">
        <f t="shared" si="77"/>
        <v>72.6857142857143</v>
      </c>
    </row>
    <row r="730" s="2" customFormat="1" spans="1:16">
      <c r="A730" s="82">
        <v>45377</v>
      </c>
      <c r="B730" s="21">
        <v>3310.26</v>
      </c>
      <c r="C730" s="22">
        <v>12508</v>
      </c>
      <c r="D730" s="22">
        <v>668</v>
      </c>
      <c r="E730" s="25">
        <v>1</v>
      </c>
      <c r="F730" s="21">
        <v>10334</v>
      </c>
      <c r="G730" s="25">
        <v>35</v>
      </c>
      <c r="H730" s="25">
        <v>3</v>
      </c>
      <c r="I730" s="25">
        <v>4</v>
      </c>
      <c r="J730" s="92">
        <f t="shared" si="71"/>
        <v>0.053405820275024</v>
      </c>
      <c r="K730" s="93">
        <f t="shared" si="72"/>
        <v>4.95547904191617</v>
      </c>
      <c r="L730" s="94">
        <f t="shared" si="73"/>
        <v>3.12180916302647</v>
      </c>
      <c r="M730" s="92">
        <f t="shared" si="74"/>
        <v>0.00149700598802395</v>
      </c>
      <c r="N730" s="46">
        <f t="shared" si="75"/>
        <v>10334</v>
      </c>
      <c r="O730" s="46">
        <f t="shared" si="76"/>
        <v>3310.26</v>
      </c>
      <c r="P730" s="93">
        <f t="shared" si="77"/>
        <v>94.5788571428571</v>
      </c>
    </row>
    <row r="731" s="2" customFormat="1" spans="1:16">
      <c r="A731" s="82">
        <v>45378</v>
      </c>
      <c r="B731" s="21">
        <v>2599.19</v>
      </c>
      <c r="C731" s="22">
        <v>11339</v>
      </c>
      <c r="D731" s="22">
        <v>505</v>
      </c>
      <c r="E731" s="25">
        <v>0</v>
      </c>
      <c r="F731" s="21">
        <v>0</v>
      </c>
      <c r="G731" s="25">
        <v>38</v>
      </c>
      <c r="H731" s="25">
        <v>3</v>
      </c>
      <c r="I731" s="25">
        <v>5</v>
      </c>
      <c r="J731" s="92">
        <f t="shared" si="71"/>
        <v>0.0445365552517859</v>
      </c>
      <c r="K731" s="93">
        <f t="shared" si="72"/>
        <v>5.14691089108911</v>
      </c>
      <c r="L731" s="94">
        <f t="shared" si="73"/>
        <v>0</v>
      </c>
      <c r="M731" s="92">
        <f t="shared" si="74"/>
        <v>0</v>
      </c>
      <c r="N731" s="46">
        <f t="shared" si="75"/>
        <v>0</v>
      </c>
      <c r="O731" s="46">
        <f t="shared" si="76"/>
        <v>0</v>
      </c>
      <c r="P731" s="93">
        <f t="shared" si="77"/>
        <v>68.3997368421053</v>
      </c>
    </row>
    <row r="732" s="2" customFormat="1" spans="1:16">
      <c r="A732" s="82">
        <v>45379</v>
      </c>
      <c r="B732" s="21">
        <v>2619.1</v>
      </c>
      <c r="C732" s="22">
        <v>11900</v>
      </c>
      <c r="D732" s="22">
        <v>530</v>
      </c>
      <c r="E732" s="25">
        <v>1</v>
      </c>
      <c r="F732" s="21">
        <v>21952</v>
      </c>
      <c r="G732" s="25">
        <v>13</v>
      </c>
      <c r="H732" s="25">
        <v>3</v>
      </c>
      <c r="I732" s="25">
        <v>7</v>
      </c>
      <c r="J732" s="92">
        <f t="shared" si="71"/>
        <v>0.0445378151260504</v>
      </c>
      <c r="K732" s="93">
        <f t="shared" si="72"/>
        <v>4.94169811320755</v>
      </c>
      <c r="L732" s="94">
        <f t="shared" si="73"/>
        <v>8.38150509717078</v>
      </c>
      <c r="M732" s="92">
        <f t="shared" si="74"/>
        <v>0.00188679245283019</v>
      </c>
      <c r="N732" s="46">
        <f t="shared" si="75"/>
        <v>21952</v>
      </c>
      <c r="O732" s="46">
        <f t="shared" si="76"/>
        <v>2619.1</v>
      </c>
      <c r="P732" s="93">
        <f t="shared" si="77"/>
        <v>201.469230769231</v>
      </c>
    </row>
    <row r="733" s="2" customFormat="1" spans="1:16">
      <c r="A733" s="82">
        <v>45380</v>
      </c>
      <c r="B733" s="21">
        <v>2404.12</v>
      </c>
      <c r="C733" s="22">
        <v>10746</v>
      </c>
      <c r="D733" s="22">
        <v>478</v>
      </c>
      <c r="E733" s="25">
        <v>0</v>
      </c>
      <c r="F733" s="21">
        <v>0</v>
      </c>
      <c r="G733" s="25">
        <v>25</v>
      </c>
      <c r="H733" s="25">
        <v>5</v>
      </c>
      <c r="I733" s="25">
        <v>4</v>
      </c>
      <c r="J733" s="92">
        <f t="shared" si="71"/>
        <v>0.0444816675972455</v>
      </c>
      <c r="K733" s="93">
        <f t="shared" si="72"/>
        <v>5.02953974895398</v>
      </c>
      <c r="L733" s="94">
        <f t="shared" si="73"/>
        <v>0</v>
      </c>
      <c r="M733" s="92">
        <f t="shared" si="74"/>
        <v>0</v>
      </c>
      <c r="N733" s="46">
        <f t="shared" si="75"/>
        <v>0</v>
      </c>
      <c r="O733" s="46">
        <f t="shared" si="76"/>
        <v>0</v>
      </c>
      <c r="P733" s="93">
        <f t="shared" si="77"/>
        <v>96.1648</v>
      </c>
    </row>
    <row r="734" s="2" customFormat="1" spans="1:16">
      <c r="A734" s="82">
        <v>45381</v>
      </c>
      <c r="B734" s="21">
        <v>2541.55</v>
      </c>
      <c r="C734" s="22">
        <v>9896</v>
      </c>
      <c r="D734" s="22">
        <v>487</v>
      </c>
      <c r="E734" s="25">
        <v>0</v>
      </c>
      <c r="F734" s="21">
        <v>0</v>
      </c>
      <c r="G734" s="25">
        <v>19</v>
      </c>
      <c r="H734" s="25">
        <v>7</v>
      </c>
      <c r="I734" s="25">
        <v>8</v>
      </c>
      <c r="J734" s="92">
        <f t="shared" si="71"/>
        <v>0.0492118027485853</v>
      </c>
      <c r="K734" s="93">
        <f t="shared" si="72"/>
        <v>5.21878850102669</v>
      </c>
      <c r="L734" s="94">
        <f t="shared" si="73"/>
        <v>0</v>
      </c>
      <c r="M734" s="92">
        <f t="shared" si="74"/>
        <v>0</v>
      </c>
      <c r="N734" s="46">
        <f t="shared" si="75"/>
        <v>0</v>
      </c>
      <c r="O734" s="46">
        <f t="shared" si="76"/>
        <v>0</v>
      </c>
      <c r="P734" s="93">
        <f t="shared" si="77"/>
        <v>133.765789473684</v>
      </c>
    </row>
    <row r="735" s="2" customFormat="1" spans="1:16">
      <c r="A735" s="82">
        <v>45382</v>
      </c>
      <c r="B735" s="21">
        <v>2591.31</v>
      </c>
      <c r="C735" s="22">
        <v>11214</v>
      </c>
      <c r="D735" s="22">
        <v>541</v>
      </c>
      <c r="E735" s="25">
        <v>0</v>
      </c>
      <c r="F735" s="21">
        <v>0</v>
      </c>
      <c r="G735" s="25">
        <v>34</v>
      </c>
      <c r="H735" s="25">
        <v>2</v>
      </c>
      <c r="I735" s="25">
        <v>4</v>
      </c>
      <c r="J735" s="92">
        <f t="shared" si="71"/>
        <v>0.0482432673443909</v>
      </c>
      <c r="K735" s="93">
        <f t="shared" si="72"/>
        <v>4.78985212569316</v>
      </c>
      <c r="L735" s="94">
        <f t="shared" si="73"/>
        <v>0</v>
      </c>
      <c r="M735" s="92">
        <f t="shared" si="74"/>
        <v>0</v>
      </c>
      <c r="N735" s="46">
        <f t="shared" si="75"/>
        <v>0</v>
      </c>
      <c r="O735" s="46">
        <f t="shared" si="76"/>
        <v>0</v>
      </c>
      <c r="P735" s="93">
        <f t="shared" si="77"/>
        <v>76.215</v>
      </c>
    </row>
    <row r="736" s="2" customFormat="1" spans="1:16">
      <c r="A736" s="82">
        <v>45383</v>
      </c>
      <c r="B736" s="21">
        <v>1587.8</v>
      </c>
      <c r="C736" s="22">
        <v>6195</v>
      </c>
      <c r="D736" s="22">
        <v>375</v>
      </c>
      <c r="E736" s="25">
        <v>0</v>
      </c>
      <c r="F736" s="21">
        <v>0</v>
      </c>
      <c r="G736" s="25">
        <v>21</v>
      </c>
      <c r="H736" s="25">
        <v>3</v>
      </c>
      <c r="I736" s="25">
        <v>4</v>
      </c>
      <c r="J736" s="92">
        <f t="shared" si="71"/>
        <v>0.0605326876513317</v>
      </c>
      <c r="K736" s="93">
        <f t="shared" si="72"/>
        <v>4.23413333333333</v>
      </c>
      <c r="L736" s="94">
        <f t="shared" si="73"/>
        <v>0</v>
      </c>
      <c r="M736" s="92">
        <f t="shared" si="74"/>
        <v>0</v>
      </c>
      <c r="N736" s="46">
        <f t="shared" si="75"/>
        <v>0</v>
      </c>
      <c r="O736" s="46">
        <f t="shared" si="76"/>
        <v>0</v>
      </c>
      <c r="P736" s="93">
        <f t="shared" si="77"/>
        <v>75.6095238095238</v>
      </c>
    </row>
    <row r="737" s="2" customFormat="1" spans="1:16">
      <c r="A737" s="82">
        <v>45384</v>
      </c>
      <c r="B737" s="21">
        <v>1598.25</v>
      </c>
      <c r="C737" s="22">
        <v>5864</v>
      </c>
      <c r="D737" s="22">
        <v>360</v>
      </c>
      <c r="E737" s="25">
        <v>0</v>
      </c>
      <c r="F737" s="21">
        <v>0</v>
      </c>
      <c r="G737" s="25">
        <v>31</v>
      </c>
      <c r="H737" s="25">
        <v>2</v>
      </c>
      <c r="I737" s="25">
        <v>5</v>
      </c>
      <c r="J737" s="92">
        <f t="shared" si="71"/>
        <v>0.0613915416098226</v>
      </c>
      <c r="K737" s="93">
        <f t="shared" si="72"/>
        <v>4.43958333333333</v>
      </c>
      <c r="L737" s="94">
        <f t="shared" si="73"/>
        <v>0</v>
      </c>
      <c r="M737" s="92">
        <f t="shared" si="74"/>
        <v>0</v>
      </c>
      <c r="N737" s="46">
        <f t="shared" si="75"/>
        <v>0</v>
      </c>
      <c r="O737" s="46">
        <f t="shared" si="76"/>
        <v>0</v>
      </c>
      <c r="P737" s="93">
        <f t="shared" si="77"/>
        <v>51.5564516129032</v>
      </c>
    </row>
    <row r="738" s="2" customFormat="1" spans="1:16">
      <c r="A738" s="82">
        <v>45385</v>
      </c>
      <c r="B738" s="21">
        <v>1355.89</v>
      </c>
      <c r="C738" s="22">
        <v>7072</v>
      </c>
      <c r="D738" s="22">
        <v>328</v>
      </c>
      <c r="E738" s="25">
        <v>0</v>
      </c>
      <c r="F738" s="21">
        <v>0</v>
      </c>
      <c r="G738" s="25">
        <v>22</v>
      </c>
      <c r="H738" s="25">
        <v>0</v>
      </c>
      <c r="I738" s="25">
        <v>5</v>
      </c>
      <c r="J738" s="92">
        <f t="shared" si="71"/>
        <v>0.0463800904977376</v>
      </c>
      <c r="K738" s="93">
        <f t="shared" si="72"/>
        <v>4.13381097560976</v>
      </c>
      <c r="L738" s="94">
        <f t="shared" si="73"/>
        <v>0</v>
      </c>
      <c r="M738" s="92">
        <f t="shared" si="74"/>
        <v>0</v>
      </c>
      <c r="N738" s="46">
        <f t="shared" si="75"/>
        <v>0</v>
      </c>
      <c r="O738" s="46">
        <f t="shared" si="76"/>
        <v>0</v>
      </c>
      <c r="P738" s="93">
        <f t="shared" si="77"/>
        <v>61.6313636363636</v>
      </c>
    </row>
    <row r="739" s="2" customFormat="1" spans="1:16">
      <c r="A739" s="82">
        <v>45386</v>
      </c>
      <c r="B739" s="21">
        <v>1383.68</v>
      </c>
      <c r="C739" s="22">
        <v>7846</v>
      </c>
      <c r="D739" s="22">
        <v>334</v>
      </c>
      <c r="E739" s="25">
        <v>0</v>
      </c>
      <c r="F739" s="21">
        <v>0</v>
      </c>
      <c r="G739" s="25">
        <v>14</v>
      </c>
      <c r="H739" s="25">
        <v>1</v>
      </c>
      <c r="I739" s="25">
        <v>0</v>
      </c>
      <c r="J739" s="92">
        <f t="shared" si="71"/>
        <v>0.0425694621463166</v>
      </c>
      <c r="K739" s="93">
        <f t="shared" si="72"/>
        <v>4.14275449101796</v>
      </c>
      <c r="L739" s="94">
        <f t="shared" si="73"/>
        <v>0</v>
      </c>
      <c r="M739" s="92">
        <f t="shared" si="74"/>
        <v>0</v>
      </c>
      <c r="N739" s="46">
        <f t="shared" si="75"/>
        <v>0</v>
      </c>
      <c r="O739" s="46">
        <f t="shared" si="76"/>
        <v>0</v>
      </c>
      <c r="P739" s="93">
        <f t="shared" si="77"/>
        <v>98.8342857142857</v>
      </c>
    </row>
    <row r="740" s="2" customFormat="1" spans="1:16">
      <c r="A740" s="82">
        <v>45387</v>
      </c>
      <c r="B740" s="21">
        <v>1518.48</v>
      </c>
      <c r="C740" s="22">
        <v>7644</v>
      </c>
      <c r="D740" s="22">
        <v>365</v>
      </c>
      <c r="E740" s="25">
        <v>0</v>
      </c>
      <c r="F740" s="21">
        <v>0</v>
      </c>
      <c r="G740" s="25">
        <v>21</v>
      </c>
      <c r="H740" s="25">
        <v>2</v>
      </c>
      <c r="I740" s="25">
        <v>0</v>
      </c>
      <c r="J740" s="92">
        <f t="shared" si="71"/>
        <v>0.0477498691784406</v>
      </c>
      <c r="K740" s="93">
        <f t="shared" si="72"/>
        <v>4.16021917808219</v>
      </c>
      <c r="L740" s="94">
        <f t="shared" si="73"/>
        <v>0</v>
      </c>
      <c r="M740" s="92">
        <f t="shared" si="74"/>
        <v>0</v>
      </c>
      <c r="N740" s="46">
        <f t="shared" si="75"/>
        <v>0</v>
      </c>
      <c r="O740" s="46">
        <f t="shared" si="76"/>
        <v>0</v>
      </c>
      <c r="P740" s="93">
        <f t="shared" si="77"/>
        <v>72.3085714285714</v>
      </c>
    </row>
    <row r="741" s="2" customFormat="1" spans="1:16">
      <c r="A741" s="82">
        <v>45388</v>
      </c>
      <c r="B741" s="21">
        <v>1594.8</v>
      </c>
      <c r="C741" s="22">
        <v>6063</v>
      </c>
      <c r="D741" s="22">
        <v>384</v>
      </c>
      <c r="E741" s="25">
        <v>1</v>
      </c>
      <c r="F741" s="21">
        <v>17427</v>
      </c>
      <c r="G741" s="25">
        <v>37</v>
      </c>
      <c r="H741" s="25">
        <v>7</v>
      </c>
      <c r="I741" s="25">
        <v>3</v>
      </c>
      <c r="J741" s="92">
        <f t="shared" si="71"/>
        <v>0.0633349826818407</v>
      </c>
      <c r="K741" s="93">
        <f t="shared" si="72"/>
        <v>4.153125</v>
      </c>
      <c r="L741" s="94">
        <f t="shared" si="73"/>
        <v>10.9273890142965</v>
      </c>
      <c r="M741" s="92">
        <f t="shared" si="74"/>
        <v>0.00260416666666667</v>
      </c>
      <c r="N741" s="46">
        <f t="shared" si="75"/>
        <v>17427</v>
      </c>
      <c r="O741" s="46">
        <f t="shared" si="76"/>
        <v>1594.8</v>
      </c>
      <c r="P741" s="93">
        <f t="shared" si="77"/>
        <v>43.1027027027027</v>
      </c>
    </row>
    <row r="742" s="2" customFormat="1" spans="1:16">
      <c r="A742" s="82">
        <v>45389</v>
      </c>
      <c r="B742" s="21">
        <v>1602.27</v>
      </c>
      <c r="C742" s="22">
        <v>6384</v>
      </c>
      <c r="D742" s="22">
        <v>405</v>
      </c>
      <c r="E742" s="25">
        <v>0</v>
      </c>
      <c r="F742" s="21">
        <v>0</v>
      </c>
      <c r="G742" s="25">
        <v>28</v>
      </c>
      <c r="H742" s="95">
        <v>5</v>
      </c>
      <c r="I742" s="25">
        <v>2</v>
      </c>
      <c r="J742" s="92">
        <f t="shared" si="71"/>
        <v>0.0634398496240602</v>
      </c>
      <c r="K742" s="93">
        <f t="shared" si="72"/>
        <v>3.95622222222222</v>
      </c>
      <c r="L742" s="94">
        <f t="shared" si="73"/>
        <v>0</v>
      </c>
      <c r="M742" s="92">
        <f t="shared" si="74"/>
        <v>0</v>
      </c>
      <c r="N742" s="46">
        <f t="shared" si="75"/>
        <v>0</v>
      </c>
      <c r="O742" s="46">
        <f t="shared" si="76"/>
        <v>0</v>
      </c>
      <c r="P742" s="93">
        <f t="shared" si="77"/>
        <v>57.2239285714286</v>
      </c>
    </row>
    <row r="743" s="2" customFormat="1" spans="1:16">
      <c r="A743" s="82">
        <v>45390</v>
      </c>
      <c r="B743" s="21">
        <v>1602.02</v>
      </c>
      <c r="C743" s="22">
        <v>6081</v>
      </c>
      <c r="D743" s="22">
        <v>399</v>
      </c>
      <c r="E743" s="25">
        <v>0</v>
      </c>
      <c r="F743" s="21">
        <v>0</v>
      </c>
      <c r="G743" s="25">
        <v>27</v>
      </c>
      <c r="H743" s="25">
        <v>4</v>
      </c>
      <c r="I743" s="25">
        <v>3</v>
      </c>
      <c r="J743" s="92">
        <f t="shared" si="71"/>
        <v>0.0656142081894425</v>
      </c>
      <c r="K743" s="93">
        <f t="shared" si="72"/>
        <v>4.01508771929825</v>
      </c>
      <c r="L743" s="94">
        <f t="shared" si="73"/>
        <v>0</v>
      </c>
      <c r="M743" s="92">
        <f t="shared" si="74"/>
        <v>0</v>
      </c>
      <c r="N743" s="46">
        <f t="shared" si="75"/>
        <v>0</v>
      </c>
      <c r="O743" s="46">
        <f t="shared" si="76"/>
        <v>0</v>
      </c>
      <c r="P743" s="93">
        <f t="shared" si="77"/>
        <v>59.3340740740741</v>
      </c>
    </row>
    <row r="744" s="2" customFormat="1" spans="1:16">
      <c r="A744" s="82">
        <v>45391</v>
      </c>
      <c r="B744" s="21">
        <v>1591.81</v>
      </c>
      <c r="C744" s="22">
        <v>7203</v>
      </c>
      <c r="D744" s="22">
        <v>397</v>
      </c>
      <c r="E744" s="25">
        <v>0</v>
      </c>
      <c r="F744" s="21">
        <v>0</v>
      </c>
      <c r="G744" s="25">
        <v>21</v>
      </c>
      <c r="H744" s="25">
        <v>1</v>
      </c>
      <c r="I744" s="25">
        <v>2</v>
      </c>
      <c r="J744" s="92">
        <f t="shared" si="71"/>
        <v>0.0551159239205886</v>
      </c>
      <c r="K744" s="93">
        <f t="shared" si="72"/>
        <v>4.00959697732997</v>
      </c>
      <c r="L744" s="94">
        <f t="shared" si="73"/>
        <v>0</v>
      </c>
      <c r="M744" s="92">
        <f t="shared" si="74"/>
        <v>0</v>
      </c>
      <c r="N744" s="46">
        <f t="shared" si="75"/>
        <v>0</v>
      </c>
      <c r="O744" s="46">
        <f t="shared" si="76"/>
        <v>0</v>
      </c>
      <c r="P744" s="93">
        <f t="shared" si="77"/>
        <v>75.8004761904762</v>
      </c>
    </row>
    <row r="745" s="2" customFormat="1" spans="1:16">
      <c r="A745" s="82">
        <v>45392</v>
      </c>
      <c r="B745" s="21">
        <v>1943.06</v>
      </c>
      <c r="C745" s="22">
        <v>8304</v>
      </c>
      <c r="D745" s="22">
        <v>469</v>
      </c>
      <c r="E745" s="25">
        <v>1</v>
      </c>
      <c r="F745" s="21">
        <v>11954</v>
      </c>
      <c r="G745" s="25">
        <v>37</v>
      </c>
      <c r="H745" s="25">
        <v>3</v>
      </c>
      <c r="I745" s="25">
        <v>6</v>
      </c>
      <c r="J745" s="92">
        <f t="shared" si="71"/>
        <v>0.0564788053949904</v>
      </c>
      <c r="K745" s="93">
        <f t="shared" si="72"/>
        <v>4.14298507462687</v>
      </c>
      <c r="L745" s="94">
        <f t="shared" si="73"/>
        <v>6.15215176062499</v>
      </c>
      <c r="M745" s="92">
        <f t="shared" si="74"/>
        <v>0.00213219616204691</v>
      </c>
      <c r="N745" s="46">
        <f t="shared" si="75"/>
        <v>11954</v>
      </c>
      <c r="O745" s="46">
        <f t="shared" si="76"/>
        <v>1943.06</v>
      </c>
      <c r="P745" s="93">
        <f t="shared" si="77"/>
        <v>52.5151351351351</v>
      </c>
    </row>
    <row r="746" s="2" customFormat="1" spans="1:16">
      <c r="A746" s="82">
        <v>45393</v>
      </c>
      <c r="B746" s="21">
        <v>2155.28</v>
      </c>
      <c r="C746" s="22">
        <v>7518</v>
      </c>
      <c r="D746" s="22">
        <v>526</v>
      </c>
      <c r="E746" s="25">
        <v>0</v>
      </c>
      <c r="F746" s="21">
        <v>0</v>
      </c>
      <c r="G746" s="25">
        <v>32</v>
      </c>
      <c r="H746" s="25">
        <v>2</v>
      </c>
      <c r="I746" s="25">
        <v>0</v>
      </c>
      <c r="J746" s="92">
        <f t="shared" si="71"/>
        <v>0.0699654163341314</v>
      </c>
      <c r="K746" s="93">
        <f t="shared" si="72"/>
        <v>4.09749049429658</v>
      </c>
      <c r="L746" s="94">
        <f t="shared" si="73"/>
        <v>0</v>
      </c>
      <c r="M746" s="92">
        <f t="shared" si="74"/>
        <v>0</v>
      </c>
      <c r="N746" s="46">
        <f t="shared" si="75"/>
        <v>0</v>
      </c>
      <c r="O746" s="46">
        <f t="shared" si="76"/>
        <v>0</v>
      </c>
      <c r="P746" s="93">
        <f t="shared" si="77"/>
        <v>67.3525</v>
      </c>
    </row>
    <row r="747" s="2" customFormat="1" spans="1:16">
      <c r="A747" s="82">
        <v>45394</v>
      </c>
      <c r="B747" s="21">
        <v>1744.71</v>
      </c>
      <c r="C747" s="22">
        <v>7197</v>
      </c>
      <c r="D747" s="22">
        <v>411</v>
      </c>
      <c r="E747" s="25">
        <v>0</v>
      </c>
      <c r="F747" s="21">
        <v>0</v>
      </c>
      <c r="G747" s="25">
        <v>23</v>
      </c>
      <c r="H747" s="25">
        <v>2</v>
      </c>
      <c r="I747" s="25">
        <v>1</v>
      </c>
      <c r="J747" s="92">
        <f t="shared" si="71"/>
        <v>0.0571071279699875</v>
      </c>
      <c r="K747" s="93">
        <f t="shared" si="72"/>
        <v>4.24503649635037</v>
      </c>
      <c r="L747" s="94">
        <f t="shared" si="73"/>
        <v>0</v>
      </c>
      <c r="M747" s="92">
        <f t="shared" si="74"/>
        <v>0</v>
      </c>
      <c r="N747" s="46">
        <f t="shared" si="75"/>
        <v>0</v>
      </c>
      <c r="O747" s="46">
        <f t="shared" si="76"/>
        <v>0</v>
      </c>
      <c r="P747" s="93">
        <f t="shared" si="77"/>
        <v>75.8569565217391</v>
      </c>
    </row>
    <row r="748" s="2" customFormat="1" spans="1:16">
      <c r="A748" s="82">
        <v>45395</v>
      </c>
      <c r="B748" s="21">
        <v>1896.49</v>
      </c>
      <c r="C748" s="22">
        <v>7956</v>
      </c>
      <c r="D748" s="22">
        <v>448</v>
      </c>
      <c r="E748" s="25">
        <v>0</v>
      </c>
      <c r="F748" s="21">
        <v>0</v>
      </c>
      <c r="G748" s="25">
        <v>24</v>
      </c>
      <c r="H748" s="25">
        <v>2</v>
      </c>
      <c r="I748" s="25">
        <v>3</v>
      </c>
      <c r="J748" s="92">
        <f t="shared" si="71"/>
        <v>0.0563097033685269</v>
      </c>
      <c r="K748" s="93">
        <f t="shared" si="72"/>
        <v>4.23323660714286</v>
      </c>
      <c r="L748" s="94">
        <f t="shared" si="73"/>
        <v>0</v>
      </c>
      <c r="M748" s="92">
        <f t="shared" si="74"/>
        <v>0</v>
      </c>
      <c r="N748" s="46">
        <f t="shared" si="75"/>
        <v>0</v>
      </c>
      <c r="O748" s="46">
        <f t="shared" si="76"/>
        <v>0</v>
      </c>
      <c r="P748" s="93">
        <f t="shared" si="77"/>
        <v>79.0204166666667</v>
      </c>
    </row>
    <row r="749" s="2" customFormat="1" spans="1:16">
      <c r="A749" s="82">
        <v>45396</v>
      </c>
      <c r="B749" s="21">
        <v>2147.22</v>
      </c>
      <c r="C749" s="22">
        <v>7223</v>
      </c>
      <c r="D749" s="22">
        <v>504</v>
      </c>
      <c r="E749" s="25">
        <v>0</v>
      </c>
      <c r="F749" s="21">
        <v>0</v>
      </c>
      <c r="G749" s="25">
        <v>34</v>
      </c>
      <c r="H749" s="25">
        <v>4</v>
      </c>
      <c r="I749" s="25">
        <v>1</v>
      </c>
      <c r="J749" s="92">
        <f t="shared" si="71"/>
        <v>0.0697771009275924</v>
      </c>
      <c r="K749" s="93">
        <f t="shared" si="72"/>
        <v>4.26035714285714</v>
      </c>
      <c r="L749" s="94">
        <f t="shared" si="73"/>
        <v>0</v>
      </c>
      <c r="M749" s="92">
        <f t="shared" si="74"/>
        <v>0</v>
      </c>
      <c r="N749" s="46">
        <f t="shared" si="75"/>
        <v>0</v>
      </c>
      <c r="O749" s="46">
        <f t="shared" si="76"/>
        <v>0</v>
      </c>
      <c r="P749" s="93">
        <f t="shared" si="77"/>
        <v>63.1535294117647</v>
      </c>
    </row>
    <row r="750" s="2" customFormat="1" spans="1:16">
      <c r="A750" s="82">
        <v>45397</v>
      </c>
      <c r="B750" s="21">
        <v>2097.15</v>
      </c>
      <c r="C750" s="22">
        <v>7991</v>
      </c>
      <c r="D750" s="22">
        <v>518</v>
      </c>
      <c r="E750" s="25">
        <v>0</v>
      </c>
      <c r="F750" s="21">
        <v>0</v>
      </c>
      <c r="G750" s="25">
        <v>33</v>
      </c>
      <c r="H750" s="25">
        <v>3</v>
      </c>
      <c r="I750" s="25">
        <v>3</v>
      </c>
      <c r="J750" s="92">
        <f t="shared" si="71"/>
        <v>0.0648229257915155</v>
      </c>
      <c r="K750" s="93">
        <f t="shared" si="72"/>
        <v>4.04855212355212</v>
      </c>
      <c r="L750" s="94">
        <f t="shared" si="73"/>
        <v>0</v>
      </c>
      <c r="M750" s="92">
        <f t="shared" si="74"/>
        <v>0</v>
      </c>
      <c r="N750" s="46">
        <f t="shared" si="75"/>
        <v>0</v>
      </c>
      <c r="O750" s="46">
        <f t="shared" si="76"/>
        <v>0</v>
      </c>
      <c r="P750" s="93">
        <f t="shared" si="77"/>
        <v>63.55</v>
      </c>
    </row>
    <row r="751" s="2" customFormat="1" spans="1:16">
      <c r="A751" s="82">
        <v>45398</v>
      </c>
      <c r="B751" s="21">
        <v>2076.7</v>
      </c>
      <c r="C751" s="22">
        <v>8816</v>
      </c>
      <c r="D751" s="22">
        <v>540</v>
      </c>
      <c r="E751" s="25">
        <v>0</v>
      </c>
      <c r="F751" s="21">
        <v>0</v>
      </c>
      <c r="G751" s="25">
        <v>23</v>
      </c>
      <c r="H751" s="25">
        <v>3</v>
      </c>
      <c r="I751" s="25">
        <v>2</v>
      </c>
      <c r="J751" s="92">
        <f t="shared" si="71"/>
        <v>0.0612522686025408</v>
      </c>
      <c r="K751" s="93">
        <f t="shared" si="72"/>
        <v>3.84574074074074</v>
      </c>
      <c r="L751" s="94">
        <f t="shared" si="73"/>
        <v>0</v>
      </c>
      <c r="M751" s="92">
        <f t="shared" si="74"/>
        <v>0</v>
      </c>
      <c r="N751" s="46">
        <f t="shared" si="75"/>
        <v>0</v>
      </c>
      <c r="O751" s="46">
        <f t="shared" si="76"/>
        <v>0</v>
      </c>
      <c r="P751" s="93">
        <f t="shared" si="77"/>
        <v>90.2913043478261</v>
      </c>
    </row>
    <row r="752" s="2" customFormat="1" spans="1:16">
      <c r="A752" s="82">
        <v>45399</v>
      </c>
      <c r="B752" s="21">
        <v>2034.79</v>
      </c>
      <c r="C752" s="22">
        <v>6860</v>
      </c>
      <c r="D752" s="22">
        <v>512</v>
      </c>
      <c r="E752" s="25">
        <v>0</v>
      </c>
      <c r="F752" s="21">
        <v>0</v>
      </c>
      <c r="G752" s="25">
        <v>23</v>
      </c>
      <c r="H752" s="25">
        <v>3</v>
      </c>
      <c r="I752" s="25">
        <v>2</v>
      </c>
      <c r="J752" s="92">
        <f t="shared" si="71"/>
        <v>0.0746355685131195</v>
      </c>
      <c r="K752" s="93">
        <f t="shared" si="72"/>
        <v>3.97419921875</v>
      </c>
      <c r="L752" s="94">
        <f t="shared" si="73"/>
        <v>0</v>
      </c>
      <c r="M752" s="92">
        <f t="shared" si="74"/>
        <v>0</v>
      </c>
      <c r="N752" s="46">
        <f t="shared" si="75"/>
        <v>0</v>
      </c>
      <c r="O752" s="46">
        <f t="shared" si="76"/>
        <v>0</v>
      </c>
      <c r="P752" s="93">
        <f t="shared" si="77"/>
        <v>88.4691304347826</v>
      </c>
    </row>
    <row r="753" s="2" customFormat="1" spans="1:16">
      <c r="A753" s="82">
        <v>45400</v>
      </c>
      <c r="B753" s="21">
        <v>2053.05</v>
      </c>
      <c r="C753" s="22">
        <v>7481</v>
      </c>
      <c r="D753" s="22">
        <v>544</v>
      </c>
      <c r="E753" s="25">
        <v>0</v>
      </c>
      <c r="F753" s="21">
        <v>0</v>
      </c>
      <c r="G753" s="25">
        <v>31</v>
      </c>
      <c r="H753" s="25">
        <v>1</v>
      </c>
      <c r="I753" s="25">
        <v>7</v>
      </c>
      <c r="J753" s="92">
        <f t="shared" si="71"/>
        <v>0.0727175511295281</v>
      </c>
      <c r="K753" s="93">
        <f t="shared" si="72"/>
        <v>3.77398897058824</v>
      </c>
      <c r="L753" s="94">
        <f t="shared" si="73"/>
        <v>0</v>
      </c>
      <c r="M753" s="92">
        <f t="shared" si="74"/>
        <v>0</v>
      </c>
      <c r="N753" s="46">
        <f t="shared" si="75"/>
        <v>0</v>
      </c>
      <c r="O753" s="46">
        <f t="shared" si="76"/>
        <v>0</v>
      </c>
      <c r="P753" s="93">
        <f t="shared" si="77"/>
        <v>66.2274193548387</v>
      </c>
    </row>
    <row r="754" s="2" customFormat="1" spans="1:16">
      <c r="A754" s="82">
        <v>45401</v>
      </c>
      <c r="B754" s="21">
        <v>1754.58</v>
      </c>
      <c r="C754" s="22">
        <v>7684</v>
      </c>
      <c r="D754" s="22">
        <v>440</v>
      </c>
      <c r="E754" s="25">
        <v>0</v>
      </c>
      <c r="F754" s="21">
        <v>0</v>
      </c>
      <c r="G754" s="25">
        <v>20</v>
      </c>
      <c r="H754" s="25">
        <v>3</v>
      </c>
      <c r="I754" s="25">
        <v>6</v>
      </c>
      <c r="J754" s="92">
        <f t="shared" si="71"/>
        <v>0.0572618427902134</v>
      </c>
      <c r="K754" s="93">
        <f t="shared" si="72"/>
        <v>3.98768181818182</v>
      </c>
      <c r="L754" s="94">
        <f t="shared" si="73"/>
        <v>0</v>
      </c>
      <c r="M754" s="92">
        <f t="shared" si="74"/>
        <v>0</v>
      </c>
      <c r="N754" s="46">
        <f t="shared" si="75"/>
        <v>0</v>
      </c>
      <c r="O754" s="46">
        <f t="shared" si="76"/>
        <v>0</v>
      </c>
      <c r="P754" s="93">
        <f t="shared" si="77"/>
        <v>87.729</v>
      </c>
    </row>
    <row r="755" s="2" customFormat="1" spans="1:16">
      <c r="A755" s="82">
        <v>45402</v>
      </c>
      <c r="B755" s="21">
        <v>1669.28</v>
      </c>
      <c r="C755" s="22">
        <v>8166</v>
      </c>
      <c r="D755" s="22">
        <v>470</v>
      </c>
      <c r="E755" s="25">
        <v>0</v>
      </c>
      <c r="F755" s="21">
        <v>0</v>
      </c>
      <c r="G755" s="25">
        <v>27</v>
      </c>
      <c r="H755" s="25">
        <v>4</v>
      </c>
      <c r="I755" s="25">
        <v>6</v>
      </c>
      <c r="J755" s="92">
        <f t="shared" si="71"/>
        <v>0.0575557188341905</v>
      </c>
      <c r="K755" s="93">
        <f t="shared" si="72"/>
        <v>3.55165957446808</v>
      </c>
      <c r="L755" s="94">
        <f t="shared" si="73"/>
        <v>0</v>
      </c>
      <c r="M755" s="92">
        <f t="shared" si="74"/>
        <v>0</v>
      </c>
      <c r="N755" s="46">
        <f t="shared" si="75"/>
        <v>0</v>
      </c>
      <c r="O755" s="46">
        <f t="shared" si="76"/>
        <v>0</v>
      </c>
      <c r="P755" s="93">
        <f t="shared" si="77"/>
        <v>61.8251851851852</v>
      </c>
    </row>
    <row r="756" s="2" customFormat="1" spans="1:16">
      <c r="A756" s="82">
        <v>45403</v>
      </c>
      <c r="B756" s="21">
        <v>1695.84</v>
      </c>
      <c r="C756" s="22">
        <v>5779</v>
      </c>
      <c r="D756" s="22">
        <v>447</v>
      </c>
      <c r="E756" s="25">
        <v>0</v>
      </c>
      <c r="F756" s="21">
        <v>0</v>
      </c>
      <c r="G756" s="25">
        <v>27</v>
      </c>
      <c r="H756" s="25">
        <v>3</v>
      </c>
      <c r="I756" s="25">
        <v>2</v>
      </c>
      <c r="J756" s="92">
        <f t="shared" si="71"/>
        <v>0.0773490223222011</v>
      </c>
      <c r="K756" s="93">
        <f t="shared" si="72"/>
        <v>3.7938255033557</v>
      </c>
      <c r="L756" s="94">
        <f t="shared" si="73"/>
        <v>0</v>
      </c>
      <c r="M756" s="92">
        <f t="shared" si="74"/>
        <v>0</v>
      </c>
      <c r="N756" s="46">
        <f t="shared" si="75"/>
        <v>0</v>
      </c>
      <c r="O756" s="46">
        <f t="shared" si="76"/>
        <v>0</v>
      </c>
      <c r="P756" s="93">
        <f t="shared" si="77"/>
        <v>62.8088888888889</v>
      </c>
    </row>
    <row r="757" s="2" customFormat="1" spans="1:16">
      <c r="A757" s="82">
        <v>45404</v>
      </c>
      <c r="B757" s="21">
        <v>1883.02</v>
      </c>
      <c r="C757" s="22">
        <v>7109</v>
      </c>
      <c r="D757" s="22">
        <v>500</v>
      </c>
      <c r="E757" s="25">
        <v>0</v>
      </c>
      <c r="F757" s="21">
        <v>0</v>
      </c>
      <c r="G757" s="25">
        <v>21</v>
      </c>
      <c r="H757" s="25">
        <v>1</v>
      </c>
      <c r="I757" s="25">
        <v>0</v>
      </c>
      <c r="J757" s="92">
        <f t="shared" si="71"/>
        <v>0.0703333802222535</v>
      </c>
      <c r="K757" s="93">
        <f t="shared" si="72"/>
        <v>3.76604</v>
      </c>
      <c r="L757" s="94">
        <f t="shared" si="73"/>
        <v>0</v>
      </c>
      <c r="M757" s="92">
        <f t="shared" si="74"/>
        <v>0</v>
      </c>
      <c r="N757" s="46">
        <f t="shared" si="75"/>
        <v>0</v>
      </c>
      <c r="O757" s="46">
        <f t="shared" si="76"/>
        <v>0</v>
      </c>
      <c r="P757" s="93">
        <f t="shared" si="77"/>
        <v>89.667619047619</v>
      </c>
    </row>
    <row r="758" s="2" customFormat="1" spans="1:16">
      <c r="A758" s="82">
        <v>45405</v>
      </c>
      <c r="B758" s="21">
        <v>1816.55</v>
      </c>
      <c r="C758" s="22">
        <v>7250</v>
      </c>
      <c r="D758" s="22">
        <v>467</v>
      </c>
      <c r="E758" s="25">
        <v>0</v>
      </c>
      <c r="F758" s="21">
        <v>0</v>
      </c>
      <c r="G758" s="25">
        <v>17</v>
      </c>
      <c r="H758" s="25">
        <v>3</v>
      </c>
      <c r="I758" s="25">
        <v>6</v>
      </c>
      <c r="J758" s="92">
        <f t="shared" si="71"/>
        <v>0.0644137931034483</v>
      </c>
      <c r="K758" s="93">
        <f t="shared" si="72"/>
        <v>3.88982869379015</v>
      </c>
      <c r="L758" s="94">
        <f t="shared" si="73"/>
        <v>0</v>
      </c>
      <c r="M758" s="92">
        <f t="shared" si="74"/>
        <v>0</v>
      </c>
      <c r="N758" s="46">
        <f t="shared" si="75"/>
        <v>0</v>
      </c>
      <c r="O758" s="46">
        <f t="shared" si="76"/>
        <v>0</v>
      </c>
      <c r="P758" s="93">
        <f t="shared" si="77"/>
        <v>106.855882352941</v>
      </c>
    </row>
    <row r="759" s="2" customFormat="1" spans="1:16">
      <c r="A759" s="82">
        <v>45406</v>
      </c>
      <c r="B759" s="21">
        <v>1787.48</v>
      </c>
      <c r="C759" s="22">
        <v>7715</v>
      </c>
      <c r="D759" s="22">
        <v>470</v>
      </c>
      <c r="E759" s="25">
        <v>2</v>
      </c>
      <c r="F759" s="21">
        <v>28405</v>
      </c>
      <c r="G759" s="25">
        <v>21</v>
      </c>
      <c r="H759" s="25">
        <v>2</v>
      </c>
      <c r="I759" s="25">
        <v>3</v>
      </c>
      <c r="J759" s="92">
        <f t="shared" si="71"/>
        <v>0.0609202851587816</v>
      </c>
      <c r="K759" s="93">
        <f t="shared" si="72"/>
        <v>3.80314893617021</v>
      </c>
      <c r="L759" s="94">
        <f t="shared" si="73"/>
        <v>15.8910868932799</v>
      </c>
      <c r="M759" s="92">
        <f t="shared" si="74"/>
        <v>0.00425531914893617</v>
      </c>
      <c r="N759" s="46">
        <f t="shared" si="75"/>
        <v>14202.5</v>
      </c>
      <c r="O759" s="46">
        <f t="shared" si="76"/>
        <v>893.74</v>
      </c>
      <c r="P759" s="93">
        <f t="shared" si="77"/>
        <v>85.1180952380952</v>
      </c>
    </row>
    <row r="760" s="2" customFormat="1" spans="1:16">
      <c r="A760" s="82">
        <v>45407</v>
      </c>
      <c r="B760" s="21">
        <v>1687.13</v>
      </c>
      <c r="C760" s="22">
        <v>7830</v>
      </c>
      <c r="D760" s="22">
        <v>428</v>
      </c>
      <c r="E760" s="25">
        <v>0</v>
      </c>
      <c r="F760" s="21">
        <v>0</v>
      </c>
      <c r="G760" s="25">
        <v>22</v>
      </c>
      <c r="H760" s="25">
        <v>2</v>
      </c>
      <c r="I760" s="25">
        <v>2</v>
      </c>
      <c r="J760" s="92">
        <f t="shared" si="71"/>
        <v>0.054661558109834</v>
      </c>
      <c r="K760" s="93">
        <f t="shared" si="72"/>
        <v>3.94189252336449</v>
      </c>
      <c r="L760" s="94">
        <f t="shared" si="73"/>
        <v>0</v>
      </c>
      <c r="M760" s="92">
        <f t="shared" si="74"/>
        <v>0</v>
      </c>
      <c r="N760" s="46">
        <f t="shared" si="75"/>
        <v>0</v>
      </c>
      <c r="O760" s="46">
        <f t="shared" si="76"/>
        <v>0</v>
      </c>
      <c r="P760" s="93">
        <f t="shared" si="77"/>
        <v>76.6877272727273</v>
      </c>
    </row>
    <row r="761" s="2" customFormat="1" spans="1:16">
      <c r="A761" s="82">
        <v>45408</v>
      </c>
      <c r="B761" s="21">
        <v>2194.66</v>
      </c>
      <c r="C761" s="22">
        <v>7073</v>
      </c>
      <c r="D761" s="22">
        <v>503</v>
      </c>
      <c r="E761" s="25">
        <v>0</v>
      </c>
      <c r="F761" s="21">
        <v>0</v>
      </c>
      <c r="G761" s="25">
        <v>44</v>
      </c>
      <c r="H761" s="25">
        <v>5</v>
      </c>
      <c r="I761" s="25">
        <v>6</v>
      </c>
      <c r="J761" s="92">
        <f t="shared" si="71"/>
        <v>0.0711155096847165</v>
      </c>
      <c r="K761" s="93">
        <f t="shared" si="72"/>
        <v>4.36314115308151</v>
      </c>
      <c r="L761" s="94">
        <f t="shared" si="73"/>
        <v>0</v>
      </c>
      <c r="M761" s="92">
        <f t="shared" si="74"/>
        <v>0</v>
      </c>
      <c r="N761" s="46">
        <f t="shared" si="75"/>
        <v>0</v>
      </c>
      <c r="O761" s="46">
        <f t="shared" si="76"/>
        <v>0</v>
      </c>
      <c r="P761" s="93">
        <f t="shared" si="77"/>
        <v>49.8786363636364</v>
      </c>
    </row>
    <row r="762" s="2" customFormat="1" spans="1:16">
      <c r="A762" s="82">
        <v>45409</v>
      </c>
      <c r="B762" s="21">
        <v>2100.13</v>
      </c>
      <c r="C762" s="22">
        <v>7848</v>
      </c>
      <c r="D762" s="22">
        <v>528</v>
      </c>
      <c r="E762" s="25">
        <v>0</v>
      </c>
      <c r="F762" s="21">
        <v>0</v>
      </c>
      <c r="G762" s="25">
        <v>34</v>
      </c>
      <c r="H762" s="25">
        <v>3</v>
      </c>
      <c r="I762" s="25">
        <v>3</v>
      </c>
      <c r="J762" s="92">
        <f t="shared" si="71"/>
        <v>0.0672782874617737</v>
      </c>
      <c r="K762" s="93">
        <f t="shared" si="72"/>
        <v>3.97751893939394</v>
      </c>
      <c r="L762" s="94">
        <f t="shared" si="73"/>
        <v>0</v>
      </c>
      <c r="M762" s="92">
        <f t="shared" si="74"/>
        <v>0</v>
      </c>
      <c r="N762" s="46">
        <f t="shared" si="75"/>
        <v>0</v>
      </c>
      <c r="O762" s="46">
        <f t="shared" si="76"/>
        <v>0</v>
      </c>
      <c r="P762" s="93">
        <f t="shared" si="77"/>
        <v>61.7685294117647</v>
      </c>
    </row>
    <row r="763" s="2" customFormat="1" spans="1:16">
      <c r="A763" s="82">
        <v>45410</v>
      </c>
      <c r="B763" s="21">
        <v>2199.23</v>
      </c>
      <c r="C763" s="22">
        <v>7918</v>
      </c>
      <c r="D763" s="22">
        <v>558</v>
      </c>
      <c r="E763" s="25">
        <v>0</v>
      </c>
      <c r="F763" s="21">
        <v>0</v>
      </c>
      <c r="G763" s="25">
        <v>37</v>
      </c>
      <c r="H763" s="25">
        <v>2</v>
      </c>
      <c r="I763" s="25">
        <v>5</v>
      </c>
      <c r="J763" s="92">
        <f t="shared" si="71"/>
        <v>0.0704723415003789</v>
      </c>
      <c r="K763" s="93">
        <f t="shared" si="72"/>
        <v>3.94127240143369</v>
      </c>
      <c r="L763" s="94">
        <f t="shared" si="73"/>
        <v>0</v>
      </c>
      <c r="M763" s="92">
        <f t="shared" si="74"/>
        <v>0</v>
      </c>
      <c r="N763" s="46">
        <f t="shared" si="75"/>
        <v>0</v>
      </c>
      <c r="O763" s="46">
        <f t="shared" si="76"/>
        <v>0</v>
      </c>
      <c r="P763" s="93">
        <f t="shared" si="77"/>
        <v>59.4386486486487</v>
      </c>
    </row>
    <row r="764" s="2" customFormat="1" spans="1:16">
      <c r="A764" s="82">
        <v>45411</v>
      </c>
      <c r="B764" s="21">
        <v>2212.85</v>
      </c>
      <c r="C764" s="22">
        <v>5997</v>
      </c>
      <c r="D764" s="22">
        <v>534</v>
      </c>
      <c r="E764" s="25">
        <v>0</v>
      </c>
      <c r="F764" s="21">
        <v>0</v>
      </c>
      <c r="G764" s="25">
        <v>44</v>
      </c>
      <c r="H764" s="25">
        <v>7</v>
      </c>
      <c r="I764" s="25">
        <v>7</v>
      </c>
      <c r="J764" s="92">
        <f t="shared" si="71"/>
        <v>0.0890445222611306</v>
      </c>
      <c r="K764" s="93">
        <f t="shared" si="72"/>
        <v>4.1439138576779</v>
      </c>
      <c r="L764" s="94">
        <f t="shared" si="73"/>
        <v>0</v>
      </c>
      <c r="M764" s="92">
        <f t="shared" si="74"/>
        <v>0</v>
      </c>
      <c r="N764" s="46">
        <f t="shared" si="75"/>
        <v>0</v>
      </c>
      <c r="O764" s="46">
        <f t="shared" si="76"/>
        <v>0</v>
      </c>
      <c r="P764" s="93">
        <f t="shared" si="77"/>
        <v>50.2920454545455</v>
      </c>
    </row>
    <row r="765" s="2" customFormat="1" spans="1:16">
      <c r="A765" s="82">
        <v>45412</v>
      </c>
      <c r="B765" s="21">
        <v>2202.94</v>
      </c>
      <c r="C765" s="22">
        <v>7460</v>
      </c>
      <c r="D765" s="22">
        <v>542</v>
      </c>
      <c r="E765" s="25">
        <v>0</v>
      </c>
      <c r="F765" s="21">
        <v>0</v>
      </c>
      <c r="G765" s="25">
        <v>40</v>
      </c>
      <c r="H765" s="25">
        <v>3</v>
      </c>
      <c r="I765" s="25">
        <v>5</v>
      </c>
      <c r="J765" s="92">
        <f t="shared" si="71"/>
        <v>0.0726541554959785</v>
      </c>
      <c r="K765" s="93">
        <f t="shared" si="72"/>
        <v>4.06446494464945</v>
      </c>
      <c r="L765" s="94">
        <f t="shared" si="73"/>
        <v>0</v>
      </c>
      <c r="M765" s="92">
        <f t="shared" si="74"/>
        <v>0</v>
      </c>
      <c r="N765" s="46">
        <f t="shared" si="75"/>
        <v>0</v>
      </c>
      <c r="O765" s="46">
        <f t="shared" si="76"/>
        <v>0</v>
      </c>
      <c r="P765" s="93">
        <f t="shared" si="77"/>
        <v>55.0735</v>
      </c>
    </row>
    <row r="766" s="2" customFormat="1" spans="1:16">
      <c r="A766" s="82">
        <v>45413</v>
      </c>
      <c r="B766" s="21">
        <v>2150.1</v>
      </c>
      <c r="C766" s="22">
        <v>8349</v>
      </c>
      <c r="D766" s="22">
        <v>550</v>
      </c>
      <c r="E766" s="25">
        <v>1</v>
      </c>
      <c r="F766" s="21">
        <v>15358</v>
      </c>
      <c r="G766" s="25">
        <v>45</v>
      </c>
      <c r="H766" s="25">
        <v>8</v>
      </c>
      <c r="I766" s="25">
        <v>9</v>
      </c>
      <c r="J766" s="92">
        <f t="shared" si="71"/>
        <v>0.0658761528326746</v>
      </c>
      <c r="K766" s="93">
        <f t="shared" si="72"/>
        <v>3.90927272727273</v>
      </c>
      <c r="L766" s="94">
        <f t="shared" si="73"/>
        <v>7.14292358494954</v>
      </c>
      <c r="M766" s="92">
        <f t="shared" si="74"/>
        <v>0.00181818181818182</v>
      </c>
      <c r="N766" s="46">
        <f t="shared" si="75"/>
        <v>15358</v>
      </c>
      <c r="O766" s="46">
        <f t="shared" si="76"/>
        <v>2150.1</v>
      </c>
      <c r="P766" s="93">
        <f t="shared" si="77"/>
        <v>47.78</v>
      </c>
    </row>
    <row r="767" s="2" customFormat="1" spans="1:16">
      <c r="A767" s="82">
        <v>45414</v>
      </c>
      <c r="B767" s="21">
        <v>2208.81</v>
      </c>
      <c r="C767" s="22">
        <v>7943</v>
      </c>
      <c r="D767" s="22">
        <v>597</v>
      </c>
      <c r="E767" s="25">
        <v>0</v>
      </c>
      <c r="F767" s="21">
        <v>0</v>
      </c>
      <c r="G767" s="25">
        <v>52</v>
      </c>
      <c r="H767" s="25">
        <v>8</v>
      </c>
      <c r="I767" s="25">
        <v>12</v>
      </c>
      <c r="J767" s="92">
        <f t="shared" si="71"/>
        <v>0.0751605186957069</v>
      </c>
      <c r="K767" s="93">
        <f t="shared" si="72"/>
        <v>3.69984924623116</v>
      </c>
      <c r="L767" s="94">
        <f t="shared" si="73"/>
        <v>0</v>
      </c>
      <c r="M767" s="92">
        <f t="shared" si="74"/>
        <v>0</v>
      </c>
      <c r="N767" s="46">
        <f t="shared" si="75"/>
        <v>0</v>
      </c>
      <c r="O767" s="46">
        <f t="shared" si="76"/>
        <v>0</v>
      </c>
      <c r="P767" s="93">
        <f t="shared" si="77"/>
        <v>42.4771153846154</v>
      </c>
    </row>
    <row r="768" s="2" customFormat="1" spans="1:16">
      <c r="A768" s="82">
        <v>45415</v>
      </c>
      <c r="B768" s="21">
        <v>2097.13</v>
      </c>
      <c r="C768" s="22">
        <v>7533</v>
      </c>
      <c r="D768" s="22">
        <v>528</v>
      </c>
      <c r="E768" s="25">
        <v>3</v>
      </c>
      <c r="F768" s="21">
        <v>55946</v>
      </c>
      <c r="G768" s="25">
        <v>23</v>
      </c>
      <c r="H768" s="25">
        <v>4</v>
      </c>
      <c r="I768" s="25">
        <v>9</v>
      </c>
      <c r="J768" s="92">
        <f t="shared" si="71"/>
        <v>0.0700915969733174</v>
      </c>
      <c r="K768" s="93">
        <f t="shared" si="72"/>
        <v>3.97183712121212</v>
      </c>
      <c r="L768" s="94">
        <f t="shared" si="73"/>
        <v>26.6774115100161</v>
      </c>
      <c r="M768" s="92">
        <f t="shared" si="74"/>
        <v>0.00568181818181818</v>
      </c>
      <c r="N768" s="46">
        <f t="shared" si="75"/>
        <v>18648.6666666667</v>
      </c>
      <c r="O768" s="46">
        <f t="shared" si="76"/>
        <v>699.043333333333</v>
      </c>
      <c r="P768" s="93">
        <f t="shared" si="77"/>
        <v>91.1795652173913</v>
      </c>
    </row>
    <row r="769" s="2" customFormat="1" spans="1:19">
      <c r="A769" s="82">
        <v>45416</v>
      </c>
      <c r="B769" s="21">
        <v>2207</v>
      </c>
      <c r="C769" s="22">
        <v>7125</v>
      </c>
      <c r="D769" s="22">
        <v>547</v>
      </c>
      <c r="E769" s="25">
        <v>0</v>
      </c>
      <c r="F769" s="21">
        <v>0</v>
      </c>
      <c r="G769" s="25">
        <v>27</v>
      </c>
      <c r="H769" s="25">
        <v>9</v>
      </c>
      <c r="I769" s="25">
        <v>4</v>
      </c>
      <c r="J769" s="92">
        <f t="shared" si="71"/>
        <v>0.0767719298245614</v>
      </c>
      <c r="K769" s="93">
        <f t="shared" si="72"/>
        <v>4.03473491773309</v>
      </c>
      <c r="L769" s="94">
        <f t="shared" si="73"/>
        <v>0</v>
      </c>
      <c r="M769" s="92">
        <f t="shared" si="74"/>
        <v>0</v>
      </c>
      <c r="N769" s="46">
        <f t="shared" si="75"/>
        <v>0</v>
      </c>
      <c r="O769" s="46">
        <f t="shared" si="76"/>
        <v>0</v>
      </c>
      <c r="P769" s="93">
        <f t="shared" si="77"/>
        <v>81.7407407407407</v>
      </c>
    </row>
    <row r="770" s="2" customFormat="1" spans="1:19">
      <c r="A770" s="82">
        <v>45417</v>
      </c>
      <c r="B770" s="21">
        <v>2201.63</v>
      </c>
      <c r="C770" s="22">
        <v>7161</v>
      </c>
      <c r="D770" s="22">
        <v>567</v>
      </c>
      <c r="E770" s="25">
        <v>1</v>
      </c>
      <c r="F770" s="21">
        <v>15032</v>
      </c>
      <c r="G770" s="25">
        <v>33</v>
      </c>
      <c r="H770" s="25">
        <v>3</v>
      </c>
      <c r="I770" s="25">
        <v>4</v>
      </c>
      <c r="J770" s="92">
        <f t="shared" ref="J770:J802" si="78">D770/C770</f>
        <v>0.0791788856304985</v>
      </c>
      <c r="K770" s="93">
        <f t="shared" ref="K770:K802" si="79">B770/D770</f>
        <v>3.88294532627866</v>
      </c>
      <c r="L770" s="94">
        <f t="shared" ref="L770:L802" si="80">F770/B770</f>
        <v>6.82766859099849</v>
      </c>
      <c r="M770" s="92">
        <f t="shared" ref="M770:M802" si="81">E770/D770</f>
        <v>0.0017636684303351</v>
      </c>
      <c r="N770" s="46">
        <f t="shared" ref="N770:N802" si="82">IF(E770=0,0,F770/E770)</f>
        <v>15032</v>
      </c>
      <c r="O770" s="46">
        <f t="shared" ref="O770:O802" si="83">IF(E770=0,0,B770/E770)</f>
        <v>2201.63</v>
      </c>
      <c r="P770" s="93">
        <f t="shared" ref="P770:P802" si="84">B770/G770</f>
        <v>66.7160606060606</v>
      </c>
    </row>
    <row r="771" s="2" customFormat="1" spans="1:19">
      <c r="A771" s="82">
        <v>45418</v>
      </c>
      <c r="B771" s="21">
        <v>2209.98</v>
      </c>
      <c r="C771" s="22">
        <v>7563</v>
      </c>
      <c r="D771" s="22">
        <v>563</v>
      </c>
      <c r="E771" s="25">
        <v>1</v>
      </c>
      <c r="F771" s="21">
        <v>12034</v>
      </c>
      <c r="G771" s="25">
        <v>39</v>
      </c>
      <c r="H771" s="25">
        <v>2</v>
      </c>
      <c r="I771" s="25">
        <v>6</v>
      </c>
      <c r="J771" s="92">
        <f t="shared" si="78"/>
        <v>0.0744413592489753</v>
      </c>
      <c r="K771" s="93">
        <f t="shared" si="79"/>
        <v>3.92536412078153</v>
      </c>
      <c r="L771" s="94">
        <f t="shared" si="80"/>
        <v>5.44529814749455</v>
      </c>
      <c r="M771" s="92">
        <f t="shared" si="81"/>
        <v>0.00177619893428064</v>
      </c>
      <c r="N771" s="46">
        <f t="shared" si="82"/>
        <v>12034</v>
      </c>
      <c r="O771" s="46">
        <f t="shared" si="83"/>
        <v>2209.98</v>
      </c>
      <c r="P771" s="93">
        <f t="shared" si="84"/>
        <v>56.6661538461538</v>
      </c>
    </row>
    <row r="772" s="2" customFormat="1" spans="1:19">
      <c r="A772" s="82">
        <v>45419</v>
      </c>
      <c r="B772" s="21">
        <v>2212.26</v>
      </c>
      <c r="C772" s="22">
        <v>5996</v>
      </c>
      <c r="D772" s="22">
        <v>568</v>
      </c>
      <c r="E772" s="25">
        <v>1</v>
      </c>
      <c r="F772" s="21">
        <v>9842</v>
      </c>
      <c r="G772" s="25">
        <v>34</v>
      </c>
      <c r="H772" s="25">
        <v>2</v>
      </c>
      <c r="I772" s="25">
        <v>2</v>
      </c>
      <c r="J772" s="92">
        <f t="shared" si="78"/>
        <v>0.0947298198799199</v>
      </c>
      <c r="K772" s="93">
        <f t="shared" si="79"/>
        <v>3.89482394366197</v>
      </c>
      <c r="L772" s="94">
        <f t="shared" si="80"/>
        <v>4.44884416840697</v>
      </c>
      <c r="M772" s="92">
        <f t="shared" si="81"/>
        <v>0.00176056338028169</v>
      </c>
      <c r="N772" s="46">
        <f t="shared" si="82"/>
        <v>9842</v>
      </c>
      <c r="O772" s="46">
        <f t="shared" si="83"/>
        <v>2212.26</v>
      </c>
      <c r="P772" s="93">
        <f t="shared" si="84"/>
        <v>65.0664705882353</v>
      </c>
    </row>
    <row r="773" s="2" customFormat="1" spans="1:19">
      <c r="A773" s="82">
        <v>45420</v>
      </c>
      <c r="B773" s="21">
        <v>2204.21</v>
      </c>
      <c r="C773" s="22">
        <v>7018</v>
      </c>
      <c r="D773" s="22">
        <v>573</v>
      </c>
      <c r="E773" s="25">
        <v>1</v>
      </c>
      <c r="F773" s="21">
        <v>2000</v>
      </c>
      <c r="G773" s="25">
        <v>45</v>
      </c>
      <c r="H773" s="25">
        <v>5</v>
      </c>
      <c r="I773" s="25">
        <v>5</v>
      </c>
      <c r="J773" s="92">
        <f t="shared" si="78"/>
        <v>0.0816471929324594</v>
      </c>
      <c r="K773" s="93">
        <f t="shared" si="79"/>
        <v>3.84678883071553</v>
      </c>
      <c r="L773" s="94">
        <f t="shared" si="80"/>
        <v>0.907354562405578</v>
      </c>
      <c r="M773" s="92">
        <f t="shared" si="81"/>
        <v>0.00174520069808028</v>
      </c>
      <c r="N773" s="46">
        <f t="shared" si="82"/>
        <v>2000</v>
      </c>
      <c r="O773" s="46">
        <f t="shared" si="83"/>
        <v>2204.21</v>
      </c>
      <c r="P773" s="93">
        <f t="shared" si="84"/>
        <v>48.9824444444444</v>
      </c>
    </row>
    <row r="774" s="2" customFormat="1" spans="1:19">
      <c r="A774" s="82">
        <v>45421</v>
      </c>
      <c r="B774" s="21">
        <v>2089.32</v>
      </c>
      <c r="C774" s="22">
        <v>6835</v>
      </c>
      <c r="D774" s="22">
        <v>528</v>
      </c>
      <c r="E774" s="25">
        <v>0</v>
      </c>
      <c r="F774" s="21">
        <v>0</v>
      </c>
      <c r="G774" s="25">
        <v>34</v>
      </c>
      <c r="H774" s="25">
        <v>4</v>
      </c>
      <c r="I774" s="25">
        <v>9</v>
      </c>
      <c r="J774" s="92">
        <f t="shared" si="78"/>
        <v>0.0772494513533285</v>
      </c>
      <c r="K774" s="93">
        <f t="shared" si="79"/>
        <v>3.95704545454545</v>
      </c>
      <c r="L774" s="94">
        <f t="shared" si="80"/>
        <v>0</v>
      </c>
      <c r="M774" s="92">
        <f t="shared" si="81"/>
        <v>0</v>
      </c>
      <c r="N774" s="46">
        <f t="shared" si="82"/>
        <v>0</v>
      </c>
      <c r="O774" s="46">
        <f t="shared" si="83"/>
        <v>0</v>
      </c>
      <c r="P774" s="93">
        <f t="shared" si="84"/>
        <v>61.4505882352941</v>
      </c>
    </row>
    <row r="775" s="2" customFormat="1" spans="1:19">
      <c r="A775" s="82">
        <v>45422</v>
      </c>
      <c r="B775" s="21">
        <v>2013.76</v>
      </c>
      <c r="C775" s="22">
        <v>7034</v>
      </c>
      <c r="D775" s="22">
        <v>512</v>
      </c>
      <c r="E775" s="25">
        <v>0</v>
      </c>
      <c r="F775" s="21">
        <v>0</v>
      </c>
      <c r="G775" s="25">
        <v>33</v>
      </c>
      <c r="H775" s="25">
        <v>4</v>
      </c>
      <c r="I775" s="25">
        <v>6</v>
      </c>
      <c r="J775" s="92">
        <f t="shared" si="78"/>
        <v>0.0727893090702303</v>
      </c>
      <c r="K775" s="93">
        <f t="shared" si="79"/>
        <v>3.933125</v>
      </c>
      <c r="L775" s="94">
        <f t="shared" si="80"/>
        <v>0</v>
      </c>
      <c r="M775" s="92">
        <f t="shared" si="81"/>
        <v>0</v>
      </c>
      <c r="N775" s="46">
        <f t="shared" si="82"/>
        <v>0</v>
      </c>
      <c r="O775" s="46">
        <f t="shared" si="83"/>
        <v>0</v>
      </c>
      <c r="P775" s="93">
        <f t="shared" si="84"/>
        <v>61.0230303030303</v>
      </c>
    </row>
    <row r="776" s="2" customFormat="1" spans="1:19">
      <c r="A776" s="82">
        <v>45423</v>
      </c>
      <c r="B776" s="21">
        <v>1894.06</v>
      </c>
      <c r="C776" s="22">
        <v>6916</v>
      </c>
      <c r="D776" s="22">
        <v>467</v>
      </c>
      <c r="E776" s="25">
        <v>0</v>
      </c>
      <c r="F776" s="21">
        <v>0</v>
      </c>
      <c r="G776" s="25">
        <v>18</v>
      </c>
      <c r="H776" s="25">
        <v>2</v>
      </c>
      <c r="I776" s="25">
        <v>3</v>
      </c>
      <c r="J776" s="92">
        <f t="shared" si="78"/>
        <v>0.0675245806824754</v>
      </c>
      <c r="K776" s="93">
        <f t="shared" si="79"/>
        <v>4.05580299785867</v>
      </c>
      <c r="L776" s="94">
        <f t="shared" si="80"/>
        <v>0</v>
      </c>
      <c r="M776" s="92">
        <f t="shared" si="81"/>
        <v>0</v>
      </c>
      <c r="N776" s="46">
        <f t="shared" si="82"/>
        <v>0</v>
      </c>
      <c r="O776" s="46">
        <f t="shared" si="83"/>
        <v>0</v>
      </c>
      <c r="P776" s="93">
        <f t="shared" si="84"/>
        <v>105.225555555556</v>
      </c>
    </row>
    <row r="777" s="2" customFormat="1" spans="1:19">
      <c r="A777" s="82">
        <v>45424</v>
      </c>
      <c r="B777" s="21">
        <v>2131.84</v>
      </c>
      <c r="C777" s="22">
        <v>6395</v>
      </c>
      <c r="D777" s="22">
        <v>554</v>
      </c>
      <c r="E777" s="25">
        <v>0</v>
      </c>
      <c r="F777" s="21">
        <v>0</v>
      </c>
      <c r="G777" s="25">
        <v>27</v>
      </c>
      <c r="H777" s="25">
        <v>6</v>
      </c>
      <c r="I777" s="25">
        <v>4</v>
      </c>
      <c r="J777" s="92">
        <f t="shared" si="78"/>
        <v>0.0866301798279906</v>
      </c>
      <c r="K777" s="93">
        <f t="shared" si="79"/>
        <v>3.84808664259928</v>
      </c>
      <c r="L777" s="94">
        <f t="shared" si="80"/>
        <v>0</v>
      </c>
      <c r="M777" s="92">
        <f t="shared" si="81"/>
        <v>0</v>
      </c>
      <c r="N777" s="46">
        <f t="shared" si="82"/>
        <v>0</v>
      </c>
      <c r="O777" s="46">
        <f t="shared" si="83"/>
        <v>0</v>
      </c>
      <c r="P777" s="93">
        <f t="shared" si="84"/>
        <v>78.957037037037</v>
      </c>
    </row>
    <row r="778" s="2" customFormat="1" spans="1:19">
      <c r="A778" s="82">
        <v>45425</v>
      </c>
      <c r="B778" s="21">
        <v>2197.03</v>
      </c>
      <c r="C778" s="22">
        <v>6882</v>
      </c>
      <c r="D778" s="22">
        <v>589</v>
      </c>
      <c r="E778" s="25">
        <v>0</v>
      </c>
      <c r="F778" s="21">
        <v>0</v>
      </c>
      <c r="G778" s="25">
        <v>35</v>
      </c>
      <c r="H778" s="25">
        <v>5</v>
      </c>
      <c r="I778" s="25">
        <v>1</v>
      </c>
      <c r="J778" s="92">
        <f t="shared" si="78"/>
        <v>0.0855855855855856</v>
      </c>
      <c r="K778" s="93">
        <f t="shared" si="79"/>
        <v>3.73010186757216</v>
      </c>
      <c r="L778" s="94">
        <f t="shared" si="80"/>
        <v>0</v>
      </c>
      <c r="M778" s="92">
        <f t="shared" si="81"/>
        <v>0</v>
      </c>
      <c r="N778" s="46">
        <f t="shared" si="82"/>
        <v>0</v>
      </c>
      <c r="O778" s="46">
        <f t="shared" si="83"/>
        <v>0</v>
      </c>
      <c r="P778" s="93">
        <f t="shared" si="84"/>
        <v>62.7722857142857</v>
      </c>
    </row>
    <row r="779" s="2" customFormat="1" spans="1:19">
      <c r="A779" s="82">
        <v>45426</v>
      </c>
      <c r="B779" s="21">
        <v>2212.95</v>
      </c>
      <c r="C779" s="22">
        <v>6349</v>
      </c>
      <c r="D779" s="22">
        <v>582</v>
      </c>
      <c r="E779" s="25">
        <v>0</v>
      </c>
      <c r="F779" s="21">
        <v>0</v>
      </c>
      <c r="G779" s="25">
        <v>38</v>
      </c>
      <c r="H779" s="25">
        <v>6</v>
      </c>
      <c r="I779" s="25">
        <v>7</v>
      </c>
      <c r="J779" s="92">
        <f t="shared" si="78"/>
        <v>0.0916679792093243</v>
      </c>
      <c r="K779" s="93">
        <f t="shared" si="79"/>
        <v>3.80231958762887</v>
      </c>
      <c r="L779" s="94">
        <f t="shared" si="80"/>
        <v>0</v>
      </c>
      <c r="M779" s="92">
        <f t="shared" si="81"/>
        <v>0</v>
      </c>
      <c r="N779" s="46">
        <f t="shared" si="82"/>
        <v>0</v>
      </c>
      <c r="O779" s="46">
        <f t="shared" si="83"/>
        <v>0</v>
      </c>
      <c r="P779" s="93">
        <f t="shared" si="84"/>
        <v>58.2355263157895</v>
      </c>
    </row>
    <row r="780" s="2" customFormat="1" spans="1:19">
      <c r="A780" s="82">
        <v>45427</v>
      </c>
      <c r="B780" s="21">
        <v>2176.89</v>
      </c>
      <c r="C780" s="22">
        <v>6568</v>
      </c>
      <c r="D780" s="22">
        <v>614</v>
      </c>
      <c r="E780" s="25">
        <v>0</v>
      </c>
      <c r="F780" s="21">
        <v>0</v>
      </c>
      <c r="G780" s="25">
        <v>32</v>
      </c>
      <c r="H780" s="25">
        <v>5</v>
      </c>
      <c r="I780" s="25">
        <v>6</v>
      </c>
      <c r="J780" s="92">
        <f t="shared" si="78"/>
        <v>0.093483556638246</v>
      </c>
      <c r="K780" s="93">
        <f t="shared" si="79"/>
        <v>3.54542345276873</v>
      </c>
      <c r="L780" s="94">
        <f t="shared" si="80"/>
        <v>0</v>
      </c>
      <c r="M780" s="92">
        <f t="shared" si="81"/>
        <v>0</v>
      </c>
      <c r="N780" s="46">
        <f t="shared" si="82"/>
        <v>0</v>
      </c>
      <c r="O780" s="46">
        <f t="shared" si="83"/>
        <v>0</v>
      </c>
      <c r="P780" s="93">
        <f t="shared" si="84"/>
        <v>68.0278125</v>
      </c>
    </row>
    <row r="781" s="2" customFormat="1" spans="1:19">
      <c r="A781" s="82">
        <v>45428</v>
      </c>
      <c r="B781" s="21">
        <v>2063</v>
      </c>
      <c r="C781" s="22">
        <v>5712</v>
      </c>
      <c r="D781" s="22">
        <v>559</v>
      </c>
      <c r="E781" s="25">
        <v>0</v>
      </c>
      <c r="F781" s="21">
        <v>0</v>
      </c>
      <c r="G781" s="25">
        <v>41</v>
      </c>
      <c r="H781" s="25">
        <v>4</v>
      </c>
      <c r="I781" s="25">
        <v>4</v>
      </c>
      <c r="J781" s="92">
        <f t="shared" si="78"/>
        <v>0.0978641456582633</v>
      </c>
      <c r="K781" s="93">
        <f t="shared" si="79"/>
        <v>3.69051878354204</v>
      </c>
      <c r="L781" s="94">
        <f t="shared" si="80"/>
        <v>0</v>
      </c>
      <c r="M781" s="92">
        <f t="shared" si="81"/>
        <v>0</v>
      </c>
      <c r="N781" s="46">
        <f t="shared" si="82"/>
        <v>0</v>
      </c>
      <c r="O781" s="46">
        <f t="shared" si="83"/>
        <v>0</v>
      </c>
      <c r="P781" s="93">
        <f t="shared" si="84"/>
        <v>50.3170731707317</v>
      </c>
    </row>
    <row r="782" s="2" customFormat="1" spans="1:19">
      <c r="A782" s="82">
        <v>45429</v>
      </c>
      <c r="B782" s="21">
        <v>1706.87</v>
      </c>
      <c r="C782" s="22">
        <v>5675</v>
      </c>
      <c r="D782" s="22">
        <v>437</v>
      </c>
      <c r="E782" s="25">
        <v>1</v>
      </c>
      <c r="F782" s="21">
        <v>28388</v>
      </c>
      <c r="G782" s="25">
        <v>63</v>
      </c>
      <c r="H782" s="25">
        <v>4</v>
      </c>
      <c r="I782" s="25">
        <v>1</v>
      </c>
      <c r="J782" s="92">
        <f t="shared" si="78"/>
        <v>0.0770044052863436</v>
      </c>
      <c r="K782" s="93">
        <f t="shared" si="79"/>
        <v>3.90588100686499</v>
      </c>
      <c r="L782" s="94">
        <f t="shared" si="80"/>
        <v>16.6316122493219</v>
      </c>
      <c r="M782" s="92">
        <f t="shared" si="81"/>
        <v>0.0022883295194508</v>
      </c>
      <c r="N782" s="46">
        <f t="shared" si="82"/>
        <v>28388</v>
      </c>
      <c r="O782" s="46">
        <f t="shared" si="83"/>
        <v>1706.87</v>
      </c>
      <c r="P782" s="93">
        <f t="shared" si="84"/>
        <v>27.0931746031746</v>
      </c>
      <c r="Q782" s="96"/>
      <c r="S782" s="97"/>
    </row>
    <row r="783" s="2" customFormat="1" spans="1:19">
      <c r="A783" s="82">
        <v>45430</v>
      </c>
      <c r="B783" s="21">
        <v>1676.16</v>
      </c>
      <c r="C783" s="22">
        <v>4617</v>
      </c>
      <c r="D783" s="22">
        <v>396</v>
      </c>
      <c r="E783" s="25">
        <v>0</v>
      </c>
      <c r="F783" s="21">
        <v>0</v>
      </c>
      <c r="G783" s="25">
        <v>26</v>
      </c>
      <c r="H783" s="25">
        <v>2</v>
      </c>
      <c r="I783" s="25">
        <v>4</v>
      </c>
      <c r="J783" s="92">
        <f t="shared" si="78"/>
        <v>0.0857699805068226</v>
      </c>
      <c r="K783" s="93">
        <f t="shared" si="79"/>
        <v>4.23272727272727</v>
      </c>
      <c r="L783" s="94">
        <f t="shared" si="80"/>
        <v>0</v>
      </c>
      <c r="M783" s="92">
        <f t="shared" si="81"/>
        <v>0</v>
      </c>
      <c r="N783" s="46">
        <f t="shared" si="82"/>
        <v>0</v>
      </c>
      <c r="O783" s="46">
        <f t="shared" si="83"/>
        <v>0</v>
      </c>
      <c r="P783" s="93">
        <f t="shared" si="84"/>
        <v>64.4676923076923</v>
      </c>
      <c r="Q783" s="96"/>
      <c r="S783" s="97"/>
    </row>
    <row r="784" s="2" customFormat="1" spans="1:19">
      <c r="A784" s="82">
        <v>45431</v>
      </c>
      <c r="B784" s="21">
        <v>1697.45</v>
      </c>
      <c r="C784" s="22">
        <v>4554</v>
      </c>
      <c r="D784" s="22">
        <v>429</v>
      </c>
      <c r="E784" s="25">
        <v>1</v>
      </c>
      <c r="F784" s="21">
        <v>12954</v>
      </c>
      <c r="G784" s="25">
        <v>42</v>
      </c>
      <c r="H784" s="25">
        <v>4</v>
      </c>
      <c r="I784" s="25">
        <v>6</v>
      </c>
      <c r="J784" s="92">
        <f t="shared" si="78"/>
        <v>0.0942028985507246</v>
      </c>
      <c r="K784" s="93">
        <f t="shared" si="79"/>
        <v>3.95675990675991</v>
      </c>
      <c r="L784" s="94">
        <f t="shared" si="80"/>
        <v>7.63144717075613</v>
      </c>
      <c r="M784" s="92">
        <f t="shared" si="81"/>
        <v>0.00233100233100233</v>
      </c>
      <c r="N784" s="46">
        <f t="shared" si="82"/>
        <v>12954</v>
      </c>
      <c r="O784" s="46">
        <f t="shared" si="83"/>
        <v>1697.45</v>
      </c>
      <c r="P784" s="93">
        <f t="shared" si="84"/>
        <v>40.4154761904762</v>
      </c>
      <c r="Q784" s="96"/>
      <c r="S784" s="97"/>
    </row>
    <row r="785" s="2" customFormat="1" spans="1:19">
      <c r="A785" s="82">
        <v>45432</v>
      </c>
      <c r="B785" s="21">
        <v>1681.69</v>
      </c>
      <c r="C785" s="22">
        <v>6482</v>
      </c>
      <c r="D785" s="22">
        <v>417</v>
      </c>
      <c r="E785" s="25">
        <v>0</v>
      </c>
      <c r="F785" s="21">
        <v>0</v>
      </c>
      <c r="G785" s="25">
        <v>39</v>
      </c>
      <c r="H785" s="25">
        <v>4</v>
      </c>
      <c r="I785" s="25">
        <v>9</v>
      </c>
      <c r="J785" s="92">
        <f t="shared" si="78"/>
        <v>0.0643319962974391</v>
      </c>
      <c r="K785" s="93">
        <f t="shared" si="79"/>
        <v>4.03282973621103</v>
      </c>
      <c r="L785" s="94">
        <f t="shared" si="80"/>
        <v>0</v>
      </c>
      <c r="M785" s="92">
        <f t="shared" si="81"/>
        <v>0</v>
      </c>
      <c r="N785" s="46">
        <f t="shared" si="82"/>
        <v>0</v>
      </c>
      <c r="O785" s="46">
        <f t="shared" si="83"/>
        <v>0</v>
      </c>
      <c r="P785" s="93">
        <f t="shared" si="84"/>
        <v>43.1202564102564</v>
      </c>
      <c r="Q785" s="96"/>
      <c r="S785" s="97"/>
    </row>
    <row r="786" s="2" customFormat="1" spans="1:19">
      <c r="A786" s="82">
        <v>45433</v>
      </c>
      <c r="B786" s="21">
        <v>1714.05</v>
      </c>
      <c r="C786" s="22">
        <v>5521</v>
      </c>
      <c r="D786" s="22">
        <v>406</v>
      </c>
      <c r="E786" s="25">
        <v>7</v>
      </c>
      <c r="F786" s="21">
        <v>76651</v>
      </c>
      <c r="G786" s="25">
        <v>49</v>
      </c>
      <c r="H786" s="25">
        <v>9</v>
      </c>
      <c r="I786" s="25">
        <v>6</v>
      </c>
      <c r="J786" s="92">
        <f t="shared" si="78"/>
        <v>0.0735374026444485</v>
      </c>
      <c r="K786" s="93">
        <f t="shared" si="79"/>
        <v>4.22179802955665</v>
      </c>
      <c r="L786" s="94">
        <f t="shared" si="80"/>
        <v>44.7192322277646</v>
      </c>
      <c r="M786" s="92">
        <f t="shared" si="81"/>
        <v>0.0172413793103448</v>
      </c>
      <c r="N786" s="46">
        <f t="shared" si="82"/>
        <v>10950.1428571429</v>
      </c>
      <c r="O786" s="46">
        <f t="shared" si="83"/>
        <v>244.864285714286</v>
      </c>
      <c r="P786" s="93">
        <f t="shared" si="84"/>
        <v>34.980612244898</v>
      </c>
      <c r="Q786" s="96"/>
    </row>
    <row r="787" s="2" customFormat="1" spans="1:19">
      <c r="A787" s="82">
        <v>45434</v>
      </c>
      <c r="B787" s="21">
        <v>1715.9</v>
      </c>
      <c r="C787" s="22">
        <v>5220</v>
      </c>
      <c r="D787" s="22">
        <v>455</v>
      </c>
      <c r="E787" s="25">
        <v>3</v>
      </c>
      <c r="F787" s="21">
        <v>26122</v>
      </c>
      <c r="G787" s="25">
        <v>50</v>
      </c>
      <c r="H787" s="25">
        <v>1</v>
      </c>
      <c r="I787" s="25">
        <v>6</v>
      </c>
      <c r="J787" s="92">
        <f t="shared" si="78"/>
        <v>0.0871647509578544</v>
      </c>
      <c r="K787" s="93">
        <f t="shared" si="79"/>
        <v>3.77120879120879</v>
      </c>
      <c r="L787" s="94">
        <f t="shared" si="80"/>
        <v>15.2234978728364</v>
      </c>
      <c r="M787" s="92">
        <f t="shared" si="81"/>
        <v>0.00659340659340659</v>
      </c>
      <c r="N787" s="46">
        <f t="shared" si="82"/>
        <v>8707.33333333333</v>
      </c>
      <c r="O787" s="46">
        <f t="shared" si="83"/>
        <v>571.966666666667</v>
      </c>
      <c r="P787" s="93">
        <f t="shared" si="84"/>
        <v>34.318</v>
      </c>
      <c r="Q787" s="96"/>
    </row>
    <row r="788" s="2" customFormat="1" spans="1:19">
      <c r="A788" s="82">
        <v>45435</v>
      </c>
      <c r="B788" s="21">
        <v>1705</v>
      </c>
      <c r="C788" s="22">
        <v>6006</v>
      </c>
      <c r="D788" s="22">
        <v>416</v>
      </c>
      <c r="E788" s="25">
        <v>0</v>
      </c>
      <c r="F788" s="21">
        <v>0</v>
      </c>
      <c r="G788" s="25">
        <v>45</v>
      </c>
      <c r="H788" s="25">
        <v>7</v>
      </c>
      <c r="I788" s="25">
        <v>8</v>
      </c>
      <c r="J788" s="92">
        <f t="shared" si="78"/>
        <v>0.0692640692640693</v>
      </c>
      <c r="K788" s="93">
        <f t="shared" si="79"/>
        <v>4.09855769230769</v>
      </c>
      <c r="L788" s="94">
        <f t="shared" si="80"/>
        <v>0</v>
      </c>
      <c r="M788" s="92">
        <f t="shared" si="81"/>
        <v>0</v>
      </c>
      <c r="N788" s="46">
        <f t="shared" si="82"/>
        <v>0</v>
      </c>
      <c r="O788" s="46">
        <f t="shared" si="83"/>
        <v>0</v>
      </c>
      <c r="P788" s="93">
        <f t="shared" si="84"/>
        <v>37.8888888888889</v>
      </c>
    </row>
    <row r="789" s="2" customFormat="1" spans="1:19">
      <c r="A789" s="82">
        <v>45436</v>
      </c>
      <c r="B789" s="21">
        <v>1628.65</v>
      </c>
      <c r="C789" s="22">
        <v>6835</v>
      </c>
      <c r="D789" s="22">
        <v>417</v>
      </c>
      <c r="E789" s="25">
        <v>0</v>
      </c>
      <c r="F789" s="21">
        <v>0</v>
      </c>
      <c r="G789" s="25">
        <v>42</v>
      </c>
      <c r="H789" s="25">
        <v>2</v>
      </c>
      <c r="I789" s="25">
        <v>8</v>
      </c>
      <c r="J789" s="92">
        <f t="shared" si="78"/>
        <v>0.0610095098756401</v>
      </c>
      <c r="K789" s="93">
        <f t="shared" si="79"/>
        <v>3.90563549160671</v>
      </c>
      <c r="L789" s="94">
        <f t="shared" si="80"/>
        <v>0</v>
      </c>
      <c r="M789" s="92">
        <f t="shared" si="81"/>
        <v>0</v>
      </c>
      <c r="N789" s="46">
        <f t="shared" si="82"/>
        <v>0</v>
      </c>
      <c r="O789" s="46">
        <f t="shared" si="83"/>
        <v>0</v>
      </c>
      <c r="P789" s="93">
        <f t="shared" si="84"/>
        <v>38.777380952381</v>
      </c>
    </row>
    <row r="790" s="2" customFormat="1" spans="1:19">
      <c r="A790" s="82">
        <v>45437</v>
      </c>
      <c r="B790" s="21">
        <v>1862.99</v>
      </c>
      <c r="C790" s="22">
        <v>7697</v>
      </c>
      <c r="D790" s="22">
        <v>465</v>
      </c>
      <c r="E790" s="25">
        <v>2</v>
      </c>
      <c r="F790" s="21">
        <v>71982</v>
      </c>
      <c r="G790" s="25">
        <v>27</v>
      </c>
      <c r="H790" s="25">
        <v>4</v>
      </c>
      <c r="I790" s="25">
        <v>8</v>
      </c>
      <c r="J790" s="92">
        <f t="shared" si="78"/>
        <v>0.0604131479797324</v>
      </c>
      <c r="K790" s="93">
        <f t="shared" si="79"/>
        <v>4.00643010752688</v>
      </c>
      <c r="L790" s="94">
        <f t="shared" si="80"/>
        <v>38.6378885554941</v>
      </c>
      <c r="M790" s="92">
        <f t="shared" si="81"/>
        <v>0.0043010752688172</v>
      </c>
      <c r="N790" s="46">
        <f t="shared" si="82"/>
        <v>35991</v>
      </c>
      <c r="O790" s="46">
        <f t="shared" si="83"/>
        <v>931.495</v>
      </c>
      <c r="P790" s="93">
        <f t="shared" si="84"/>
        <v>68.9996296296296</v>
      </c>
    </row>
    <row r="791" s="2" customFormat="1" spans="1:19">
      <c r="A791" s="82">
        <v>45438</v>
      </c>
      <c r="B791" s="21">
        <v>1643.68</v>
      </c>
      <c r="C791" s="22">
        <v>7123</v>
      </c>
      <c r="D791" s="22">
        <v>416</v>
      </c>
      <c r="E791" s="25">
        <v>1</v>
      </c>
      <c r="F791" s="21">
        <v>21790</v>
      </c>
      <c r="G791" s="25">
        <v>22</v>
      </c>
      <c r="H791" s="25">
        <v>0</v>
      </c>
      <c r="I791" s="25">
        <v>8</v>
      </c>
      <c r="J791" s="92">
        <f t="shared" si="78"/>
        <v>0.0584023585567879</v>
      </c>
      <c r="K791" s="93">
        <f t="shared" si="79"/>
        <v>3.95115384615385</v>
      </c>
      <c r="L791" s="94">
        <f t="shared" si="80"/>
        <v>13.2568383140271</v>
      </c>
      <c r="M791" s="92">
        <f t="shared" si="81"/>
        <v>0.00240384615384615</v>
      </c>
      <c r="N791" s="46">
        <f t="shared" si="82"/>
        <v>21790</v>
      </c>
      <c r="O791" s="46">
        <f t="shared" si="83"/>
        <v>1643.68</v>
      </c>
      <c r="P791" s="93">
        <f t="shared" si="84"/>
        <v>74.7127272727273</v>
      </c>
    </row>
    <row r="792" s="2" customFormat="1" spans="1:19">
      <c r="A792" s="82">
        <v>45439</v>
      </c>
      <c r="B792" s="21">
        <v>2363.53</v>
      </c>
      <c r="C792" s="25">
        <v>9937</v>
      </c>
      <c r="D792" s="25">
        <v>497</v>
      </c>
      <c r="E792" s="25">
        <v>0</v>
      </c>
      <c r="F792" s="21">
        <v>0</v>
      </c>
      <c r="G792" s="25">
        <v>37</v>
      </c>
      <c r="H792" s="25">
        <v>7</v>
      </c>
      <c r="I792" s="25">
        <v>6</v>
      </c>
      <c r="J792" s="92">
        <f t="shared" si="78"/>
        <v>0.0500150950991245</v>
      </c>
      <c r="K792" s="93">
        <f t="shared" si="79"/>
        <v>4.75559356136821</v>
      </c>
      <c r="L792" s="94">
        <f t="shared" si="80"/>
        <v>0</v>
      </c>
      <c r="M792" s="92">
        <f t="shared" si="81"/>
        <v>0</v>
      </c>
      <c r="N792" s="46">
        <f t="shared" si="82"/>
        <v>0</v>
      </c>
      <c r="O792" s="46">
        <f t="shared" si="83"/>
        <v>0</v>
      </c>
      <c r="P792" s="93">
        <f t="shared" si="84"/>
        <v>63.8791891891892</v>
      </c>
    </row>
    <row r="793" s="2" customFormat="1" spans="1:19">
      <c r="A793" s="82">
        <v>45440</v>
      </c>
      <c r="B793" s="21">
        <v>3301.78</v>
      </c>
      <c r="C793" s="22">
        <v>8776</v>
      </c>
      <c r="D793" s="22">
        <v>665</v>
      </c>
      <c r="E793" s="25">
        <v>2</v>
      </c>
      <c r="F793" s="21">
        <v>21931</v>
      </c>
      <c r="G793" s="25">
        <v>20</v>
      </c>
      <c r="H793" s="25">
        <v>4</v>
      </c>
      <c r="I793" s="25">
        <v>9</v>
      </c>
      <c r="J793" s="92">
        <f t="shared" si="78"/>
        <v>0.0757748404740201</v>
      </c>
      <c r="K793" s="93">
        <f t="shared" si="79"/>
        <v>4.96508270676692</v>
      </c>
      <c r="L793" s="94">
        <f t="shared" si="80"/>
        <v>6.64217482691154</v>
      </c>
      <c r="M793" s="92">
        <f t="shared" si="81"/>
        <v>0.00300751879699248</v>
      </c>
      <c r="N793" s="46">
        <f t="shared" si="82"/>
        <v>10965.5</v>
      </c>
      <c r="O793" s="46">
        <f t="shared" si="83"/>
        <v>1650.89</v>
      </c>
      <c r="P793" s="93">
        <f t="shared" si="84"/>
        <v>165.089</v>
      </c>
    </row>
    <row r="794" s="2" customFormat="1" spans="1:19">
      <c r="A794" s="82">
        <v>45441</v>
      </c>
      <c r="B794" s="21">
        <v>3189.2</v>
      </c>
      <c r="C794" s="25">
        <v>9507</v>
      </c>
      <c r="D794" s="25">
        <v>681</v>
      </c>
      <c r="E794" s="25">
        <v>0</v>
      </c>
      <c r="F794" s="21">
        <v>0</v>
      </c>
      <c r="G794" s="25">
        <v>44</v>
      </c>
      <c r="H794" s="25">
        <v>7</v>
      </c>
      <c r="I794" s="25">
        <v>5</v>
      </c>
      <c r="J794" s="92">
        <f t="shared" si="78"/>
        <v>0.0716314294730199</v>
      </c>
      <c r="K794" s="93">
        <f t="shared" si="79"/>
        <v>4.68311306901615</v>
      </c>
      <c r="L794" s="94">
        <f t="shared" si="80"/>
        <v>0</v>
      </c>
      <c r="M794" s="92">
        <f t="shared" si="81"/>
        <v>0</v>
      </c>
      <c r="N794" s="46">
        <f t="shared" si="82"/>
        <v>0</v>
      </c>
      <c r="O794" s="46">
        <f t="shared" si="83"/>
        <v>0</v>
      </c>
      <c r="P794" s="93">
        <f t="shared" si="84"/>
        <v>72.4818181818182</v>
      </c>
    </row>
    <row r="795" s="2" customFormat="1" spans="1:19">
      <c r="A795" s="82">
        <v>45442</v>
      </c>
      <c r="B795" s="21">
        <v>3368.35</v>
      </c>
      <c r="C795" s="25">
        <v>10644</v>
      </c>
      <c r="D795" s="25">
        <v>698</v>
      </c>
      <c r="E795" s="25">
        <v>4</v>
      </c>
      <c r="F795" s="21">
        <v>68764</v>
      </c>
      <c r="G795" s="25">
        <v>42</v>
      </c>
      <c r="H795" s="25">
        <v>1</v>
      </c>
      <c r="I795" s="25">
        <v>6</v>
      </c>
      <c r="J795" s="92">
        <f t="shared" si="78"/>
        <v>0.0655768508079669</v>
      </c>
      <c r="K795" s="93">
        <f t="shared" si="79"/>
        <v>4.82571633237822</v>
      </c>
      <c r="L795" s="94">
        <f t="shared" si="80"/>
        <v>20.4147431234878</v>
      </c>
      <c r="M795" s="92">
        <f t="shared" si="81"/>
        <v>0.00573065902578797</v>
      </c>
      <c r="N795" s="46">
        <f t="shared" si="82"/>
        <v>17191</v>
      </c>
      <c r="O795" s="46">
        <f t="shared" si="83"/>
        <v>842.0875</v>
      </c>
      <c r="P795" s="93">
        <f t="shared" si="84"/>
        <v>80.1988095238095</v>
      </c>
    </row>
    <row r="796" s="2" customFormat="1" spans="1:19">
      <c r="A796" s="82">
        <v>45443</v>
      </c>
      <c r="B796" s="21">
        <v>3295.6</v>
      </c>
      <c r="C796" s="33">
        <v>10631</v>
      </c>
      <c r="D796" s="25">
        <v>624</v>
      </c>
      <c r="E796" s="25">
        <v>0</v>
      </c>
      <c r="F796" s="21">
        <v>0</v>
      </c>
      <c r="G796" s="25">
        <v>33</v>
      </c>
      <c r="H796" s="25">
        <v>4</v>
      </c>
      <c r="I796" s="25">
        <v>5</v>
      </c>
      <c r="J796" s="92">
        <f t="shared" si="78"/>
        <v>0.0586962656382278</v>
      </c>
      <c r="K796" s="93">
        <f t="shared" si="79"/>
        <v>5.28141025641026</v>
      </c>
      <c r="L796" s="94">
        <f t="shared" si="80"/>
        <v>0</v>
      </c>
      <c r="M796" s="92">
        <f t="shared" si="81"/>
        <v>0</v>
      </c>
      <c r="N796" s="46">
        <f t="shared" si="82"/>
        <v>0</v>
      </c>
      <c r="O796" s="46">
        <f t="shared" si="83"/>
        <v>0</v>
      </c>
      <c r="P796" s="93">
        <f t="shared" si="84"/>
        <v>99.8666666666667</v>
      </c>
    </row>
    <row r="797" s="2" customFormat="1" spans="1:19">
      <c r="A797" s="82">
        <v>45444</v>
      </c>
      <c r="B797" s="21">
        <v>3319.95</v>
      </c>
      <c r="C797" s="33">
        <v>12744</v>
      </c>
      <c r="D797" s="25">
        <v>662</v>
      </c>
      <c r="E797" s="25">
        <v>1</v>
      </c>
      <c r="F797" s="21">
        <v>11997</v>
      </c>
      <c r="G797" s="25">
        <v>47</v>
      </c>
      <c r="H797" s="25">
        <v>5</v>
      </c>
      <c r="I797" s="25">
        <v>8</v>
      </c>
      <c r="J797" s="92">
        <f t="shared" si="78"/>
        <v>0.0519460138104206</v>
      </c>
      <c r="K797" s="93">
        <f t="shared" si="79"/>
        <v>5.01503021148036</v>
      </c>
      <c r="L797" s="94">
        <f t="shared" si="80"/>
        <v>3.61360863868432</v>
      </c>
      <c r="M797" s="92">
        <f t="shared" si="81"/>
        <v>0.00151057401812689</v>
      </c>
      <c r="N797" s="46">
        <f t="shared" si="82"/>
        <v>11997</v>
      </c>
      <c r="O797" s="46">
        <f t="shared" si="83"/>
        <v>3319.95</v>
      </c>
      <c r="P797" s="93">
        <f t="shared" si="84"/>
        <v>70.6372340425532</v>
      </c>
    </row>
    <row r="798" s="2" customFormat="1" spans="1:19">
      <c r="A798" s="82">
        <v>45445</v>
      </c>
      <c r="B798" s="21">
        <v>3437.26</v>
      </c>
      <c r="C798" s="33">
        <v>11575</v>
      </c>
      <c r="D798" s="25">
        <v>722</v>
      </c>
      <c r="E798" s="25">
        <v>2</v>
      </c>
      <c r="F798" s="21">
        <v>16596</v>
      </c>
      <c r="G798" s="25">
        <v>27</v>
      </c>
      <c r="H798" s="25">
        <v>3</v>
      </c>
      <c r="I798" s="25">
        <v>4</v>
      </c>
      <c r="J798" s="92">
        <f t="shared" si="78"/>
        <v>0.0623758099352052</v>
      </c>
      <c r="K798" s="93">
        <f t="shared" si="79"/>
        <v>4.76074792243767</v>
      </c>
      <c r="L798" s="94">
        <f t="shared" si="80"/>
        <v>4.82826437336716</v>
      </c>
      <c r="M798" s="92">
        <f t="shared" si="81"/>
        <v>0.00277008310249307</v>
      </c>
      <c r="N798" s="46">
        <f t="shared" si="82"/>
        <v>8298</v>
      </c>
      <c r="O798" s="46">
        <f t="shared" si="83"/>
        <v>1718.63</v>
      </c>
      <c r="P798" s="93">
        <f t="shared" si="84"/>
        <v>127.305925925926</v>
      </c>
    </row>
    <row r="799" s="2" customFormat="1" spans="1:19">
      <c r="A799" s="82">
        <v>45446</v>
      </c>
      <c r="B799" s="21">
        <v>3253.15</v>
      </c>
      <c r="C799" s="33">
        <v>12287</v>
      </c>
      <c r="D799" s="25">
        <v>704</v>
      </c>
      <c r="E799" s="25">
        <v>1</v>
      </c>
      <c r="F799" s="21">
        <v>11997</v>
      </c>
      <c r="G799" s="25">
        <v>50</v>
      </c>
      <c r="H799" s="25">
        <v>6</v>
      </c>
      <c r="I799" s="25">
        <v>8</v>
      </c>
      <c r="J799" s="92">
        <f t="shared" si="78"/>
        <v>0.0572963294538944</v>
      </c>
      <c r="K799" s="93">
        <f t="shared" si="79"/>
        <v>4.62095170454545</v>
      </c>
      <c r="L799" s="94">
        <f t="shared" si="80"/>
        <v>3.68781027619384</v>
      </c>
      <c r="M799" s="92">
        <f t="shared" si="81"/>
        <v>0.00142045454545455</v>
      </c>
      <c r="N799" s="46">
        <f t="shared" si="82"/>
        <v>11997</v>
      </c>
      <c r="O799" s="46">
        <f t="shared" si="83"/>
        <v>3253.15</v>
      </c>
      <c r="P799" s="93">
        <f t="shared" si="84"/>
        <v>65.063</v>
      </c>
    </row>
    <row r="800" s="2" customFormat="1" spans="1:19">
      <c r="A800" s="82">
        <v>45447</v>
      </c>
      <c r="B800" s="21">
        <v>3353.3</v>
      </c>
      <c r="C800" s="22">
        <v>11976</v>
      </c>
      <c r="D800" s="22">
        <v>736</v>
      </c>
      <c r="E800" s="25">
        <v>2</v>
      </c>
      <c r="F800" s="21">
        <v>19596</v>
      </c>
      <c r="G800" s="25">
        <v>52</v>
      </c>
      <c r="H800" s="25">
        <v>5</v>
      </c>
      <c r="I800" s="25">
        <v>9</v>
      </c>
      <c r="J800" s="92">
        <f t="shared" si="78"/>
        <v>0.0614562458249833</v>
      </c>
      <c r="K800" s="93">
        <f t="shared" si="79"/>
        <v>4.55611413043478</v>
      </c>
      <c r="L800" s="94">
        <f t="shared" si="80"/>
        <v>5.8437956639728</v>
      </c>
      <c r="M800" s="92">
        <f t="shared" si="81"/>
        <v>0.00271739130434783</v>
      </c>
      <c r="N800" s="46">
        <f t="shared" si="82"/>
        <v>9798</v>
      </c>
      <c r="O800" s="46">
        <f t="shared" si="83"/>
        <v>1676.65</v>
      </c>
      <c r="P800" s="93">
        <f t="shared" si="84"/>
        <v>64.4865384615385</v>
      </c>
    </row>
    <row r="801" s="2" customFormat="1" spans="1:17">
      <c r="A801" s="82">
        <v>45448</v>
      </c>
      <c r="B801" s="21">
        <v>2733.68</v>
      </c>
      <c r="C801" s="22">
        <v>10074</v>
      </c>
      <c r="D801" s="22">
        <v>646</v>
      </c>
      <c r="E801" s="25">
        <v>1</v>
      </c>
      <c r="F801" s="21">
        <v>28508</v>
      </c>
      <c r="G801" s="25">
        <v>52</v>
      </c>
      <c r="H801" s="25">
        <v>3</v>
      </c>
      <c r="I801" s="25">
        <v>8</v>
      </c>
      <c r="J801" s="92">
        <f t="shared" si="78"/>
        <v>0.0641254715108199</v>
      </c>
      <c r="K801" s="93">
        <f t="shared" si="79"/>
        <v>4.23170278637771</v>
      </c>
      <c r="L801" s="94">
        <f t="shared" si="80"/>
        <v>10.4284334669749</v>
      </c>
      <c r="M801" s="92">
        <f t="shared" si="81"/>
        <v>0.00154798761609907</v>
      </c>
      <c r="N801" s="46">
        <f t="shared" si="82"/>
        <v>28508</v>
      </c>
      <c r="O801" s="46">
        <f t="shared" si="83"/>
        <v>2733.68</v>
      </c>
      <c r="P801" s="93">
        <f t="shared" si="84"/>
        <v>52.5707692307692</v>
      </c>
    </row>
    <row r="802" s="2" customFormat="1" spans="1:17">
      <c r="A802" s="82">
        <v>45449</v>
      </c>
      <c r="B802" s="21">
        <v>2608.93</v>
      </c>
      <c r="C802" s="22">
        <v>9898</v>
      </c>
      <c r="D802" s="22">
        <v>613</v>
      </c>
      <c r="E802" s="25">
        <v>2</v>
      </c>
      <c r="F802" s="21">
        <v>18740</v>
      </c>
      <c r="G802" s="25">
        <v>51</v>
      </c>
      <c r="H802" s="25">
        <v>3</v>
      </c>
      <c r="I802" s="25">
        <v>10</v>
      </c>
      <c r="J802" s="92">
        <f t="shared" si="78"/>
        <v>0.0619317033744191</v>
      </c>
      <c r="K802" s="93">
        <f t="shared" si="79"/>
        <v>4.25600326264274</v>
      </c>
      <c r="L802" s="94">
        <f t="shared" si="80"/>
        <v>7.18302139191163</v>
      </c>
      <c r="M802" s="92">
        <f t="shared" si="81"/>
        <v>0.0032626427406199</v>
      </c>
      <c r="N802" s="46">
        <f t="shared" si="82"/>
        <v>9370</v>
      </c>
      <c r="O802" s="46">
        <f t="shared" si="83"/>
        <v>1304.465</v>
      </c>
      <c r="P802" s="93">
        <f t="shared" si="84"/>
        <v>51.1554901960784</v>
      </c>
    </row>
    <row r="803" s="2" customFormat="1" spans="1:17">
      <c r="A803" s="82">
        <v>45450</v>
      </c>
      <c r="B803" s="21">
        <v>2433.68</v>
      </c>
      <c r="C803" s="33">
        <v>10274</v>
      </c>
      <c r="D803" s="33">
        <v>554</v>
      </c>
      <c r="E803" s="25">
        <v>2</v>
      </c>
      <c r="F803" s="21">
        <v>23994</v>
      </c>
      <c r="G803" s="25">
        <v>34</v>
      </c>
      <c r="H803" s="25">
        <v>5</v>
      </c>
      <c r="I803" s="25">
        <v>3</v>
      </c>
      <c r="J803" s="92">
        <v>0.0539225228732723</v>
      </c>
      <c r="K803" s="93">
        <v>4.39292418772563</v>
      </c>
      <c r="L803" s="94">
        <v>9.8591433549193</v>
      </c>
      <c r="M803" s="92">
        <v>0.0036101083032491</v>
      </c>
      <c r="N803" s="46">
        <v>11997</v>
      </c>
      <c r="O803" s="46">
        <v>1216.84</v>
      </c>
      <c r="P803" s="93">
        <v>71.5788235294118</v>
      </c>
    </row>
    <row r="804" s="2" customFormat="1" spans="1:17">
      <c r="A804" s="82">
        <v>45451</v>
      </c>
      <c r="B804" s="21">
        <v>2520.52</v>
      </c>
      <c r="C804" s="33">
        <v>10028</v>
      </c>
      <c r="D804" s="33">
        <v>569</v>
      </c>
      <c r="E804" s="25">
        <v>1</v>
      </c>
      <c r="F804" s="21">
        <v>9798</v>
      </c>
      <c r="G804" s="25">
        <v>21</v>
      </c>
      <c r="H804" s="25">
        <v>11</v>
      </c>
      <c r="I804" s="25">
        <v>4</v>
      </c>
      <c r="J804" s="92">
        <v>0.0567411248504188</v>
      </c>
      <c r="K804" s="93">
        <v>4.42973637961336</v>
      </c>
      <c r="L804" s="94">
        <v>3.88729309824957</v>
      </c>
      <c r="M804" s="92">
        <v>0.00175746924428822</v>
      </c>
      <c r="N804" s="46">
        <v>9798</v>
      </c>
      <c r="O804" s="46">
        <v>2520.52</v>
      </c>
      <c r="P804" s="93">
        <v>120.024761904762</v>
      </c>
    </row>
    <row r="805" s="2" customFormat="1" spans="1:17">
      <c r="A805" s="82">
        <v>45452</v>
      </c>
      <c r="B805" s="21">
        <v>2562.34</v>
      </c>
      <c r="C805" s="33">
        <v>10133</v>
      </c>
      <c r="D805" s="33">
        <v>577</v>
      </c>
      <c r="E805" s="25">
        <v>1</v>
      </c>
      <c r="F805" s="21">
        <v>46108</v>
      </c>
      <c r="G805" s="25">
        <v>36</v>
      </c>
      <c r="H805" s="25">
        <v>0</v>
      </c>
      <c r="I805" s="25">
        <v>1</v>
      </c>
      <c r="J805" s="92">
        <v>0.0569426625875851</v>
      </c>
      <c r="K805" s="93">
        <v>4.4407972270364</v>
      </c>
      <c r="L805" s="94">
        <v>17.9944894120218</v>
      </c>
      <c r="M805" s="92">
        <v>0.00173310225303293</v>
      </c>
      <c r="N805" s="46">
        <v>46108</v>
      </c>
      <c r="O805" s="46">
        <v>2562.34</v>
      </c>
      <c r="P805" s="93">
        <v>71.1761111111111</v>
      </c>
    </row>
    <row r="806" s="2" customFormat="1" spans="1:17">
      <c r="A806" s="82">
        <v>45453</v>
      </c>
      <c r="B806" s="21">
        <v>2574.69</v>
      </c>
      <c r="C806" s="33">
        <v>9239</v>
      </c>
      <c r="D806" s="33">
        <v>599</v>
      </c>
      <c r="E806" s="25">
        <v>0</v>
      </c>
      <c r="F806" s="21">
        <v>0</v>
      </c>
      <c r="G806" s="25">
        <v>27</v>
      </c>
      <c r="H806" s="25">
        <v>4</v>
      </c>
      <c r="I806" s="25">
        <v>1</v>
      </c>
      <c r="J806" s="92">
        <v>0.0648338564779738</v>
      </c>
      <c r="K806" s="93">
        <v>4.29831385642738</v>
      </c>
      <c r="L806" s="94">
        <v>0</v>
      </c>
      <c r="M806" s="92">
        <v>0</v>
      </c>
      <c r="N806" s="46">
        <v>0</v>
      </c>
      <c r="O806" s="46">
        <v>0</v>
      </c>
      <c r="P806" s="93">
        <v>95.3588888888889</v>
      </c>
    </row>
    <row r="807" s="2" customFormat="1" spans="1:17">
      <c r="A807" s="82">
        <v>45454</v>
      </c>
      <c r="B807" s="21">
        <v>2568.54</v>
      </c>
      <c r="C807" s="33">
        <v>11989</v>
      </c>
      <c r="D807" s="25">
        <v>589</v>
      </c>
      <c r="E807" s="25">
        <v>2</v>
      </c>
      <c r="F807" s="21">
        <v>18795</v>
      </c>
      <c r="G807" s="25">
        <v>28</v>
      </c>
      <c r="H807" s="25">
        <v>6</v>
      </c>
      <c r="I807" s="25">
        <v>6</v>
      </c>
      <c r="J807" s="92">
        <f t="shared" ref="J807:J816" si="85">D807/C807</f>
        <v>0.0491283676703645</v>
      </c>
      <c r="K807" s="93">
        <f t="shared" ref="K807:K816" si="86">B807/D807</f>
        <v>4.36084889643463</v>
      </c>
      <c r="L807" s="94">
        <f t="shared" ref="L807:L816" si="87">F807/B807</f>
        <v>7.31738653086968</v>
      </c>
      <c r="M807" s="92">
        <f t="shared" ref="M807:M816" si="88">E807/D807</f>
        <v>0.0033955857385399</v>
      </c>
      <c r="N807" s="46">
        <f t="shared" ref="N807:N816" si="89">IF(E807=0,0,F807/E807)</f>
        <v>9397.5</v>
      </c>
      <c r="O807" s="46">
        <f t="shared" ref="O807:O816" si="90">IF(E807=0,0,B807/E807)</f>
        <v>1284.27</v>
      </c>
      <c r="P807" s="93">
        <f t="shared" ref="P807:P816" si="91">B807/G807</f>
        <v>91.7335714285714</v>
      </c>
      <c r="Q807" s="96"/>
    </row>
    <row r="808" s="2" customFormat="1" spans="1:17">
      <c r="A808" s="82">
        <v>45455</v>
      </c>
      <c r="B808" s="21">
        <v>2611.23</v>
      </c>
      <c r="C808" s="33">
        <v>9762</v>
      </c>
      <c r="D808" s="25">
        <v>566</v>
      </c>
      <c r="E808" s="25">
        <v>2</v>
      </c>
      <c r="F808" s="21">
        <v>23994</v>
      </c>
      <c r="G808" s="25">
        <v>47</v>
      </c>
      <c r="H808" s="25">
        <v>4</v>
      </c>
      <c r="I808" s="25">
        <v>3</v>
      </c>
      <c r="J808" s="92">
        <f t="shared" si="85"/>
        <v>0.057979922147101</v>
      </c>
      <c r="K808" s="93">
        <f t="shared" si="86"/>
        <v>4.61348056537102</v>
      </c>
      <c r="L808" s="94">
        <f t="shared" si="87"/>
        <v>9.18877310692662</v>
      </c>
      <c r="M808" s="92">
        <f t="shared" si="88"/>
        <v>0.00353356890459364</v>
      </c>
      <c r="N808" s="46">
        <f t="shared" si="89"/>
        <v>11997</v>
      </c>
      <c r="O808" s="46">
        <f t="shared" si="90"/>
        <v>1305.615</v>
      </c>
      <c r="P808" s="93">
        <f t="shared" si="91"/>
        <v>55.558085106383</v>
      </c>
      <c r="Q808" s="96"/>
    </row>
    <row r="809" s="2" customFormat="1" spans="1:17">
      <c r="A809" s="82">
        <v>45456</v>
      </c>
      <c r="B809" s="21">
        <v>2621.04</v>
      </c>
      <c r="C809" s="33">
        <v>8152</v>
      </c>
      <c r="D809" s="25">
        <v>556</v>
      </c>
      <c r="E809" s="25">
        <v>3</v>
      </c>
      <c r="F809" s="21">
        <v>36550</v>
      </c>
      <c r="G809" s="25">
        <v>42</v>
      </c>
      <c r="H809" s="25">
        <v>8</v>
      </c>
      <c r="I809" s="25">
        <v>8</v>
      </c>
      <c r="J809" s="92">
        <f t="shared" si="85"/>
        <v>0.0682041216879293</v>
      </c>
      <c r="K809" s="93">
        <f t="shared" si="86"/>
        <v>4.71410071942446</v>
      </c>
      <c r="L809" s="94">
        <f t="shared" si="87"/>
        <v>13.9448463205445</v>
      </c>
      <c r="M809" s="92">
        <f t="shared" si="88"/>
        <v>0.00539568345323741</v>
      </c>
      <c r="N809" s="46">
        <f t="shared" si="89"/>
        <v>12183.3333333333</v>
      </c>
      <c r="O809" s="46">
        <f t="shared" si="90"/>
        <v>873.68</v>
      </c>
      <c r="P809" s="93">
        <f t="shared" si="91"/>
        <v>62.4057142857143</v>
      </c>
    </row>
    <row r="810" s="2" customFormat="1" spans="1:17">
      <c r="A810" s="82">
        <v>45457</v>
      </c>
      <c r="B810" s="21">
        <v>2603.1</v>
      </c>
      <c r="C810" s="33">
        <v>9042</v>
      </c>
      <c r="D810" s="25">
        <v>610</v>
      </c>
      <c r="E810" s="25">
        <v>0</v>
      </c>
      <c r="F810" s="21">
        <v>0</v>
      </c>
      <c r="G810" s="25">
        <v>40</v>
      </c>
      <c r="H810" s="25">
        <v>4</v>
      </c>
      <c r="I810" s="25">
        <v>5</v>
      </c>
      <c r="J810" s="92">
        <f t="shared" si="85"/>
        <v>0.0674629506746295</v>
      </c>
      <c r="K810" s="93">
        <f t="shared" si="86"/>
        <v>4.26737704918033</v>
      </c>
      <c r="L810" s="94">
        <f t="shared" si="87"/>
        <v>0</v>
      </c>
      <c r="M810" s="92">
        <f t="shared" si="88"/>
        <v>0</v>
      </c>
      <c r="N810" s="46">
        <f t="shared" si="89"/>
        <v>0</v>
      </c>
      <c r="O810" s="46">
        <f t="shared" si="90"/>
        <v>0</v>
      </c>
      <c r="P810" s="93">
        <f t="shared" si="91"/>
        <v>65.0775</v>
      </c>
      <c r="Q810" s="96"/>
    </row>
    <row r="811" s="2" customFormat="1" spans="1:17">
      <c r="A811" s="82">
        <v>45458</v>
      </c>
      <c r="B811" s="21">
        <v>3448.18</v>
      </c>
      <c r="C811" s="33">
        <v>13292</v>
      </c>
      <c r="D811" s="25">
        <v>743</v>
      </c>
      <c r="E811" s="25">
        <v>2</v>
      </c>
      <c r="F811" s="21">
        <v>37260</v>
      </c>
      <c r="G811" s="25">
        <v>31</v>
      </c>
      <c r="H811" s="25">
        <v>6</v>
      </c>
      <c r="I811" s="25">
        <v>8</v>
      </c>
      <c r="J811" s="92">
        <f t="shared" si="85"/>
        <v>0.0558982846825158</v>
      </c>
      <c r="K811" s="93">
        <f t="shared" si="86"/>
        <v>4.64088829071332</v>
      </c>
      <c r="L811" s="94">
        <f t="shared" si="87"/>
        <v>10.8057003984711</v>
      </c>
      <c r="M811" s="92">
        <f t="shared" si="88"/>
        <v>0.00269179004037685</v>
      </c>
      <c r="N811" s="46">
        <f t="shared" si="89"/>
        <v>18630</v>
      </c>
      <c r="O811" s="46">
        <f t="shared" si="90"/>
        <v>1724.09</v>
      </c>
      <c r="P811" s="93">
        <f t="shared" si="91"/>
        <v>111.231612903226</v>
      </c>
      <c r="Q811" s="96"/>
    </row>
    <row r="812" s="2" customFormat="1" spans="1:17">
      <c r="A812" s="82">
        <v>45459</v>
      </c>
      <c r="B812" s="21">
        <v>3547.53</v>
      </c>
      <c r="C812" s="33">
        <v>14352</v>
      </c>
      <c r="D812" s="25">
        <v>792</v>
      </c>
      <c r="E812" s="25">
        <v>2</v>
      </c>
      <c r="F812" s="21">
        <v>44692</v>
      </c>
      <c r="G812" s="25">
        <v>33</v>
      </c>
      <c r="H812" s="25">
        <v>6</v>
      </c>
      <c r="I812" s="25">
        <v>6</v>
      </c>
      <c r="J812" s="92">
        <f t="shared" si="85"/>
        <v>0.0551839464882943</v>
      </c>
      <c r="K812" s="93">
        <f t="shared" si="86"/>
        <v>4.47920454545455</v>
      </c>
      <c r="L812" s="94">
        <f t="shared" si="87"/>
        <v>12.5980611862338</v>
      </c>
      <c r="M812" s="92">
        <f t="shared" si="88"/>
        <v>0.00252525252525253</v>
      </c>
      <c r="N812" s="46">
        <f t="shared" si="89"/>
        <v>22346</v>
      </c>
      <c r="O812" s="46">
        <f t="shared" si="90"/>
        <v>1773.765</v>
      </c>
      <c r="P812" s="93">
        <f t="shared" si="91"/>
        <v>107.500909090909</v>
      </c>
      <c r="Q812" s="96"/>
    </row>
    <row r="813" s="2" customFormat="1" spans="1:17">
      <c r="A813" s="82">
        <v>45460</v>
      </c>
      <c r="B813" s="21">
        <v>3537.69</v>
      </c>
      <c r="C813" s="33">
        <v>16793</v>
      </c>
      <c r="D813" s="33">
        <v>762</v>
      </c>
      <c r="E813" s="25">
        <v>4</v>
      </c>
      <c r="F813" s="21">
        <v>49629</v>
      </c>
      <c r="G813" s="25">
        <v>53</v>
      </c>
      <c r="H813" s="25">
        <v>4</v>
      </c>
      <c r="I813" s="25">
        <v>4</v>
      </c>
      <c r="J813" s="92">
        <f t="shared" si="85"/>
        <v>0.045376049544453</v>
      </c>
      <c r="K813" s="93">
        <f t="shared" si="86"/>
        <v>4.64263779527559</v>
      </c>
      <c r="L813" s="94">
        <f t="shared" si="87"/>
        <v>14.0286458112497</v>
      </c>
      <c r="M813" s="92">
        <f t="shared" si="88"/>
        <v>0.005249343832021</v>
      </c>
      <c r="N813" s="46">
        <f t="shared" si="89"/>
        <v>12407.25</v>
      </c>
      <c r="O813" s="46">
        <f t="shared" si="90"/>
        <v>884.4225</v>
      </c>
      <c r="P813" s="93">
        <f t="shared" si="91"/>
        <v>66.7488679245283</v>
      </c>
    </row>
    <row r="814" s="2" customFormat="1" spans="1:17">
      <c r="A814" s="82">
        <v>45461</v>
      </c>
      <c r="B814" s="21">
        <v>3543.84</v>
      </c>
      <c r="C814" s="33">
        <v>15305</v>
      </c>
      <c r="D814" s="25">
        <v>775</v>
      </c>
      <c r="E814" s="25">
        <v>6</v>
      </c>
      <c r="F814" s="21">
        <v>49390</v>
      </c>
      <c r="G814" s="25">
        <v>55</v>
      </c>
      <c r="H814" s="25">
        <v>12</v>
      </c>
      <c r="I814" s="25">
        <v>15</v>
      </c>
      <c r="J814" s="92">
        <f t="shared" si="85"/>
        <v>0.0506370467167592</v>
      </c>
      <c r="K814" s="93">
        <f t="shared" si="86"/>
        <v>4.57269677419355</v>
      </c>
      <c r="L814" s="94">
        <f t="shared" si="87"/>
        <v>13.936859451894</v>
      </c>
      <c r="M814" s="92">
        <f t="shared" si="88"/>
        <v>0.00774193548387097</v>
      </c>
      <c r="N814" s="46">
        <f t="shared" si="89"/>
        <v>8231.66666666667</v>
      </c>
      <c r="O814" s="46">
        <f t="shared" si="90"/>
        <v>590.64</v>
      </c>
      <c r="P814" s="93">
        <f t="shared" si="91"/>
        <v>64.4334545454546</v>
      </c>
    </row>
    <row r="815" s="2" customFormat="1" spans="1:17">
      <c r="A815" s="82">
        <v>45462</v>
      </c>
      <c r="B815" s="21">
        <v>3128.93</v>
      </c>
      <c r="C815" s="33">
        <v>19309</v>
      </c>
      <c r="D815" s="25">
        <v>697</v>
      </c>
      <c r="E815" s="25">
        <v>3</v>
      </c>
      <c r="F815" s="21">
        <v>30792</v>
      </c>
      <c r="G815" s="25">
        <v>32</v>
      </c>
      <c r="H815" s="25">
        <v>3</v>
      </c>
      <c r="I815" s="25">
        <v>8</v>
      </c>
      <c r="J815" s="92">
        <f t="shared" si="85"/>
        <v>0.0360971567662748</v>
      </c>
      <c r="K815" s="93">
        <f t="shared" si="86"/>
        <v>4.48913916786227</v>
      </c>
      <c r="L815" s="94">
        <f t="shared" si="87"/>
        <v>9.84106387806694</v>
      </c>
      <c r="M815" s="92">
        <f t="shared" si="88"/>
        <v>0.00430416068866571</v>
      </c>
      <c r="N815" s="46">
        <f t="shared" si="89"/>
        <v>10264</v>
      </c>
      <c r="O815" s="46">
        <f t="shared" si="90"/>
        <v>1042.97666666667</v>
      </c>
      <c r="P815" s="93">
        <f t="shared" si="91"/>
        <v>97.7790625</v>
      </c>
    </row>
    <row r="816" s="2" customFormat="1" spans="1:17">
      <c r="A816" s="82">
        <v>45463</v>
      </c>
      <c r="B816" s="21">
        <v>3683.38</v>
      </c>
      <c r="C816" s="33">
        <v>26022</v>
      </c>
      <c r="D816" s="25">
        <v>835</v>
      </c>
      <c r="E816" s="25">
        <v>2</v>
      </c>
      <c r="F816" s="21">
        <v>19831</v>
      </c>
      <c r="G816" s="25">
        <v>38</v>
      </c>
      <c r="H816" s="25">
        <v>9</v>
      </c>
      <c r="I816" s="25">
        <v>8</v>
      </c>
      <c r="J816" s="92">
        <f t="shared" si="85"/>
        <v>0.032088233033587</v>
      </c>
      <c r="K816" s="93">
        <f t="shared" si="86"/>
        <v>4.41123353293413</v>
      </c>
      <c r="L816" s="94">
        <f t="shared" si="87"/>
        <v>5.38391368797137</v>
      </c>
      <c r="M816" s="92">
        <f t="shared" si="88"/>
        <v>0.00239520958083832</v>
      </c>
      <c r="N816" s="46">
        <f t="shared" si="89"/>
        <v>9915.5</v>
      </c>
      <c r="O816" s="46">
        <f t="shared" si="90"/>
        <v>1841.69</v>
      </c>
      <c r="P816" s="93">
        <f t="shared" si="91"/>
        <v>96.931052631579</v>
      </c>
      <c r="Q816" s="96"/>
    </row>
    <row r="817" s="2" customFormat="1" spans="1:17">
      <c r="A817" s="82">
        <v>45464</v>
      </c>
      <c r="B817" s="21">
        <v>2586.94</v>
      </c>
      <c r="C817" s="33">
        <v>15073</v>
      </c>
      <c r="D817" s="25">
        <v>612</v>
      </c>
      <c r="E817" s="25">
        <v>0</v>
      </c>
      <c r="F817" s="21">
        <v>0</v>
      </c>
      <c r="G817" s="25">
        <v>23</v>
      </c>
      <c r="H817" s="25">
        <v>3</v>
      </c>
      <c r="I817" s="25">
        <v>3</v>
      </c>
      <c r="J817" s="92">
        <v>0.0406024016453261</v>
      </c>
      <c r="K817" s="93">
        <v>4.22702614379085</v>
      </c>
      <c r="L817" s="94">
        <v>0</v>
      </c>
      <c r="M817" s="92">
        <v>0</v>
      </c>
      <c r="N817" s="46">
        <v>0</v>
      </c>
      <c r="O817" s="46">
        <v>0</v>
      </c>
      <c r="P817" s="93">
        <v>112.475652173913</v>
      </c>
    </row>
    <row r="818" s="2" customFormat="1" spans="1:17">
      <c r="A818" s="82">
        <v>45465</v>
      </c>
      <c r="B818" s="21">
        <v>2246.55</v>
      </c>
      <c r="C818" s="33">
        <v>11897</v>
      </c>
      <c r="D818" s="25">
        <v>528</v>
      </c>
      <c r="E818" s="25">
        <v>1</v>
      </c>
      <c r="F818" s="21">
        <v>26020</v>
      </c>
      <c r="G818" s="25">
        <v>40</v>
      </c>
      <c r="H818" s="25">
        <v>2</v>
      </c>
      <c r="I818" s="25">
        <v>4</v>
      </c>
      <c r="J818" s="92">
        <v>0.0443809363705136</v>
      </c>
      <c r="K818" s="93">
        <v>4.25482954545455</v>
      </c>
      <c r="L818" s="94">
        <v>11.5822038236407</v>
      </c>
      <c r="M818" s="92">
        <v>0.00189393939393939</v>
      </c>
      <c r="N818" s="46">
        <v>26020</v>
      </c>
      <c r="O818" s="46">
        <v>2246.55</v>
      </c>
      <c r="P818" s="93">
        <v>56.16375</v>
      </c>
    </row>
    <row r="819" s="2" customFormat="1" spans="1:17">
      <c r="A819" s="82">
        <v>45466</v>
      </c>
      <c r="B819" s="21">
        <v>2451.06</v>
      </c>
      <c r="C819" s="33">
        <v>10559</v>
      </c>
      <c r="D819" s="25">
        <v>597</v>
      </c>
      <c r="E819" s="25">
        <v>1</v>
      </c>
      <c r="F819" s="21">
        <v>7657</v>
      </c>
      <c r="G819" s="25">
        <v>40</v>
      </c>
      <c r="H819" s="25">
        <v>2</v>
      </c>
      <c r="I819" s="25">
        <v>5</v>
      </c>
      <c r="J819" s="92">
        <v>0.056539445023203</v>
      </c>
      <c r="K819" s="93">
        <v>4.10562814070352</v>
      </c>
      <c r="L819" s="94">
        <v>3.12395453395674</v>
      </c>
      <c r="M819" s="92">
        <v>0.0016750418760469</v>
      </c>
      <c r="N819" s="46">
        <v>7657</v>
      </c>
      <c r="O819" s="46">
        <v>2451.06</v>
      </c>
      <c r="P819" s="93">
        <v>61.2765</v>
      </c>
    </row>
    <row r="820" s="2" customFormat="1" spans="1:17">
      <c r="A820" s="82">
        <v>45467</v>
      </c>
      <c r="B820" s="21">
        <v>2768.05</v>
      </c>
      <c r="C820" s="33">
        <v>11686</v>
      </c>
      <c r="D820" s="25">
        <v>711</v>
      </c>
      <c r="E820" s="25">
        <v>0</v>
      </c>
      <c r="F820" s="21">
        <v>0</v>
      </c>
      <c r="G820" s="25">
        <v>31</v>
      </c>
      <c r="H820" s="25">
        <v>9</v>
      </c>
      <c r="I820" s="25">
        <v>5</v>
      </c>
      <c r="J820" s="92">
        <v>0.0608420332021222</v>
      </c>
      <c r="K820" s="93">
        <v>3.89317862165963</v>
      </c>
      <c r="L820" s="94">
        <v>0</v>
      </c>
      <c r="M820" s="92">
        <v>0</v>
      </c>
      <c r="N820" s="46">
        <v>0</v>
      </c>
      <c r="O820" s="46">
        <v>0</v>
      </c>
      <c r="P820" s="93">
        <v>89.291935483871</v>
      </c>
    </row>
    <row r="821" s="2" customFormat="1" spans="1:17">
      <c r="A821" s="82">
        <v>45468</v>
      </c>
      <c r="B821" s="21">
        <v>3029.59</v>
      </c>
      <c r="C821" s="33">
        <v>12059</v>
      </c>
      <c r="D821" s="25">
        <v>680</v>
      </c>
      <c r="E821" s="25">
        <v>1</v>
      </c>
      <c r="F821" s="21">
        <v>17054</v>
      </c>
      <c r="G821" s="25">
        <v>47</v>
      </c>
      <c r="H821" s="25">
        <v>4</v>
      </c>
      <c r="I821" s="25">
        <v>1</v>
      </c>
      <c r="J821" s="92">
        <f t="shared" ref="J821:J826" si="92">D821/C821</f>
        <v>0.0563894186914338</v>
      </c>
      <c r="K821" s="93">
        <f t="shared" ref="K821:K826" si="93">B821/D821</f>
        <v>4.45527941176471</v>
      </c>
      <c r="L821" s="94">
        <f t="shared" ref="L821:L826" si="94">F821/B821</f>
        <v>5.62914453770972</v>
      </c>
      <c r="M821" s="92">
        <f t="shared" ref="M821:M826" si="95">E821/D821</f>
        <v>0.00147058823529412</v>
      </c>
      <c r="N821" s="46">
        <f t="shared" ref="N821:N826" si="96">IF(E821=0,0,F821/E821)</f>
        <v>17054</v>
      </c>
      <c r="O821" s="46">
        <f t="shared" ref="O821:O826" si="97">IF(E821=0,0,B821/E821)</f>
        <v>3029.59</v>
      </c>
      <c r="P821" s="93">
        <f t="shared" ref="P821:P826" si="98">B821/G821</f>
        <v>64.4593617021277</v>
      </c>
      <c r="Q821" s="96"/>
    </row>
    <row r="822" s="2" customFormat="1" spans="1:17">
      <c r="A822" s="82">
        <v>45469</v>
      </c>
      <c r="B822" s="21">
        <v>3136.71</v>
      </c>
      <c r="C822" s="33">
        <v>13586</v>
      </c>
      <c r="D822" s="25">
        <v>707</v>
      </c>
      <c r="E822" s="25">
        <v>0</v>
      </c>
      <c r="F822" s="21">
        <v>0</v>
      </c>
      <c r="G822" s="25">
        <v>46</v>
      </c>
      <c r="H822" s="25">
        <v>4</v>
      </c>
      <c r="I822" s="25">
        <v>4</v>
      </c>
      <c r="J822" s="92">
        <f t="shared" si="92"/>
        <v>0.0520388635359929</v>
      </c>
      <c r="K822" s="93">
        <f t="shared" si="93"/>
        <v>4.43664780763791</v>
      </c>
      <c r="L822" s="94">
        <f t="shared" si="94"/>
        <v>0</v>
      </c>
      <c r="M822" s="92">
        <f t="shared" si="95"/>
        <v>0</v>
      </c>
      <c r="N822" s="46">
        <f t="shared" si="96"/>
        <v>0</v>
      </c>
      <c r="O822" s="46">
        <f t="shared" si="97"/>
        <v>0</v>
      </c>
      <c r="P822" s="93">
        <f t="shared" si="98"/>
        <v>68.189347826087</v>
      </c>
    </row>
    <row r="823" s="2" customFormat="1" spans="1:17">
      <c r="A823" s="82">
        <v>45470</v>
      </c>
      <c r="B823" s="21">
        <v>2651.04</v>
      </c>
      <c r="C823" s="33">
        <v>13227</v>
      </c>
      <c r="D823" s="33">
        <v>588</v>
      </c>
      <c r="E823" s="25">
        <v>0</v>
      </c>
      <c r="F823" s="21">
        <v>0</v>
      </c>
      <c r="G823" s="25">
        <v>27</v>
      </c>
      <c r="H823" s="25">
        <v>7</v>
      </c>
      <c r="I823" s="25">
        <v>1</v>
      </c>
      <c r="J823" s="92">
        <f t="shared" si="92"/>
        <v>0.0444545248355636</v>
      </c>
      <c r="K823" s="93">
        <f t="shared" si="93"/>
        <v>4.50857142857143</v>
      </c>
      <c r="L823" s="94">
        <f t="shared" si="94"/>
        <v>0</v>
      </c>
      <c r="M823" s="92">
        <f t="shared" si="95"/>
        <v>0</v>
      </c>
      <c r="N823" s="46">
        <f t="shared" si="96"/>
        <v>0</v>
      </c>
      <c r="O823" s="46">
        <f t="shared" si="97"/>
        <v>0</v>
      </c>
      <c r="P823" s="93">
        <f t="shared" si="98"/>
        <v>98.1866666666667</v>
      </c>
    </row>
    <row r="824" s="2" customFormat="1" spans="1:17">
      <c r="A824" s="82">
        <v>45471</v>
      </c>
      <c r="B824" s="21">
        <v>2935.78</v>
      </c>
      <c r="C824" s="33">
        <v>15527</v>
      </c>
      <c r="D824" s="25">
        <v>651</v>
      </c>
      <c r="E824" s="25">
        <v>0</v>
      </c>
      <c r="F824" s="21">
        <v>0</v>
      </c>
      <c r="G824" s="25">
        <v>46</v>
      </c>
      <c r="H824" s="25">
        <v>6</v>
      </c>
      <c r="I824" s="25">
        <v>5</v>
      </c>
      <c r="J824" s="92">
        <f t="shared" si="92"/>
        <v>0.0419269659303149</v>
      </c>
      <c r="K824" s="93">
        <f t="shared" si="93"/>
        <v>4.50964669738863</v>
      </c>
      <c r="L824" s="94">
        <f t="shared" si="94"/>
        <v>0</v>
      </c>
      <c r="M824" s="92">
        <f t="shared" si="95"/>
        <v>0</v>
      </c>
      <c r="N824" s="46">
        <f t="shared" si="96"/>
        <v>0</v>
      </c>
      <c r="O824" s="46">
        <f t="shared" si="97"/>
        <v>0</v>
      </c>
      <c r="P824" s="93">
        <f t="shared" si="98"/>
        <v>63.8213043478261</v>
      </c>
    </row>
    <row r="825" s="2" customFormat="1" spans="1:17">
      <c r="A825" s="82">
        <v>45472</v>
      </c>
      <c r="B825" s="21">
        <v>3327.33</v>
      </c>
      <c r="C825" s="33">
        <v>14760</v>
      </c>
      <c r="D825" s="25">
        <v>759</v>
      </c>
      <c r="E825" s="25">
        <v>0</v>
      </c>
      <c r="F825" s="21">
        <v>0</v>
      </c>
      <c r="G825" s="25">
        <v>43</v>
      </c>
      <c r="H825" s="25">
        <v>3</v>
      </c>
      <c r="I825" s="25">
        <v>4</v>
      </c>
      <c r="J825" s="92">
        <f t="shared" si="92"/>
        <v>0.0514227642276423</v>
      </c>
      <c r="K825" s="93">
        <f t="shared" si="93"/>
        <v>4.38383399209486</v>
      </c>
      <c r="L825" s="94">
        <f t="shared" si="94"/>
        <v>0</v>
      </c>
      <c r="M825" s="92">
        <f t="shared" si="95"/>
        <v>0</v>
      </c>
      <c r="N825" s="46">
        <f t="shared" si="96"/>
        <v>0</v>
      </c>
      <c r="O825" s="46">
        <f t="shared" si="97"/>
        <v>0</v>
      </c>
      <c r="P825" s="93">
        <f t="shared" si="98"/>
        <v>77.3797674418605</v>
      </c>
    </row>
    <row r="826" s="2" customFormat="1" spans="1:17">
      <c r="A826" s="82">
        <v>45473</v>
      </c>
      <c r="B826" s="21">
        <v>3651.42</v>
      </c>
      <c r="C826" s="33">
        <v>15335</v>
      </c>
      <c r="D826" s="25">
        <v>864</v>
      </c>
      <c r="E826" s="25">
        <v>0</v>
      </c>
      <c r="F826" s="21">
        <v>0</v>
      </c>
      <c r="G826" s="25">
        <v>39</v>
      </c>
      <c r="H826" s="25">
        <v>4</v>
      </c>
      <c r="I826" s="25">
        <v>2</v>
      </c>
      <c r="J826" s="92">
        <f t="shared" si="92"/>
        <v>0.0563417019889143</v>
      </c>
      <c r="K826" s="93">
        <f t="shared" si="93"/>
        <v>4.22618055555556</v>
      </c>
      <c r="L826" s="94">
        <f t="shared" si="94"/>
        <v>0</v>
      </c>
      <c r="M826" s="92">
        <f t="shared" si="95"/>
        <v>0</v>
      </c>
      <c r="N826" s="46">
        <f t="shared" si="96"/>
        <v>0</v>
      </c>
      <c r="O826" s="46">
        <f t="shared" si="97"/>
        <v>0</v>
      </c>
      <c r="P826" s="93">
        <f t="shared" si="98"/>
        <v>93.6261538461539</v>
      </c>
    </row>
    <row r="827" s="2" customFormat="1" spans="1:17">
      <c r="A827" s="82">
        <v>45474</v>
      </c>
      <c r="B827" s="21">
        <v>3418.66</v>
      </c>
      <c r="C827" s="33">
        <v>16383</v>
      </c>
      <c r="D827" s="25">
        <v>806</v>
      </c>
      <c r="E827" s="25">
        <v>0</v>
      </c>
      <c r="F827" s="21">
        <v>0</v>
      </c>
      <c r="G827" s="25">
        <v>56</v>
      </c>
      <c r="H827" s="25">
        <v>0</v>
      </c>
      <c r="I827" s="25">
        <v>3</v>
      </c>
      <c r="J827" s="92">
        <v>0.0491973387047549</v>
      </c>
      <c r="K827" s="93">
        <v>4.24151364764268</v>
      </c>
      <c r="L827" s="94">
        <v>0</v>
      </c>
      <c r="M827" s="92">
        <v>0</v>
      </c>
      <c r="N827" s="46">
        <v>0</v>
      </c>
      <c r="O827" s="46">
        <v>0</v>
      </c>
      <c r="P827" s="93">
        <v>61.0475</v>
      </c>
      <c r="Q827" s="96"/>
    </row>
    <row r="828" s="2" customFormat="1" spans="1:17">
      <c r="A828" s="82">
        <v>45475</v>
      </c>
      <c r="B828" s="21">
        <v>2875.63</v>
      </c>
      <c r="C828" s="33">
        <v>16076</v>
      </c>
      <c r="D828" s="25">
        <v>704</v>
      </c>
      <c r="E828" s="25">
        <v>0</v>
      </c>
      <c r="F828" s="21">
        <v>0</v>
      </c>
      <c r="G828" s="25">
        <v>36</v>
      </c>
      <c r="H828" s="25">
        <v>2</v>
      </c>
      <c r="I828" s="25">
        <v>4</v>
      </c>
      <c r="J828" s="92">
        <f t="shared" ref="J828:J837" si="99">D828/C828</f>
        <v>0.0437919880567305</v>
      </c>
      <c r="K828" s="93">
        <f t="shared" ref="K828:K837" si="100">B828/D828</f>
        <v>4.08470170454545</v>
      </c>
      <c r="L828" s="94">
        <f t="shared" ref="L828:L837" si="101">F828/B828</f>
        <v>0</v>
      </c>
      <c r="M828" s="92">
        <f t="shared" ref="M828:M837" si="102">E828/D828</f>
        <v>0</v>
      </c>
      <c r="N828" s="46">
        <f t="shared" ref="N828:N837" si="103">IF(E828=0,0,F828/E828)</f>
        <v>0</v>
      </c>
      <c r="O828" s="46">
        <f t="shared" ref="O828:O837" si="104">IF(E828=0,0,B828/E828)</f>
        <v>0</v>
      </c>
      <c r="P828" s="93">
        <f t="shared" ref="P828:P837" si="105">B828/G828</f>
        <v>79.8786111111111</v>
      </c>
    </row>
    <row r="829" s="2" customFormat="1" spans="1:17">
      <c r="A829" s="82">
        <v>45476</v>
      </c>
      <c r="B829" s="21">
        <v>2237.2</v>
      </c>
      <c r="C829" s="33">
        <v>11206</v>
      </c>
      <c r="D829" s="25">
        <v>550</v>
      </c>
      <c r="E829" s="25">
        <v>0</v>
      </c>
      <c r="F829" s="21">
        <v>0</v>
      </c>
      <c r="G829" s="25">
        <v>24</v>
      </c>
      <c r="H829" s="25">
        <v>1</v>
      </c>
      <c r="I829" s="25">
        <v>3</v>
      </c>
      <c r="J829" s="92">
        <f t="shared" si="99"/>
        <v>0.0490808495448867</v>
      </c>
      <c r="K829" s="93">
        <f t="shared" si="100"/>
        <v>4.06763636363636</v>
      </c>
      <c r="L829" s="94">
        <f t="shared" si="101"/>
        <v>0</v>
      </c>
      <c r="M829" s="92">
        <f t="shared" si="102"/>
        <v>0</v>
      </c>
      <c r="N829" s="46">
        <f t="shared" si="103"/>
        <v>0</v>
      </c>
      <c r="O829" s="46">
        <f t="shared" si="104"/>
        <v>0</v>
      </c>
      <c r="P829" s="93">
        <f t="shared" si="105"/>
        <v>93.2166666666667</v>
      </c>
    </row>
    <row r="830" s="2" customFormat="1" spans="1:17">
      <c r="A830" s="82">
        <v>45477</v>
      </c>
      <c r="B830" s="21">
        <v>2244</v>
      </c>
      <c r="C830" s="33">
        <v>10358</v>
      </c>
      <c r="D830" s="25">
        <v>554</v>
      </c>
      <c r="E830" s="25">
        <v>0</v>
      </c>
      <c r="F830" s="21">
        <v>0</v>
      </c>
      <c r="G830" s="25">
        <v>36</v>
      </c>
      <c r="H830" s="25">
        <v>3</v>
      </c>
      <c r="I830" s="25">
        <v>4</v>
      </c>
      <c r="J830" s="92">
        <f t="shared" si="99"/>
        <v>0.0534852288086503</v>
      </c>
      <c r="K830" s="93">
        <f t="shared" si="100"/>
        <v>4.05054151624549</v>
      </c>
      <c r="L830" s="94">
        <f t="shared" si="101"/>
        <v>0</v>
      </c>
      <c r="M830" s="92">
        <f t="shared" si="102"/>
        <v>0</v>
      </c>
      <c r="N830" s="46">
        <f t="shared" si="103"/>
        <v>0</v>
      </c>
      <c r="O830" s="46">
        <f t="shared" si="104"/>
        <v>0</v>
      </c>
      <c r="P830" s="93">
        <f t="shared" si="105"/>
        <v>62.3333333333333</v>
      </c>
    </row>
    <row r="831" s="2" customFormat="1" spans="1:17">
      <c r="A831" s="82">
        <v>45478</v>
      </c>
      <c r="B831" s="21">
        <v>2222.52</v>
      </c>
      <c r="C831" s="33">
        <v>12825</v>
      </c>
      <c r="D831" s="25">
        <v>590</v>
      </c>
      <c r="E831" s="25">
        <v>0</v>
      </c>
      <c r="F831" s="21">
        <v>0</v>
      </c>
      <c r="G831" s="25">
        <v>27</v>
      </c>
      <c r="H831" s="25">
        <v>4</v>
      </c>
      <c r="I831" s="25">
        <v>2</v>
      </c>
      <c r="J831" s="92">
        <f t="shared" si="99"/>
        <v>0.0460038986354776</v>
      </c>
      <c r="K831" s="93">
        <f t="shared" si="100"/>
        <v>3.76698305084746</v>
      </c>
      <c r="L831" s="94">
        <f t="shared" si="101"/>
        <v>0</v>
      </c>
      <c r="M831" s="92">
        <f t="shared" si="102"/>
        <v>0</v>
      </c>
      <c r="N831" s="46">
        <f t="shared" si="103"/>
        <v>0</v>
      </c>
      <c r="O831" s="46">
        <f t="shared" si="104"/>
        <v>0</v>
      </c>
      <c r="P831" s="93">
        <f t="shared" si="105"/>
        <v>82.3155555555555</v>
      </c>
    </row>
    <row r="832" s="2" customFormat="1" spans="1:17">
      <c r="A832" s="82">
        <v>45479</v>
      </c>
      <c r="B832" s="21">
        <v>2244</v>
      </c>
      <c r="C832" s="33">
        <v>10805</v>
      </c>
      <c r="D832" s="25">
        <v>589</v>
      </c>
      <c r="E832" s="25">
        <v>0</v>
      </c>
      <c r="F832" s="21">
        <v>0</v>
      </c>
      <c r="G832" s="25">
        <v>30</v>
      </c>
      <c r="H832" s="25">
        <v>5</v>
      </c>
      <c r="I832" s="25">
        <v>4</v>
      </c>
      <c r="J832" s="92">
        <f t="shared" si="99"/>
        <v>0.0545118000925497</v>
      </c>
      <c r="K832" s="93">
        <f t="shared" si="100"/>
        <v>3.80984719864177</v>
      </c>
      <c r="L832" s="94">
        <f t="shared" si="101"/>
        <v>0</v>
      </c>
      <c r="M832" s="92">
        <f t="shared" si="102"/>
        <v>0</v>
      </c>
      <c r="N832" s="46">
        <f t="shared" si="103"/>
        <v>0</v>
      </c>
      <c r="O832" s="46">
        <f t="shared" si="104"/>
        <v>0</v>
      </c>
      <c r="P832" s="93">
        <f t="shared" si="105"/>
        <v>74.8</v>
      </c>
    </row>
    <row r="833" s="2" customFormat="1" spans="1:17">
      <c r="A833" s="82">
        <v>45480</v>
      </c>
      <c r="B833" s="21">
        <v>2244</v>
      </c>
      <c r="C833" s="33">
        <v>10623</v>
      </c>
      <c r="D833" s="25">
        <v>580</v>
      </c>
      <c r="E833" s="25">
        <v>0</v>
      </c>
      <c r="F833" s="21">
        <v>0</v>
      </c>
      <c r="G833" s="25">
        <v>24</v>
      </c>
      <c r="H833" s="25">
        <v>2</v>
      </c>
      <c r="I833" s="25">
        <v>3</v>
      </c>
      <c r="J833" s="92">
        <f t="shared" si="99"/>
        <v>0.0545985126612068</v>
      </c>
      <c r="K833" s="93">
        <f t="shared" si="100"/>
        <v>3.86896551724138</v>
      </c>
      <c r="L833" s="94">
        <f t="shared" si="101"/>
        <v>0</v>
      </c>
      <c r="M833" s="92">
        <f t="shared" si="102"/>
        <v>0</v>
      </c>
      <c r="N833" s="46">
        <f t="shared" si="103"/>
        <v>0</v>
      </c>
      <c r="O833" s="46">
        <f t="shared" si="104"/>
        <v>0</v>
      </c>
      <c r="P833" s="93">
        <f t="shared" si="105"/>
        <v>93.5</v>
      </c>
    </row>
    <row r="834" s="2" customFormat="1" spans="1:17">
      <c r="A834" s="82">
        <v>45481</v>
      </c>
      <c r="B834" s="21">
        <v>2236.54</v>
      </c>
      <c r="C834" s="33">
        <v>10694</v>
      </c>
      <c r="D834" s="25">
        <v>602</v>
      </c>
      <c r="E834" s="25">
        <v>0</v>
      </c>
      <c r="F834" s="21">
        <v>0</v>
      </c>
      <c r="G834" s="25">
        <v>29</v>
      </c>
      <c r="H834" s="25">
        <v>3</v>
      </c>
      <c r="I834" s="25">
        <v>3</v>
      </c>
      <c r="J834" s="92">
        <f t="shared" si="99"/>
        <v>0.0562932485505891</v>
      </c>
      <c r="K834" s="93">
        <f t="shared" si="100"/>
        <v>3.71518272425249</v>
      </c>
      <c r="L834" s="94">
        <f t="shared" si="101"/>
        <v>0</v>
      </c>
      <c r="M834" s="92">
        <f t="shared" si="102"/>
        <v>0</v>
      </c>
      <c r="N834" s="46">
        <f t="shared" si="103"/>
        <v>0</v>
      </c>
      <c r="O834" s="46">
        <f t="shared" si="104"/>
        <v>0</v>
      </c>
      <c r="P834" s="93">
        <f t="shared" si="105"/>
        <v>77.1220689655172</v>
      </c>
      <c r="Q834" s="96"/>
    </row>
    <row r="835" s="2" customFormat="1" spans="1:17">
      <c r="A835" s="82">
        <v>45482</v>
      </c>
      <c r="B835" s="21">
        <v>2518.67</v>
      </c>
      <c r="C835" s="33">
        <v>11779</v>
      </c>
      <c r="D835" s="25">
        <v>656</v>
      </c>
      <c r="E835" s="25">
        <v>0</v>
      </c>
      <c r="F835" s="21">
        <v>0</v>
      </c>
      <c r="G835" s="25">
        <v>29</v>
      </c>
      <c r="H835" s="25">
        <v>5</v>
      </c>
      <c r="I835" s="25">
        <v>5</v>
      </c>
      <c r="J835" s="92">
        <f t="shared" si="99"/>
        <v>0.0556923338144155</v>
      </c>
      <c r="K835" s="93">
        <f t="shared" si="100"/>
        <v>3.83943597560976</v>
      </c>
      <c r="L835" s="94">
        <f t="shared" si="101"/>
        <v>0</v>
      </c>
      <c r="M835" s="92">
        <f t="shared" si="102"/>
        <v>0</v>
      </c>
      <c r="N835" s="46">
        <f t="shared" si="103"/>
        <v>0</v>
      </c>
      <c r="O835" s="46">
        <f t="shared" si="104"/>
        <v>0</v>
      </c>
      <c r="P835" s="93">
        <f t="shared" si="105"/>
        <v>86.8506896551724</v>
      </c>
    </row>
    <row r="836" s="2" customFormat="1" spans="1:17">
      <c r="A836" s="82">
        <v>45483</v>
      </c>
      <c r="B836" s="21">
        <v>2505.52</v>
      </c>
      <c r="C836" s="33">
        <v>13858</v>
      </c>
      <c r="D836" s="25">
        <v>695</v>
      </c>
      <c r="E836" s="25">
        <v>0</v>
      </c>
      <c r="F836" s="21">
        <v>0</v>
      </c>
      <c r="G836" s="25">
        <v>34</v>
      </c>
      <c r="H836" s="25">
        <v>5</v>
      </c>
      <c r="I836" s="25">
        <v>4</v>
      </c>
      <c r="J836" s="92">
        <f t="shared" si="99"/>
        <v>0.0501515370183288</v>
      </c>
      <c r="K836" s="93">
        <f t="shared" si="100"/>
        <v>3.60506474820144</v>
      </c>
      <c r="L836" s="94">
        <f t="shared" si="101"/>
        <v>0</v>
      </c>
      <c r="M836" s="92">
        <f t="shared" si="102"/>
        <v>0</v>
      </c>
      <c r="N836" s="46">
        <f t="shared" si="103"/>
        <v>0</v>
      </c>
      <c r="O836" s="46">
        <f t="shared" si="104"/>
        <v>0</v>
      </c>
      <c r="P836" s="93">
        <f t="shared" si="105"/>
        <v>73.6917647058823</v>
      </c>
    </row>
    <row r="837" s="2" customFormat="1" spans="1:17">
      <c r="A837" s="82">
        <v>45484</v>
      </c>
      <c r="B837" s="21">
        <v>2527.26</v>
      </c>
      <c r="C837" s="33">
        <v>11946</v>
      </c>
      <c r="D837" s="25">
        <v>683</v>
      </c>
      <c r="E837" s="25">
        <v>0</v>
      </c>
      <c r="F837" s="21">
        <v>0</v>
      </c>
      <c r="G837" s="25">
        <v>29</v>
      </c>
      <c r="H837" s="25">
        <v>5</v>
      </c>
      <c r="I837" s="25">
        <v>8</v>
      </c>
      <c r="J837" s="92">
        <f t="shared" si="99"/>
        <v>0.0571739494391428</v>
      </c>
      <c r="K837" s="93">
        <f t="shared" si="100"/>
        <v>3.70023426061493</v>
      </c>
      <c r="L837" s="94">
        <f t="shared" si="101"/>
        <v>0</v>
      </c>
      <c r="M837" s="92">
        <f t="shared" si="102"/>
        <v>0</v>
      </c>
      <c r="N837" s="46">
        <f t="shared" si="103"/>
        <v>0</v>
      </c>
      <c r="O837" s="46">
        <f t="shared" si="104"/>
        <v>0</v>
      </c>
      <c r="P837" s="93">
        <f t="shared" si="105"/>
        <v>87.1468965517241</v>
      </c>
      <c r="Q837" s="96"/>
    </row>
    <row r="838" s="2" customFormat="1" spans="1:17">
      <c r="A838" s="82">
        <v>45485</v>
      </c>
      <c r="B838" s="21">
        <v>2524.53</v>
      </c>
      <c r="C838" s="33">
        <v>11047</v>
      </c>
      <c r="D838" s="25">
        <v>647</v>
      </c>
      <c r="E838" s="25">
        <v>0</v>
      </c>
      <c r="F838" s="21">
        <v>0</v>
      </c>
      <c r="G838" s="25">
        <v>38</v>
      </c>
      <c r="H838" s="25">
        <v>3</v>
      </c>
      <c r="I838" s="25">
        <v>3</v>
      </c>
      <c r="J838" s="92">
        <v>0.0585679369964696</v>
      </c>
      <c r="K838" s="93">
        <v>3.90190108191654</v>
      </c>
      <c r="L838" s="94">
        <v>0</v>
      </c>
      <c r="M838" s="92">
        <v>0</v>
      </c>
      <c r="N838" s="46">
        <v>0</v>
      </c>
      <c r="O838" s="46">
        <v>0</v>
      </c>
      <c r="P838" s="93">
        <v>66.435</v>
      </c>
    </row>
    <row r="839" s="2" customFormat="1" spans="1:17">
      <c r="A839" s="82">
        <v>45486</v>
      </c>
      <c r="B839" s="21">
        <v>2544</v>
      </c>
      <c r="C839" s="33">
        <v>9084</v>
      </c>
      <c r="D839" s="25">
        <v>658</v>
      </c>
      <c r="E839" s="25">
        <v>0</v>
      </c>
      <c r="F839" s="21">
        <v>0</v>
      </c>
      <c r="G839" s="25">
        <v>33</v>
      </c>
      <c r="H839" s="25">
        <v>5</v>
      </c>
      <c r="I839" s="25">
        <v>7</v>
      </c>
      <c r="J839" s="92">
        <v>0.0724350506384853</v>
      </c>
      <c r="K839" s="93">
        <v>3.86626139817629</v>
      </c>
      <c r="L839" s="94">
        <v>0</v>
      </c>
      <c r="M839" s="92">
        <v>0</v>
      </c>
      <c r="N839" s="46">
        <v>0</v>
      </c>
      <c r="O839" s="46">
        <v>0</v>
      </c>
      <c r="P839" s="93">
        <v>77.0909090909091</v>
      </c>
    </row>
    <row r="840" s="2" customFormat="1" spans="1:17">
      <c r="A840" s="82">
        <v>45487</v>
      </c>
      <c r="B840" s="21">
        <v>2544</v>
      </c>
      <c r="C840" s="33">
        <v>9931</v>
      </c>
      <c r="D840" s="25">
        <v>675</v>
      </c>
      <c r="E840" s="25">
        <v>0</v>
      </c>
      <c r="F840" s="21">
        <v>0</v>
      </c>
      <c r="G840" s="25">
        <v>35</v>
      </c>
      <c r="H840" s="25">
        <v>4</v>
      </c>
      <c r="I840" s="25">
        <v>6</v>
      </c>
      <c r="J840" s="92">
        <v>0.0679689860034236</v>
      </c>
      <c r="K840" s="93">
        <v>3.76888888888889</v>
      </c>
      <c r="L840" s="94">
        <v>0</v>
      </c>
      <c r="M840" s="92">
        <v>0</v>
      </c>
      <c r="N840" s="46">
        <v>0</v>
      </c>
      <c r="O840" s="46">
        <v>0</v>
      </c>
      <c r="P840" s="93">
        <v>72.6857142857143</v>
      </c>
    </row>
    <row r="841" s="2" customFormat="1" spans="1:17">
      <c r="A841" s="82">
        <v>45488</v>
      </c>
      <c r="B841" s="21">
        <v>2480.8</v>
      </c>
      <c r="C841" s="33">
        <v>10219</v>
      </c>
      <c r="D841" s="25">
        <v>634</v>
      </c>
      <c r="E841" s="25">
        <v>0</v>
      </c>
      <c r="F841" s="21">
        <v>0</v>
      </c>
      <c r="G841" s="25">
        <v>31</v>
      </c>
      <c r="H841" s="25">
        <v>3</v>
      </c>
      <c r="I841" s="25">
        <v>6</v>
      </c>
      <c r="J841" s="92">
        <f t="shared" ref="J841:J847" si="106">D841/C841</f>
        <v>0.0620412956257951</v>
      </c>
      <c r="K841" s="93">
        <f t="shared" ref="K841:K847" si="107">B841/D841</f>
        <v>3.91293375394322</v>
      </c>
      <c r="L841" s="94">
        <f t="shared" ref="L841:L847" si="108">F841/B841</f>
        <v>0</v>
      </c>
      <c r="M841" s="92">
        <f t="shared" ref="M841:M847" si="109">E841/D841</f>
        <v>0</v>
      </c>
      <c r="N841" s="46">
        <f t="shared" ref="N841:N847" si="110">IF(E841=0,0,F841/E841)</f>
        <v>0</v>
      </c>
      <c r="O841" s="46">
        <f t="shared" ref="O841:O847" si="111">IF(E841=0,0,B841/E841)</f>
        <v>0</v>
      </c>
      <c r="P841" s="93">
        <f t="shared" ref="P841:P847" si="112">B841/G841</f>
        <v>80.0258064516129</v>
      </c>
    </row>
    <row r="842" s="2" customFormat="1" spans="1:17">
      <c r="A842" s="82">
        <v>45489</v>
      </c>
      <c r="B842" s="21">
        <v>2353.57</v>
      </c>
      <c r="C842" s="33">
        <v>8677</v>
      </c>
      <c r="D842" s="25">
        <v>645</v>
      </c>
      <c r="E842" s="25">
        <v>0</v>
      </c>
      <c r="F842" s="21">
        <v>0</v>
      </c>
      <c r="G842" s="25">
        <v>34</v>
      </c>
      <c r="H842" s="25">
        <v>4</v>
      </c>
      <c r="I842" s="25">
        <v>2</v>
      </c>
      <c r="J842" s="92">
        <f t="shared" si="106"/>
        <v>0.0743344473896508</v>
      </c>
      <c r="K842" s="93">
        <f t="shared" si="107"/>
        <v>3.64894573643411</v>
      </c>
      <c r="L842" s="94">
        <f t="shared" si="108"/>
        <v>0</v>
      </c>
      <c r="M842" s="92">
        <f t="shared" si="109"/>
        <v>0</v>
      </c>
      <c r="N842" s="46">
        <f t="shared" si="110"/>
        <v>0</v>
      </c>
      <c r="O842" s="46">
        <f t="shared" si="111"/>
        <v>0</v>
      </c>
      <c r="P842" s="93">
        <f t="shared" si="112"/>
        <v>69.2226470588235</v>
      </c>
      <c r="Q842" s="96"/>
    </row>
    <row r="843" s="2" customFormat="1" spans="1:17">
      <c r="A843" s="82">
        <v>45490</v>
      </c>
      <c r="B843" s="21">
        <v>2160.44</v>
      </c>
      <c r="C843" s="33">
        <v>7515</v>
      </c>
      <c r="D843" s="25">
        <v>617</v>
      </c>
      <c r="E843" s="25">
        <v>0</v>
      </c>
      <c r="F843" s="21">
        <v>0</v>
      </c>
      <c r="G843" s="25">
        <v>18</v>
      </c>
      <c r="H843" s="25">
        <v>2</v>
      </c>
      <c r="I843" s="25">
        <v>4</v>
      </c>
      <c r="J843" s="92">
        <f t="shared" si="106"/>
        <v>0.0821024617431803</v>
      </c>
      <c r="K843" s="93">
        <f t="shared" si="107"/>
        <v>3.50152350081037</v>
      </c>
      <c r="L843" s="94">
        <f t="shared" si="108"/>
        <v>0</v>
      </c>
      <c r="M843" s="92">
        <f t="shared" si="109"/>
        <v>0</v>
      </c>
      <c r="N843" s="46">
        <f t="shared" si="110"/>
        <v>0</v>
      </c>
      <c r="O843" s="46">
        <f t="shared" si="111"/>
        <v>0</v>
      </c>
      <c r="P843" s="93">
        <f t="shared" si="112"/>
        <v>120.024444444444</v>
      </c>
    </row>
    <row r="844" s="2" customFormat="1" spans="1:17">
      <c r="A844" s="82">
        <v>45491</v>
      </c>
      <c r="B844" s="21">
        <v>2150.51</v>
      </c>
      <c r="C844" s="33">
        <v>7974</v>
      </c>
      <c r="D844" s="25">
        <v>662</v>
      </c>
      <c r="E844" s="25">
        <v>0</v>
      </c>
      <c r="F844" s="21">
        <v>0</v>
      </c>
      <c r="G844" s="25">
        <v>28</v>
      </c>
      <c r="H844" s="25">
        <v>2</v>
      </c>
      <c r="I844" s="25">
        <v>4</v>
      </c>
      <c r="J844" s="92">
        <f t="shared" si="106"/>
        <v>0.0830198143967896</v>
      </c>
      <c r="K844" s="93">
        <f t="shared" si="107"/>
        <v>3.24850453172205</v>
      </c>
      <c r="L844" s="94">
        <f t="shared" si="108"/>
        <v>0</v>
      </c>
      <c r="M844" s="92">
        <f t="shared" si="109"/>
        <v>0</v>
      </c>
      <c r="N844" s="46">
        <f t="shared" si="110"/>
        <v>0</v>
      </c>
      <c r="O844" s="46">
        <f t="shared" si="111"/>
        <v>0</v>
      </c>
      <c r="P844" s="93">
        <f t="shared" si="112"/>
        <v>76.8039285714286</v>
      </c>
    </row>
    <row r="845" s="2" customFormat="1" spans="1:17">
      <c r="A845" s="82">
        <v>45492</v>
      </c>
      <c r="B845" s="21">
        <v>2156.11</v>
      </c>
      <c r="C845" s="33">
        <v>7816</v>
      </c>
      <c r="D845" s="25">
        <v>607</v>
      </c>
      <c r="E845" s="25">
        <v>2</v>
      </c>
      <c r="F845" s="21">
        <v>23994</v>
      </c>
      <c r="G845" s="25">
        <v>36</v>
      </c>
      <c r="H845" s="25">
        <v>4</v>
      </c>
      <c r="I845" s="25">
        <v>9</v>
      </c>
      <c r="J845" s="92">
        <f t="shared" si="106"/>
        <v>0.077661207778915</v>
      </c>
      <c r="K845" s="93">
        <f t="shared" si="107"/>
        <v>3.55207578253707</v>
      </c>
      <c r="L845" s="94">
        <f t="shared" si="108"/>
        <v>11.1283747118653</v>
      </c>
      <c r="M845" s="92">
        <f t="shared" si="109"/>
        <v>0.00329489291598023</v>
      </c>
      <c r="N845" s="46">
        <f t="shared" si="110"/>
        <v>11997</v>
      </c>
      <c r="O845" s="46">
        <f t="shared" si="111"/>
        <v>1078.055</v>
      </c>
      <c r="P845" s="93">
        <f t="shared" si="112"/>
        <v>59.8919444444444</v>
      </c>
    </row>
    <row r="846" s="2" customFormat="1" spans="1:17">
      <c r="A846" s="82">
        <v>45493</v>
      </c>
      <c r="B846" s="21">
        <v>2139.74</v>
      </c>
      <c r="C846" s="33">
        <v>6579</v>
      </c>
      <c r="D846" s="25">
        <v>583</v>
      </c>
      <c r="E846" s="25">
        <v>3</v>
      </c>
      <c r="F846" s="21">
        <v>35991</v>
      </c>
      <c r="G846" s="25">
        <v>35</v>
      </c>
      <c r="H846" s="25">
        <v>8</v>
      </c>
      <c r="I846" s="25">
        <v>2</v>
      </c>
      <c r="J846" s="92">
        <f t="shared" si="106"/>
        <v>0.0886152910776714</v>
      </c>
      <c r="K846" s="93">
        <f t="shared" si="107"/>
        <v>3.67022298456261</v>
      </c>
      <c r="L846" s="94">
        <f t="shared" si="108"/>
        <v>16.8202678830138</v>
      </c>
      <c r="M846" s="92">
        <f t="shared" si="109"/>
        <v>0.00514579759862779</v>
      </c>
      <c r="N846" s="46">
        <f t="shared" si="110"/>
        <v>11997</v>
      </c>
      <c r="O846" s="46">
        <f t="shared" si="111"/>
        <v>713.246666666667</v>
      </c>
      <c r="P846" s="93">
        <f t="shared" si="112"/>
        <v>61.1354285714286</v>
      </c>
    </row>
    <row r="847" s="2" customFormat="1" spans="1:17">
      <c r="A847" s="82">
        <v>45494</v>
      </c>
      <c r="B847" s="21">
        <v>2173</v>
      </c>
      <c r="C847" s="33">
        <v>5445</v>
      </c>
      <c r="D847" s="25">
        <v>650</v>
      </c>
      <c r="E847" s="25">
        <v>10</v>
      </c>
      <c r="F847" s="21">
        <v>91179</v>
      </c>
      <c r="G847" s="25">
        <v>38</v>
      </c>
      <c r="H847" s="25">
        <v>7</v>
      </c>
      <c r="I847" s="25">
        <v>7</v>
      </c>
      <c r="J847" s="92">
        <f t="shared" si="106"/>
        <v>0.119375573921028</v>
      </c>
      <c r="K847" s="93">
        <f t="shared" si="107"/>
        <v>3.34307692307692</v>
      </c>
      <c r="L847" s="94">
        <f t="shared" si="108"/>
        <v>41.9599631845375</v>
      </c>
      <c r="M847" s="92">
        <f t="shared" si="109"/>
        <v>0.0153846153846154</v>
      </c>
      <c r="N847" s="46">
        <f t="shared" si="110"/>
        <v>9117.9</v>
      </c>
      <c r="O847" s="46">
        <f t="shared" si="111"/>
        <v>217.3</v>
      </c>
      <c r="P847" s="93">
        <f t="shared" si="112"/>
        <v>57.1842105263158</v>
      </c>
    </row>
    <row r="848" s="2" customFormat="1" spans="1:17">
      <c r="A848" s="82">
        <v>45495</v>
      </c>
      <c r="B848" s="21">
        <v>2138.38</v>
      </c>
      <c r="C848" s="33">
        <v>5916</v>
      </c>
      <c r="D848" s="25">
        <v>646</v>
      </c>
      <c r="E848" s="25">
        <v>1</v>
      </c>
      <c r="F848" s="21">
        <v>6798</v>
      </c>
      <c r="G848" s="25">
        <v>24</v>
      </c>
      <c r="H848" s="25">
        <v>4</v>
      </c>
      <c r="I848" s="25">
        <v>7</v>
      </c>
      <c r="J848" s="92">
        <v>0.109195402298851</v>
      </c>
      <c r="K848" s="93">
        <v>3.31018575851393</v>
      </c>
      <c r="L848" s="94">
        <v>3.17904207858285</v>
      </c>
      <c r="M848" s="92">
        <v>0.00154798761609907</v>
      </c>
      <c r="N848" s="46">
        <v>6798</v>
      </c>
      <c r="O848" s="46">
        <v>2138.38</v>
      </c>
      <c r="P848" s="93">
        <v>89.0991666666667</v>
      </c>
    </row>
    <row r="849" s="2" customFormat="1" spans="1:16">
      <c r="A849" s="82">
        <v>45496</v>
      </c>
      <c r="B849" s="21">
        <v>2171.35</v>
      </c>
      <c r="C849" s="33">
        <v>5752</v>
      </c>
      <c r="D849" s="25">
        <v>581</v>
      </c>
      <c r="E849" s="25">
        <v>0</v>
      </c>
      <c r="F849" s="21">
        <v>0</v>
      </c>
      <c r="G849" s="25">
        <v>28</v>
      </c>
      <c r="H849" s="25">
        <v>1</v>
      </c>
      <c r="I849" s="25">
        <v>3</v>
      </c>
      <c r="J849" s="92">
        <f t="shared" ref="J849:J861" si="113">D849/C849</f>
        <v>0.101008344923505</v>
      </c>
      <c r="K849" s="93">
        <f t="shared" ref="K849:K861" si="114">B849/D849</f>
        <v>3.73726333907057</v>
      </c>
      <c r="L849" s="94">
        <f t="shared" ref="L849:L861" si="115">F849/B849</f>
        <v>0</v>
      </c>
      <c r="M849" s="92">
        <f t="shared" ref="M849:M861" si="116">E849/D849</f>
        <v>0</v>
      </c>
      <c r="N849" s="46">
        <f t="shared" ref="N849:N861" si="117">IF(E849=0,0,F849/E849)</f>
        <v>0</v>
      </c>
      <c r="O849" s="46">
        <f t="shared" ref="O849:O861" si="118">IF(E849=0,0,B849/E849)</f>
        <v>0</v>
      </c>
      <c r="P849" s="93">
        <f t="shared" ref="P849:P861" si="119">B849/G849</f>
        <v>77.5482142857143</v>
      </c>
    </row>
    <row r="850" s="2" customFormat="1" spans="1:16">
      <c r="A850" s="82">
        <v>45497</v>
      </c>
      <c r="B850" s="21">
        <v>2169.15</v>
      </c>
      <c r="C850" s="33">
        <v>6597</v>
      </c>
      <c r="D850" s="25">
        <v>557</v>
      </c>
      <c r="E850" s="25">
        <v>1</v>
      </c>
      <c r="F850" s="21">
        <v>32034</v>
      </c>
      <c r="G850" s="25">
        <v>32</v>
      </c>
      <c r="H850" s="25">
        <v>3</v>
      </c>
      <c r="I850" s="25">
        <v>5</v>
      </c>
      <c r="J850" s="92">
        <f t="shared" si="113"/>
        <v>0.0844323177201758</v>
      </c>
      <c r="K850" s="93">
        <f t="shared" si="114"/>
        <v>3.8943447037702</v>
      </c>
      <c r="L850" s="94">
        <f t="shared" si="115"/>
        <v>14.7679966807275</v>
      </c>
      <c r="M850" s="92">
        <f t="shared" si="116"/>
        <v>0.00179533213644524</v>
      </c>
      <c r="N850" s="46">
        <f t="shared" si="117"/>
        <v>32034</v>
      </c>
      <c r="O850" s="46">
        <f t="shared" si="118"/>
        <v>2169.15</v>
      </c>
      <c r="P850" s="93">
        <f t="shared" si="119"/>
        <v>67.7859375</v>
      </c>
    </row>
    <row r="851" s="2" customFormat="1" spans="1:16">
      <c r="A851" s="82">
        <v>45498</v>
      </c>
      <c r="B851" s="21">
        <v>2150.52</v>
      </c>
      <c r="C851" s="33">
        <v>7430</v>
      </c>
      <c r="D851" s="25">
        <v>541</v>
      </c>
      <c r="E851" s="25">
        <v>0</v>
      </c>
      <c r="F851" s="21">
        <v>0</v>
      </c>
      <c r="G851" s="25">
        <v>22</v>
      </c>
      <c r="H851" s="25">
        <v>6</v>
      </c>
      <c r="I851" s="25">
        <v>5</v>
      </c>
      <c r="J851" s="92">
        <f t="shared" si="113"/>
        <v>0.0728129205921938</v>
      </c>
      <c r="K851" s="93">
        <f t="shared" si="114"/>
        <v>3.9750831792976</v>
      </c>
      <c r="L851" s="94">
        <f t="shared" si="115"/>
        <v>0</v>
      </c>
      <c r="M851" s="92">
        <f t="shared" si="116"/>
        <v>0</v>
      </c>
      <c r="N851" s="46">
        <f t="shared" si="117"/>
        <v>0</v>
      </c>
      <c r="O851" s="46">
        <f t="shared" si="118"/>
        <v>0</v>
      </c>
      <c r="P851" s="93">
        <f t="shared" si="119"/>
        <v>97.7509090909091</v>
      </c>
    </row>
    <row r="852" s="2" customFormat="1" spans="1:16">
      <c r="A852" s="82">
        <v>45499</v>
      </c>
      <c r="B852" s="21">
        <v>2135.03</v>
      </c>
      <c r="C852" s="33">
        <v>7955</v>
      </c>
      <c r="D852" s="33">
        <v>546</v>
      </c>
      <c r="E852" s="25">
        <v>1</v>
      </c>
      <c r="F852" s="21">
        <v>18336</v>
      </c>
      <c r="G852" s="25">
        <v>28</v>
      </c>
      <c r="H852" s="25">
        <v>4</v>
      </c>
      <c r="I852" s="25">
        <v>2</v>
      </c>
      <c r="J852" s="92">
        <f t="shared" si="113"/>
        <v>0.0686360779384035</v>
      </c>
      <c r="K852" s="93">
        <f t="shared" si="114"/>
        <v>3.91031135531136</v>
      </c>
      <c r="L852" s="94">
        <f t="shared" si="115"/>
        <v>8.58816972126855</v>
      </c>
      <c r="M852" s="92">
        <f t="shared" si="116"/>
        <v>0.00183150183150183</v>
      </c>
      <c r="N852" s="46">
        <f t="shared" si="117"/>
        <v>18336</v>
      </c>
      <c r="O852" s="46">
        <f t="shared" si="118"/>
        <v>2135.03</v>
      </c>
      <c r="P852" s="93">
        <f t="shared" si="119"/>
        <v>76.2510714285714</v>
      </c>
    </row>
    <row r="853" s="2" customFormat="1" spans="1:16">
      <c r="A853" s="82">
        <v>45500</v>
      </c>
      <c r="B853" s="21">
        <v>2115.64</v>
      </c>
      <c r="C853" s="33">
        <v>7878</v>
      </c>
      <c r="D853" s="33">
        <v>533</v>
      </c>
      <c r="E853" s="25">
        <v>0</v>
      </c>
      <c r="F853" s="21">
        <v>0</v>
      </c>
      <c r="G853" s="25">
        <v>20</v>
      </c>
      <c r="H853" s="25">
        <v>10</v>
      </c>
      <c r="I853" s="25">
        <v>1</v>
      </c>
      <c r="J853" s="92">
        <f t="shared" si="113"/>
        <v>0.0676567656765677</v>
      </c>
      <c r="K853" s="93">
        <f t="shared" si="114"/>
        <v>3.96930581613508</v>
      </c>
      <c r="L853" s="94">
        <f t="shared" si="115"/>
        <v>0</v>
      </c>
      <c r="M853" s="92">
        <f t="shared" si="116"/>
        <v>0</v>
      </c>
      <c r="N853" s="46">
        <f t="shared" si="117"/>
        <v>0</v>
      </c>
      <c r="O853" s="46">
        <f t="shared" si="118"/>
        <v>0</v>
      </c>
      <c r="P853" s="93">
        <f t="shared" si="119"/>
        <v>105.782</v>
      </c>
    </row>
    <row r="854" s="2" customFormat="1" spans="1:16">
      <c r="A854" s="82">
        <v>45501</v>
      </c>
      <c r="B854" s="21">
        <v>2156.78</v>
      </c>
      <c r="C854" s="33">
        <v>8350</v>
      </c>
      <c r="D854" s="33">
        <v>564</v>
      </c>
      <c r="E854" s="25">
        <v>0</v>
      </c>
      <c r="F854" s="21">
        <v>0</v>
      </c>
      <c r="G854" s="25">
        <v>27</v>
      </c>
      <c r="H854" s="25">
        <v>4</v>
      </c>
      <c r="I854" s="25">
        <v>7</v>
      </c>
      <c r="J854" s="92">
        <f t="shared" si="113"/>
        <v>0.0675449101796407</v>
      </c>
      <c r="K854" s="93">
        <f t="shared" si="114"/>
        <v>3.8240780141844</v>
      </c>
      <c r="L854" s="94">
        <f t="shared" si="115"/>
        <v>0</v>
      </c>
      <c r="M854" s="92">
        <f t="shared" si="116"/>
        <v>0</v>
      </c>
      <c r="N854" s="46">
        <f t="shared" si="117"/>
        <v>0</v>
      </c>
      <c r="O854" s="46">
        <f t="shared" si="118"/>
        <v>0</v>
      </c>
      <c r="P854" s="93">
        <f t="shared" si="119"/>
        <v>79.8807407407407</v>
      </c>
    </row>
    <row r="855" s="2" customFormat="1" spans="1:16">
      <c r="A855" s="82">
        <v>45502</v>
      </c>
      <c r="B855" s="21">
        <v>2144.85</v>
      </c>
      <c r="C855" s="33">
        <v>8979</v>
      </c>
      <c r="D855" s="33">
        <v>563</v>
      </c>
      <c r="E855" s="25">
        <v>0</v>
      </c>
      <c r="F855" s="21">
        <v>0</v>
      </c>
      <c r="G855" s="25">
        <v>23</v>
      </c>
      <c r="H855" s="25">
        <v>2</v>
      </c>
      <c r="I855" s="25">
        <v>1</v>
      </c>
      <c r="J855" s="92">
        <f t="shared" si="113"/>
        <v>0.0627018598953113</v>
      </c>
      <c r="K855" s="93">
        <f t="shared" si="114"/>
        <v>3.80968028419183</v>
      </c>
      <c r="L855" s="94">
        <f t="shared" si="115"/>
        <v>0</v>
      </c>
      <c r="M855" s="92">
        <f t="shared" si="116"/>
        <v>0</v>
      </c>
      <c r="N855" s="46">
        <f t="shared" si="117"/>
        <v>0</v>
      </c>
      <c r="O855" s="46">
        <f t="shared" si="118"/>
        <v>0</v>
      </c>
      <c r="P855" s="93">
        <f t="shared" si="119"/>
        <v>93.254347826087</v>
      </c>
    </row>
    <row r="856" s="2" customFormat="1" spans="1:16">
      <c r="A856" s="82">
        <v>45503</v>
      </c>
      <c r="B856" s="21">
        <v>1290.14</v>
      </c>
      <c r="C856" s="33">
        <v>5536</v>
      </c>
      <c r="D856" s="33">
        <v>359</v>
      </c>
      <c r="E856" s="25">
        <v>3</v>
      </c>
      <c r="F856" s="21">
        <v>93134</v>
      </c>
      <c r="G856" s="25">
        <v>16</v>
      </c>
      <c r="H856" s="25">
        <v>0</v>
      </c>
      <c r="I856" s="25">
        <v>1</v>
      </c>
      <c r="J856" s="92">
        <f t="shared" si="113"/>
        <v>0.0648482658959538</v>
      </c>
      <c r="K856" s="93">
        <f t="shared" si="114"/>
        <v>3.59370473537604</v>
      </c>
      <c r="L856" s="94">
        <f t="shared" si="115"/>
        <v>72.1890647526625</v>
      </c>
      <c r="M856" s="92">
        <f t="shared" si="116"/>
        <v>0.00835654596100279</v>
      </c>
      <c r="N856" s="46">
        <f t="shared" si="117"/>
        <v>31044.6666666667</v>
      </c>
      <c r="O856" s="46">
        <f t="shared" si="118"/>
        <v>430.046666666667</v>
      </c>
      <c r="P856" s="93">
        <f t="shared" si="119"/>
        <v>80.63375</v>
      </c>
    </row>
    <row r="857" s="2" customFormat="1" spans="1:16">
      <c r="A857" s="82">
        <v>45504</v>
      </c>
      <c r="B857" s="21">
        <v>1294.58</v>
      </c>
      <c r="C857" s="33">
        <v>5326</v>
      </c>
      <c r="D857" s="25">
        <v>372</v>
      </c>
      <c r="E857" s="25">
        <v>2</v>
      </c>
      <c r="F857" s="21">
        <v>22833</v>
      </c>
      <c r="G857" s="25">
        <v>13</v>
      </c>
      <c r="H857" s="25">
        <v>3</v>
      </c>
      <c r="I857" s="25">
        <v>2</v>
      </c>
      <c r="J857" s="92">
        <f t="shared" si="113"/>
        <v>0.0698460383026662</v>
      </c>
      <c r="K857" s="93">
        <f t="shared" si="114"/>
        <v>3.48005376344086</v>
      </c>
      <c r="L857" s="94">
        <f t="shared" si="115"/>
        <v>17.6373804631618</v>
      </c>
      <c r="M857" s="92">
        <f t="shared" si="116"/>
        <v>0.00537634408602151</v>
      </c>
      <c r="N857" s="46">
        <f t="shared" si="117"/>
        <v>11416.5</v>
      </c>
      <c r="O857" s="46">
        <f t="shared" si="118"/>
        <v>647.29</v>
      </c>
      <c r="P857" s="93">
        <f t="shared" si="119"/>
        <v>99.5830769230769</v>
      </c>
    </row>
    <row r="858" s="2" customFormat="1" spans="1:16">
      <c r="A858" s="82">
        <v>45505</v>
      </c>
      <c r="B858" s="21">
        <v>1766.87</v>
      </c>
      <c r="C858" s="33">
        <v>7579</v>
      </c>
      <c r="D858" s="25">
        <v>511</v>
      </c>
      <c r="E858" s="25">
        <v>0</v>
      </c>
      <c r="F858" s="21">
        <v>0</v>
      </c>
      <c r="G858" s="25">
        <v>34</v>
      </c>
      <c r="H858" s="25">
        <v>7</v>
      </c>
      <c r="I858" s="25">
        <v>1</v>
      </c>
      <c r="J858" s="92">
        <f t="shared" si="113"/>
        <v>0.067423142894841</v>
      </c>
      <c r="K858" s="93">
        <f t="shared" si="114"/>
        <v>3.45767123287671</v>
      </c>
      <c r="L858" s="94">
        <f t="shared" si="115"/>
        <v>0</v>
      </c>
      <c r="M858" s="92">
        <f t="shared" si="116"/>
        <v>0</v>
      </c>
      <c r="N858" s="46">
        <f t="shared" si="117"/>
        <v>0</v>
      </c>
      <c r="O858" s="46">
        <f t="shared" si="118"/>
        <v>0</v>
      </c>
      <c r="P858" s="93">
        <f t="shared" si="119"/>
        <v>51.9667647058823</v>
      </c>
    </row>
    <row r="859" s="2" customFormat="1" spans="1:16">
      <c r="A859" s="82">
        <v>45506</v>
      </c>
      <c r="B859" s="21">
        <v>1721.39</v>
      </c>
      <c r="C859" s="33">
        <v>7454</v>
      </c>
      <c r="D859" s="25">
        <v>502</v>
      </c>
      <c r="E859" s="25">
        <v>0</v>
      </c>
      <c r="F859" s="21">
        <v>0</v>
      </c>
      <c r="G859" s="25">
        <v>28</v>
      </c>
      <c r="H859" s="25">
        <v>5</v>
      </c>
      <c r="I859" s="25">
        <v>2</v>
      </c>
      <c r="J859" s="92">
        <f t="shared" si="113"/>
        <v>0.0673463911993561</v>
      </c>
      <c r="K859" s="93">
        <f t="shared" si="114"/>
        <v>3.42906374501992</v>
      </c>
      <c r="L859" s="94">
        <f t="shared" si="115"/>
        <v>0</v>
      </c>
      <c r="M859" s="92">
        <f t="shared" si="116"/>
        <v>0</v>
      </c>
      <c r="N859" s="46">
        <f t="shared" si="117"/>
        <v>0</v>
      </c>
      <c r="O859" s="46">
        <f t="shared" si="118"/>
        <v>0</v>
      </c>
      <c r="P859" s="93">
        <f t="shared" si="119"/>
        <v>61.4782142857143</v>
      </c>
    </row>
    <row r="860" s="2" customFormat="1" spans="1:16">
      <c r="A860" s="82">
        <v>45507</v>
      </c>
      <c r="B860" s="21">
        <v>1839.91</v>
      </c>
      <c r="C860" s="33">
        <v>6492</v>
      </c>
      <c r="D860" s="25">
        <v>512</v>
      </c>
      <c r="E860" s="25">
        <v>1</v>
      </c>
      <c r="F860" s="21">
        <v>12534</v>
      </c>
      <c r="G860" s="25">
        <v>22</v>
      </c>
      <c r="H860" s="25">
        <v>3</v>
      </c>
      <c r="I860" s="25">
        <v>3</v>
      </c>
      <c r="J860" s="92">
        <f t="shared" si="113"/>
        <v>0.0788662969808996</v>
      </c>
      <c r="K860" s="93">
        <f t="shared" si="114"/>
        <v>3.59357421875</v>
      </c>
      <c r="L860" s="94">
        <f t="shared" si="115"/>
        <v>6.81228973156296</v>
      </c>
      <c r="M860" s="92">
        <f t="shared" si="116"/>
        <v>0.001953125</v>
      </c>
      <c r="N860" s="46">
        <f t="shared" si="117"/>
        <v>12534</v>
      </c>
      <c r="O860" s="46">
        <f t="shared" si="118"/>
        <v>1839.91</v>
      </c>
      <c r="P860" s="93">
        <f t="shared" si="119"/>
        <v>83.6322727272727</v>
      </c>
    </row>
    <row r="861" s="2" customFormat="1" spans="1:16">
      <c r="A861" s="82">
        <v>45508</v>
      </c>
      <c r="B861" s="21">
        <v>1793.43</v>
      </c>
      <c r="C861" s="33">
        <v>7027</v>
      </c>
      <c r="D861" s="25">
        <v>522</v>
      </c>
      <c r="E861" s="25">
        <v>0</v>
      </c>
      <c r="F861" s="21">
        <v>0</v>
      </c>
      <c r="G861" s="25">
        <v>15</v>
      </c>
      <c r="H861" s="25">
        <v>4</v>
      </c>
      <c r="I861" s="25">
        <v>3</v>
      </c>
      <c r="J861" s="92">
        <f t="shared" si="113"/>
        <v>0.0742849010957734</v>
      </c>
      <c r="K861" s="93">
        <f t="shared" si="114"/>
        <v>3.43568965517241</v>
      </c>
      <c r="L861" s="94">
        <f t="shared" si="115"/>
        <v>0</v>
      </c>
      <c r="M861" s="92">
        <f t="shared" si="116"/>
        <v>0</v>
      </c>
      <c r="N861" s="46">
        <f t="shared" si="117"/>
        <v>0</v>
      </c>
      <c r="O861" s="46">
        <f t="shared" si="118"/>
        <v>0</v>
      </c>
      <c r="P861" s="93">
        <f t="shared" si="119"/>
        <v>119.562</v>
      </c>
    </row>
    <row r="862" s="2" customFormat="1" spans="1:16">
      <c r="A862" s="82">
        <v>45509</v>
      </c>
      <c r="B862" s="21">
        <v>1857.46</v>
      </c>
      <c r="C862" s="33">
        <v>5926</v>
      </c>
      <c r="D862" s="33">
        <v>554</v>
      </c>
      <c r="E862" s="25">
        <v>0</v>
      </c>
      <c r="F862" s="21">
        <v>0</v>
      </c>
      <c r="G862" s="25">
        <v>28</v>
      </c>
      <c r="H862" s="25">
        <v>4</v>
      </c>
      <c r="I862" s="25">
        <v>3</v>
      </c>
      <c r="J862" s="92">
        <v>0.0934863314208572</v>
      </c>
      <c r="K862" s="93">
        <v>3.35281588447653</v>
      </c>
      <c r="L862" s="94">
        <v>0</v>
      </c>
      <c r="M862" s="92">
        <v>0</v>
      </c>
      <c r="N862" s="46">
        <v>0</v>
      </c>
      <c r="O862" s="46">
        <v>0</v>
      </c>
      <c r="P862" s="93">
        <v>66.3378571428571</v>
      </c>
    </row>
    <row r="863" s="2" customFormat="1" spans="1:16">
      <c r="A863" s="82">
        <v>45510</v>
      </c>
      <c r="B863" s="21">
        <v>1817.85</v>
      </c>
      <c r="C863" s="33">
        <v>6565</v>
      </c>
      <c r="D863" s="25">
        <v>523</v>
      </c>
      <c r="E863" s="25">
        <v>1</v>
      </c>
      <c r="F863" s="21">
        <v>13154</v>
      </c>
      <c r="G863" s="25">
        <v>31</v>
      </c>
      <c r="H863" s="25">
        <v>2</v>
      </c>
      <c r="I863" s="25">
        <v>4</v>
      </c>
      <c r="J863" s="92">
        <f t="shared" ref="J863:J868" si="120">D863/C863</f>
        <v>0.0796648895658797</v>
      </c>
      <c r="K863" s="93">
        <f t="shared" ref="K863:K868" si="121">B863/D863</f>
        <v>3.47581261950287</v>
      </c>
      <c r="L863" s="94">
        <f t="shared" ref="L863:L868" si="122">F863/B863</f>
        <v>7.23602057375471</v>
      </c>
      <c r="M863" s="92">
        <f t="shared" ref="M863:M868" si="123">E863/D863</f>
        <v>0.00191204588910134</v>
      </c>
      <c r="N863" s="46">
        <f t="shared" ref="N863:N868" si="124">IF(E863=0,0,F863/E863)</f>
        <v>13154</v>
      </c>
      <c r="O863" s="46">
        <f t="shared" ref="O863:O868" si="125">IF(E863=0,0,B863/E863)</f>
        <v>1817.85</v>
      </c>
      <c r="P863" s="93">
        <f t="shared" ref="P863:P868" si="126">B863/G863</f>
        <v>58.6403225806452</v>
      </c>
    </row>
    <row r="864" s="2" customFormat="1" spans="1:16">
      <c r="A864" s="82">
        <v>45511</v>
      </c>
      <c r="B864" s="21">
        <v>1863.49</v>
      </c>
      <c r="C864" s="33">
        <v>5880</v>
      </c>
      <c r="D864" s="25">
        <v>518</v>
      </c>
      <c r="E864" s="25">
        <v>0</v>
      </c>
      <c r="F864" s="21">
        <v>0</v>
      </c>
      <c r="G864" s="25">
        <v>20</v>
      </c>
      <c r="H864" s="25">
        <v>6</v>
      </c>
      <c r="I864" s="25">
        <v>3</v>
      </c>
      <c r="J864" s="92">
        <f t="shared" si="120"/>
        <v>0.0880952380952381</v>
      </c>
      <c r="K864" s="93">
        <f t="shared" si="121"/>
        <v>3.59747104247104</v>
      </c>
      <c r="L864" s="94">
        <f t="shared" si="122"/>
        <v>0</v>
      </c>
      <c r="M864" s="92">
        <f t="shared" si="123"/>
        <v>0</v>
      </c>
      <c r="N864" s="46">
        <f t="shared" si="124"/>
        <v>0</v>
      </c>
      <c r="O864" s="46">
        <f t="shared" si="125"/>
        <v>0</v>
      </c>
      <c r="P864" s="93">
        <f t="shared" si="126"/>
        <v>93.1745</v>
      </c>
    </row>
    <row r="865" s="2" customFormat="1" spans="1:16">
      <c r="A865" s="82">
        <v>45512</v>
      </c>
      <c r="B865" s="21">
        <v>1859.04</v>
      </c>
      <c r="C865" s="33">
        <v>4514</v>
      </c>
      <c r="D865" s="25">
        <v>562</v>
      </c>
      <c r="E865" s="25">
        <v>0</v>
      </c>
      <c r="F865" s="21">
        <v>0</v>
      </c>
      <c r="G865" s="25">
        <v>23</v>
      </c>
      <c r="H865" s="25">
        <v>4</v>
      </c>
      <c r="I865" s="25">
        <v>8</v>
      </c>
      <c r="J865" s="92">
        <f t="shared" si="120"/>
        <v>0.124501550731059</v>
      </c>
      <c r="K865" s="93">
        <f t="shared" si="121"/>
        <v>3.30790035587189</v>
      </c>
      <c r="L865" s="94">
        <f t="shared" si="122"/>
        <v>0</v>
      </c>
      <c r="M865" s="92">
        <f t="shared" si="123"/>
        <v>0</v>
      </c>
      <c r="N865" s="46">
        <f t="shared" si="124"/>
        <v>0</v>
      </c>
      <c r="O865" s="46">
        <f t="shared" si="125"/>
        <v>0</v>
      </c>
      <c r="P865" s="93">
        <f t="shared" si="126"/>
        <v>80.8278260869565</v>
      </c>
    </row>
    <row r="866" s="2" customFormat="1" spans="1:16">
      <c r="A866" s="82">
        <v>45513</v>
      </c>
      <c r="B866" s="21">
        <v>1657.76</v>
      </c>
      <c r="C866" s="33">
        <v>4730</v>
      </c>
      <c r="D866" s="25">
        <v>506</v>
      </c>
      <c r="E866" s="25">
        <v>2</v>
      </c>
      <c r="F866" s="21">
        <v>68341.96</v>
      </c>
      <c r="G866" s="25">
        <v>22</v>
      </c>
      <c r="H866" s="25">
        <v>6</v>
      </c>
      <c r="I866" s="25">
        <v>4</v>
      </c>
      <c r="J866" s="92">
        <f t="shared" si="120"/>
        <v>0.106976744186047</v>
      </c>
      <c r="K866" s="93">
        <f t="shared" si="121"/>
        <v>3.27620553359684</v>
      </c>
      <c r="L866" s="94">
        <f t="shared" si="122"/>
        <v>41.2254849917962</v>
      </c>
      <c r="M866" s="92">
        <f t="shared" si="123"/>
        <v>0.00395256916996047</v>
      </c>
      <c r="N866" s="46">
        <f t="shared" si="124"/>
        <v>34170.98</v>
      </c>
      <c r="O866" s="46">
        <f t="shared" si="125"/>
        <v>828.88</v>
      </c>
      <c r="P866" s="93">
        <f t="shared" si="126"/>
        <v>75.3527272727273</v>
      </c>
    </row>
    <row r="867" s="2" customFormat="1" spans="1:16">
      <c r="A867" s="82">
        <v>45514</v>
      </c>
      <c r="B867" s="21">
        <v>1627.91</v>
      </c>
      <c r="C867" s="33">
        <v>5326</v>
      </c>
      <c r="D867" s="25">
        <v>493</v>
      </c>
      <c r="E867" s="25">
        <v>0</v>
      </c>
      <c r="F867" s="21">
        <v>0</v>
      </c>
      <c r="G867" s="25">
        <v>26</v>
      </c>
      <c r="H867" s="25">
        <v>3</v>
      </c>
      <c r="I867" s="25">
        <v>3</v>
      </c>
      <c r="J867" s="92">
        <f t="shared" si="120"/>
        <v>0.0925647765677807</v>
      </c>
      <c r="K867" s="93">
        <f t="shared" si="121"/>
        <v>3.30204868154158</v>
      </c>
      <c r="L867" s="94">
        <f t="shared" si="122"/>
        <v>0</v>
      </c>
      <c r="M867" s="92">
        <f t="shared" si="123"/>
        <v>0</v>
      </c>
      <c r="N867" s="46">
        <f t="shared" si="124"/>
        <v>0</v>
      </c>
      <c r="O867" s="46">
        <f t="shared" si="125"/>
        <v>0</v>
      </c>
      <c r="P867" s="93">
        <f t="shared" si="126"/>
        <v>62.6119230769231</v>
      </c>
    </row>
    <row r="868" s="2" customFormat="1" spans="1:16">
      <c r="A868" s="82">
        <v>45515</v>
      </c>
      <c r="B868" s="21">
        <v>1652.62</v>
      </c>
      <c r="C868" s="33">
        <v>4541</v>
      </c>
      <c r="D868" s="25">
        <v>503</v>
      </c>
      <c r="E868" s="25">
        <v>0</v>
      </c>
      <c r="F868" s="21">
        <v>0</v>
      </c>
      <c r="G868" s="25">
        <v>28</v>
      </c>
      <c r="H868" s="25">
        <v>1</v>
      </c>
      <c r="I868" s="25">
        <v>3</v>
      </c>
      <c r="J868" s="92">
        <f t="shared" si="120"/>
        <v>0.110768553182118</v>
      </c>
      <c r="K868" s="93">
        <f t="shared" si="121"/>
        <v>3.2855268389662</v>
      </c>
      <c r="L868" s="94">
        <f t="shared" si="122"/>
        <v>0</v>
      </c>
      <c r="M868" s="92">
        <f t="shared" si="123"/>
        <v>0</v>
      </c>
      <c r="N868" s="46">
        <f t="shared" si="124"/>
        <v>0</v>
      </c>
      <c r="O868" s="46">
        <f t="shared" si="125"/>
        <v>0</v>
      </c>
      <c r="P868" s="93">
        <f t="shared" si="126"/>
        <v>59.0221428571429</v>
      </c>
    </row>
    <row r="869" s="2" customFormat="1" spans="1:16">
      <c r="A869" s="82">
        <v>45516</v>
      </c>
      <c r="B869" s="21">
        <v>1669.17</v>
      </c>
      <c r="C869" s="33">
        <v>5238</v>
      </c>
      <c r="D869" s="25">
        <v>540</v>
      </c>
      <c r="E869" s="25">
        <v>0</v>
      </c>
      <c r="F869" s="21">
        <v>0</v>
      </c>
      <c r="G869" s="25">
        <v>35</v>
      </c>
      <c r="H869" s="25">
        <v>4</v>
      </c>
      <c r="I869" s="25">
        <v>7</v>
      </c>
      <c r="J869" s="92">
        <v>0.103092783505155</v>
      </c>
      <c r="K869" s="93">
        <v>3.09105555555556</v>
      </c>
      <c r="L869" s="94">
        <v>0</v>
      </c>
      <c r="M869" s="92">
        <v>0</v>
      </c>
      <c r="N869" s="46">
        <v>0</v>
      </c>
      <c r="O869" s="46">
        <v>0</v>
      </c>
      <c r="P869" s="93">
        <v>47.6905714285714</v>
      </c>
    </row>
    <row r="870" s="2" customFormat="1" spans="1:16">
      <c r="A870" s="82">
        <v>45517</v>
      </c>
      <c r="B870" s="21">
        <v>1674.11</v>
      </c>
      <c r="C870" s="33">
        <v>4578</v>
      </c>
      <c r="D870" s="25">
        <v>530</v>
      </c>
      <c r="E870" s="25">
        <v>0</v>
      </c>
      <c r="F870" s="21">
        <v>0</v>
      </c>
      <c r="G870" s="25">
        <v>35</v>
      </c>
      <c r="H870" s="25">
        <v>1</v>
      </c>
      <c r="I870" s="25">
        <v>4</v>
      </c>
      <c r="J870" s="92">
        <f t="shared" ref="J870:J933" si="127">D870/C870</f>
        <v>0.115771079073831</v>
      </c>
      <c r="K870" s="93">
        <f t="shared" ref="K870:K933" si="128">B870/D870</f>
        <v>3.15869811320755</v>
      </c>
      <c r="L870" s="94">
        <f t="shared" ref="L870:L933" si="129">F870/B870</f>
        <v>0</v>
      </c>
      <c r="M870" s="92">
        <f t="shared" ref="M870:M933" si="130">E870/D870</f>
        <v>0</v>
      </c>
      <c r="N870" s="46">
        <f t="shared" ref="N870:N933" si="131">IF(E870=0,0,F870/E870)</f>
        <v>0</v>
      </c>
      <c r="O870" s="46">
        <f t="shared" ref="O870:O933" si="132">IF(E870=0,0,B870/E870)</f>
        <v>0</v>
      </c>
      <c r="P870" s="93">
        <f t="shared" ref="P870:P933" si="133">B870/G870</f>
        <v>47.8317142857143</v>
      </c>
    </row>
    <row r="871" s="2" customFormat="1" spans="1:16">
      <c r="A871" s="82">
        <v>45518</v>
      </c>
      <c r="B871" s="21">
        <v>1811.05</v>
      </c>
      <c r="C871" s="33">
        <v>6140</v>
      </c>
      <c r="D871" s="25">
        <v>603</v>
      </c>
      <c r="E871" s="25">
        <v>0</v>
      </c>
      <c r="F871" s="21">
        <v>0</v>
      </c>
      <c r="G871" s="25">
        <v>29</v>
      </c>
      <c r="H871" s="25">
        <v>4</v>
      </c>
      <c r="I871" s="25">
        <v>3</v>
      </c>
      <c r="J871" s="92">
        <f t="shared" si="127"/>
        <v>0.0982084690553746</v>
      </c>
      <c r="K871" s="93">
        <f t="shared" si="128"/>
        <v>3.00339966832504</v>
      </c>
      <c r="L871" s="94">
        <f t="shared" si="129"/>
        <v>0</v>
      </c>
      <c r="M871" s="92">
        <f t="shared" si="130"/>
        <v>0</v>
      </c>
      <c r="N871" s="46">
        <f t="shared" si="131"/>
        <v>0</v>
      </c>
      <c r="O871" s="46">
        <f t="shared" si="132"/>
        <v>0</v>
      </c>
      <c r="P871" s="93">
        <f t="shared" si="133"/>
        <v>62.45</v>
      </c>
    </row>
    <row r="872" s="2" customFormat="1" spans="1:16">
      <c r="A872" s="82">
        <v>45519</v>
      </c>
      <c r="B872" s="21">
        <v>1861.4</v>
      </c>
      <c r="C872" s="33">
        <v>6245</v>
      </c>
      <c r="D872" s="25">
        <v>579</v>
      </c>
      <c r="E872" s="25">
        <v>0</v>
      </c>
      <c r="F872" s="21">
        <v>0</v>
      </c>
      <c r="G872" s="25">
        <v>45</v>
      </c>
      <c r="H872" s="25">
        <v>3</v>
      </c>
      <c r="I872" s="25">
        <v>2</v>
      </c>
      <c r="J872" s="92">
        <f t="shared" si="127"/>
        <v>0.0927141713370697</v>
      </c>
      <c r="K872" s="93">
        <f t="shared" si="128"/>
        <v>3.21485319516408</v>
      </c>
      <c r="L872" s="94">
        <f t="shared" si="129"/>
        <v>0</v>
      </c>
      <c r="M872" s="92">
        <f t="shared" si="130"/>
        <v>0</v>
      </c>
      <c r="N872" s="46">
        <f t="shared" si="131"/>
        <v>0</v>
      </c>
      <c r="O872" s="46">
        <f t="shared" si="132"/>
        <v>0</v>
      </c>
      <c r="P872" s="93">
        <f t="shared" si="133"/>
        <v>41.3644444444444</v>
      </c>
    </row>
    <row r="873" s="2" customFormat="1" spans="1:16">
      <c r="A873" s="82">
        <v>45520</v>
      </c>
      <c r="B873" s="21">
        <v>1777.55</v>
      </c>
      <c r="C873" s="33">
        <v>6456</v>
      </c>
      <c r="D873" s="25">
        <v>576</v>
      </c>
      <c r="E873" s="25">
        <v>0</v>
      </c>
      <c r="F873" s="21">
        <v>0</v>
      </c>
      <c r="G873" s="25">
        <v>34</v>
      </c>
      <c r="H873" s="25">
        <v>3</v>
      </c>
      <c r="I873" s="25">
        <v>3</v>
      </c>
      <c r="J873" s="92">
        <f t="shared" si="127"/>
        <v>0.0892193308550186</v>
      </c>
      <c r="K873" s="93">
        <f t="shared" si="128"/>
        <v>3.08602430555556</v>
      </c>
      <c r="L873" s="94">
        <f t="shared" si="129"/>
        <v>0</v>
      </c>
      <c r="M873" s="92">
        <f t="shared" si="130"/>
        <v>0</v>
      </c>
      <c r="N873" s="46">
        <f t="shared" si="131"/>
        <v>0</v>
      </c>
      <c r="O873" s="46">
        <f t="shared" si="132"/>
        <v>0</v>
      </c>
      <c r="P873" s="93">
        <f t="shared" si="133"/>
        <v>52.2808823529412</v>
      </c>
    </row>
    <row r="874" s="2" customFormat="1" spans="1:16">
      <c r="A874" s="82">
        <v>45521</v>
      </c>
      <c r="B874" s="21">
        <v>1726.77</v>
      </c>
      <c r="C874" s="33">
        <v>6854</v>
      </c>
      <c r="D874" s="25">
        <v>566</v>
      </c>
      <c r="E874" s="25">
        <v>0</v>
      </c>
      <c r="F874" s="21">
        <v>0</v>
      </c>
      <c r="G874" s="25">
        <v>34</v>
      </c>
      <c r="H874" s="25">
        <v>4</v>
      </c>
      <c r="I874" s="25">
        <v>1</v>
      </c>
      <c r="J874" s="92">
        <f t="shared" si="127"/>
        <v>0.0825795156113219</v>
      </c>
      <c r="K874" s="93">
        <f t="shared" si="128"/>
        <v>3.05083038869258</v>
      </c>
      <c r="L874" s="94">
        <f t="shared" si="129"/>
        <v>0</v>
      </c>
      <c r="M874" s="92">
        <f t="shared" si="130"/>
        <v>0</v>
      </c>
      <c r="N874" s="46">
        <f t="shared" si="131"/>
        <v>0</v>
      </c>
      <c r="O874" s="46">
        <f t="shared" si="132"/>
        <v>0</v>
      </c>
      <c r="P874" s="93">
        <f t="shared" si="133"/>
        <v>50.7873529411765</v>
      </c>
    </row>
    <row r="875" s="2" customFormat="1" spans="1:16">
      <c r="A875" s="82">
        <v>45522</v>
      </c>
      <c r="B875" s="21">
        <v>1835.93</v>
      </c>
      <c r="C875" s="33">
        <v>7476</v>
      </c>
      <c r="D875" s="25">
        <v>610</v>
      </c>
      <c r="E875" s="25">
        <v>1</v>
      </c>
      <c r="F875" s="21">
        <v>36562</v>
      </c>
      <c r="G875" s="25">
        <v>35</v>
      </c>
      <c r="H875" s="25">
        <v>4</v>
      </c>
      <c r="I875" s="25">
        <v>5</v>
      </c>
      <c r="J875" s="92">
        <f t="shared" si="127"/>
        <v>0.0815944355270198</v>
      </c>
      <c r="K875" s="93">
        <f t="shared" si="128"/>
        <v>3.00972131147541</v>
      </c>
      <c r="L875" s="94">
        <f t="shared" si="129"/>
        <v>19.9147026302746</v>
      </c>
      <c r="M875" s="92">
        <f t="shared" si="130"/>
        <v>0.00163934426229508</v>
      </c>
      <c r="N875" s="46">
        <f t="shared" si="131"/>
        <v>36562</v>
      </c>
      <c r="O875" s="46">
        <f t="shared" si="132"/>
        <v>1835.93</v>
      </c>
      <c r="P875" s="93">
        <f t="shared" si="133"/>
        <v>52.4551428571429</v>
      </c>
    </row>
    <row r="876" s="2" customFormat="1" spans="1:16">
      <c r="A876" s="82">
        <v>45523</v>
      </c>
      <c r="B876" s="21">
        <v>1825.9</v>
      </c>
      <c r="C876" s="33">
        <v>8269</v>
      </c>
      <c r="D876" s="25">
        <v>599</v>
      </c>
      <c r="E876" s="25">
        <v>0</v>
      </c>
      <c r="F876" s="21">
        <v>0</v>
      </c>
      <c r="G876" s="25">
        <v>31</v>
      </c>
      <c r="H876" s="25">
        <v>1</v>
      </c>
      <c r="I876" s="25">
        <v>5</v>
      </c>
      <c r="J876" s="92">
        <f t="shared" si="127"/>
        <v>0.0724392308622566</v>
      </c>
      <c r="K876" s="93">
        <f t="shared" si="128"/>
        <v>3.04824707846411</v>
      </c>
      <c r="L876" s="94">
        <f t="shared" si="129"/>
        <v>0</v>
      </c>
      <c r="M876" s="92">
        <f t="shared" si="130"/>
        <v>0</v>
      </c>
      <c r="N876" s="46">
        <f t="shared" si="131"/>
        <v>0</v>
      </c>
      <c r="O876" s="46">
        <f t="shared" si="132"/>
        <v>0</v>
      </c>
      <c r="P876" s="93">
        <f t="shared" si="133"/>
        <v>58.9</v>
      </c>
    </row>
    <row r="877" s="2" customFormat="1" spans="1:16">
      <c r="A877" s="82">
        <v>45524</v>
      </c>
      <c r="B877" s="21">
        <v>1798.44</v>
      </c>
      <c r="C877" s="33">
        <v>6182</v>
      </c>
      <c r="D877" s="25">
        <v>549</v>
      </c>
      <c r="E877" s="25">
        <v>0</v>
      </c>
      <c r="F877" s="21">
        <v>0</v>
      </c>
      <c r="G877" s="25">
        <v>26</v>
      </c>
      <c r="H877" s="25">
        <v>4</v>
      </c>
      <c r="I877" s="25">
        <v>0</v>
      </c>
      <c r="J877" s="92">
        <f t="shared" si="127"/>
        <v>0.0888062115820123</v>
      </c>
      <c r="K877" s="93">
        <f t="shared" si="128"/>
        <v>3.27584699453552</v>
      </c>
      <c r="L877" s="94">
        <f t="shared" si="129"/>
        <v>0</v>
      </c>
      <c r="M877" s="92">
        <f t="shared" si="130"/>
        <v>0</v>
      </c>
      <c r="N877" s="46">
        <f t="shared" si="131"/>
        <v>0</v>
      </c>
      <c r="O877" s="46">
        <f t="shared" si="132"/>
        <v>0</v>
      </c>
      <c r="P877" s="93">
        <f t="shared" si="133"/>
        <v>69.1707692307692</v>
      </c>
    </row>
    <row r="878" s="2" customFormat="1" spans="1:16">
      <c r="A878" s="82">
        <v>45525</v>
      </c>
      <c r="B878" s="21">
        <v>1762.39</v>
      </c>
      <c r="C878" s="33">
        <v>6017</v>
      </c>
      <c r="D878" s="25">
        <v>574</v>
      </c>
      <c r="E878" s="25">
        <v>0</v>
      </c>
      <c r="F878" s="21">
        <v>0</v>
      </c>
      <c r="G878" s="25">
        <v>27</v>
      </c>
      <c r="H878" s="25">
        <v>1</v>
      </c>
      <c r="I878" s="25">
        <v>5</v>
      </c>
      <c r="J878" s="92">
        <f t="shared" si="127"/>
        <v>0.0953963769320259</v>
      </c>
      <c r="K878" s="93">
        <f t="shared" si="128"/>
        <v>3.07036585365854</v>
      </c>
      <c r="L878" s="94">
        <f t="shared" si="129"/>
        <v>0</v>
      </c>
      <c r="M878" s="92">
        <f t="shared" si="130"/>
        <v>0</v>
      </c>
      <c r="N878" s="46">
        <f t="shared" si="131"/>
        <v>0</v>
      </c>
      <c r="O878" s="46">
        <f t="shared" si="132"/>
        <v>0</v>
      </c>
      <c r="P878" s="93">
        <f t="shared" si="133"/>
        <v>65.2737037037037</v>
      </c>
    </row>
    <row r="879" s="2" customFormat="1" spans="1:16">
      <c r="A879" s="82">
        <v>45526</v>
      </c>
      <c r="B879" s="21">
        <v>1595.07</v>
      </c>
      <c r="C879" s="33">
        <v>6519</v>
      </c>
      <c r="D879" s="25">
        <v>523</v>
      </c>
      <c r="E879" s="25">
        <v>0</v>
      </c>
      <c r="F879" s="21">
        <v>0</v>
      </c>
      <c r="G879" s="25">
        <v>33</v>
      </c>
      <c r="H879" s="25">
        <v>5</v>
      </c>
      <c r="I879" s="25">
        <v>2</v>
      </c>
      <c r="J879" s="92">
        <f t="shared" si="127"/>
        <v>0.0802270286853812</v>
      </c>
      <c r="K879" s="93">
        <f t="shared" si="128"/>
        <v>3.04984703632887</v>
      </c>
      <c r="L879" s="94">
        <f t="shared" si="129"/>
        <v>0</v>
      </c>
      <c r="M879" s="92">
        <f t="shared" si="130"/>
        <v>0</v>
      </c>
      <c r="N879" s="46">
        <f t="shared" si="131"/>
        <v>0</v>
      </c>
      <c r="O879" s="46">
        <f t="shared" si="132"/>
        <v>0</v>
      </c>
      <c r="P879" s="93">
        <f t="shared" si="133"/>
        <v>48.3354545454545</v>
      </c>
    </row>
    <row r="880" s="2" customFormat="1" spans="1:16">
      <c r="A880" s="82">
        <v>45527</v>
      </c>
      <c r="B880" s="21">
        <v>1539.18</v>
      </c>
      <c r="C880" s="33">
        <v>7168</v>
      </c>
      <c r="D880" s="25">
        <v>484</v>
      </c>
      <c r="E880" s="25">
        <v>2</v>
      </c>
      <c r="F880" s="21">
        <v>29745</v>
      </c>
      <c r="G880" s="25">
        <v>18</v>
      </c>
      <c r="H880" s="25">
        <v>2</v>
      </c>
      <c r="I880" s="25">
        <v>3</v>
      </c>
      <c r="J880" s="92">
        <f t="shared" si="127"/>
        <v>0.0675223214285714</v>
      </c>
      <c r="K880" s="93">
        <f t="shared" si="128"/>
        <v>3.18012396694215</v>
      </c>
      <c r="L880" s="94">
        <f t="shared" si="129"/>
        <v>19.325225119869</v>
      </c>
      <c r="M880" s="92">
        <f t="shared" si="130"/>
        <v>0.00413223140495868</v>
      </c>
      <c r="N880" s="46">
        <f t="shared" si="131"/>
        <v>14872.5</v>
      </c>
      <c r="O880" s="46">
        <f t="shared" si="132"/>
        <v>769.59</v>
      </c>
      <c r="P880" s="93">
        <f t="shared" si="133"/>
        <v>85.51</v>
      </c>
    </row>
    <row r="881" s="2" customFormat="1" spans="1:16">
      <c r="A881" s="82">
        <v>45528</v>
      </c>
      <c r="B881" s="21">
        <v>1867.57</v>
      </c>
      <c r="C881" s="33">
        <v>6198</v>
      </c>
      <c r="D881" s="25">
        <v>574</v>
      </c>
      <c r="E881" s="25">
        <v>1</v>
      </c>
      <c r="F881" s="21">
        <v>9798</v>
      </c>
      <c r="G881" s="25">
        <v>34</v>
      </c>
      <c r="H881" s="25">
        <v>2</v>
      </c>
      <c r="I881" s="25">
        <v>2</v>
      </c>
      <c r="J881" s="92">
        <f t="shared" si="127"/>
        <v>0.0926105195224266</v>
      </c>
      <c r="K881" s="93">
        <f t="shared" si="128"/>
        <v>3.253606271777</v>
      </c>
      <c r="L881" s="94">
        <f t="shared" si="129"/>
        <v>5.24638969355901</v>
      </c>
      <c r="M881" s="92">
        <f t="shared" si="130"/>
        <v>0.00174216027874564</v>
      </c>
      <c r="N881" s="46">
        <f t="shared" si="131"/>
        <v>9798</v>
      </c>
      <c r="O881" s="46">
        <f t="shared" si="132"/>
        <v>1867.57</v>
      </c>
      <c r="P881" s="93">
        <f t="shared" si="133"/>
        <v>54.9285294117647</v>
      </c>
    </row>
    <row r="882" s="2" customFormat="1" spans="1:16">
      <c r="A882" s="82">
        <v>45529</v>
      </c>
      <c r="B882" s="21">
        <v>1768.48</v>
      </c>
      <c r="C882" s="33">
        <v>5968</v>
      </c>
      <c r="D882" s="25">
        <v>558</v>
      </c>
      <c r="E882" s="25">
        <v>0</v>
      </c>
      <c r="F882" s="21">
        <v>0</v>
      </c>
      <c r="G882" s="25">
        <v>28</v>
      </c>
      <c r="H882" s="25">
        <v>5</v>
      </c>
      <c r="I882" s="25">
        <v>6</v>
      </c>
      <c r="J882" s="92">
        <f t="shared" si="127"/>
        <v>0.0934986595174263</v>
      </c>
      <c r="K882" s="93">
        <f t="shared" si="128"/>
        <v>3.16931899641577</v>
      </c>
      <c r="L882" s="94">
        <f t="shared" si="129"/>
        <v>0</v>
      </c>
      <c r="M882" s="92">
        <f t="shared" si="130"/>
        <v>0</v>
      </c>
      <c r="N882" s="46">
        <f t="shared" si="131"/>
        <v>0</v>
      </c>
      <c r="O882" s="46">
        <f t="shared" si="132"/>
        <v>0</v>
      </c>
      <c r="P882" s="93">
        <f t="shared" si="133"/>
        <v>63.16</v>
      </c>
    </row>
    <row r="883" s="2" customFormat="1" spans="1:16">
      <c r="A883" s="82">
        <v>45530</v>
      </c>
      <c r="B883" s="21">
        <v>2219.68</v>
      </c>
      <c r="C883" s="33">
        <v>6487</v>
      </c>
      <c r="D883" s="25">
        <v>684</v>
      </c>
      <c r="E883" s="25">
        <v>1</v>
      </c>
      <c r="F883" s="21">
        <v>8334</v>
      </c>
      <c r="G883" s="25">
        <v>44</v>
      </c>
      <c r="H883" s="25">
        <v>2</v>
      </c>
      <c r="I883" s="25">
        <v>3</v>
      </c>
      <c r="J883" s="92">
        <f t="shared" si="127"/>
        <v>0.105441652535841</v>
      </c>
      <c r="K883" s="93">
        <f t="shared" si="128"/>
        <v>3.24514619883041</v>
      </c>
      <c r="L883" s="94">
        <f t="shared" si="129"/>
        <v>3.75459525697398</v>
      </c>
      <c r="M883" s="92">
        <f t="shared" si="130"/>
        <v>0.00146198830409357</v>
      </c>
      <c r="N883" s="46">
        <f t="shared" si="131"/>
        <v>8334</v>
      </c>
      <c r="O883" s="46">
        <f t="shared" si="132"/>
        <v>2219.68</v>
      </c>
      <c r="P883" s="93">
        <f t="shared" si="133"/>
        <v>50.4472727272727</v>
      </c>
    </row>
    <row r="884" s="2" customFormat="1" spans="1:16">
      <c r="A884" s="82">
        <v>45531</v>
      </c>
      <c r="B884" s="21">
        <v>1937.38</v>
      </c>
      <c r="C884" s="33">
        <v>6967</v>
      </c>
      <c r="D884" s="25">
        <v>661</v>
      </c>
      <c r="E884" s="25">
        <v>0</v>
      </c>
      <c r="F884" s="21">
        <v>0</v>
      </c>
      <c r="G884" s="25">
        <v>23</v>
      </c>
      <c r="H884" s="25">
        <v>1</v>
      </c>
      <c r="I884" s="25">
        <v>6</v>
      </c>
      <c r="J884" s="92">
        <f t="shared" si="127"/>
        <v>0.094875843261088</v>
      </c>
      <c r="K884" s="93">
        <f t="shared" si="128"/>
        <v>2.93098335854765</v>
      </c>
      <c r="L884" s="94">
        <f t="shared" si="129"/>
        <v>0</v>
      </c>
      <c r="M884" s="92">
        <f t="shared" si="130"/>
        <v>0</v>
      </c>
      <c r="N884" s="46">
        <f t="shared" si="131"/>
        <v>0</v>
      </c>
      <c r="O884" s="46">
        <f t="shared" si="132"/>
        <v>0</v>
      </c>
      <c r="P884" s="93">
        <f t="shared" si="133"/>
        <v>84.2339130434783</v>
      </c>
    </row>
    <row r="885" s="2" customFormat="1" spans="1:16">
      <c r="A885" s="82">
        <v>45532</v>
      </c>
      <c r="B885" s="21">
        <v>1940.03</v>
      </c>
      <c r="C885" s="33">
        <v>7070</v>
      </c>
      <c r="D885" s="25">
        <v>663</v>
      </c>
      <c r="E885" s="25">
        <v>1</v>
      </c>
      <c r="F885" s="21">
        <v>12898</v>
      </c>
      <c r="G885" s="25">
        <v>26</v>
      </c>
      <c r="H885" s="25">
        <v>4</v>
      </c>
      <c r="I885" s="25">
        <v>3</v>
      </c>
      <c r="J885" s="92">
        <f t="shared" si="127"/>
        <v>0.0937765205091938</v>
      </c>
      <c r="K885" s="93">
        <f t="shared" si="128"/>
        <v>2.92613876319759</v>
      </c>
      <c r="L885" s="94">
        <f t="shared" si="129"/>
        <v>6.64835079869899</v>
      </c>
      <c r="M885" s="92">
        <f t="shared" si="130"/>
        <v>0.00150829562594268</v>
      </c>
      <c r="N885" s="46">
        <f t="shared" si="131"/>
        <v>12898</v>
      </c>
      <c r="O885" s="46">
        <f t="shared" si="132"/>
        <v>1940.03</v>
      </c>
      <c r="P885" s="93">
        <f t="shared" si="133"/>
        <v>74.6165384615385</v>
      </c>
    </row>
    <row r="886" s="2" customFormat="1" spans="1:16">
      <c r="A886" s="82">
        <v>45533</v>
      </c>
      <c r="B886" s="21">
        <v>1843.66</v>
      </c>
      <c r="C886" s="33">
        <v>7140</v>
      </c>
      <c r="D886" s="25">
        <v>587</v>
      </c>
      <c r="E886" s="25">
        <v>0</v>
      </c>
      <c r="F886" s="21">
        <v>0</v>
      </c>
      <c r="G886" s="25">
        <v>24</v>
      </c>
      <c r="H886" s="25">
        <v>4</v>
      </c>
      <c r="I886" s="25">
        <v>2</v>
      </c>
      <c r="J886" s="92">
        <f t="shared" si="127"/>
        <v>0.0822128851540616</v>
      </c>
      <c r="K886" s="93">
        <f t="shared" si="128"/>
        <v>3.14081771720613</v>
      </c>
      <c r="L886" s="94">
        <f t="shared" si="129"/>
        <v>0</v>
      </c>
      <c r="M886" s="92">
        <f t="shared" si="130"/>
        <v>0</v>
      </c>
      <c r="N886" s="46">
        <f t="shared" si="131"/>
        <v>0</v>
      </c>
      <c r="O886" s="46">
        <f t="shared" si="132"/>
        <v>0</v>
      </c>
      <c r="P886" s="93">
        <f t="shared" si="133"/>
        <v>76.8191666666667</v>
      </c>
    </row>
    <row r="887" s="2" customFormat="1" spans="1:16">
      <c r="A887" s="82">
        <v>45534</v>
      </c>
      <c r="B887" s="21">
        <v>1642.74</v>
      </c>
      <c r="C887" s="33">
        <v>6824</v>
      </c>
      <c r="D887" s="25">
        <v>549</v>
      </c>
      <c r="E887" s="25">
        <v>0</v>
      </c>
      <c r="F887" s="21">
        <v>0</v>
      </c>
      <c r="G887" s="25">
        <v>31</v>
      </c>
      <c r="H887" s="25">
        <v>2</v>
      </c>
      <c r="I887" s="25">
        <v>3</v>
      </c>
      <c r="J887" s="92">
        <f t="shared" si="127"/>
        <v>0.0804513481828839</v>
      </c>
      <c r="K887" s="93">
        <f t="shared" si="128"/>
        <v>2.99224043715847</v>
      </c>
      <c r="L887" s="94">
        <f t="shared" si="129"/>
        <v>0</v>
      </c>
      <c r="M887" s="92">
        <f t="shared" si="130"/>
        <v>0</v>
      </c>
      <c r="N887" s="46">
        <f t="shared" si="131"/>
        <v>0</v>
      </c>
      <c r="O887" s="46">
        <f t="shared" si="132"/>
        <v>0</v>
      </c>
      <c r="P887" s="93">
        <f t="shared" si="133"/>
        <v>52.9916129032258</v>
      </c>
    </row>
    <row r="888" s="2" customFormat="1" spans="1:16">
      <c r="A888" s="82">
        <v>45535</v>
      </c>
      <c r="B888" s="21">
        <v>1997.15</v>
      </c>
      <c r="C888" s="33">
        <v>7797</v>
      </c>
      <c r="D888" s="25">
        <v>636</v>
      </c>
      <c r="E888" s="25">
        <v>0</v>
      </c>
      <c r="F888" s="21">
        <v>0</v>
      </c>
      <c r="G888" s="25">
        <v>25</v>
      </c>
      <c r="H888" s="25">
        <v>4</v>
      </c>
      <c r="I888" s="25">
        <v>3</v>
      </c>
      <c r="J888" s="92">
        <f t="shared" si="127"/>
        <v>0.0815698345517507</v>
      </c>
      <c r="K888" s="93">
        <f t="shared" si="128"/>
        <v>3.14017295597484</v>
      </c>
      <c r="L888" s="94">
        <f t="shared" si="129"/>
        <v>0</v>
      </c>
      <c r="M888" s="92">
        <f t="shared" si="130"/>
        <v>0</v>
      </c>
      <c r="N888" s="46">
        <f t="shared" si="131"/>
        <v>0</v>
      </c>
      <c r="O888" s="46">
        <f t="shared" si="132"/>
        <v>0</v>
      </c>
      <c r="P888" s="93">
        <f t="shared" si="133"/>
        <v>79.886</v>
      </c>
    </row>
    <row r="889" s="2" customFormat="1" spans="1:16">
      <c r="A889" s="82">
        <v>45536</v>
      </c>
      <c r="B889" s="21">
        <v>2081.31</v>
      </c>
      <c r="C889" s="33">
        <v>7295</v>
      </c>
      <c r="D889" s="25">
        <v>639</v>
      </c>
      <c r="E889" s="25">
        <v>0</v>
      </c>
      <c r="F889" s="21">
        <v>0</v>
      </c>
      <c r="G889" s="25">
        <v>26</v>
      </c>
      <c r="H889" s="25">
        <v>4</v>
      </c>
      <c r="I889" s="25">
        <v>5</v>
      </c>
      <c r="J889" s="92">
        <f t="shared" si="127"/>
        <v>0.0875942426319397</v>
      </c>
      <c r="K889" s="93">
        <f t="shared" si="128"/>
        <v>3.25713615023474</v>
      </c>
      <c r="L889" s="94">
        <f t="shared" si="129"/>
        <v>0</v>
      </c>
      <c r="M889" s="92">
        <f t="shared" si="130"/>
        <v>0</v>
      </c>
      <c r="N889" s="46">
        <f t="shared" si="131"/>
        <v>0</v>
      </c>
      <c r="O889" s="46">
        <f t="shared" si="132"/>
        <v>0</v>
      </c>
      <c r="P889" s="93">
        <f t="shared" si="133"/>
        <v>80.0503846153846</v>
      </c>
    </row>
    <row r="890" s="2" customFormat="1" spans="1:16">
      <c r="A890" s="82">
        <v>45537</v>
      </c>
      <c r="B890" s="21">
        <v>1755.21</v>
      </c>
      <c r="C890" s="33">
        <v>7488</v>
      </c>
      <c r="D890" s="25">
        <v>561</v>
      </c>
      <c r="E890" s="25">
        <v>0</v>
      </c>
      <c r="F890" s="21">
        <v>0</v>
      </c>
      <c r="G890" s="25">
        <v>34</v>
      </c>
      <c r="H890" s="25">
        <v>2</v>
      </c>
      <c r="I890" s="25">
        <v>4</v>
      </c>
      <c r="J890" s="92">
        <f t="shared" si="127"/>
        <v>0.0749198717948718</v>
      </c>
      <c r="K890" s="93">
        <f t="shared" si="128"/>
        <v>3.12871657754011</v>
      </c>
      <c r="L890" s="94">
        <f t="shared" si="129"/>
        <v>0</v>
      </c>
      <c r="M890" s="92">
        <f t="shared" si="130"/>
        <v>0</v>
      </c>
      <c r="N890" s="46">
        <f t="shared" si="131"/>
        <v>0</v>
      </c>
      <c r="O890" s="46">
        <f t="shared" si="132"/>
        <v>0</v>
      </c>
      <c r="P890" s="93">
        <f t="shared" si="133"/>
        <v>51.6238235294118</v>
      </c>
    </row>
    <row r="891" s="2" customFormat="1" spans="1:16">
      <c r="A891" s="82">
        <v>45538</v>
      </c>
      <c r="B891" s="21">
        <v>1824.71</v>
      </c>
      <c r="C891" s="33">
        <v>8669</v>
      </c>
      <c r="D891" s="25">
        <v>583</v>
      </c>
      <c r="E891" s="25">
        <v>0</v>
      </c>
      <c r="F891" s="21">
        <v>0</v>
      </c>
      <c r="G891" s="25">
        <v>41</v>
      </c>
      <c r="H891" s="25">
        <v>6</v>
      </c>
      <c r="I891" s="25">
        <v>3</v>
      </c>
      <c r="J891" s="92">
        <f t="shared" si="127"/>
        <v>0.0672511246971969</v>
      </c>
      <c r="K891" s="93">
        <f t="shared" si="128"/>
        <v>3.1298627787307</v>
      </c>
      <c r="L891" s="94">
        <f t="shared" si="129"/>
        <v>0</v>
      </c>
      <c r="M891" s="92">
        <f t="shared" si="130"/>
        <v>0</v>
      </c>
      <c r="N891" s="46">
        <f t="shared" si="131"/>
        <v>0</v>
      </c>
      <c r="O891" s="46">
        <f t="shared" si="132"/>
        <v>0</v>
      </c>
      <c r="P891" s="93">
        <f t="shared" si="133"/>
        <v>44.5051219512195</v>
      </c>
    </row>
    <row r="892" s="2" customFormat="1" spans="1:16">
      <c r="A892" s="82">
        <v>45539</v>
      </c>
      <c r="B892" s="21">
        <v>2103.92</v>
      </c>
      <c r="C892" s="33">
        <v>8974</v>
      </c>
      <c r="D892" s="25">
        <v>647</v>
      </c>
      <c r="E892" s="25">
        <v>0</v>
      </c>
      <c r="F892" s="21">
        <v>0</v>
      </c>
      <c r="G892" s="25">
        <v>41</v>
      </c>
      <c r="H892" s="25">
        <v>5</v>
      </c>
      <c r="I892" s="25">
        <v>3</v>
      </c>
      <c r="J892" s="92">
        <f t="shared" si="127"/>
        <v>0.0720971696010698</v>
      </c>
      <c r="K892" s="93">
        <f t="shared" si="128"/>
        <v>3.25180834621329</v>
      </c>
      <c r="L892" s="94">
        <f t="shared" si="129"/>
        <v>0</v>
      </c>
      <c r="M892" s="92">
        <f t="shared" si="130"/>
        <v>0</v>
      </c>
      <c r="N892" s="46">
        <f t="shared" si="131"/>
        <v>0</v>
      </c>
      <c r="O892" s="46">
        <f t="shared" si="132"/>
        <v>0</v>
      </c>
      <c r="P892" s="93">
        <f t="shared" si="133"/>
        <v>51.3151219512195</v>
      </c>
    </row>
    <row r="893" s="2" customFormat="1" spans="1:16">
      <c r="A893" s="82">
        <v>45540</v>
      </c>
      <c r="B893" s="21">
        <v>1906.75</v>
      </c>
      <c r="C893" s="33">
        <v>9070</v>
      </c>
      <c r="D893" s="25">
        <v>611</v>
      </c>
      <c r="E893" s="25">
        <v>0</v>
      </c>
      <c r="F893" s="21">
        <v>0</v>
      </c>
      <c r="G893" s="25">
        <v>30</v>
      </c>
      <c r="H893" s="25">
        <v>2</v>
      </c>
      <c r="I893" s="25">
        <v>4</v>
      </c>
      <c r="J893" s="92">
        <f t="shared" si="127"/>
        <v>0.0673649393605292</v>
      </c>
      <c r="K893" s="93">
        <f t="shared" si="128"/>
        <v>3.12070376432079</v>
      </c>
      <c r="L893" s="94">
        <f t="shared" si="129"/>
        <v>0</v>
      </c>
      <c r="M893" s="92">
        <f t="shared" si="130"/>
        <v>0</v>
      </c>
      <c r="N893" s="46">
        <f t="shared" si="131"/>
        <v>0</v>
      </c>
      <c r="O893" s="46">
        <f t="shared" si="132"/>
        <v>0</v>
      </c>
      <c r="P893" s="93">
        <f t="shared" si="133"/>
        <v>63.5583333333333</v>
      </c>
    </row>
    <row r="894" s="2" customFormat="1" spans="1:16">
      <c r="A894" s="82">
        <v>45541</v>
      </c>
      <c r="B894" s="21">
        <v>1775.77</v>
      </c>
      <c r="C894" s="33">
        <v>8274</v>
      </c>
      <c r="D894" s="25">
        <v>581</v>
      </c>
      <c r="E894" s="25">
        <v>1</v>
      </c>
      <c r="F894" s="21">
        <v>9.9</v>
      </c>
      <c r="G894" s="25">
        <v>25</v>
      </c>
      <c r="H894" s="25">
        <v>2</v>
      </c>
      <c r="I894" s="25">
        <v>7</v>
      </c>
      <c r="J894" s="92">
        <f t="shared" si="127"/>
        <v>0.0702199661590524</v>
      </c>
      <c r="K894" s="93">
        <f t="shared" si="128"/>
        <v>3.05640275387263</v>
      </c>
      <c r="L894" s="94">
        <f t="shared" si="129"/>
        <v>0.00557504631793532</v>
      </c>
      <c r="M894" s="92">
        <f t="shared" si="130"/>
        <v>0.00172117039586919</v>
      </c>
      <c r="N894" s="46">
        <f t="shared" si="131"/>
        <v>9.9</v>
      </c>
      <c r="O894" s="46">
        <f t="shared" si="132"/>
        <v>1775.77</v>
      </c>
      <c r="P894" s="93">
        <f t="shared" si="133"/>
        <v>71.0308</v>
      </c>
    </row>
    <row r="895" s="2" customFormat="1" spans="1:16">
      <c r="A895" s="82">
        <v>45542</v>
      </c>
      <c r="B895" s="21">
        <v>1825.1</v>
      </c>
      <c r="C895" s="33">
        <v>8220</v>
      </c>
      <c r="D895" s="25">
        <v>604</v>
      </c>
      <c r="E895" s="25">
        <v>1</v>
      </c>
      <c r="F895" s="21">
        <v>9.9</v>
      </c>
      <c r="G895" s="25">
        <v>33</v>
      </c>
      <c r="H895" s="25">
        <v>5</v>
      </c>
      <c r="I895" s="25">
        <v>2</v>
      </c>
      <c r="J895" s="92">
        <f t="shared" si="127"/>
        <v>0.0734793187347932</v>
      </c>
      <c r="K895" s="93">
        <f t="shared" si="128"/>
        <v>3.02168874172185</v>
      </c>
      <c r="L895" s="94">
        <f t="shared" si="129"/>
        <v>0.00542436030902416</v>
      </c>
      <c r="M895" s="92">
        <f t="shared" si="130"/>
        <v>0.00165562913907285</v>
      </c>
      <c r="N895" s="46">
        <f t="shared" si="131"/>
        <v>9.9</v>
      </c>
      <c r="O895" s="46">
        <f t="shared" si="132"/>
        <v>1825.1</v>
      </c>
      <c r="P895" s="93">
        <f t="shared" si="133"/>
        <v>55.3060606060606</v>
      </c>
    </row>
    <row r="896" s="2" customFormat="1" spans="1:16">
      <c r="A896" s="82">
        <v>45543</v>
      </c>
      <c r="B896" s="21">
        <v>1192.78</v>
      </c>
      <c r="C896" s="33">
        <v>5075</v>
      </c>
      <c r="D896" s="25">
        <v>382</v>
      </c>
      <c r="E896" s="25">
        <v>0</v>
      </c>
      <c r="F896" s="21">
        <v>0</v>
      </c>
      <c r="G896" s="25">
        <v>13</v>
      </c>
      <c r="H896" s="25">
        <v>1</v>
      </c>
      <c r="I896" s="25">
        <v>1</v>
      </c>
      <c r="J896" s="92">
        <f t="shared" si="127"/>
        <v>0.0752709359605911</v>
      </c>
      <c r="K896" s="93">
        <f t="shared" si="128"/>
        <v>3.12246073298429</v>
      </c>
      <c r="L896" s="94">
        <f t="shared" si="129"/>
        <v>0</v>
      </c>
      <c r="M896" s="92">
        <f t="shared" si="130"/>
        <v>0</v>
      </c>
      <c r="N896" s="46">
        <f t="shared" si="131"/>
        <v>0</v>
      </c>
      <c r="O896" s="46">
        <f t="shared" si="132"/>
        <v>0</v>
      </c>
      <c r="P896" s="93">
        <f t="shared" si="133"/>
        <v>91.7523076923077</v>
      </c>
    </row>
    <row r="897" s="2" customFormat="1" spans="1:16">
      <c r="A897" s="82">
        <v>45544</v>
      </c>
      <c r="B897" s="21">
        <v>1620.53</v>
      </c>
      <c r="C897" s="33">
        <v>6534</v>
      </c>
      <c r="D897" s="25">
        <v>495</v>
      </c>
      <c r="E897" s="25">
        <v>0</v>
      </c>
      <c r="F897" s="21">
        <v>0</v>
      </c>
      <c r="G897" s="25">
        <v>19</v>
      </c>
      <c r="H897" s="25">
        <v>4</v>
      </c>
      <c r="I897" s="25">
        <v>1</v>
      </c>
      <c r="J897" s="92">
        <f t="shared" si="127"/>
        <v>0.0757575757575758</v>
      </c>
      <c r="K897" s="93">
        <f t="shared" si="128"/>
        <v>3.27379797979798</v>
      </c>
      <c r="L897" s="94">
        <f t="shared" si="129"/>
        <v>0</v>
      </c>
      <c r="M897" s="92">
        <f t="shared" si="130"/>
        <v>0</v>
      </c>
      <c r="N897" s="46">
        <f t="shared" si="131"/>
        <v>0</v>
      </c>
      <c r="O897" s="46">
        <f t="shared" si="132"/>
        <v>0</v>
      </c>
      <c r="P897" s="93">
        <f t="shared" si="133"/>
        <v>85.2910526315789</v>
      </c>
    </row>
    <row r="898" s="2" customFormat="1" spans="1:16">
      <c r="A898" s="82">
        <v>45545</v>
      </c>
      <c r="B898" s="21">
        <v>2101.48</v>
      </c>
      <c r="C898" s="33">
        <v>9618</v>
      </c>
      <c r="D898" s="25">
        <v>682</v>
      </c>
      <c r="E898" s="25">
        <v>0</v>
      </c>
      <c r="F898" s="21">
        <v>0</v>
      </c>
      <c r="G898" s="25">
        <v>30</v>
      </c>
      <c r="H898" s="25">
        <v>3</v>
      </c>
      <c r="I898" s="25">
        <v>2</v>
      </c>
      <c r="J898" s="92">
        <f t="shared" si="127"/>
        <v>0.0709087128301102</v>
      </c>
      <c r="K898" s="93">
        <f t="shared" si="128"/>
        <v>3.08134897360704</v>
      </c>
      <c r="L898" s="94">
        <f t="shared" si="129"/>
        <v>0</v>
      </c>
      <c r="M898" s="92">
        <f t="shared" si="130"/>
        <v>0</v>
      </c>
      <c r="N898" s="46">
        <f t="shared" si="131"/>
        <v>0</v>
      </c>
      <c r="O898" s="46">
        <f t="shared" si="132"/>
        <v>0</v>
      </c>
      <c r="P898" s="93">
        <f t="shared" si="133"/>
        <v>70.0493333333333</v>
      </c>
    </row>
    <row r="899" s="2" customFormat="1" spans="1:16">
      <c r="A899" s="82">
        <v>45546</v>
      </c>
      <c r="B899" s="21">
        <v>2750.28</v>
      </c>
      <c r="C899" s="33">
        <v>12658</v>
      </c>
      <c r="D899" s="25">
        <v>859</v>
      </c>
      <c r="E899" s="25">
        <v>1</v>
      </c>
      <c r="F899" s="21">
        <v>9.9</v>
      </c>
      <c r="G899" s="25">
        <v>22</v>
      </c>
      <c r="H899" s="25">
        <v>2</v>
      </c>
      <c r="I899" s="25">
        <v>1</v>
      </c>
      <c r="J899" s="92">
        <f t="shared" si="127"/>
        <v>0.0678622215199874</v>
      </c>
      <c r="K899" s="93">
        <f t="shared" si="128"/>
        <v>3.20172293364377</v>
      </c>
      <c r="L899" s="94">
        <f t="shared" si="129"/>
        <v>0.00359963349186265</v>
      </c>
      <c r="M899" s="92">
        <f t="shared" si="130"/>
        <v>0.00116414435389988</v>
      </c>
      <c r="N899" s="46">
        <f t="shared" si="131"/>
        <v>9.9</v>
      </c>
      <c r="O899" s="46">
        <f t="shared" si="132"/>
        <v>2750.28</v>
      </c>
      <c r="P899" s="93">
        <f t="shared" si="133"/>
        <v>125.012727272727</v>
      </c>
    </row>
    <row r="900" s="2" customFormat="1" spans="1:16">
      <c r="A900" s="82">
        <v>45547</v>
      </c>
      <c r="B900" s="21">
        <v>2562.45</v>
      </c>
      <c r="C900" s="33">
        <v>17201</v>
      </c>
      <c r="D900" s="25">
        <v>889</v>
      </c>
      <c r="E900" s="25">
        <v>2</v>
      </c>
      <c r="F900" s="21">
        <v>10691.9</v>
      </c>
      <c r="G900" s="25">
        <v>37</v>
      </c>
      <c r="H900" s="25">
        <v>8</v>
      </c>
      <c r="I900" s="25">
        <v>8</v>
      </c>
      <c r="J900" s="92">
        <f t="shared" si="127"/>
        <v>0.051683041683623</v>
      </c>
      <c r="K900" s="93">
        <f t="shared" si="128"/>
        <v>2.88239595050619</v>
      </c>
      <c r="L900" s="94">
        <f t="shared" si="129"/>
        <v>4.17253019571114</v>
      </c>
      <c r="M900" s="92">
        <f t="shared" si="130"/>
        <v>0.00224971878515186</v>
      </c>
      <c r="N900" s="46">
        <f t="shared" si="131"/>
        <v>5345.95</v>
      </c>
      <c r="O900" s="46">
        <f t="shared" si="132"/>
        <v>1281.225</v>
      </c>
      <c r="P900" s="93">
        <f t="shared" si="133"/>
        <v>69.2554054054054</v>
      </c>
    </row>
    <row r="901" s="2" customFormat="1" spans="1:16">
      <c r="A901" s="82">
        <v>45548</v>
      </c>
      <c r="B901" s="21">
        <v>2742.49</v>
      </c>
      <c r="C901" s="33">
        <v>19133</v>
      </c>
      <c r="D901" s="25">
        <v>964</v>
      </c>
      <c r="E901" s="25">
        <v>1</v>
      </c>
      <c r="F901" s="21">
        <v>11314</v>
      </c>
      <c r="G901" s="25">
        <v>42</v>
      </c>
      <c r="H901" s="25">
        <v>10</v>
      </c>
      <c r="I901" s="25">
        <v>2</v>
      </c>
      <c r="J901" s="92">
        <f t="shared" si="127"/>
        <v>0.050384153034025</v>
      </c>
      <c r="K901" s="93">
        <f t="shared" si="128"/>
        <v>2.84490663900415</v>
      </c>
      <c r="L901" s="94">
        <f t="shared" si="129"/>
        <v>4.12544804174309</v>
      </c>
      <c r="M901" s="92">
        <f t="shared" si="130"/>
        <v>0.00103734439834025</v>
      </c>
      <c r="N901" s="46">
        <f t="shared" si="131"/>
        <v>11314</v>
      </c>
      <c r="O901" s="46">
        <f t="shared" si="132"/>
        <v>2742.49</v>
      </c>
      <c r="P901" s="93">
        <f t="shared" si="133"/>
        <v>65.2973809523809</v>
      </c>
    </row>
    <row r="902" s="2" customFormat="1" spans="1:16">
      <c r="A902" s="82">
        <v>45549</v>
      </c>
      <c r="B902" s="21">
        <v>2107.72</v>
      </c>
      <c r="C902" s="33">
        <v>17508</v>
      </c>
      <c r="D902" s="25">
        <v>690</v>
      </c>
      <c r="E902" s="25">
        <v>0</v>
      </c>
      <c r="F902" s="21">
        <v>0</v>
      </c>
      <c r="G902" s="25">
        <v>33</v>
      </c>
      <c r="H902" s="25">
        <v>4</v>
      </c>
      <c r="I902" s="25">
        <v>7</v>
      </c>
      <c r="J902" s="92">
        <f t="shared" si="127"/>
        <v>0.0394105551747772</v>
      </c>
      <c r="K902" s="93">
        <f t="shared" si="128"/>
        <v>3.05466666666667</v>
      </c>
      <c r="L902" s="94">
        <f t="shared" si="129"/>
        <v>0</v>
      </c>
      <c r="M902" s="92">
        <f t="shared" si="130"/>
        <v>0</v>
      </c>
      <c r="N902" s="46">
        <f t="shared" si="131"/>
        <v>0</v>
      </c>
      <c r="O902" s="46">
        <f t="shared" si="132"/>
        <v>0</v>
      </c>
      <c r="P902" s="93">
        <f t="shared" si="133"/>
        <v>63.870303030303</v>
      </c>
    </row>
    <row r="903" s="2" customFormat="1" spans="1:16">
      <c r="A903" s="82">
        <v>45550</v>
      </c>
      <c r="B903" s="21">
        <v>2053.54</v>
      </c>
      <c r="C903" s="33">
        <v>16417</v>
      </c>
      <c r="D903" s="25">
        <v>679</v>
      </c>
      <c r="E903" s="25">
        <v>0</v>
      </c>
      <c r="F903" s="21">
        <v>0</v>
      </c>
      <c r="G903" s="25">
        <v>32</v>
      </c>
      <c r="H903" s="25">
        <v>5</v>
      </c>
      <c r="I903" s="25">
        <v>2</v>
      </c>
      <c r="J903" s="92">
        <f t="shared" si="127"/>
        <v>0.0413595663032223</v>
      </c>
      <c r="K903" s="93">
        <f t="shared" si="128"/>
        <v>3.02435935198822</v>
      </c>
      <c r="L903" s="94">
        <f t="shared" si="129"/>
        <v>0</v>
      </c>
      <c r="M903" s="92">
        <f t="shared" si="130"/>
        <v>0</v>
      </c>
      <c r="N903" s="46">
        <f t="shared" si="131"/>
        <v>0</v>
      </c>
      <c r="O903" s="46">
        <f t="shared" si="132"/>
        <v>0</v>
      </c>
      <c r="P903" s="93">
        <f t="shared" si="133"/>
        <v>64.173125</v>
      </c>
    </row>
    <row r="904" s="2" customFormat="1" spans="1:16">
      <c r="A904" s="82">
        <v>45551</v>
      </c>
      <c r="B904" s="21">
        <v>2634.36</v>
      </c>
      <c r="C904" s="33">
        <v>15407</v>
      </c>
      <c r="D904" s="25">
        <v>822</v>
      </c>
      <c r="E904" s="25">
        <v>0</v>
      </c>
      <c r="F904" s="21">
        <v>0</v>
      </c>
      <c r="G904" s="25">
        <v>24</v>
      </c>
      <c r="H904" s="25">
        <v>4</v>
      </c>
      <c r="I904" s="25">
        <v>7</v>
      </c>
      <c r="J904" s="92">
        <f t="shared" si="127"/>
        <v>0.053352372298306</v>
      </c>
      <c r="K904" s="93">
        <f t="shared" si="128"/>
        <v>3.20481751824818</v>
      </c>
      <c r="L904" s="94">
        <f t="shared" si="129"/>
        <v>0</v>
      </c>
      <c r="M904" s="92">
        <f t="shared" si="130"/>
        <v>0</v>
      </c>
      <c r="N904" s="46">
        <f t="shared" si="131"/>
        <v>0</v>
      </c>
      <c r="O904" s="46">
        <f t="shared" si="132"/>
        <v>0</v>
      </c>
      <c r="P904" s="93">
        <f t="shared" si="133"/>
        <v>109.765</v>
      </c>
    </row>
    <row r="905" s="2" customFormat="1" spans="1:16">
      <c r="A905" s="82">
        <v>45552</v>
      </c>
      <c r="B905" s="21">
        <v>2969.97</v>
      </c>
      <c r="C905" s="33">
        <v>16935</v>
      </c>
      <c r="D905" s="25">
        <v>938</v>
      </c>
      <c r="E905" s="25">
        <v>0</v>
      </c>
      <c r="F905" s="21">
        <v>0</v>
      </c>
      <c r="G905" s="25">
        <v>20</v>
      </c>
      <c r="H905" s="25">
        <v>5</v>
      </c>
      <c r="I905" s="25">
        <v>2</v>
      </c>
      <c r="J905" s="92">
        <f t="shared" si="127"/>
        <v>0.055388249188072</v>
      </c>
      <c r="K905" s="93">
        <f t="shared" si="128"/>
        <v>3.16627931769723</v>
      </c>
      <c r="L905" s="94">
        <f t="shared" si="129"/>
        <v>0</v>
      </c>
      <c r="M905" s="92">
        <f t="shared" si="130"/>
        <v>0</v>
      </c>
      <c r="N905" s="46">
        <f t="shared" si="131"/>
        <v>0</v>
      </c>
      <c r="O905" s="46">
        <f t="shared" si="132"/>
        <v>0</v>
      </c>
      <c r="P905" s="93">
        <f t="shared" si="133"/>
        <v>148.4985</v>
      </c>
    </row>
    <row r="906" s="2" customFormat="1" spans="1:16">
      <c r="A906" s="82">
        <v>45553</v>
      </c>
      <c r="B906" s="21">
        <v>2800.95</v>
      </c>
      <c r="C906" s="33">
        <v>18160</v>
      </c>
      <c r="D906" s="25">
        <v>902</v>
      </c>
      <c r="E906" s="25">
        <v>0</v>
      </c>
      <c r="F906" s="21">
        <v>0</v>
      </c>
      <c r="G906" s="25">
        <v>38</v>
      </c>
      <c r="H906" s="25">
        <v>1</v>
      </c>
      <c r="I906" s="25">
        <v>7</v>
      </c>
      <c r="J906" s="92">
        <f t="shared" si="127"/>
        <v>0.0496696035242291</v>
      </c>
      <c r="K906" s="93">
        <f t="shared" si="128"/>
        <v>3.10526607538803</v>
      </c>
      <c r="L906" s="94">
        <f t="shared" si="129"/>
        <v>0</v>
      </c>
      <c r="M906" s="92">
        <f t="shared" si="130"/>
        <v>0</v>
      </c>
      <c r="N906" s="46">
        <f t="shared" si="131"/>
        <v>0</v>
      </c>
      <c r="O906" s="46">
        <f t="shared" si="132"/>
        <v>0</v>
      </c>
      <c r="P906" s="93">
        <f t="shared" si="133"/>
        <v>73.7092105263158</v>
      </c>
    </row>
    <row r="907" s="2" customFormat="1" spans="1:16">
      <c r="A907" s="82">
        <v>45554</v>
      </c>
      <c r="B907" s="21">
        <v>2656.44</v>
      </c>
      <c r="C907" s="33">
        <v>17093</v>
      </c>
      <c r="D907" s="25">
        <v>848</v>
      </c>
      <c r="E907" s="25">
        <v>1</v>
      </c>
      <c r="F907" s="21">
        <v>11842</v>
      </c>
      <c r="G907" s="25">
        <v>36</v>
      </c>
      <c r="H907" s="25">
        <v>6</v>
      </c>
      <c r="I907" s="25">
        <v>1</v>
      </c>
      <c r="J907" s="92">
        <f t="shared" si="127"/>
        <v>0.0496109518516352</v>
      </c>
      <c r="K907" s="93">
        <f t="shared" si="128"/>
        <v>3.13259433962264</v>
      </c>
      <c r="L907" s="94">
        <f t="shared" si="129"/>
        <v>4.45784583879177</v>
      </c>
      <c r="M907" s="92">
        <f t="shared" si="130"/>
        <v>0.00117924528301887</v>
      </c>
      <c r="N907" s="46">
        <f t="shared" si="131"/>
        <v>11842</v>
      </c>
      <c r="O907" s="46">
        <f t="shared" si="132"/>
        <v>2656.44</v>
      </c>
      <c r="P907" s="93">
        <f t="shared" si="133"/>
        <v>73.79</v>
      </c>
    </row>
    <row r="908" s="2" customFormat="1" spans="1:16">
      <c r="A908" s="82">
        <v>45555</v>
      </c>
      <c r="B908" s="21">
        <v>2937.06</v>
      </c>
      <c r="C908" s="33">
        <v>18013</v>
      </c>
      <c r="D908" s="25">
        <v>936</v>
      </c>
      <c r="E908" s="25">
        <v>0</v>
      </c>
      <c r="F908" s="21">
        <v>0</v>
      </c>
      <c r="G908" s="25">
        <v>29</v>
      </c>
      <c r="H908" s="25">
        <v>3</v>
      </c>
      <c r="I908" s="25">
        <v>2</v>
      </c>
      <c r="J908" s="92">
        <f t="shared" si="127"/>
        <v>0.0519624715483262</v>
      </c>
      <c r="K908" s="93">
        <f t="shared" si="128"/>
        <v>3.13788461538462</v>
      </c>
      <c r="L908" s="94">
        <f t="shared" si="129"/>
        <v>0</v>
      </c>
      <c r="M908" s="92">
        <f t="shared" si="130"/>
        <v>0</v>
      </c>
      <c r="N908" s="46">
        <f t="shared" si="131"/>
        <v>0</v>
      </c>
      <c r="O908" s="46">
        <f t="shared" si="132"/>
        <v>0</v>
      </c>
      <c r="P908" s="93">
        <f t="shared" si="133"/>
        <v>101.277931034483</v>
      </c>
    </row>
    <row r="909" s="2" customFormat="1" spans="1:16">
      <c r="A909" s="82">
        <v>45556</v>
      </c>
      <c r="B909" s="21">
        <v>2726.35</v>
      </c>
      <c r="C909" s="33">
        <v>17296</v>
      </c>
      <c r="D909" s="25">
        <v>826</v>
      </c>
      <c r="E909" s="25">
        <v>0</v>
      </c>
      <c r="F909" s="21">
        <v>0</v>
      </c>
      <c r="G909" s="25">
        <v>31</v>
      </c>
      <c r="H909" s="25">
        <v>5</v>
      </c>
      <c r="I909" s="25">
        <v>4</v>
      </c>
      <c r="J909" s="92">
        <f t="shared" si="127"/>
        <v>0.0477567067530065</v>
      </c>
      <c r="K909" s="93">
        <f t="shared" si="128"/>
        <v>3.30066585956416</v>
      </c>
      <c r="L909" s="94">
        <f t="shared" si="129"/>
        <v>0</v>
      </c>
      <c r="M909" s="92">
        <f t="shared" si="130"/>
        <v>0</v>
      </c>
      <c r="N909" s="46">
        <f t="shared" si="131"/>
        <v>0</v>
      </c>
      <c r="O909" s="46">
        <f t="shared" si="132"/>
        <v>0</v>
      </c>
      <c r="P909" s="93">
        <f t="shared" si="133"/>
        <v>87.9467741935484</v>
      </c>
    </row>
    <row r="910" s="2" customFormat="1" spans="1:16">
      <c r="A910" s="82">
        <v>45557</v>
      </c>
      <c r="B910" s="21">
        <v>1847.07</v>
      </c>
      <c r="C910" s="33">
        <v>11680</v>
      </c>
      <c r="D910" s="25">
        <v>573</v>
      </c>
      <c r="E910" s="25">
        <v>1</v>
      </c>
      <c r="F910" s="21">
        <v>10514</v>
      </c>
      <c r="G910" s="25">
        <v>25</v>
      </c>
      <c r="H910" s="25">
        <v>6</v>
      </c>
      <c r="I910" s="25">
        <v>3</v>
      </c>
      <c r="J910" s="92">
        <f t="shared" si="127"/>
        <v>0.0490582191780822</v>
      </c>
      <c r="K910" s="93">
        <f t="shared" si="128"/>
        <v>3.22350785340314</v>
      </c>
      <c r="L910" s="94">
        <f t="shared" si="129"/>
        <v>5.69225855002788</v>
      </c>
      <c r="M910" s="92">
        <f t="shared" si="130"/>
        <v>0.00174520069808028</v>
      </c>
      <c r="N910" s="46">
        <f t="shared" si="131"/>
        <v>10514</v>
      </c>
      <c r="O910" s="46">
        <f t="shared" si="132"/>
        <v>1847.07</v>
      </c>
      <c r="P910" s="93">
        <f t="shared" si="133"/>
        <v>73.8828</v>
      </c>
    </row>
    <row r="911" s="2" customFormat="1" spans="1:16">
      <c r="A911" s="82">
        <v>45558</v>
      </c>
      <c r="B911" s="21">
        <v>1559.42</v>
      </c>
      <c r="C911" s="33">
        <v>9965</v>
      </c>
      <c r="D911" s="25">
        <v>469</v>
      </c>
      <c r="E911" s="25">
        <v>0</v>
      </c>
      <c r="F911" s="21">
        <v>0</v>
      </c>
      <c r="G911" s="25">
        <v>19</v>
      </c>
      <c r="H911" s="25">
        <v>4</v>
      </c>
      <c r="I911" s="25">
        <v>3</v>
      </c>
      <c r="J911" s="92">
        <f t="shared" si="127"/>
        <v>0.0470647265429001</v>
      </c>
      <c r="K911" s="93">
        <f t="shared" si="128"/>
        <v>3.32498933901919</v>
      </c>
      <c r="L911" s="94">
        <f t="shared" si="129"/>
        <v>0</v>
      </c>
      <c r="M911" s="92">
        <f t="shared" si="130"/>
        <v>0</v>
      </c>
      <c r="N911" s="46">
        <f t="shared" si="131"/>
        <v>0</v>
      </c>
      <c r="O911" s="46">
        <f t="shared" si="132"/>
        <v>0</v>
      </c>
      <c r="P911" s="93">
        <f t="shared" si="133"/>
        <v>82.0747368421053</v>
      </c>
    </row>
    <row r="912" s="2" customFormat="1" spans="1:16">
      <c r="A912" s="82">
        <v>45559</v>
      </c>
      <c r="B912" s="21">
        <v>1812.89</v>
      </c>
      <c r="C912" s="33">
        <v>12403</v>
      </c>
      <c r="D912" s="25">
        <v>550</v>
      </c>
      <c r="E912" s="25">
        <v>0</v>
      </c>
      <c r="F912" s="21">
        <v>0</v>
      </c>
      <c r="G912" s="25">
        <v>15</v>
      </c>
      <c r="H912" s="25">
        <v>8</v>
      </c>
      <c r="I912" s="25">
        <v>3</v>
      </c>
      <c r="J912" s="92">
        <f t="shared" si="127"/>
        <v>0.0443441102958962</v>
      </c>
      <c r="K912" s="93">
        <f t="shared" si="128"/>
        <v>3.29616363636364</v>
      </c>
      <c r="L912" s="94">
        <f t="shared" si="129"/>
        <v>0</v>
      </c>
      <c r="M912" s="92">
        <f t="shared" si="130"/>
        <v>0</v>
      </c>
      <c r="N912" s="46">
        <f t="shared" si="131"/>
        <v>0</v>
      </c>
      <c r="O912" s="46">
        <f t="shared" si="132"/>
        <v>0</v>
      </c>
      <c r="P912" s="93">
        <f t="shared" si="133"/>
        <v>120.859333333333</v>
      </c>
    </row>
    <row r="913" s="2" customFormat="1" customHeight="1" spans="1:16">
      <c r="A913" s="82">
        <v>45560</v>
      </c>
      <c r="B913" s="21">
        <v>1674.32</v>
      </c>
      <c r="C913" s="33">
        <v>13103</v>
      </c>
      <c r="D913" s="25">
        <v>506</v>
      </c>
      <c r="E913" s="25">
        <v>0</v>
      </c>
      <c r="F913" s="21">
        <v>0</v>
      </c>
      <c r="G913" s="25">
        <v>12</v>
      </c>
      <c r="H913" s="25">
        <v>4</v>
      </c>
      <c r="I913" s="25">
        <v>4</v>
      </c>
      <c r="J913" s="92">
        <f t="shared" si="127"/>
        <v>0.0386171105853621</v>
      </c>
      <c r="K913" s="93">
        <f t="shared" si="128"/>
        <v>3.30893280632411</v>
      </c>
      <c r="L913" s="94">
        <f t="shared" si="129"/>
        <v>0</v>
      </c>
      <c r="M913" s="92">
        <f t="shared" si="130"/>
        <v>0</v>
      </c>
      <c r="N913" s="46">
        <f t="shared" si="131"/>
        <v>0</v>
      </c>
      <c r="O913" s="46">
        <f t="shared" si="132"/>
        <v>0</v>
      </c>
      <c r="P913" s="93">
        <f t="shared" si="133"/>
        <v>139.526666666667</v>
      </c>
    </row>
    <row r="914" s="2" customFormat="1" spans="1:16">
      <c r="A914" s="82">
        <v>45561</v>
      </c>
      <c r="B914" s="21">
        <v>1661.57</v>
      </c>
      <c r="C914" s="33">
        <v>11968</v>
      </c>
      <c r="D914" s="25">
        <v>543</v>
      </c>
      <c r="E914" s="25">
        <v>0</v>
      </c>
      <c r="F914" s="21">
        <v>0</v>
      </c>
      <c r="G914" s="25">
        <v>17</v>
      </c>
      <c r="H914" s="25">
        <v>6</v>
      </c>
      <c r="I914" s="25">
        <v>0</v>
      </c>
      <c r="J914" s="92">
        <f t="shared" si="127"/>
        <v>0.0453709893048128</v>
      </c>
      <c r="K914" s="93">
        <f t="shared" si="128"/>
        <v>3.05998158379374</v>
      </c>
      <c r="L914" s="94">
        <f t="shared" si="129"/>
        <v>0</v>
      </c>
      <c r="M914" s="92">
        <f t="shared" si="130"/>
        <v>0</v>
      </c>
      <c r="N914" s="46">
        <f t="shared" si="131"/>
        <v>0</v>
      </c>
      <c r="O914" s="46">
        <f t="shared" si="132"/>
        <v>0</v>
      </c>
      <c r="P914" s="93">
        <f t="shared" si="133"/>
        <v>97.7394117647059</v>
      </c>
    </row>
    <row r="915" s="2" customFormat="1" spans="1:16">
      <c r="A915" s="82">
        <v>45562</v>
      </c>
      <c r="B915" s="21">
        <v>1830.47</v>
      </c>
      <c r="C915" s="33">
        <v>11536</v>
      </c>
      <c r="D915" s="25">
        <v>574</v>
      </c>
      <c r="E915" s="25">
        <v>3</v>
      </c>
      <c r="F915" s="21">
        <v>34762</v>
      </c>
      <c r="G915" s="25">
        <v>22</v>
      </c>
      <c r="H915" s="25">
        <v>11</v>
      </c>
      <c r="I915" s="25">
        <v>6</v>
      </c>
      <c r="J915" s="92">
        <f t="shared" si="127"/>
        <v>0.0497572815533981</v>
      </c>
      <c r="K915" s="93">
        <f t="shared" si="128"/>
        <v>3.18897212543554</v>
      </c>
      <c r="L915" s="94">
        <f t="shared" si="129"/>
        <v>18.9907510093036</v>
      </c>
      <c r="M915" s="92">
        <f t="shared" si="130"/>
        <v>0.00522648083623693</v>
      </c>
      <c r="N915" s="46">
        <f t="shared" si="131"/>
        <v>11587.3333333333</v>
      </c>
      <c r="O915" s="46">
        <f t="shared" si="132"/>
        <v>610.156666666667</v>
      </c>
      <c r="P915" s="93">
        <f t="shared" si="133"/>
        <v>83.2031818181818</v>
      </c>
    </row>
    <row r="916" s="2" customFormat="1" spans="1:16">
      <c r="A916" s="82">
        <v>45563</v>
      </c>
      <c r="B916" s="21">
        <v>1715.86</v>
      </c>
      <c r="C916" s="33">
        <v>13629</v>
      </c>
      <c r="D916" s="25">
        <v>523</v>
      </c>
      <c r="E916" s="25">
        <v>0</v>
      </c>
      <c r="F916" s="21">
        <v>0</v>
      </c>
      <c r="G916" s="25">
        <v>14</v>
      </c>
      <c r="H916" s="25">
        <v>2</v>
      </c>
      <c r="I916" s="25">
        <v>2</v>
      </c>
      <c r="J916" s="92">
        <f t="shared" si="127"/>
        <v>0.0383740553232079</v>
      </c>
      <c r="K916" s="93">
        <f t="shared" si="128"/>
        <v>3.28080305927342</v>
      </c>
      <c r="L916" s="94">
        <f t="shared" si="129"/>
        <v>0</v>
      </c>
      <c r="M916" s="92">
        <f t="shared" si="130"/>
        <v>0</v>
      </c>
      <c r="N916" s="46">
        <f t="shared" si="131"/>
        <v>0</v>
      </c>
      <c r="O916" s="46">
        <f t="shared" si="132"/>
        <v>0</v>
      </c>
      <c r="P916" s="93">
        <f t="shared" si="133"/>
        <v>122.561428571429</v>
      </c>
    </row>
    <row r="917" s="2" customFormat="1" spans="1:16">
      <c r="A917" s="82">
        <v>45564</v>
      </c>
      <c r="B917" s="21">
        <v>1858.77</v>
      </c>
      <c r="C917" s="33">
        <v>13345</v>
      </c>
      <c r="D917" s="25">
        <v>576</v>
      </c>
      <c r="E917" s="25">
        <v>0</v>
      </c>
      <c r="F917" s="21">
        <v>0</v>
      </c>
      <c r="G917" s="25">
        <v>32</v>
      </c>
      <c r="H917" s="25">
        <v>2</v>
      </c>
      <c r="I917" s="25">
        <v>2</v>
      </c>
      <c r="J917" s="92">
        <f t="shared" si="127"/>
        <v>0.0431622330460847</v>
      </c>
      <c r="K917" s="93">
        <f t="shared" si="128"/>
        <v>3.22703125</v>
      </c>
      <c r="L917" s="94">
        <f t="shared" si="129"/>
        <v>0</v>
      </c>
      <c r="M917" s="92">
        <f t="shared" si="130"/>
        <v>0</v>
      </c>
      <c r="N917" s="46">
        <f t="shared" si="131"/>
        <v>0</v>
      </c>
      <c r="O917" s="46">
        <f t="shared" si="132"/>
        <v>0</v>
      </c>
      <c r="P917" s="93">
        <f t="shared" si="133"/>
        <v>58.0865625</v>
      </c>
    </row>
    <row r="918" s="2" customFormat="1" spans="1:16">
      <c r="A918" s="82">
        <v>45565</v>
      </c>
      <c r="B918" s="21">
        <v>1582.83</v>
      </c>
      <c r="C918" s="33">
        <v>15559</v>
      </c>
      <c r="D918" s="25">
        <v>469</v>
      </c>
      <c r="E918" s="25">
        <v>0</v>
      </c>
      <c r="F918" s="21">
        <v>0</v>
      </c>
      <c r="G918" s="25">
        <v>18</v>
      </c>
      <c r="H918" s="25">
        <v>6</v>
      </c>
      <c r="I918" s="25">
        <v>2</v>
      </c>
      <c r="J918" s="92">
        <f t="shared" si="127"/>
        <v>0.0301433254065171</v>
      </c>
      <c r="K918" s="93">
        <f t="shared" si="128"/>
        <v>3.37490405117271</v>
      </c>
      <c r="L918" s="94">
        <f t="shared" si="129"/>
        <v>0</v>
      </c>
      <c r="M918" s="92">
        <f t="shared" si="130"/>
        <v>0</v>
      </c>
      <c r="N918" s="46">
        <f t="shared" si="131"/>
        <v>0</v>
      </c>
      <c r="O918" s="46">
        <f t="shared" si="132"/>
        <v>0</v>
      </c>
      <c r="P918" s="93">
        <f t="shared" si="133"/>
        <v>87.935</v>
      </c>
    </row>
    <row r="919" s="2" customFormat="1" spans="1:16">
      <c r="A919" s="82">
        <v>45566</v>
      </c>
      <c r="B919" s="21">
        <v>1821.59</v>
      </c>
      <c r="C919" s="33">
        <v>17053</v>
      </c>
      <c r="D919" s="25">
        <v>562</v>
      </c>
      <c r="E919" s="25">
        <v>0</v>
      </c>
      <c r="F919" s="21">
        <v>0</v>
      </c>
      <c r="G919" s="25">
        <v>17</v>
      </c>
      <c r="H919" s="25">
        <v>4</v>
      </c>
      <c r="I919" s="25">
        <v>1</v>
      </c>
      <c r="J919" s="92">
        <f t="shared" si="127"/>
        <v>0.0329560781094236</v>
      </c>
      <c r="K919" s="93">
        <f t="shared" si="128"/>
        <v>3.24126334519573</v>
      </c>
      <c r="L919" s="94">
        <f t="shared" si="129"/>
        <v>0</v>
      </c>
      <c r="M919" s="92">
        <f t="shared" si="130"/>
        <v>0</v>
      </c>
      <c r="N919" s="46">
        <f t="shared" si="131"/>
        <v>0</v>
      </c>
      <c r="O919" s="46">
        <f t="shared" si="132"/>
        <v>0</v>
      </c>
      <c r="P919" s="93">
        <f t="shared" si="133"/>
        <v>107.152352941176</v>
      </c>
    </row>
    <row r="920" s="2" customFormat="1" spans="1:16">
      <c r="A920" s="82">
        <v>45567</v>
      </c>
      <c r="B920" s="21">
        <v>1799.71</v>
      </c>
      <c r="C920" s="33">
        <v>13157</v>
      </c>
      <c r="D920" s="25">
        <v>499</v>
      </c>
      <c r="E920" s="25">
        <v>4</v>
      </c>
      <c r="F920" s="21">
        <v>62757</v>
      </c>
      <c r="G920" s="25">
        <v>38</v>
      </c>
      <c r="H920" s="25">
        <v>1</v>
      </c>
      <c r="I920" s="25">
        <v>4</v>
      </c>
      <c r="J920" s="92">
        <f t="shared" si="127"/>
        <v>0.0379265790073725</v>
      </c>
      <c r="K920" s="93">
        <f t="shared" si="128"/>
        <v>3.60663326653307</v>
      </c>
      <c r="L920" s="94">
        <f t="shared" si="129"/>
        <v>34.8706180440182</v>
      </c>
      <c r="M920" s="92">
        <f t="shared" si="130"/>
        <v>0.00801603206412826</v>
      </c>
      <c r="N920" s="46">
        <f t="shared" si="131"/>
        <v>15689.25</v>
      </c>
      <c r="O920" s="46">
        <f t="shared" si="132"/>
        <v>449.9275</v>
      </c>
      <c r="P920" s="93">
        <f t="shared" si="133"/>
        <v>47.3607894736842</v>
      </c>
    </row>
    <row r="921" s="2" customFormat="1" spans="1:16">
      <c r="A921" s="82">
        <v>45568</v>
      </c>
      <c r="B921" s="21">
        <v>1702.14</v>
      </c>
      <c r="C921" s="33">
        <v>15299</v>
      </c>
      <c r="D921" s="25">
        <v>504</v>
      </c>
      <c r="E921" s="25">
        <v>0</v>
      </c>
      <c r="F921" s="21">
        <v>0</v>
      </c>
      <c r="G921" s="25">
        <v>35</v>
      </c>
      <c r="H921" s="25">
        <v>5</v>
      </c>
      <c r="I921" s="25">
        <v>4</v>
      </c>
      <c r="J921" s="92">
        <f t="shared" si="127"/>
        <v>0.0329433296293875</v>
      </c>
      <c r="K921" s="93">
        <f t="shared" si="128"/>
        <v>3.3772619047619</v>
      </c>
      <c r="L921" s="94">
        <f t="shared" si="129"/>
        <v>0</v>
      </c>
      <c r="M921" s="92">
        <f t="shared" si="130"/>
        <v>0</v>
      </c>
      <c r="N921" s="46">
        <f t="shared" si="131"/>
        <v>0</v>
      </c>
      <c r="O921" s="46">
        <f t="shared" si="132"/>
        <v>0</v>
      </c>
      <c r="P921" s="93">
        <f t="shared" si="133"/>
        <v>48.6325714285714</v>
      </c>
    </row>
    <row r="922" s="2" customFormat="1" spans="1:16">
      <c r="A922" s="82">
        <v>45569</v>
      </c>
      <c r="B922" s="21">
        <v>1780.31</v>
      </c>
      <c r="C922" s="33">
        <v>13486</v>
      </c>
      <c r="D922" s="25">
        <v>541</v>
      </c>
      <c r="E922" s="25">
        <v>0</v>
      </c>
      <c r="F922" s="21">
        <v>0</v>
      </c>
      <c r="G922" s="25">
        <v>15</v>
      </c>
      <c r="H922" s="25">
        <v>10</v>
      </c>
      <c r="I922" s="25">
        <v>4</v>
      </c>
      <c r="J922" s="92">
        <f t="shared" si="127"/>
        <v>0.0401156755153493</v>
      </c>
      <c r="K922" s="93">
        <f t="shared" si="128"/>
        <v>3.29077634011091</v>
      </c>
      <c r="L922" s="94">
        <f t="shared" si="129"/>
        <v>0</v>
      </c>
      <c r="M922" s="92">
        <f t="shared" si="130"/>
        <v>0</v>
      </c>
      <c r="N922" s="46">
        <f t="shared" si="131"/>
        <v>0</v>
      </c>
      <c r="O922" s="46">
        <f t="shared" si="132"/>
        <v>0</v>
      </c>
      <c r="P922" s="93">
        <f t="shared" si="133"/>
        <v>118.687333333333</v>
      </c>
    </row>
    <row r="923" s="2" customFormat="1" spans="1:16">
      <c r="A923" s="82">
        <v>45570</v>
      </c>
      <c r="B923" s="21">
        <v>1633.34</v>
      </c>
      <c r="C923" s="33">
        <v>12900</v>
      </c>
      <c r="D923" s="25">
        <v>492</v>
      </c>
      <c r="E923" s="25">
        <v>0</v>
      </c>
      <c r="F923" s="21">
        <v>0</v>
      </c>
      <c r="G923" s="25">
        <v>17</v>
      </c>
      <c r="H923" s="25">
        <v>9</v>
      </c>
      <c r="I923" s="25">
        <v>2</v>
      </c>
      <c r="J923" s="92">
        <f t="shared" si="127"/>
        <v>0.0381395348837209</v>
      </c>
      <c r="K923" s="93">
        <f t="shared" si="128"/>
        <v>3.31979674796748</v>
      </c>
      <c r="L923" s="94">
        <f t="shared" si="129"/>
        <v>0</v>
      </c>
      <c r="M923" s="92">
        <f t="shared" si="130"/>
        <v>0</v>
      </c>
      <c r="N923" s="46">
        <f t="shared" si="131"/>
        <v>0</v>
      </c>
      <c r="O923" s="46">
        <f t="shared" si="132"/>
        <v>0</v>
      </c>
      <c r="P923" s="93">
        <f t="shared" si="133"/>
        <v>96.0788235294118</v>
      </c>
    </row>
    <row r="924" s="2" customFormat="1" spans="1:16">
      <c r="A924" s="82">
        <v>45571</v>
      </c>
      <c r="B924" s="21">
        <v>1751.51</v>
      </c>
      <c r="C924" s="33">
        <v>10096</v>
      </c>
      <c r="D924" s="25">
        <v>516</v>
      </c>
      <c r="E924" s="25">
        <v>0</v>
      </c>
      <c r="F924" s="21">
        <v>0</v>
      </c>
      <c r="G924" s="25">
        <v>36</v>
      </c>
      <c r="H924" s="25">
        <v>11</v>
      </c>
      <c r="I924" s="25">
        <v>4</v>
      </c>
      <c r="J924" s="92">
        <f t="shared" si="127"/>
        <v>0.0511093502377179</v>
      </c>
      <c r="K924" s="93">
        <f t="shared" si="128"/>
        <v>3.3943992248062</v>
      </c>
      <c r="L924" s="94">
        <f t="shared" si="129"/>
        <v>0</v>
      </c>
      <c r="M924" s="92">
        <f t="shared" si="130"/>
        <v>0</v>
      </c>
      <c r="N924" s="46">
        <f t="shared" si="131"/>
        <v>0</v>
      </c>
      <c r="O924" s="46">
        <f t="shared" si="132"/>
        <v>0</v>
      </c>
      <c r="P924" s="93">
        <f t="shared" si="133"/>
        <v>48.6530555555556</v>
      </c>
    </row>
    <row r="925" s="2" customFormat="1" spans="1:16">
      <c r="A925" s="82">
        <v>45572</v>
      </c>
      <c r="B925" s="21">
        <v>1768.65</v>
      </c>
      <c r="C925" s="33">
        <v>9127</v>
      </c>
      <c r="D925" s="25">
        <v>546</v>
      </c>
      <c r="E925" s="25">
        <v>0</v>
      </c>
      <c r="F925" s="21">
        <v>0</v>
      </c>
      <c r="G925" s="25">
        <v>37</v>
      </c>
      <c r="H925" s="25">
        <v>9</v>
      </c>
      <c r="I925" s="25">
        <v>5</v>
      </c>
      <c r="J925" s="92">
        <f t="shared" si="127"/>
        <v>0.0598225046565136</v>
      </c>
      <c r="K925" s="93">
        <f t="shared" si="128"/>
        <v>3.23928571428571</v>
      </c>
      <c r="L925" s="94">
        <f t="shared" si="129"/>
        <v>0</v>
      </c>
      <c r="M925" s="92">
        <f t="shared" si="130"/>
        <v>0</v>
      </c>
      <c r="N925" s="46">
        <f t="shared" si="131"/>
        <v>0</v>
      </c>
      <c r="O925" s="46">
        <f t="shared" si="132"/>
        <v>0</v>
      </c>
      <c r="P925" s="93">
        <f t="shared" si="133"/>
        <v>47.8013513513514</v>
      </c>
    </row>
    <row r="926" s="2" customFormat="1" spans="1:16">
      <c r="A926" s="82">
        <v>45573</v>
      </c>
      <c r="B926" s="21">
        <v>1745.28</v>
      </c>
      <c r="C926" s="33">
        <v>9722</v>
      </c>
      <c r="D926" s="25">
        <v>528</v>
      </c>
      <c r="E926" s="25">
        <v>0</v>
      </c>
      <c r="F926" s="21">
        <v>0</v>
      </c>
      <c r="G926" s="25">
        <v>43</v>
      </c>
      <c r="H926" s="25">
        <v>5</v>
      </c>
      <c r="I926" s="25">
        <v>5</v>
      </c>
      <c r="J926" s="92">
        <f t="shared" si="127"/>
        <v>0.054309812795721</v>
      </c>
      <c r="K926" s="93">
        <f t="shared" si="128"/>
        <v>3.30545454545455</v>
      </c>
      <c r="L926" s="94">
        <f t="shared" si="129"/>
        <v>0</v>
      </c>
      <c r="M926" s="92">
        <f t="shared" si="130"/>
        <v>0</v>
      </c>
      <c r="N926" s="46">
        <f t="shared" si="131"/>
        <v>0</v>
      </c>
      <c r="O926" s="46">
        <f t="shared" si="132"/>
        <v>0</v>
      </c>
      <c r="P926" s="93">
        <f t="shared" si="133"/>
        <v>40.5879069767442</v>
      </c>
    </row>
    <row r="927" s="2" customFormat="1" spans="1:16">
      <c r="A927" s="82">
        <v>45574</v>
      </c>
      <c r="B927" s="21">
        <v>1294.49</v>
      </c>
      <c r="C927" s="33">
        <v>5497</v>
      </c>
      <c r="D927" s="25">
        <v>382</v>
      </c>
      <c r="E927" s="25">
        <v>0</v>
      </c>
      <c r="F927" s="21">
        <v>0</v>
      </c>
      <c r="G927" s="25">
        <v>27</v>
      </c>
      <c r="H927" s="25">
        <v>3</v>
      </c>
      <c r="I927" s="25">
        <v>0</v>
      </c>
      <c r="J927" s="92">
        <f t="shared" si="127"/>
        <v>0.0694924504275059</v>
      </c>
      <c r="K927" s="93">
        <f t="shared" si="128"/>
        <v>3.38871727748691</v>
      </c>
      <c r="L927" s="94">
        <f t="shared" si="129"/>
        <v>0</v>
      </c>
      <c r="M927" s="92">
        <f t="shared" si="130"/>
        <v>0</v>
      </c>
      <c r="N927" s="46">
        <f t="shared" si="131"/>
        <v>0</v>
      </c>
      <c r="O927" s="46">
        <f t="shared" si="132"/>
        <v>0</v>
      </c>
      <c r="P927" s="93">
        <f t="shared" si="133"/>
        <v>47.9440740740741</v>
      </c>
    </row>
    <row r="928" s="2" customFormat="1" spans="1:16">
      <c r="A928" s="82">
        <v>45575</v>
      </c>
      <c r="B928" s="21">
        <v>1798.66</v>
      </c>
      <c r="C928" s="33">
        <v>9965</v>
      </c>
      <c r="D928" s="25">
        <v>542</v>
      </c>
      <c r="E928" s="25">
        <v>0</v>
      </c>
      <c r="F928" s="21">
        <v>0</v>
      </c>
      <c r="G928" s="25">
        <v>41</v>
      </c>
      <c r="H928" s="25">
        <v>5</v>
      </c>
      <c r="I928" s="25">
        <v>6</v>
      </c>
      <c r="J928" s="92">
        <f t="shared" si="127"/>
        <v>0.054390366281987</v>
      </c>
      <c r="K928" s="93">
        <f t="shared" si="128"/>
        <v>3.31856088560886</v>
      </c>
      <c r="L928" s="94">
        <f t="shared" si="129"/>
        <v>0</v>
      </c>
      <c r="M928" s="92">
        <f t="shared" si="130"/>
        <v>0</v>
      </c>
      <c r="N928" s="46">
        <f t="shared" si="131"/>
        <v>0</v>
      </c>
      <c r="O928" s="46">
        <f t="shared" si="132"/>
        <v>0</v>
      </c>
      <c r="P928" s="93">
        <f t="shared" si="133"/>
        <v>43.869756097561</v>
      </c>
    </row>
    <row r="929" s="2" customFormat="1" spans="1:16">
      <c r="A929" s="82">
        <v>45576</v>
      </c>
      <c r="B929" s="21">
        <v>1847.61</v>
      </c>
      <c r="C929" s="33">
        <v>14071</v>
      </c>
      <c r="D929" s="25">
        <v>565</v>
      </c>
      <c r="E929" s="25">
        <v>0</v>
      </c>
      <c r="F929" s="21">
        <v>0</v>
      </c>
      <c r="G929" s="25">
        <v>43</v>
      </c>
      <c r="H929" s="25">
        <v>2</v>
      </c>
      <c r="I929" s="25">
        <v>2</v>
      </c>
      <c r="J929" s="92">
        <f t="shared" si="127"/>
        <v>0.0401535072134177</v>
      </c>
      <c r="K929" s="93">
        <f t="shared" si="128"/>
        <v>3.27010619469027</v>
      </c>
      <c r="L929" s="94">
        <f t="shared" si="129"/>
        <v>0</v>
      </c>
      <c r="M929" s="92">
        <f t="shared" si="130"/>
        <v>0</v>
      </c>
      <c r="N929" s="46">
        <f t="shared" si="131"/>
        <v>0</v>
      </c>
      <c r="O929" s="46">
        <f t="shared" si="132"/>
        <v>0</v>
      </c>
      <c r="P929" s="93">
        <f t="shared" si="133"/>
        <v>42.9676744186047</v>
      </c>
    </row>
    <row r="930" s="2" customFormat="1" spans="1:16">
      <c r="A930" s="82">
        <v>45577</v>
      </c>
      <c r="B930" s="21">
        <v>1450.24</v>
      </c>
      <c r="C930" s="33">
        <v>6622</v>
      </c>
      <c r="D930" s="25">
        <v>448</v>
      </c>
      <c r="E930" s="25">
        <v>0</v>
      </c>
      <c r="F930" s="21">
        <v>0</v>
      </c>
      <c r="G930" s="25">
        <v>31</v>
      </c>
      <c r="H930" s="25">
        <v>5</v>
      </c>
      <c r="I930" s="25">
        <v>4</v>
      </c>
      <c r="J930" s="92">
        <f t="shared" si="127"/>
        <v>0.0676532769556025</v>
      </c>
      <c r="K930" s="93">
        <f t="shared" si="128"/>
        <v>3.23714285714286</v>
      </c>
      <c r="L930" s="94">
        <f t="shared" si="129"/>
        <v>0</v>
      </c>
      <c r="M930" s="92">
        <f t="shared" si="130"/>
        <v>0</v>
      </c>
      <c r="N930" s="46">
        <f t="shared" si="131"/>
        <v>0</v>
      </c>
      <c r="O930" s="46">
        <f t="shared" si="132"/>
        <v>0</v>
      </c>
      <c r="P930" s="93">
        <f t="shared" si="133"/>
        <v>46.781935483871</v>
      </c>
    </row>
    <row r="931" s="2" customFormat="1" spans="1:16">
      <c r="A931" s="82">
        <v>45578</v>
      </c>
      <c r="B931" s="21">
        <v>1357.84</v>
      </c>
      <c r="C931" s="33">
        <v>8769</v>
      </c>
      <c r="D931" s="25">
        <v>448</v>
      </c>
      <c r="E931" s="25">
        <v>2</v>
      </c>
      <c r="F931" s="21">
        <v>29180</v>
      </c>
      <c r="G931" s="25">
        <v>53</v>
      </c>
      <c r="H931" s="25">
        <v>5</v>
      </c>
      <c r="I931" s="25">
        <v>2</v>
      </c>
      <c r="J931" s="92">
        <f t="shared" si="127"/>
        <v>0.0510890637472916</v>
      </c>
      <c r="K931" s="93">
        <f t="shared" si="128"/>
        <v>3.03089285714286</v>
      </c>
      <c r="L931" s="94">
        <f t="shared" si="129"/>
        <v>21.4900135509338</v>
      </c>
      <c r="M931" s="92">
        <f t="shared" si="130"/>
        <v>0.00446428571428571</v>
      </c>
      <c r="N931" s="46">
        <f t="shared" si="131"/>
        <v>14590</v>
      </c>
      <c r="O931" s="46">
        <f t="shared" si="132"/>
        <v>678.92</v>
      </c>
      <c r="P931" s="93">
        <f t="shared" si="133"/>
        <v>25.6196226415094</v>
      </c>
    </row>
    <row r="932" s="2" customFormat="1" spans="1:16">
      <c r="A932" s="82">
        <v>45579</v>
      </c>
      <c r="B932" s="21">
        <v>2444.13</v>
      </c>
      <c r="C932" s="33">
        <v>11370</v>
      </c>
      <c r="D932" s="25">
        <v>743</v>
      </c>
      <c r="E932" s="25">
        <v>2</v>
      </c>
      <c r="F932" s="21">
        <v>4000</v>
      </c>
      <c r="G932" s="25">
        <v>69</v>
      </c>
      <c r="H932" s="25">
        <v>9</v>
      </c>
      <c r="I932" s="25">
        <v>12</v>
      </c>
      <c r="J932" s="92">
        <f t="shared" si="127"/>
        <v>0.0653474054529463</v>
      </c>
      <c r="K932" s="93">
        <f t="shared" si="128"/>
        <v>3.28954239569314</v>
      </c>
      <c r="L932" s="94">
        <f t="shared" si="129"/>
        <v>1.63657415931231</v>
      </c>
      <c r="M932" s="92">
        <f t="shared" si="130"/>
        <v>0.00269179004037685</v>
      </c>
      <c r="N932" s="46">
        <f t="shared" si="131"/>
        <v>2000</v>
      </c>
      <c r="O932" s="46">
        <f t="shared" si="132"/>
        <v>1222.065</v>
      </c>
      <c r="P932" s="93">
        <f t="shared" si="133"/>
        <v>35.4221739130435</v>
      </c>
    </row>
    <row r="933" s="2" customFormat="1" spans="1:16">
      <c r="A933" s="82">
        <v>45580</v>
      </c>
      <c r="B933" s="21">
        <v>3491.53</v>
      </c>
      <c r="C933" s="33">
        <v>12809</v>
      </c>
      <c r="D933" s="25">
        <v>1044</v>
      </c>
      <c r="E933" s="25">
        <v>1</v>
      </c>
      <c r="F933" s="21">
        <v>9172</v>
      </c>
      <c r="G933" s="25">
        <v>82</v>
      </c>
      <c r="H933" s="25">
        <v>22</v>
      </c>
      <c r="I933" s="25">
        <v>14</v>
      </c>
      <c r="J933" s="92">
        <f t="shared" si="127"/>
        <v>0.0815051916621126</v>
      </c>
      <c r="K933" s="93">
        <f t="shared" si="128"/>
        <v>3.34437739463602</v>
      </c>
      <c r="L933" s="94">
        <f t="shared" si="129"/>
        <v>2.6269285957732</v>
      </c>
      <c r="M933" s="92">
        <f t="shared" si="130"/>
        <v>0.000957854406130268</v>
      </c>
      <c r="N933" s="46">
        <f t="shared" si="131"/>
        <v>9172</v>
      </c>
      <c r="O933" s="46">
        <f t="shared" si="132"/>
        <v>3491.53</v>
      </c>
      <c r="P933" s="93">
        <f t="shared" si="133"/>
        <v>42.5796341463415</v>
      </c>
    </row>
    <row r="934" s="2" customFormat="1" spans="1:16">
      <c r="A934" s="82">
        <v>45581</v>
      </c>
      <c r="B934" s="21">
        <v>2832.87</v>
      </c>
      <c r="C934" s="33">
        <v>12731</v>
      </c>
      <c r="D934" s="25">
        <v>831</v>
      </c>
      <c r="E934" s="25">
        <v>3</v>
      </c>
      <c r="F934" s="21">
        <v>37871</v>
      </c>
      <c r="G934" s="25">
        <v>107</v>
      </c>
      <c r="H934" s="25">
        <v>9</v>
      </c>
      <c r="I934" s="25">
        <v>11</v>
      </c>
      <c r="J934" s="92">
        <f t="shared" ref="J934:J997" si="134">D934/C934</f>
        <v>0.0652737412614877</v>
      </c>
      <c r="K934" s="93">
        <f t="shared" ref="K934:K997" si="135">B934/D934</f>
        <v>3.40898916967509</v>
      </c>
      <c r="L934" s="94">
        <f t="shared" ref="L934:L997" si="136">F934/B934</f>
        <v>13.3684214242094</v>
      </c>
      <c r="M934" s="92">
        <f t="shared" ref="M934:M997" si="137">E934/D934</f>
        <v>0.0036101083032491</v>
      </c>
      <c r="N934" s="46">
        <f t="shared" ref="N934:N997" si="138">IF(E934=0,0,F934/E934)</f>
        <v>12623.6666666667</v>
      </c>
      <c r="O934" s="46">
        <f t="shared" ref="O934:O997" si="139">IF(E934=0,0,B934/E934)</f>
        <v>944.29</v>
      </c>
      <c r="P934" s="93">
        <f t="shared" ref="P934:P997" si="140">B934/G934</f>
        <v>26.4754205607477</v>
      </c>
    </row>
    <row r="935" s="2" customFormat="1" spans="1:16">
      <c r="A935" s="82">
        <v>45582</v>
      </c>
      <c r="B935" s="21">
        <v>1808.8</v>
      </c>
      <c r="C935" s="33">
        <v>9555</v>
      </c>
      <c r="D935" s="25">
        <v>525</v>
      </c>
      <c r="E935" s="25">
        <v>0</v>
      </c>
      <c r="F935" s="21">
        <v>0</v>
      </c>
      <c r="G935" s="25">
        <v>65</v>
      </c>
      <c r="H935" s="25">
        <v>8</v>
      </c>
      <c r="I935" s="25">
        <v>14</v>
      </c>
      <c r="J935" s="92">
        <f t="shared" si="134"/>
        <v>0.0549450549450549</v>
      </c>
      <c r="K935" s="93">
        <f t="shared" si="135"/>
        <v>3.44533333333333</v>
      </c>
      <c r="L935" s="94">
        <f t="shared" si="136"/>
        <v>0</v>
      </c>
      <c r="M935" s="92">
        <f t="shared" si="137"/>
        <v>0</v>
      </c>
      <c r="N935" s="46">
        <f t="shared" si="138"/>
        <v>0</v>
      </c>
      <c r="O935" s="46">
        <f t="shared" si="139"/>
        <v>0</v>
      </c>
      <c r="P935" s="93">
        <f t="shared" si="140"/>
        <v>27.8276923076923</v>
      </c>
    </row>
    <row r="936" s="2" customFormat="1" spans="1:16">
      <c r="A936" s="82">
        <v>45583</v>
      </c>
      <c r="B936" s="21">
        <v>2605.66</v>
      </c>
      <c r="C936" s="33">
        <v>11871</v>
      </c>
      <c r="D936" s="25">
        <v>764</v>
      </c>
      <c r="E936" s="25">
        <v>0</v>
      </c>
      <c r="F936" s="21">
        <v>0</v>
      </c>
      <c r="G936" s="25">
        <v>80</v>
      </c>
      <c r="H936" s="25">
        <v>10</v>
      </c>
      <c r="I936" s="25">
        <v>20</v>
      </c>
      <c r="J936" s="92">
        <f t="shared" si="134"/>
        <v>0.0643585207648892</v>
      </c>
      <c r="K936" s="93">
        <f t="shared" si="135"/>
        <v>3.41054973821989</v>
      </c>
      <c r="L936" s="94">
        <f t="shared" si="136"/>
        <v>0</v>
      </c>
      <c r="M936" s="92">
        <f t="shared" si="137"/>
        <v>0</v>
      </c>
      <c r="N936" s="46">
        <f t="shared" si="138"/>
        <v>0</v>
      </c>
      <c r="O936" s="46">
        <f t="shared" si="139"/>
        <v>0</v>
      </c>
      <c r="P936" s="93">
        <f t="shared" si="140"/>
        <v>32.57075</v>
      </c>
    </row>
    <row r="937" s="2" customFormat="1" spans="1:16">
      <c r="A937" s="82">
        <v>45584</v>
      </c>
      <c r="B937" s="21">
        <v>2532.57</v>
      </c>
      <c r="C937" s="33">
        <v>9593</v>
      </c>
      <c r="D937" s="25">
        <v>743</v>
      </c>
      <c r="E937" s="25">
        <v>0</v>
      </c>
      <c r="F937" s="21">
        <v>0</v>
      </c>
      <c r="G937" s="25">
        <v>83</v>
      </c>
      <c r="H937" s="25">
        <v>21</v>
      </c>
      <c r="I937" s="25">
        <v>11</v>
      </c>
      <c r="J937" s="92">
        <f t="shared" si="134"/>
        <v>0.0774523089752945</v>
      </c>
      <c r="K937" s="93">
        <f t="shared" si="135"/>
        <v>3.4085733512786</v>
      </c>
      <c r="L937" s="94">
        <f t="shared" si="136"/>
        <v>0</v>
      </c>
      <c r="M937" s="92">
        <f t="shared" si="137"/>
        <v>0</v>
      </c>
      <c r="N937" s="46">
        <f t="shared" si="138"/>
        <v>0</v>
      </c>
      <c r="O937" s="46">
        <f t="shared" si="139"/>
        <v>0</v>
      </c>
      <c r="P937" s="93">
        <f t="shared" si="140"/>
        <v>30.5128915662651</v>
      </c>
    </row>
    <row r="938" s="2" customFormat="1" spans="1:16">
      <c r="A938" s="82">
        <v>45585</v>
      </c>
      <c r="B938" s="21">
        <v>2074.29</v>
      </c>
      <c r="C938" s="33">
        <v>12301</v>
      </c>
      <c r="D938" s="25">
        <v>637</v>
      </c>
      <c r="E938" s="25">
        <v>0</v>
      </c>
      <c r="F938" s="21">
        <v>0</v>
      </c>
      <c r="G938" s="25">
        <v>75</v>
      </c>
      <c r="H938" s="25">
        <v>9</v>
      </c>
      <c r="I938" s="25">
        <v>12</v>
      </c>
      <c r="J938" s="92">
        <f t="shared" si="134"/>
        <v>0.0517844077717259</v>
      </c>
      <c r="K938" s="93">
        <f t="shared" si="135"/>
        <v>3.25634222919937</v>
      </c>
      <c r="L938" s="94">
        <f t="shared" si="136"/>
        <v>0</v>
      </c>
      <c r="M938" s="92">
        <f t="shared" si="137"/>
        <v>0</v>
      </c>
      <c r="N938" s="46">
        <f t="shared" si="138"/>
        <v>0</v>
      </c>
      <c r="O938" s="46">
        <f t="shared" si="139"/>
        <v>0</v>
      </c>
      <c r="P938" s="93">
        <f t="shared" si="140"/>
        <v>27.6572</v>
      </c>
    </row>
    <row r="939" s="2" customFormat="1" spans="1:16">
      <c r="A939" s="82">
        <v>45586</v>
      </c>
      <c r="B939" s="21">
        <v>4772.46</v>
      </c>
      <c r="C939" s="33">
        <v>19552</v>
      </c>
      <c r="D939" s="25">
        <v>1303</v>
      </c>
      <c r="E939" s="25">
        <v>6</v>
      </c>
      <c r="F939" s="21">
        <v>54285</v>
      </c>
      <c r="G939" s="25">
        <v>128</v>
      </c>
      <c r="H939" s="25">
        <v>11</v>
      </c>
      <c r="I939" s="25">
        <v>14</v>
      </c>
      <c r="J939" s="92">
        <f t="shared" si="134"/>
        <v>0.066642798690671</v>
      </c>
      <c r="K939" s="93">
        <f t="shared" si="135"/>
        <v>3.66267075978511</v>
      </c>
      <c r="L939" s="94">
        <f t="shared" si="136"/>
        <v>11.3746369796709</v>
      </c>
      <c r="M939" s="92">
        <f t="shared" si="137"/>
        <v>0.00460475825019187</v>
      </c>
      <c r="N939" s="46">
        <f t="shared" si="138"/>
        <v>9047.5</v>
      </c>
      <c r="O939" s="46">
        <f t="shared" si="139"/>
        <v>795.41</v>
      </c>
      <c r="P939" s="93">
        <f t="shared" si="140"/>
        <v>37.28484375</v>
      </c>
    </row>
    <row r="940" s="2" customFormat="1" spans="1:16">
      <c r="A940" s="82">
        <v>45587</v>
      </c>
      <c r="B940" s="21">
        <v>4586.36</v>
      </c>
      <c r="C940" s="33">
        <v>21605</v>
      </c>
      <c r="D940" s="25">
        <v>1325</v>
      </c>
      <c r="E940" s="25">
        <v>7</v>
      </c>
      <c r="F940" s="21">
        <v>85138</v>
      </c>
      <c r="G940" s="25">
        <v>123</v>
      </c>
      <c r="H940" s="25">
        <v>7</v>
      </c>
      <c r="I940" s="25">
        <v>16</v>
      </c>
      <c r="J940" s="92">
        <f t="shared" si="134"/>
        <v>0.0613283962045823</v>
      </c>
      <c r="K940" s="93">
        <f t="shared" si="135"/>
        <v>3.46140377358491</v>
      </c>
      <c r="L940" s="94">
        <f t="shared" si="136"/>
        <v>18.5633051047018</v>
      </c>
      <c r="M940" s="92">
        <f t="shared" si="137"/>
        <v>0.00528301886792453</v>
      </c>
      <c r="N940" s="46">
        <f t="shared" si="138"/>
        <v>12162.5714285714</v>
      </c>
      <c r="O940" s="46">
        <f t="shared" si="139"/>
        <v>655.194285714286</v>
      </c>
      <c r="P940" s="93">
        <f t="shared" si="140"/>
        <v>37.2874796747967</v>
      </c>
    </row>
    <row r="941" s="2" customFormat="1" spans="1:16">
      <c r="A941" s="82">
        <v>45588</v>
      </c>
      <c r="B941" s="21">
        <v>4679.32</v>
      </c>
      <c r="C941" s="33">
        <v>23365</v>
      </c>
      <c r="D941" s="25">
        <v>1250</v>
      </c>
      <c r="E941" s="25">
        <v>4</v>
      </c>
      <c r="F941" s="21">
        <v>56586</v>
      </c>
      <c r="G941" s="25">
        <v>100</v>
      </c>
      <c r="H941" s="25">
        <v>15</v>
      </c>
      <c r="I941" s="25">
        <v>12</v>
      </c>
      <c r="J941" s="92">
        <f t="shared" si="134"/>
        <v>0.0534988230258934</v>
      </c>
      <c r="K941" s="93">
        <f t="shared" si="135"/>
        <v>3.743456</v>
      </c>
      <c r="L941" s="94">
        <f t="shared" si="136"/>
        <v>12.092782712018</v>
      </c>
      <c r="M941" s="92">
        <f t="shared" si="137"/>
        <v>0.0032</v>
      </c>
      <c r="N941" s="46">
        <f t="shared" si="138"/>
        <v>14146.5</v>
      </c>
      <c r="O941" s="46">
        <f t="shared" si="139"/>
        <v>1169.83</v>
      </c>
      <c r="P941" s="93">
        <f t="shared" si="140"/>
        <v>46.7932</v>
      </c>
    </row>
    <row r="942" s="2" customFormat="1" spans="1:16">
      <c r="A942" s="82">
        <v>45589</v>
      </c>
      <c r="B942" s="21">
        <v>3474.84</v>
      </c>
      <c r="C942" s="33">
        <v>29726</v>
      </c>
      <c r="D942" s="25">
        <v>942</v>
      </c>
      <c r="E942" s="25">
        <v>2</v>
      </c>
      <c r="F942" s="21">
        <v>15996</v>
      </c>
      <c r="G942" s="25">
        <v>76</v>
      </c>
      <c r="H942" s="25">
        <v>6</v>
      </c>
      <c r="I942" s="25">
        <v>14</v>
      </c>
      <c r="J942" s="92">
        <f t="shared" si="134"/>
        <v>0.031689430128507</v>
      </c>
      <c r="K942" s="93">
        <f t="shared" si="135"/>
        <v>3.6887898089172</v>
      </c>
      <c r="L942" s="94">
        <f t="shared" si="136"/>
        <v>4.60337742169424</v>
      </c>
      <c r="M942" s="92">
        <f t="shared" si="137"/>
        <v>0.00212314225053079</v>
      </c>
      <c r="N942" s="46">
        <f t="shared" si="138"/>
        <v>7998</v>
      </c>
      <c r="O942" s="46">
        <f t="shared" si="139"/>
        <v>1737.42</v>
      </c>
      <c r="P942" s="93">
        <f t="shared" si="140"/>
        <v>45.7215789473684</v>
      </c>
    </row>
    <row r="943" s="2" customFormat="1" spans="1:16">
      <c r="A943" s="82">
        <v>45590</v>
      </c>
      <c r="B943" s="21">
        <v>4915.96</v>
      </c>
      <c r="C943" s="33">
        <v>33280</v>
      </c>
      <c r="D943" s="25">
        <v>1177</v>
      </c>
      <c r="E943" s="25">
        <v>4</v>
      </c>
      <c r="F943" s="21">
        <v>36291</v>
      </c>
      <c r="G943" s="25">
        <v>70</v>
      </c>
      <c r="H943" s="25">
        <v>9</v>
      </c>
      <c r="I943" s="25">
        <v>9</v>
      </c>
      <c r="J943" s="92">
        <f t="shared" si="134"/>
        <v>0.0353665865384615</v>
      </c>
      <c r="K943" s="93">
        <f t="shared" si="135"/>
        <v>4.17668649107901</v>
      </c>
      <c r="L943" s="94">
        <f t="shared" si="136"/>
        <v>7.38228138552795</v>
      </c>
      <c r="M943" s="92">
        <f t="shared" si="137"/>
        <v>0.00339847068819031</v>
      </c>
      <c r="N943" s="46">
        <f t="shared" si="138"/>
        <v>9072.75</v>
      </c>
      <c r="O943" s="46">
        <f t="shared" si="139"/>
        <v>1228.99</v>
      </c>
      <c r="P943" s="93">
        <f t="shared" si="140"/>
        <v>70.228</v>
      </c>
    </row>
    <row r="944" s="2" customFormat="1" spans="1:16">
      <c r="A944" s="82">
        <v>45591</v>
      </c>
      <c r="B944" s="21">
        <v>4146.17</v>
      </c>
      <c r="C944" s="33">
        <v>33019</v>
      </c>
      <c r="D944" s="25">
        <v>992</v>
      </c>
      <c r="E944" s="25">
        <v>4</v>
      </c>
      <c r="F944" s="21">
        <v>39027</v>
      </c>
      <c r="G944" s="25">
        <v>65</v>
      </c>
      <c r="H944" s="25">
        <v>12</v>
      </c>
      <c r="I944" s="25">
        <v>9</v>
      </c>
      <c r="J944" s="92">
        <f t="shared" si="134"/>
        <v>0.030043308398195</v>
      </c>
      <c r="K944" s="93">
        <f t="shared" si="135"/>
        <v>4.17960685483871</v>
      </c>
      <c r="L944" s="94">
        <f t="shared" si="136"/>
        <v>9.41278336392381</v>
      </c>
      <c r="M944" s="92">
        <f t="shared" si="137"/>
        <v>0.00403225806451613</v>
      </c>
      <c r="N944" s="46">
        <f t="shared" si="138"/>
        <v>9756.75</v>
      </c>
      <c r="O944" s="46">
        <f t="shared" si="139"/>
        <v>1036.5425</v>
      </c>
      <c r="P944" s="93">
        <f t="shared" si="140"/>
        <v>63.7872307692308</v>
      </c>
    </row>
    <row r="945" s="2" customFormat="1" spans="1:16">
      <c r="A945" s="82">
        <v>45592</v>
      </c>
      <c r="B945" s="21">
        <v>4386.11</v>
      </c>
      <c r="C945" s="33">
        <v>33639</v>
      </c>
      <c r="D945" s="25">
        <v>1113</v>
      </c>
      <c r="E945" s="25">
        <v>0</v>
      </c>
      <c r="F945" s="21">
        <v>0</v>
      </c>
      <c r="G945" s="25">
        <v>55</v>
      </c>
      <c r="H945" s="25">
        <v>7</v>
      </c>
      <c r="I945" s="25">
        <v>4</v>
      </c>
      <c r="J945" s="92">
        <f t="shared" si="134"/>
        <v>0.0330865959154553</v>
      </c>
      <c r="K945" s="93">
        <f t="shared" si="135"/>
        <v>3.94079964061096</v>
      </c>
      <c r="L945" s="94">
        <f t="shared" si="136"/>
        <v>0</v>
      </c>
      <c r="M945" s="92">
        <f t="shared" si="137"/>
        <v>0</v>
      </c>
      <c r="N945" s="46">
        <f t="shared" si="138"/>
        <v>0</v>
      </c>
      <c r="O945" s="46">
        <f t="shared" si="139"/>
        <v>0</v>
      </c>
      <c r="P945" s="93">
        <f t="shared" si="140"/>
        <v>79.7474545454545</v>
      </c>
    </row>
    <row r="946" s="2" customFormat="1" spans="1:16">
      <c r="A946" s="82">
        <v>45593</v>
      </c>
      <c r="B946" s="21">
        <v>5137.87</v>
      </c>
      <c r="C946" s="33">
        <v>29292</v>
      </c>
      <c r="D946" s="25">
        <v>1222</v>
      </c>
      <c r="E946" s="25">
        <v>3</v>
      </c>
      <c r="F946" s="21">
        <v>34573</v>
      </c>
      <c r="G946" s="25">
        <v>61</v>
      </c>
      <c r="H946" s="25">
        <v>12</v>
      </c>
      <c r="I946" s="25">
        <v>15</v>
      </c>
      <c r="J946" s="92">
        <f t="shared" si="134"/>
        <v>0.0417178751877646</v>
      </c>
      <c r="K946" s="93">
        <f t="shared" si="135"/>
        <v>4.20447626841244</v>
      </c>
      <c r="L946" s="94">
        <f t="shared" si="136"/>
        <v>6.72905309009376</v>
      </c>
      <c r="M946" s="92">
        <f t="shared" si="137"/>
        <v>0.00245499181669394</v>
      </c>
      <c r="N946" s="46">
        <f t="shared" si="138"/>
        <v>11524.3333333333</v>
      </c>
      <c r="O946" s="46">
        <f t="shared" si="139"/>
        <v>1712.62333333333</v>
      </c>
      <c r="P946" s="93">
        <f t="shared" si="140"/>
        <v>84.2273770491803</v>
      </c>
    </row>
    <row r="947" s="2" customFormat="1" spans="1:16">
      <c r="A947" s="82">
        <v>45594</v>
      </c>
      <c r="B947" s="21">
        <v>3272.35</v>
      </c>
      <c r="C947" s="33">
        <v>22355</v>
      </c>
      <c r="D947" s="25">
        <v>814</v>
      </c>
      <c r="E947" s="25">
        <v>1</v>
      </c>
      <c r="F947" s="21">
        <v>33074</v>
      </c>
      <c r="G947" s="25">
        <v>52</v>
      </c>
      <c r="H947" s="25">
        <v>3</v>
      </c>
      <c r="I947" s="25">
        <v>10</v>
      </c>
      <c r="J947" s="92">
        <f t="shared" si="134"/>
        <v>0.0364124356967121</v>
      </c>
      <c r="K947" s="93">
        <f t="shared" si="135"/>
        <v>4.02008599508599</v>
      </c>
      <c r="L947" s="94">
        <f t="shared" si="136"/>
        <v>10.1071095695754</v>
      </c>
      <c r="M947" s="92">
        <f t="shared" si="137"/>
        <v>0.00122850122850123</v>
      </c>
      <c r="N947" s="46">
        <f t="shared" si="138"/>
        <v>33074</v>
      </c>
      <c r="O947" s="46">
        <f t="shared" si="139"/>
        <v>3272.35</v>
      </c>
      <c r="P947" s="93">
        <f t="shared" si="140"/>
        <v>62.9298076923077</v>
      </c>
    </row>
    <row r="948" s="2" customFormat="1" spans="1:16">
      <c r="A948" s="82">
        <v>45595</v>
      </c>
      <c r="B948" s="21">
        <v>3280.56</v>
      </c>
      <c r="C948" s="33">
        <v>22619</v>
      </c>
      <c r="D948" s="25">
        <v>837</v>
      </c>
      <c r="E948" s="25">
        <v>2</v>
      </c>
      <c r="F948" s="21">
        <v>22194</v>
      </c>
      <c r="G948" s="25">
        <v>39</v>
      </c>
      <c r="H948" s="25">
        <v>9</v>
      </c>
      <c r="I948" s="25">
        <v>5</v>
      </c>
      <c r="J948" s="92">
        <f t="shared" si="134"/>
        <v>0.0370042884300809</v>
      </c>
      <c r="K948" s="93">
        <f t="shared" si="135"/>
        <v>3.91942652329749</v>
      </c>
      <c r="L948" s="94">
        <f t="shared" si="136"/>
        <v>6.76530836198698</v>
      </c>
      <c r="M948" s="92">
        <f t="shared" si="137"/>
        <v>0.002389486260454</v>
      </c>
      <c r="N948" s="46">
        <f t="shared" si="138"/>
        <v>11097</v>
      </c>
      <c r="O948" s="46">
        <f t="shared" si="139"/>
        <v>1640.28</v>
      </c>
      <c r="P948" s="93">
        <f t="shared" si="140"/>
        <v>84.1169230769231</v>
      </c>
    </row>
    <row r="949" s="2" customFormat="1" spans="1:16">
      <c r="A949" s="82">
        <v>45596</v>
      </c>
      <c r="B949" s="21">
        <v>3817.56</v>
      </c>
      <c r="C949" s="33">
        <v>20178</v>
      </c>
      <c r="D949" s="25">
        <v>897</v>
      </c>
      <c r="E949" s="25">
        <v>1</v>
      </c>
      <c r="F949" s="21">
        <v>11097</v>
      </c>
      <c r="G949" s="25">
        <v>56</v>
      </c>
      <c r="H949" s="25">
        <v>11</v>
      </c>
      <c r="I949" s="25">
        <v>9</v>
      </c>
      <c r="J949" s="92">
        <f t="shared" si="134"/>
        <v>0.0444543562295569</v>
      </c>
      <c r="K949" s="93">
        <f t="shared" si="135"/>
        <v>4.25591973244147</v>
      </c>
      <c r="L949" s="94">
        <f t="shared" si="136"/>
        <v>2.90683054097382</v>
      </c>
      <c r="M949" s="92">
        <f t="shared" si="137"/>
        <v>0.00111482720178372</v>
      </c>
      <c r="N949" s="46">
        <f t="shared" si="138"/>
        <v>11097</v>
      </c>
      <c r="O949" s="46">
        <f t="shared" si="139"/>
        <v>3817.56</v>
      </c>
      <c r="P949" s="93">
        <f t="shared" si="140"/>
        <v>68.1707142857143</v>
      </c>
    </row>
    <row r="950" s="2" customFormat="1" spans="1:16">
      <c r="A950" s="82">
        <v>45597</v>
      </c>
      <c r="B950" s="21">
        <v>4734.26</v>
      </c>
      <c r="C950" s="33">
        <v>33782</v>
      </c>
      <c r="D950" s="25">
        <v>1091</v>
      </c>
      <c r="E950" s="25">
        <v>8</v>
      </c>
      <c r="F950" s="21">
        <v>72081</v>
      </c>
      <c r="G950" s="25">
        <v>105</v>
      </c>
      <c r="H950" s="25">
        <v>10</v>
      </c>
      <c r="I950" s="25">
        <v>11</v>
      </c>
      <c r="J950" s="92">
        <f t="shared" si="134"/>
        <v>0.0322953051921141</v>
      </c>
      <c r="K950" s="93">
        <f t="shared" si="135"/>
        <v>4.33937671860678</v>
      </c>
      <c r="L950" s="94">
        <f t="shared" si="136"/>
        <v>15.2253995344573</v>
      </c>
      <c r="M950" s="92">
        <f t="shared" si="137"/>
        <v>0.0073327222731439</v>
      </c>
      <c r="N950" s="46">
        <f t="shared" si="138"/>
        <v>9010.125</v>
      </c>
      <c r="O950" s="46">
        <f t="shared" si="139"/>
        <v>591.7825</v>
      </c>
      <c r="P950" s="93">
        <f t="shared" si="140"/>
        <v>45.0881904761905</v>
      </c>
    </row>
    <row r="951" s="2" customFormat="1" spans="1:16">
      <c r="A951" s="82">
        <v>45598</v>
      </c>
      <c r="B951" s="21">
        <v>4512.89</v>
      </c>
      <c r="C951" s="33">
        <v>32689</v>
      </c>
      <c r="D951" s="25">
        <v>1074</v>
      </c>
      <c r="E951" s="25">
        <v>1</v>
      </c>
      <c r="F951" s="21">
        <v>15694</v>
      </c>
      <c r="G951" s="25">
        <v>76</v>
      </c>
      <c r="H951" s="25">
        <v>10</v>
      </c>
      <c r="I951" s="25">
        <v>7</v>
      </c>
      <c r="J951" s="92">
        <f t="shared" si="134"/>
        <v>0.0328550888678149</v>
      </c>
      <c r="K951" s="93">
        <f t="shared" si="135"/>
        <v>4.20194599627561</v>
      </c>
      <c r="L951" s="94">
        <f t="shared" si="136"/>
        <v>3.47759418022597</v>
      </c>
      <c r="M951" s="92">
        <f t="shared" si="137"/>
        <v>0.000931098696461825</v>
      </c>
      <c r="N951" s="46">
        <f t="shared" si="138"/>
        <v>15694</v>
      </c>
      <c r="O951" s="46">
        <f t="shared" si="139"/>
        <v>4512.89</v>
      </c>
      <c r="P951" s="93">
        <f t="shared" si="140"/>
        <v>59.3801315789474</v>
      </c>
    </row>
    <row r="952" s="2" customFormat="1" spans="1:16">
      <c r="A952" s="82">
        <v>45599</v>
      </c>
      <c r="B952" s="21">
        <v>5049.83</v>
      </c>
      <c r="C952" s="33">
        <v>32804</v>
      </c>
      <c r="D952" s="25">
        <v>1235</v>
      </c>
      <c r="E952" s="25">
        <v>1</v>
      </c>
      <c r="F952" s="21">
        <v>11097</v>
      </c>
      <c r="G952" s="25">
        <v>58</v>
      </c>
      <c r="H952" s="25">
        <v>18</v>
      </c>
      <c r="I952" s="25">
        <v>6</v>
      </c>
      <c r="J952" s="92">
        <f t="shared" si="134"/>
        <v>0.0376478478234362</v>
      </c>
      <c r="K952" s="93">
        <f t="shared" si="135"/>
        <v>4.08893117408907</v>
      </c>
      <c r="L952" s="94">
        <f t="shared" si="136"/>
        <v>2.19749971781228</v>
      </c>
      <c r="M952" s="92">
        <f t="shared" si="137"/>
        <v>0.000809716599190283</v>
      </c>
      <c r="N952" s="46">
        <f t="shared" si="138"/>
        <v>11097</v>
      </c>
      <c r="O952" s="46">
        <f t="shared" si="139"/>
        <v>5049.83</v>
      </c>
      <c r="P952" s="93">
        <f t="shared" si="140"/>
        <v>87.0660344827586</v>
      </c>
    </row>
    <row r="953" s="2" customFormat="1" spans="1:16">
      <c r="A953" s="82">
        <v>45600</v>
      </c>
      <c r="B953" s="21">
        <v>6119.36</v>
      </c>
      <c r="C953" s="33">
        <v>38752</v>
      </c>
      <c r="D953" s="25">
        <v>1371</v>
      </c>
      <c r="E953" s="25">
        <v>1</v>
      </c>
      <c r="F953" s="21">
        <v>11097</v>
      </c>
      <c r="G953" s="25">
        <v>95</v>
      </c>
      <c r="H953" s="25">
        <v>17</v>
      </c>
      <c r="I953" s="25">
        <v>7</v>
      </c>
      <c r="J953" s="92">
        <f t="shared" si="134"/>
        <v>0.0353788191577209</v>
      </c>
      <c r="K953" s="93">
        <f t="shared" si="135"/>
        <v>4.46342815463166</v>
      </c>
      <c r="L953" s="94">
        <f t="shared" si="136"/>
        <v>1.81342493332636</v>
      </c>
      <c r="M953" s="92">
        <f t="shared" si="137"/>
        <v>0.000729394602479942</v>
      </c>
      <c r="N953" s="46">
        <f t="shared" si="138"/>
        <v>11097</v>
      </c>
      <c r="O953" s="46">
        <f t="shared" si="139"/>
        <v>6119.36</v>
      </c>
      <c r="P953" s="93">
        <f t="shared" si="140"/>
        <v>64.4143157894737</v>
      </c>
    </row>
    <row r="954" s="2" customFormat="1" spans="1:16">
      <c r="A954" s="82">
        <v>45601</v>
      </c>
      <c r="B954" s="21">
        <v>5437.44</v>
      </c>
      <c r="C954" s="33">
        <v>46192</v>
      </c>
      <c r="D954" s="25">
        <v>1243</v>
      </c>
      <c r="E954" s="25">
        <v>2</v>
      </c>
      <c r="F954" s="21">
        <v>15996</v>
      </c>
      <c r="G954" s="25">
        <v>57</v>
      </c>
      <c r="H954" s="25">
        <v>10</v>
      </c>
      <c r="I954" s="25">
        <v>8</v>
      </c>
      <c r="J954" s="92">
        <f t="shared" si="134"/>
        <v>0.0269094215448563</v>
      </c>
      <c r="K954" s="93">
        <f t="shared" si="135"/>
        <v>4.37444891391794</v>
      </c>
      <c r="L954" s="94">
        <f t="shared" si="136"/>
        <v>2.94182556497175</v>
      </c>
      <c r="M954" s="92">
        <f t="shared" si="137"/>
        <v>0.00160901045856798</v>
      </c>
      <c r="N954" s="46">
        <f t="shared" si="138"/>
        <v>7998</v>
      </c>
      <c r="O954" s="46">
        <f t="shared" si="139"/>
        <v>2718.72</v>
      </c>
      <c r="P954" s="93">
        <f t="shared" si="140"/>
        <v>95.3936842105263</v>
      </c>
    </row>
    <row r="955" s="2" customFormat="1" spans="1:16">
      <c r="A955" s="82">
        <v>45602</v>
      </c>
      <c r="B955" s="21">
        <v>4110.61</v>
      </c>
      <c r="C955" s="33">
        <v>42415</v>
      </c>
      <c r="D955" s="25">
        <v>1016</v>
      </c>
      <c r="E955" s="25">
        <v>2</v>
      </c>
      <c r="F955" s="21">
        <v>13596</v>
      </c>
      <c r="G955" s="25">
        <v>48</v>
      </c>
      <c r="H955" s="25">
        <v>9</v>
      </c>
      <c r="I955" s="25">
        <v>8</v>
      </c>
      <c r="J955" s="92">
        <f t="shared" si="134"/>
        <v>0.0239537899328068</v>
      </c>
      <c r="K955" s="93">
        <f t="shared" si="135"/>
        <v>4.04587598425197</v>
      </c>
      <c r="L955" s="94">
        <f t="shared" si="136"/>
        <v>3.30753829723569</v>
      </c>
      <c r="M955" s="92">
        <f t="shared" si="137"/>
        <v>0.00196850393700787</v>
      </c>
      <c r="N955" s="46">
        <f t="shared" si="138"/>
        <v>6798</v>
      </c>
      <c r="O955" s="46">
        <f t="shared" si="139"/>
        <v>2055.305</v>
      </c>
      <c r="P955" s="93">
        <f t="shared" si="140"/>
        <v>85.6377083333333</v>
      </c>
    </row>
    <row r="956" s="2" customFormat="1" spans="1:16">
      <c r="A956" s="82">
        <v>45603</v>
      </c>
      <c r="B956" s="21">
        <v>4677.41</v>
      </c>
      <c r="C956" s="33">
        <v>47599</v>
      </c>
      <c r="D956" s="25">
        <v>1147</v>
      </c>
      <c r="E956" s="25">
        <v>0</v>
      </c>
      <c r="F956" s="21">
        <v>0</v>
      </c>
      <c r="G956" s="25">
        <v>39</v>
      </c>
      <c r="H956" s="25">
        <v>11</v>
      </c>
      <c r="I956" s="25">
        <v>7</v>
      </c>
      <c r="J956" s="92">
        <f t="shared" si="134"/>
        <v>0.0240971448980021</v>
      </c>
      <c r="K956" s="93">
        <f t="shared" si="135"/>
        <v>4.07795117698343</v>
      </c>
      <c r="L956" s="94">
        <f t="shared" si="136"/>
        <v>0</v>
      </c>
      <c r="M956" s="92">
        <f t="shared" si="137"/>
        <v>0</v>
      </c>
      <c r="N956" s="46">
        <f t="shared" si="138"/>
        <v>0</v>
      </c>
      <c r="O956" s="46">
        <f t="shared" si="139"/>
        <v>0</v>
      </c>
      <c r="P956" s="93">
        <f t="shared" si="140"/>
        <v>119.93358974359</v>
      </c>
    </row>
    <row r="957" s="2" customFormat="1" spans="1:16">
      <c r="A957" s="82">
        <v>45604</v>
      </c>
      <c r="B957" s="21">
        <v>5520.16</v>
      </c>
      <c r="C957" s="33">
        <v>45879</v>
      </c>
      <c r="D957" s="25">
        <v>1160</v>
      </c>
      <c r="E957" s="25">
        <v>1</v>
      </c>
      <c r="F957" s="21">
        <v>11181</v>
      </c>
      <c r="G957" s="25">
        <v>54</v>
      </c>
      <c r="H957" s="25">
        <v>9</v>
      </c>
      <c r="I957" s="25">
        <v>7</v>
      </c>
      <c r="J957" s="92">
        <f t="shared" si="134"/>
        <v>0.0252838989515901</v>
      </c>
      <c r="K957" s="93">
        <f t="shared" si="135"/>
        <v>4.75875862068965</v>
      </c>
      <c r="L957" s="94">
        <f t="shared" si="136"/>
        <v>2.02548476855743</v>
      </c>
      <c r="M957" s="92">
        <f t="shared" si="137"/>
        <v>0.000862068965517241</v>
      </c>
      <c r="N957" s="46">
        <f t="shared" si="138"/>
        <v>11181</v>
      </c>
      <c r="O957" s="46">
        <f t="shared" si="139"/>
        <v>5520.16</v>
      </c>
      <c r="P957" s="93">
        <f t="shared" si="140"/>
        <v>102.225185185185</v>
      </c>
    </row>
    <row r="958" s="2" customFormat="1" spans="1:16">
      <c r="A958" s="82">
        <v>45605</v>
      </c>
      <c r="B958" s="21">
        <v>7236.36</v>
      </c>
      <c r="C958" s="33">
        <v>61364</v>
      </c>
      <c r="D958" s="25">
        <v>1227</v>
      </c>
      <c r="E958" s="25">
        <v>4</v>
      </c>
      <c r="F958" s="21">
        <v>35790</v>
      </c>
      <c r="G958" s="25">
        <v>43</v>
      </c>
      <c r="H958" s="25">
        <v>7</v>
      </c>
      <c r="I958" s="25">
        <v>6</v>
      </c>
      <c r="J958" s="92">
        <f t="shared" si="134"/>
        <v>0.0199954370640767</v>
      </c>
      <c r="K958" s="93">
        <f t="shared" si="135"/>
        <v>5.89760391198044</v>
      </c>
      <c r="L958" s="94">
        <f t="shared" si="136"/>
        <v>4.94585675671194</v>
      </c>
      <c r="M958" s="92">
        <f t="shared" si="137"/>
        <v>0.0032599837000815</v>
      </c>
      <c r="N958" s="46">
        <f t="shared" si="138"/>
        <v>8947.5</v>
      </c>
      <c r="O958" s="46">
        <f t="shared" si="139"/>
        <v>1809.09</v>
      </c>
      <c r="P958" s="93">
        <f t="shared" si="140"/>
        <v>168.287441860465</v>
      </c>
    </row>
    <row r="959" s="2" customFormat="1" spans="1:16">
      <c r="A959" s="82">
        <v>45606</v>
      </c>
      <c r="B959" s="21">
        <v>6634.55</v>
      </c>
      <c r="C959" s="33">
        <v>49225</v>
      </c>
      <c r="D959" s="25">
        <v>1183</v>
      </c>
      <c r="E959" s="25">
        <v>6</v>
      </c>
      <c r="F959" s="21">
        <v>70738</v>
      </c>
      <c r="G959" s="25">
        <v>64</v>
      </c>
      <c r="H959" s="25">
        <v>10</v>
      </c>
      <c r="I959" s="25">
        <v>12</v>
      </c>
      <c r="J959" s="92">
        <f t="shared" si="134"/>
        <v>0.0240325038090401</v>
      </c>
      <c r="K959" s="93">
        <f t="shared" si="135"/>
        <v>5.60824175824176</v>
      </c>
      <c r="L959" s="94">
        <f t="shared" si="136"/>
        <v>10.6620644957081</v>
      </c>
      <c r="M959" s="92">
        <f t="shared" si="137"/>
        <v>0.00507185122569738</v>
      </c>
      <c r="N959" s="46">
        <f t="shared" si="138"/>
        <v>11789.6666666667</v>
      </c>
      <c r="O959" s="46">
        <f t="shared" si="139"/>
        <v>1105.75833333333</v>
      </c>
      <c r="P959" s="93">
        <f t="shared" si="140"/>
        <v>103.66484375</v>
      </c>
    </row>
    <row r="960" s="2" customFormat="1" spans="1:16">
      <c r="A960" s="82">
        <v>45607</v>
      </c>
      <c r="B960" s="21">
        <v>9590.36</v>
      </c>
      <c r="C960" s="33">
        <v>41810</v>
      </c>
      <c r="D960" s="25">
        <v>1493</v>
      </c>
      <c r="E960" s="25">
        <v>10</v>
      </c>
      <c r="F960" s="21">
        <v>88176</v>
      </c>
      <c r="G960" s="25">
        <v>83</v>
      </c>
      <c r="H960" s="25">
        <v>8</v>
      </c>
      <c r="I960" s="25">
        <v>12</v>
      </c>
      <c r="J960" s="92">
        <f t="shared" si="134"/>
        <v>0.0357091604879215</v>
      </c>
      <c r="K960" s="93">
        <f t="shared" si="135"/>
        <v>6.42354989953115</v>
      </c>
      <c r="L960" s="94">
        <f t="shared" si="136"/>
        <v>9.1942325418441</v>
      </c>
      <c r="M960" s="92">
        <f t="shared" si="137"/>
        <v>0.00669792364367046</v>
      </c>
      <c r="N960" s="46">
        <f t="shared" si="138"/>
        <v>8817.6</v>
      </c>
      <c r="O960" s="46">
        <f t="shared" si="139"/>
        <v>959.036</v>
      </c>
      <c r="P960" s="93">
        <f t="shared" si="140"/>
        <v>115.546506024096</v>
      </c>
    </row>
    <row r="961" s="2" customFormat="1" spans="1:16">
      <c r="A961" s="82">
        <v>45608</v>
      </c>
      <c r="B961" s="21">
        <v>2276.13</v>
      </c>
      <c r="C961" s="33">
        <v>13581</v>
      </c>
      <c r="D961" s="25">
        <v>410</v>
      </c>
      <c r="E961" s="25">
        <v>1</v>
      </c>
      <c r="F961" s="21">
        <v>8715</v>
      </c>
      <c r="G961" s="25">
        <v>27</v>
      </c>
      <c r="H961" s="25">
        <v>2</v>
      </c>
      <c r="I961" s="25">
        <v>3</v>
      </c>
      <c r="J961" s="92">
        <f t="shared" si="134"/>
        <v>0.0301892349606067</v>
      </c>
      <c r="K961" s="93">
        <f t="shared" si="135"/>
        <v>5.55153658536585</v>
      </c>
      <c r="L961" s="94">
        <f t="shared" si="136"/>
        <v>3.82886741969923</v>
      </c>
      <c r="M961" s="92">
        <f t="shared" si="137"/>
        <v>0.0024390243902439</v>
      </c>
      <c r="N961" s="46">
        <f t="shared" si="138"/>
        <v>8715</v>
      </c>
      <c r="O961" s="46">
        <f t="shared" si="139"/>
        <v>2276.13</v>
      </c>
      <c r="P961" s="93">
        <f t="shared" si="140"/>
        <v>84.3011111111111</v>
      </c>
    </row>
    <row r="962" s="2" customFormat="1" spans="1:16">
      <c r="A962" s="82">
        <v>45609</v>
      </c>
      <c r="B962" s="21">
        <v>2495.79</v>
      </c>
      <c r="C962" s="33">
        <v>13941</v>
      </c>
      <c r="D962" s="25">
        <v>521</v>
      </c>
      <c r="E962" s="25">
        <v>2</v>
      </c>
      <c r="F962" s="21">
        <v>25472</v>
      </c>
      <c r="G962" s="25">
        <v>21</v>
      </c>
      <c r="H962" s="25">
        <v>7</v>
      </c>
      <c r="I962" s="25">
        <v>3</v>
      </c>
      <c r="J962" s="92">
        <f t="shared" si="134"/>
        <v>0.0373717810773976</v>
      </c>
      <c r="K962" s="93">
        <f t="shared" si="135"/>
        <v>4.79038387715931</v>
      </c>
      <c r="L962" s="94">
        <f t="shared" si="136"/>
        <v>10.2059868819091</v>
      </c>
      <c r="M962" s="92">
        <f t="shared" si="137"/>
        <v>0.00383877159309021</v>
      </c>
      <c r="N962" s="46">
        <f t="shared" si="138"/>
        <v>12736</v>
      </c>
      <c r="O962" s="46">
        <f t="shared" si="139"/>
        <v>1247.895</v>
      </c>
      <c r="P962" s="93">
        <f t="shared" si="140"/>
        <v>118.847142857143</v>
      </c>
    </row>
    <row r="963" s="2" customFormat="1" spans="1:16">
      <c r="A963" s="82">
        <v>45610</v>
      </c>
      <c r="B963" s="21">
        <v>1296.65</v>
      </c>
      <c r="C963" s="33">
        <v>7605</v>
      </c>
      <c r="D963" s="25">
        <v>292</v>
      </c>
      <c r="E963" s="25">
        <v>0</v>
      </c>
      <c r="F963" s="21">
        <v>0</v>
      </c>
      <c r="G963" s="25">
        <v>11</v>
      </c>
      <c r="H963" s="25">
        <v>0</v>
      </c>
      <c r="I963" s="25">
        <v>1</v>
      </c>
      <c r="J963" s="92">
        <f t="shared" si="134"/>
        <v>0.0383957922419461</v>
      </c>
      <c r="K963" s="93">
        <f t="shared" si="135"/>
        <v>4.44058219178082</v>
      </c>
      <c r="L963" s="94">
        <f t="shared" si="136"/>
        <v>0</v>
      </c>
      <c r="M963" s="92">
        <f t="shared" si="137"/>
        <v>0</v>
      </c>
      <c r="N963" s="46">
        <f t="shared" si="138"/>
        <v>0</v>
      </c>
      <c r="O963" s="46">
        <f t="shared" si="139"/>
        <v>0</v>
      </c>
      <c r="P963" s="93">
        <f t="shared" si="140"/>
        <v>117.877272727273</v>
      </c>
    </row>
    <row r="964" s="2" customFormat="1" spans="1:16">
      <c r="A964" s="82">
        <v>45611</v>
      </c>
      <c r="B964" s="21">
        <v>2128.97</v>
      </c>
      <c r="C964" s="33">
        <v>13845</v>
      </c>
      <c r="D964" s="25">
        <v>472</v>
      </c>
      <c r="E964" s="25">
        <v>0</v>
      </c>
      <c r="F964" s="21">
        <v>0</v>
      </c>
      <c r="G964" s="25">
        <v>19</v>
      </c>
      <c r="H964" s="25">
        <v>2</v>
      </c>
      <c r="I964" s="25">
        <v>2</v>
      </c>
      <c r="J964" s="92">
        <f t="shared" si="134"/>
        <v>0.0340917298663778</v>
      </c>
      <c r="K964" s="93">
        <f t="shared" si="135"/>
        <v>4.51052966101695</v>
      </c>
      <c r="L964" s="94">
        <f t="shared" si="136"/>
        <v>0</v>
      </c>
      <c r="M964" s="92">
        <f t="shared" si="137"/>
        <v>0</v>
      </c>
      <c r="N964" s="46">
        <f t="shared" si="138"/>
        <v>0</v>
      </c>
      <c r="O964" s="46">
        <f t="shared" si="139"/>
        <v>0</v>
      </c>
      <c r="P964" s="93">
        <f t="shared" si="140"/>
        <v>112.051052631579</v>
      </c>
    </row>
    <row r="965" s="2" customFormat="1" spans="1:16">
      <c r="A965" s="82">
        <v>45612</v>
      </c>
      <c r="B965" s="21">
        <v>1952.29</v>
      </c>
      <c r="C965" s="33">
        <v>13778</v>
      </c>
      <c r="D965" s="25">
        <v>403</v>
      </c>
      <c r="E965" s="25">
        <v>0</v>
      </c>
      <c r="F965" s="21">
        <v>0</v>
      </c>
      <c r="G965" s="25">
        <v>27</v>
      </c>
      <c r="H965" s="25">
        <v>3</v>
      </c>
      <c r="I965" s="25">
        <v>2</v>
      </c>
      <c r="J965" s="92">
        <f t="shared" si="134"/>
        <v>0.0292495282334156</v>
      </c>
      <c r="K965" s="93">
        <f t="shared" si="135"/>
        <v>4.84439205955335</v>
      </c>
      <c r="L965" s="94">
        <f t="shared" si="136"/>
        <v>0</v>
      </c>
      <c r="M965" s="92">
        <f t="shared" si="137"/>
        <v>0</v>
      </c>
      <c r="N965" s="46">
        <f t="shared" si="138"/>
        <v>0</v>
      </c>
      <c r="O965" s="46">
        <f t="shared" si="139"/>
        <v>0</v>
      </c>
      <c r="P965" s="93">
        <f t="shared" si="140"/>
        <v>72.307037037037</v>
      </c>
    </row>
    <row r="966" s="2" customFormat="1" spans="1:16">
      <c r="A966" s="82">
        <v>45613</v>
      </c>
      <c r="B966" s="21">
        <v>2248.82</v>
      </c>
      <c r="C966" s="33">
        <v>12396</v>
      </c>
      <c r="D966" s="25">
        <v>503</v>
      </c>
      <c r="E966" s="25">
        <v>0</v>
      </c>
      <c r="F966" s="21">
        <v>0</v>
      </c>
      <c r="G966" s="25">
        <v>33</v>
      </c>
      <c r="H966" s="25">
        <v>5</v>
      </c>
      <c r="I966" s="25">
        <v>6</v>
      </c>
      <c r="J966" s="92">
        <f t="shared" si="134"/>
        <v>0.0405776056792514</v>
      </c>
      <c r="K966" s="93">
        <f t="shared" si="135"/>
        <v>4.47081510934394</v>
      </c>
      <c r="L966" s="94">
        <f t="shared" si="136"/>
        <v>0</v>
      </c>
      <c r="M966" s="92">
        <f t="shared" si="137"/>
        <v>0</v>
      </c>
      <c r="N966" s="46">
        <f t="shared" si="138"/>
        <v>0</v>
      </c>
      <c r="O966" s="46">
        <f t="shared" si="139"/>
        <v>0</v>
      </c>
      <c r="P966" s="93">
        <f t="shared" si="140"/>
        <v>68.1460606060606</v>
      </c>
    </row>
    <row r="967" s="2" customFormat="1" spans="1:16">
      <c r="A967" s="82">
        <v>45614</v>
      </c>
      <c r="B967" s="21">
        <v>2031.83</v>
      </c>
      <c r="C967" s="33">
        <v>12863</v>
      </c>
      <c r="D967" s="25">
        <v>419</v>
      </c>
      <c r="E967" s="25">
        <v>0</v>
      </c>
      <c r="F967" s="21">
        <v>0</v>
      </c>
      <c r="G967" s="25">
        <v>25</v>
      </c>
      <c r="H967" s="25">
        <v>4</v>
      </c>
      <c r="I967" s="25">
        <v>3</v>
      </c>
      <c r="J967" s="92">
        <f t="shared" si="134"/>
        <v>0.0325740495996268</v>
      </c>
      <c r="K967" s="93">
        <f t="shared" si="135"/>
        <v>4.84923627684964</v>
      </c>
      <c r="L967" s="94">
        <f t="shared" si="136"/>
        <v>0</v>
      </c>
      <c r="M967" s="92">
        <f t="shared" si="137"/>
        <v>0</v>
      </c>
      <c r="N967" s="46">
        <f t="shared" si="138"/>
        <v>0</v>
      </c>
      <c r="O967" s="46">
        <f t="shared" si="139"/>
        <v>0</v>
      </c>
      <c r="P967" s="93">
        <f t="shared" si="140"/>
        <v>81.2732</v>
      </c>
    </row>
    <row r="968" s="2" customFormat="1" spans="1:16">
      <c r="A968" s="82">
        <v>45615</v>
      </c>
      <c r="B968" s="21">
        <v>2142.84</v>
      </c>
      <c r="C968" s="33">
        <v>15349</v>
      </c>
      <c r="D968" s="25">
        <v>466</v>
      </c>
      <c r="E968" s="25">
        <v>0</v>
      </c>
      <c r="F968" s="21">
        <v>0</v>
      </c>
      <c r="G968" s="25">
        <v>26</v>
      </c>
      <c r="H968" s="25">
        <v>4</v>
      </c>
      <c r="I968" s="25">
        <v>0</v>
      </c>
      <c r="J968" s="92">
        <f t="shared" si="134"/>
        <v>0.0303602840575933</v>
      </c>
      <c r="K968" s="93">
        <f t="shared" si="135"/>
        <v>4.59836909871245</v>
      </c>
      <c r="L968" s="94">
        <f t="shared" si="136"/>
        <v>0</v>
      </c>
      <c r="M968" s="92">
        <f t="shared" si="137"/>
        <v>0</v>
      </c>
      <c r="N968" s="46">
        <f t="shared" si="138"/>
        <v>0</v>
      </c>
      <c r="O968" s="46">
        <f t="shared" si="139"/>
        <v>0</v>
      </c>
      <c r="P968" s="93">
        <f t="shared" si="140"/>
        <v>82.4169230769231</v>
      </c>
    </row>
    <row r="969" s="2" customFormat="1" spans="1:16">
      <c r="A969" s="82">
        <v>45616</v>
      </c>
      <c r="B969" s="21">
        <v>2334.3</v>
      </c>
      <c r="C969" s="33">
        <v>13841</v>
      </c>
      <c r="D969" s="25">
        <v>517</v>
      </c>
      <c r="E969" s="25">
        <v>0</v>
      </c>
      <c r="F969" s="21">
        <v>0</v>
      </c>
      <c r="G969" s="25">
        <v>16</v>
      </c>
      <c r="H969" s="25">
        <v>3</v>
      </c>
      <c r="I969" s="25">
        <v>3</v>
      </c>
      <c r="J969" s="92">
        <f t="shared" si="134"/>
        <v>0.0373527924282928</v>
      </c>
      <c r="K969" s="93">
        <f t="shared" si="135"/>
        <v>4.51508704061896</v>
      </c>
      <c r="L969" s="94">
        <f t="shared" si="136"/>
        <v>0</v>
      </c>
      <c r="M969" s="92">
        <f t="shared" si="137"/>
        <v>0</v>
      </c>
      <c r="N969" s="46">
        <f t="shared" si="138"/>
        <v>0</v>
      </c>
      <c r="O969" s="46">
        <f t="shared" si="139"/>
        <v>0</v>
      </c>
      <c r="P969" s="93">
        <f t="shared" si="140"/>
        <v>145.89375</v>
      </c>
    </row>
    <row r="970" s="2" customFormat="1" spans="1:16">
      <c r="A970" s="82">
        <v>45617</v>
      </c>
      <c r="B970" s="21">
        <v>2253.88</v>
      </c>
      <c r="C970" s="33">
        <v>13973</v>
      </c>
      <c r="D970" s="25">
        <v>458</v>
      </c>
      <c r="E970" s="25">
        <v>0</v>
      </c>
      <c r="F970" s="21">
        <v>0</v>
      </c>
      <c r="G970" s="25">
        <v>27</v>
      </c>
      <c r="H970" s="25">
        <v>6</v>
      </c>
      <c r="I970" s="25">
        <v>0</v>
      </c>
      <c r="J970" s="92">
        <f t="shared" si="134"/>
        <v>0.0327774994632506</v>
      </c>
      <c r="K970" s="93">
        <f t="shared" si="135"/>
        <v>4.92113537117904</v>
      </c>
      <c r="L970" s="94">
        <f t="shared" si="136"/>
        <v>0</v>
      </c>
      <c r="M970" s="92">
        <f t="shared" si="137"/>
        <v>0</v>
      </c>
      <c r="N970" s="46">
        <f t="shared" si="138"/>
        <v>0</v>
      </c>
      <c r="O970" s="46">
        <f t="shared" si="139"/>
        <v>0</v>
      </c>
      <c r="P970" s="93">
        <f t="shared" si="140"/>
        <v>83.477037037037</v>
      </c>
    </row>
    <row r="971" s="2" customFormat="1" spans="1:16">
      <c r="A971" s="82">
        <v>45618</v>
      </c>
      <c r="B971" s="21">
        <v>2317.48</v>
      </c>
      <c r="C971" s="33">
        <v>13696</v>
      </c>
      <c r="D971" s="25">
        <v>481</v>
      </c>
      <c r="E971" s="25">
        <v>1</v>
      </c>
      <c r="F971" s="21">
        <v>7683</v>
      </c>
      <c r="G971" s="25">
        <v>34</v>
      </c>
      <c r="H971" s="25">
        <v>4</v>
      </c>
      <c r="I971" s="25">
        <v>5</v>
      </c>
      <c r="J971" s="92">
        <f t="shared" si="134"/>
        <v>0.0351197429906542</v>
      </c>
      <c r="K971" s="93">
        <f t="shared" si="135"/>
        <v>4.81804573804574</v>
      </c>
      <c r="L971" s="94">
        <f t="shared" si="136"/>
        <v>3.31523896646357</v>
      </c>
      <c r="M971" s="92">
        <f t="shared" si="137"/>
        <v>0.00207900207900208</v>
      </c>
      <c r="N971" s="46">
        <f t="shared" si="138"/>
        <v>7683</v>
      </c>
      <c r="O971" s="46">
        <f t="shared" si="139"/>
        <v>2317.48</v>
      </c>
      <c r="P971" s="93">
        <f t="shared" si="140"/>
        <v>68.1611764705882</v>
      </c>
    </row>
    <row r="972" s="2" customFormat="1" spans="1:16">
      <c r="A972" s="82">
        <v>45619</v>
      </c>
      <c r="B972" s="21">
        <v>2342.54</v>
      </c>
      <c r="C972" s="33">
        <v>13598</v>
      </c>
      <c r="D972" s="25">
        <v>500</v>
      </c>
      <c r="E972" s="25">
        <v>0</v>
      </c>
      <c r="F972" s="21">
        <v>0</v>
      </c>
      <c r="G972" s="25">
        <v>23</v>
      </c>
      <c r="H972" s="25">
        <v>4</v>
      </c>
      <c r="I972" s="25">
        <v>3</v>
      </c>
      <c r="J972" s="92">
        <f t="shared" si="134"/>
        <v>0.0367701132519488</v>
      </c>
      <c r="K972" s="93">
        <f t="shared" si="135"/>
        <v>4.68508</v>
      </c>
      <c r="L972" s="94">
        <f t="shared" si="136"/>
        <v>0</v>
      </c>
      <c r="M972" s="92">
        <f t="shared" si="137"/>
        <v>0</v>
      </c>
      <c r="N972" s="46">
        <f t="shared" si="138"/>
        <v>0</v>
      </c>
      <c r="O972" s="46">
        <f t="shared" si="139"/>
        <v>0</v>
      </c>
      <c r="P972" s="93">
        <f t="shared" si="140"/>
        <v>101.849565217391</v>
      </c>
    </row>
    <row r="973" s="2" customFormat="1" spans="1:16">
      <c r="A973" s="82">
        <v>45620</v>
      </c>
      <c r="B973" s="21">
        <v>2330.53</v>
      </c>
      <c r="C973" s="33">
        <v>18021</v>
      </c>
      <c r="D973" s="25">
        <v>502</v>
      </c>
      <c r="E973" s="25">
        <v>0</v>
      </c>
      <c r="F973" s="21">
        <v>0</v>
      </c>
      <c r="G973" s="25">
        <v>51</v>
      </c>
      <c r="H973" s="25">
        <v>6</v>
      </c>
      <c r="I973" s="25">
        <v>2</v>
      </c>
      <c r="J973" s="92">
        <f t="shared" si="134"/>
        <v>0.0278563897674935</v>
      </c>
      <c r="K973" s="93">
        <f t="shared" si="135"/>
        <v>4.64249003984064</v>
      </c>
      <c r="L973" s="94">
        <f t="shared" si="136"/>
        <v>0</v>
      </c>
      <c r="M973" s="92">
        <f t="shared" si="137"/>
        <v>0</v>
      </c>
      <c r="N973" s="46">
        <f t="shared" si="138"/>
        <v>0</v>
      </c>
      <c r="O973" s="46">
        <f t="shared" si="139"/>
        <v>0</v>
      </c>
      <c r="P973" s="93">
        <f t="shared" si="140"/>
        <v>45.6966666666667</v>
      </c>
    </row>
    <row r="974" s="2" customFormat="1" spans="1:16">
      <c r="A974" s="82">
        <v>45621</v>
      </c>
      <c r="B974" s="21">
        <v>2350</v>
      </c>
      <c r="C974" s="33">
        <v>11522</v>
      </c>
      <c r="D974" s="25">
        <v>519</v>
      </c>
      <c r="E974" s="25">
        <v>1</v>
      </c>
      <c r="F974" s="21">
        <v>12072</v>
      </c>
      <c r="G974" s="25">
        <v>38</v>
      </c>
      <c r="H974" s="25">
        <v>3</v>
      </c>
      <c r="I974" s="25">
        <v>1</v>
      </c>
      <c r="J974" s="92">
        <f t="shared" si="134"/>
        <v>0.0450442631487589</v>
      </c>
      <c r="K974" s="93">
        <f t="shared" si="135"/>
        <v>4.52793834296724</v>
      </c>
      <c r="L974" s="94">
        <f t="shared" si="136"/>
        <v>5.13702127659574</v>
      </c>
      <c r="M974" s="92">
        <f t="shared" si="137"/>
        <v>0.00192678227360308</v>
      </c>
      <c r="N974" s="46">
        <f t="shared" si="138"/>
        <v>12072</v>
      </c>
      <c r="O974" s="46">
        <f t="shared" si="139"/>
        <v>2350</v>
      </c>
      <c r="P974" s="93">
        <f t="shared" si="140"/>
        <v>61.8421052631579</v>
      </c>
    </row>
    <row r="975" s="2" customFormat="1" spans="1:16">
      <c r="A975" s="82">
        <v>45622</v>
      </c>
      <c r="B975" s="21">
        <v>2341.48</v>
      </c>
      <c r="C975" s="33">
        <v>13829</v>
      </c>
      <c r="D975" s="25">
        <v>484</v>
      </c>
      <c r="E975" s="25">
        <v>0</v>
      </c>
      <c r="F975" s="21">
        <v>0</v>
      </c>
      <c r="G975" s="25">
        <v>32</v>
      </c>
      <c r="H975" s="25">
        <v>3</v>
      </c>
      <c r="I975" s="25">
        <v>1</v>
      </c>
      <c r="J975" s="92">
        <f t="shared" si="134"/>
        <v>0.0349989153228722</v>
      </c>
      <c r="K975" s="93">
        <f t="shared" si="135"/>
        <v>4.83776859504132</v>
      </c>
      <c r="L975" s="94">
        <f t="shared" si="136"/>
        <v>0</v>
      </c>
      <c r="M975" s="92">
        <f t="shared" si="137"/>
        <v>0</v>
      </c>
      <c r="N975" s="46">
        <f t="shared" si="138"/>
        <v>0</v>
      </c>
      <c r="O975" s="46">
        <f t="shared" si="139"/>
        <v>0</v>
      </c>
      <c r="P975" s="93">
        <f t="shared" si="140"/>
        <v>73.17125</v>
      </c>
    </row>
    <row r="976" s="2" customFormat="1" spans="1:16">
      <c r="A976" s="82">
        <v>45623</v>
      </c>
      <c r="B976" s="21">
        <v>2001.43</v>
      </c>
      <c r="C976" s="33">
        <v>21772</v>
      </c>
      <c r="D976" s="25">
        <v>431</v>
      </c>
      <c r="E976" s="25">
        <v>0</v>
      </c>
      <c r="F976" s="21">
        <v>0</v>
      </c>
      <c r="G976" s="25">
        <v>30</v>
      </c>
      <c r="H976" s="25">
        <v>1</v>
      </c>
      <c r="I976" s="25">
        <v>3</v>
      </c>
      <c r="J976" s="92">
        <f t="shared" si="134"/>
        <v>0.0197960683446629</v>
      </c>
      <c r="K976" s="93">
        <f t="shared" si="135"/>
        <v>4.64368909512761</v>
      </c>
      <c r="L976" s="94">
        <f t="shared" si="136"/>
        <v>0</v>
      </c>
      <c r="M976" s="92">
        <f t="shared" si="137"/>
        <v>0</v>
      </c>
      <c r="N976" s="46">
        <f t="shared" si="138"/>
        <v>0</v>
      </c>
      <c r="O976" s="46">
        <f t="shared" si="139"/>
        <v>0</v>
      </c>
      <c r="P976" s="93">
        <f t="shared" si="140"/>
        <v>66.7143333333333</v>
      </c>
    </row>
    <row r="977" s="2" customFormat="1" spans="1:16">
      <c r="A977" s="82">
        <v>45624</v>
      </c>
      <c r="B977" s="21">
        <v>2154.41</v>
      </c>
      <c r="C977" s="33">
        <v>12530</v>
      </c>
      <c r="D977" s="25">
        <v>464</v>
      </c>
      <c r="E977" s="25">
        <v>0</v>
      </c>
      <c r="F977" s="21">
        <v>0</v>
      </c>
      <c r="G977" s="25">
        <v>26</v>
      </c>
      <c r="H977" s="25">
        <v>2</v>
      </c>
      <c r="I977" s="25">
        <v>1</v>
      </c>
      <c r="J977" s="92">
        <f t="shared" si="134"/>
        <v>0.0370311252992817</v>
      </c>
      <c r="K977" s="93">
        <f t="shared" si="135"/>
        <v>4.643125</v>
      </c>
      <c r="L977" s="94">
        <f t="shared" si="136"/>
        <v>0</v>
      </c>
      <c r="M977" s="92">
        <f t="shared" si="137"/>
        <v>0</v>
      </c>
      <c r="N977" s="46">
        <f t="shared" si="138"/>
        <v>0</v>
      </c>
      <c r="O977" s="46">
        <f t="shared" si="139"/>
        <v>0</v>
      </c>
      <c r="P977" s="93">
        <f t="shared" si="140"/>
        <v>82.8619230769231</v>
      </c>
    </row>
    <row r="978" s="2" customFormat="1" spans="1:16">
      <c r="A978" s="82">
        <v>45625</v>
      </c>
      <c r="B978" s="21">
        <v>2088.94</v>
      </c>
      <c r="C978" s="33">
        <v>15941</v>
      </c>
      <c r="D978" s="25">
        <v>447</v>
      </c>
      <c r="E978" s="25">
        <v>0</v>
      </c>
      <c r="F978" s="21">
        <v>0</v>
      </c>
      <c r="G978" s="25">
        <v>19</v>
      </c>
      <c r="H978" s="25">
        <v>3</v>
      </c>
      <c r="I978" s="25">
        <v>2</v>
      </c>
      <c r="J978" s="92">
        <f t="shared" si="134"/>
        <v>0.0280409008217803</v>
      </c>
      <c r="K978" s="93">
        <f t="shared" si="135"/>
        <v>4.67324384787472</v>
      </c>
      <c r="L978" s="94">
        <f t="shared" si="136"/>
        <v>0</v>
      </c>
      <c r="M978" s="92">
        <f t="shared" si="137"/>
        <v>0</v>
      </c>
      <c r="N978" s="46">
        <f t="shared" si="138"/>
        <v>0</v>
      </c>
      <c r="O978" s="46">
        <f t="shared" si="139"/>
        <v>0</v>
      </c>
      <c r="P978" s="93">
        <f t="shared" si="140"/>
        <v>109.944210526316</v>
      </c>
    </row>
    <row r="979" s="2" customFormat="1" spans="1:16">
      <c r="A979" s="82">
        <v>45626</v>
      </c>
      <c r="B979" s="21">
        <v>2311.42</v>
      </c>
      <c r="C979" s="33">
        <v>13278</v>
      </c>
      <c r="D979" s="25">
        <v>480</v>
      </c>
      <c r="E979" s="25">
        <v>0</v>
      </c>
      <c r="F979" s="21">
        <v>0</v>
      </c>
      <c r="G979" s="25">
        <v>22</v>
      </c>
      <c r="H979" s="25">
        <v>1</v>
      </c>
      <c r="I979" s="25">
        <v>4</v>
      </c>
      <c r="J979" s="92">
        <f t="shared" si="134"/>
        <v>0.0361500225937641</v>
      </c>
      <c r="K979" s="93">
        <f t="shared" si="135"/>
        <v>4.81545833333333</v>
      </c>
      <c r="L979" s="94">
        <f t="shared" si="136"/>
        <v>0</v>
      </c>
      <c r="M979" s="92">
        <f t="shared" si="137"/>
        <v>0</v>
      </c>
      <c r="N979" s="46">
        <f t="shared" si="138"/>
        <v>0</v>
      </c>
      <c r="O979" s="46">
        <f t="shared" si="139"/>
        <v>0</v>
      </c>
      <c r="P979" s="93">
        <f t="shared" si="140"/>
        <v>105.064545454545</v>
      </c>
    </row>
    <row r="980" s="2" customFormat="1" spans="1:16">
      <c r="A980" s="82">
        <v>45627</v>
      </c>
      <c r="B980" s="21">
        <v>2341.11</v>
      </c>
      <c r="C980" s="33">
        <v>13871</v>
      </c>
      <c r="D980" s="25">
        <v>483</v>
      </c>
      <c r="E980" s="25">
        <v>0</v>
      </c>
      <c r="F980" s="21">
        <v>0</v>
      </c>
      <c r="G980" s="25">
        <v>26</v>
      </c>
      <c r="H980" s="25">
        <v>7</v>
      </c>
      <c r="I980" s="25">
        <v>2</v>
      </c>
      <c r="J980" s="92">
        <f t="shared" si="134"/>
        <v>0.0348208492538389</v>
      </c>
      <c r="K980" s="93">
        <f t="shared" si="135"/>
        <v>4.84701863354037</v>
      </c>
      <c r="L980" s="94">
        <f t="shared" si="136"/>
        <v>0</v>
      </c>
      <c r="M980" s="92">
        <f t="shared" si="137"/>
        <v>0</v>
      </c>
      <c r="N980" s="46">
        <f t="shared" si="138"/>
        <v>0</v>
      </c>
      <c r="O980" s="46">
        <f t="shared" si="139"/>
        <v>0</v>
      </c>
      <c r="P980" s="93">
        <f t="shared" si="140"/>
        <v>90.0426923076923</v>
      </c>
    </row>
    <row r="981" s="2" customFormat="1" spans="1:16">
      <c r="A981" s="82">
        <v>45628</v>
      </c>
      <c r="B981" s="21">
        <v>2749.92</v>
      </c>
      <c r="C981" s="33">
        <v>14194</v>
      </c>
      <c r="D981" s="25">
        <v>572</v>
      </c>
      <c r="E981" s="25">
        <v>0</v>
      </c>
      <c r="F981" s="21">
        <v>0</v>
      </c>
      <c r="G981" s="25">
        <v>35</v>
      </c>
      <c r="H981" s="25">
        <v>4</v>
      </c>
      <c r="I981" s="25">
        <v>5</v>
      </c>
      <c r="J981" s="92">
        <f t="shared" si="134"/>
        <v>0.040298717768071</v>
      </c>
      <c r="K981" s="93">
        <f t="shared" si="135"/>
        <v>4.80755244755245</v>
      </c>
      <c r="L981" s="94">
        <f t="shared" si="136"/>
        <v>0</v>
      </c>
      <c r="M981" s="92">
        <f t="shared" si="137"/>
        <v>0</v>
      </c>
      <c r="N981" s="46">
        <f t="shared" si="138"/>
        <v>0</v>
      </c>
      <c r="O981" s="46">
        <f t="shared" si="139"/>
        <v>0</v>
      </c>
      <c r="P981" s="93">
        <f t="shared" si="140"/>
        <v>78.5691428571429</v>
      </c>
    </row>
    <row r="982" s="2" customFormat="1" spans="1:16">
      <c r="A982" s="82">
        <v>45629</v>
      </c>
      <c r="B982" s="21">
        <v>2750</v>
      </c>
      <c r="C982" s="33">
        <v>13840</v>
      </c>
      <c r="D982" s="25">
        <v>581</v>
      </c>
      <c r="E982" s="25">
        <v>0</v>
      </c>
      <c r="F982" s="21">
        <v>0</v>
      </c>
      <c r="G982" s="25">
        <v>24</v>
      </c>
      <c r="H982" s="25">
        <v>7</v>
      </c>
      <c r="I982" s="25">
        <v>4</v>
      </c>
      <c r="J982" s="92">
        <f t="shared" si="134"/>
        <v>0.0419797687861272</v>
      </c>
      <c r="K982" s="93">
        <f t="shared" si="135"/>
        <v>4.73321858864028</v>
      </c>
      <c r="L982" s="94">
        <f t="shared" si="136"/>
        <v>0</v>
      </c>
      <c r="M982" s="92">
        <f t="shared" si="137"/>
        <v>0</v>
      </c>
      <c r="N982" s="46">
        <f t="shared" si="138"/>
        <v>0</v>
      </c>
      <c r="O982" s="46">
        <f t="shared" si="139"/>
        <v>0</v>
      </c>
      <c r="P982" s="93">
        <f t="shared" si="140"/>
        <v>114.583333333333</v>
      </c>
    </row>
    <row r="983" s="2" customFormat="1" spans="1:16">
      <c r="A983" s="82">
        <v>45630</v>
      </c>
      <c r="B983" s="21">
        <v>2749.72</v>
      </c>
      <c r="C983" s="33">
        <v>17047</v>
      </c>
      <c r="D983" s="25">
        <v>582</v>
      </c>
      <c r="E983" s="25">
        <v>0</v>
      </c>
      <c r="F983" s="21">
        <v>0</v>
      </c>
      <c r="G983" s="25">
        <v>54</v>
      </c>
      <c r="H983" s="25">
        <v>3</v>
      </c>
      <c r="I983" s="25">
        <v>4</v>
      </c>
      <c r="J983" s="92">
        <f t="shared" si="134"/>
        <v>0.0341409045579867</v>
      </c>
      <c r="K983" s="93">
        <f t="shared" si="135"/>
        <v>4.72460481099656</v>
      </c>
      <c r="L983" s="94">
        <f t="shared" si="136"/>
        <v>0</v>
      </c>
      <c r="M983" s="92">
        <f t="shared" si="137"/>
        <v>0</v>
      </c>
      <c r="N983" s="46">
        <f t="shared" si="138"/>
        <v>0</v>
      </c>
      <c r="O983" s="46">
        <f t="shared" si="139"/>
        <v>0</v>
      </c>
      <c r="P983" s="93">
        <f t="shared" si="140"/>
        <v>50.9207407407407</v>
      </c>
    </row>
    <row r="984" s="2" customFormat="1" spans="1:16">
      <c r="A984" s="82">
        <v>45631</v>
      </c>
      <c r="B984" s="21">
        <v>2745.19</v>
      </c>
      <c r="C984" s="33">
        <v>15350</v>
      </c>
      <c r="D984" s="25">
        <v>577</v>
      </c>
      <c r="E984" s="25">
        <v>0</v>
      </c>
      <c r="F984" s="21">
        <v>0</v>
      </c>
      <c r="G984" s="25">
        <v>22</v>
      </c>
      <c r="H984" s="25">
        <v>1</v>
      </c>
      <c r="I984" s="25">
        <v>0</v>
      </c>
      <c r="J984" s="92">
        <f t="shared" si="134"/>
        <v>0.0375895765472313</v>
      </c>
      <c r="K984" s="93">
        <f t="shared" si="135"/>
        <v>4.75769497400347</v>
      </c>
      <c r="L984" s="94">
        <f t="shared" si="136"/>
        <v>0</v>
      </c>
      <c r="M984" s="92">
        <f t="shared" si="137"/>
        <v>0</v>
      </c>
      <c r="N984" s="46">
        <f t="shared" si="138"/>
        <v>0</v>
      </c>
      <c r="O984" s="46">
        <f t="shared" si="139"/>
        <v>0</v>
      </c>
      <c r="P984" s="93">
        <f t="shared" si="140"/>
        <v>124.781363636364</v>
      </c>
    </row>
    <row r="985" s="2" customFormat="1" spans="1:16">
      <c r="A985" s="82">
        <v>45632</v>
      </c>
      <c r="B985" s="21">
        <v>2750</v>
      </c>
      <c r="C985" s="33">
        <v>14293</v>
      </c>
      <c r="D985" s="25">
        <v>555</v>
      </c>
      <c r="E985" s="25">
        <v>1</v>
      </c>
      <c r="F985" s="21">
        <v>3000</v>
      </c>
      <c r="G985" s="25">
        <v>26</v>
      </c>
      <c r="H985" s="25">
        <v>5</v>
      </c>
      <c r="I985" s="25">
        <v>2</v>
      </c>
      <c r="J985" s="92">
        <f t="shared" si="134"/>
        <v>0.0388301965997341</v>
      </c>
      <c r="K985" s="93">
        <f t="shared" si="135"/>
        <v>4.95495495495495</v>
      </c>
      <c r="L985" s="94">
        <f t="shared" si="136"/>
        <v>1.09090909090909</v>
      </c>
      <c r="M985" s="92">
        <f t="shared" si="137"/>
        <v>0.0018018018018018</v>
      </c>
      <c r="N985" s="46">
        <f t="shared" si="138"/>
        <v>3000</v>
      </c>
      <c r="O985" s="46">
        <f t="shared" si="139"/>
        <v>2750</v>
      </c>
      <c r="P985" s="93">
        <f t="shared" si="140"/>
        <v>105.769230769231</v>
      </c>
    </row>
    <row r="986" s="2" customFormat="1" spans="1:16">
      <c r="A986" s="82">
        <v>45633</v>
      </c>
      <c r="B986" s="21">
        <v>2750</v>
      </c>
      <c r="C986" s="33">
        <v>10274</v>
      </c>
      <c r="D986" s="25">
        <v>625</v>
      </c>
      <c r="E986" s="25">
        <v>0</v>
      </c>
      <c r="F986" s="21">
        <v>0</v>
      </c>
      <c r="G986" s="25">
        <v>33</v>
      </c>
      <c r="H986" s="25">
        <v>7</v>
      </c>
      <c r="I986" s="25">
        <v>9</v>
      </c>
      <c r="J986" s="92">
        <f t="shared" si="134"/>
        <v>0.0608331711115437</v>
      </c>
      <c r="K986" s="93">
        <f t="shared" si="135"/>
        <v>4.4</v>
      </c>
      <c r="L986" s="94">
        <f t="shared" si="136"/>
        <v>0</v>
      </c>
      <c r="M986" s="92">
        <f t="shared" si="137"/>
        <v>0</v>
      </c>
      <c r="N986" s="46">
        <f t="shared" si="138"/>
        <v>0</v>
      </c>
      <c r="O986" s="46">
        <f t="shared" si="139"/>
        <v>0</v>
      </c>
      <c r="P986" s="93">
        <f t="shared" si="140"/>
        <v>83.3333333333333</v>
      </c>
    </row>
    <row r="987" s="2" customFormat="1" spans="1:16">
      <c r="A987" s="82">
        <v>45634</v>
      </c>
      <c r="B987" s="21">
        <v>2750</v>
      </c>
      <c r="C987" s="33">
        <v>14031</v>
      </c>
      <c r="D987" s="25">
        <v>570</v>
      </c>
      <c r="E987" s="25">
        <v>0</v>
      </c>
      <c r="F987" s="21">
        <v>0</v>
      </c>
      <c r="G987" s="25">
        <v>30</v>
      </c>
      <c r="H987" s="25">
        <v>2</v>
      </c>
      <c r="I987" s="25">
        <v>3</v>
      </c>
      <c r="J987" s="92">
        <f t="shared" si="134"/>
        <v>0.0406243318366474</v>
      </c>
      <c r="K987" s="93">
        <f t="shared" si="135"/>
        <v>4.82456140350877</v>
      </c>
      <c r="L987" s="94">
        <f t="shared" si="136"/>
        <v>0</v>
      </c>
      <c r="M987" s="92">
        <f t="shared" si="137"/>
        <v>0</v>
      </c>
      <c r="N987" s="46">
        <f t="shared" si="138"/>
        <v>0</v>
      </c>
      <c r="O987" s="46">
        <f t="shared" si="139"/>
        <v>0</v>
      </c>
      <c r="P987" s="93">
        <f t="shared" si="140"/>
        <v>91.6666666666667</v>
      </c>
    </row>
    <row r="988" s="2" customFormat="1" spans="1:16">
      <c r="A988" s="82">
        <v>45635</v>
      </c>
      <c r="B988" s="21">
        <v>2901.84</v>
      </c>
      <c r="C988" s="33">
        <v>11920</v>
      </c>
      <c r="D988" s="25">
        <v>634</v>
      </c>
      <c r="E988" s="25">
        <v>3</v>
      </c>
      <c r="F988" s="21">
        <v>22094</v>
      </c>
      <c r="G988" s="25">
        <v>29</v>
      </c>
      <c r="H988" s="25">
        <v>7</v>
      </c>
      <c r="I988" s="25">
        <v>3</v>
      </c>
      <c r="J988" s="92">
        <f t="shared" si="134"/>
        <v>0.0531879194630872</v>
      </c>
      <c r="K988" s="93">
        <f t="shared" si="135"/>
        <v>4.57703470031546</v>
      </c>
      <c r="L988" s="94">
        <f t="shared" si="136"/>
        <v>7.6137898712541</v>
      </c>
      <c r="M988" s="92">
        <f t="shared" si="137"/>
        <v>0.00473186119873817</v>
      </c>
      <c r="N988" s="46">
        <f t="shared" si="138"/>
        <v>7364.66666666667</v>
      </c>
      <c r="O988" s="46">
        <f t="shared" si="139"/>
        <v>967.28</v>
      </c>
      <c r="P988" s="93">
        <f t="shared" si="140"/>
        <v>100.063448275862</v>
      </c>
    </row>
    <row r="989" s="2" customFormat="1" spans="1:16">
      <c r="A989" s="82">
        <v>45636</v>
      </c>
      <c r="B989" s="21">
        <v>3826.43</v>
      </c>
      <c r="C989" s="33">
        <v>16266</v>
      </c>
      <c r="D989" s="25">
        <v>862</v>
      </c>
      <c r="E989" s="25">
        <v>0</v>
      </c>
      <c r="F989" s="21">
        <v>0</v>
      </c>
      <c r="G989" s="25">
        <v>56</v>
      </c>
      <c r="H989" s="25">
        <v>9</v>
      </c>
      <c r="I989" s="25">
        <v>7</v>
      </c>
      <c r="J989" s="92">
        <f t="shared" si="134"/>
        <v>0.0529939751629165</v>
      </c>
      <c r="K989" s="93">
        <f t="shared" si="135"/>
        <v>4.43901392111369</v>
      </c>
      <c r="L989" s="94">
        <f t="shared" si="136"/>
        <v>0</v>
      </c>
      <c r="M989" s="92">
        <f t="shared" si="137"/>
        <v>0</v>
      </c>
      <c r="N989" s="46">
        <f t="shared" si="138"/>
        <v>0</v>
      </c>
      <c r="O989" s="46">
        <f t="shared" si="139"/>
        <v>0</v>
      </c>
      <c r="P989" s="93">
        <f t="shared" si="140"/>
        <v>68.3291071428571</v>
      </c>
    </row>
    <row r="990" s="2" customFormat="1" spans="1:16">
      <c r="A990" s="82">
        <v>45637</v>
      </c>
      <c r="B990" s="21">
        <v>4033.33</v>
      </c>
      <c r="C990" s="33">
        <v>14745</v>
      </c>
      <c r="D990" s="25">
        <v>946</v>
      </c>
      <c r="E990" s="25">
        <v>1</v>
      </c>
      <c r="F990" s="21">
        <v>5998</v>
      </c>
      <c r="G990" s="25">
        <v>60</v>
      </c>
      <c r="H990" s="25">
        <v>7</v>
      </c>
      <c r="I990" s="25">
        <v>8</v>
      </c>
      <c r="J990" s="92">
        <f t="shared" si="134"/>
        <v>0.0641573414716853</v>
      </c>
      <c r="K990" s="93">
        <f t="shared" si="135"/>
        <v>4.26356236786469</v>
      </c>
      <c r="L990" s="94">
        <f t="shared" si="136"/>
        <v>1.48710866703196</v>
      </c>
      <c r="M990" s="92">
        <f t="shared" si="137"/>
        <v>0.00105708245243129</v>
      </c>
      <c r="N990" s="46">
        <f t="shared" si="138"/>
        <v>5998</v>
      </c>
      <c r="O990" s="46">
        <f t="shared" si="139"/>
        <v>4033.33</v>
      </c>
      <c r="P990" s="93">
        <f t="shared" si="140"/>
        <v>67.2221666666667</v>
      </c>
    </row>
    <row r="991" s="2" customFormat="1" spans="1:16">
      <c r="A991" s="82">
        <v>45638</v>
      </c>
      <c r="B991" s="21">
        <v>3689.84</v>
      </c>
      <c r="C991" s="33">
        <v>19285</v>
      </c>
      <c r="D991" s="25">
        <v>952</v>
      </c>
      <c r="E991" s="25">
        <v>3</v>
      </c>
      <c r="F991" s="21">
        <v>26293</v>
      </c>
      <c r="G991" s="25">
        <v>55</v>
      </c>
      <c r="H991" s="25">
        <v>11</v>
      </c>
      <c r="I991" s="25">
        <v>6</v>
      </c>
      <c r="J991" s="92">
        <f t="shared" si="134"/>
        <v>0.0493647912885662</v>
      </c>
      <c r="K991" s="93">
        <f t="shared" si="135"/>
        <v>3.87588235294118</v>
      </c>
      <c r="L991" s="94">
        <f t="shared" si="136"/>
        <v>7.12578323179325</v>
      </c>
      <c r="M991" s="92">
        <f t="shared" si="137"/>
        <v>0.00315126050420168</v>
      </c>
      <c r="N991" s="46">
        <f t="shared" si="138"/>
        <v>8764.33333333333</v>
      </c>
      <c r="O991" s="46">
        <f t="shared" si="139"/>
        <v>1229.94666666667</v>
      </c>
      <c r="P991" s="93">
        <f t="shared" si="140"/>
        <v>67.088</v>
      </c>
    </row>
    <row r="992" s="2" customFormat="1" spans="1:16">
      <c r="A992" s="82">
        <v>45639</v>
      </c>
      <c r="B992" s="21">
        <v>3163.84</v>
      </c>
      <c r="C992" s="33">
        <v>16801</v>
      </c>
      <c r="D992" s="25">
        <v>862</v>
      </c>
      <c r="E992" s="25">
        <v>6</v>
      </c>
      <c r="F992" s="21">
        <v>67945</v>
      </c>
      <c r="G992" s="25">
        <v>55</v>
      </c>
      <c r="H992" s="25">
        <v>3</v>
      </c>
      <c r="I992" s="25">
        <v>5</v>
      </c>
      <c r="J992" s="92">
        <f t="shared" si="134"/>
        <v>0.0513064698529849</v>
      </c>
      <c r="K992" s="93">
        <f t="shared" si="135"/>
        <v>3.67034802784223</v>
      </c>
      <c r="L992" s="94">
        <f t="shared" si="136"/>
        <v>21.4754854859917</v>
      </c>
      <c r="M992" s="92">
        <f t="shared" si="137"/>
        <v>0.00696055684454756</v>
      </c>
      <c r="N992" s="46">
        <f t="shared" si="138"/>
        <v>11324.1666666667</v>
      </c>
      <c r="O992" s="46">
        <f t="shared" si="139"/>
        <v>527.306666666667</v>
      </c>
      <c r="P992" s="93">
        <f t="shared" si="140"/>
        <v>57.5243636363636</v>
      </c>
    </row>
    <row r="993" s="2" customFormat="1" spans="1:16">
      <c r="A993" s="82">
        <v>45640</v>
      </c>
      <c r="B993" s="21">
        <v>2298.32</v>
      </c>
      <c r="C993" s="33">
        <v>10285</v>
      </c>
      <c r="D993" s="25">
        <v>732</v>
      </c>
      <c r="E993" s="25">
        <v>0</v>
      </c>
      <c r="F993" s="21">
        <v>0</v>
      </c>
      <c r="G993" s="25">
        <v>44</v>
      </c>
      <c r="H993" s="25">
        <v>3</v>
      </c>
      <c r="I993" s="25">
        <v>5</v>
      </c>
      <c r="J993" s="92">
        <f t="shared" si="134"/>
        <v>0.0711716091395236</v>
      </c>
      <c r="K993" s="93">
        <f t="shared" si="135"/>
        <v>3.13978142076503</v>
      </c>
      <c r="L993" s="94">
        <f t="shared" si="136"/>
        <v>0</v>
      </c>
      <c r="M993" s="92">
        <f t="shared" si="137"/>
        <v>0</v>
      </c>
      <c r="N993" s="46">
        <f t="shared" si="138"/>
        <v>0</v>
      </c>
      <c r="O993" s="46">
        <f t="shared" si="139"/>
        <v>0</v>
      </c>
      <c r="P993" s="93">
        <f t="shared" si="140"/>
        <v>52.2345454545455</v>
      </c>
    </row>
    <row r="994" s="2" customFormat="1" spans="1:16">
      <c r="A994" s="82">
        <v>45641</v>
      </c>
      <c r="B994" s="21">
        <v>1729.11</v>
      </c>
      <c r="C994" s="33">
        <v>7579</v>
      </c>
      <c r="D994" s="25">
        <v>587</v>
      </c>
      <c r="E994" s="25">
        <v>2</v>
      </c>
      <c r="F994" s="21">
        <v>20804</v>
      </c>
      <c r="G994" s="25">
        <v>39</v>
      </c>
      <c r="H994" s="25">
        <v>1</v>
      </c>
      <c r="I994" s="25">
        <v>7</v>
      </c>
      <c r="J994" s="92">
        <f t="shared" si="134"/>
        <v>0.0774508510357567</v>
      </c>
      <c r="K994" s="93">
        <f t="shared" si="135"/>
        <v>2.94567291311755</v>
      </c>
      <c r="L994" s="94">
        <f t="shared" si="136"/>
        <v>12.0316232050014</v>
      </c>
      <c r="M994" s="92">
        <f t="shared" si="137"/>
        <v>0.00340715502555366</v>
      </c>
      <c r="N994" s="46">
        <f t="shared" si="138"/>
        <v>10402</v>
      </c>
      <c r="O994" s="46">
        <f t="shared" si="139"/>
        <v>864.555</v>
      </c>
      <c r="P994" s="93">
        <f t="shared" si="140"/>
        <v>44.3361538461538</v>
      </c>
    </row>
    <row r="995" s="2" customFormat="1" spans="1:16">
      <c r="A995" s="82">
        <v>45642</v>
      </c>
      <c r="B995" s="21">
        <v>1727.58</v>
      </c>
      <c r="C995" s="33">
        <v>9052</v>
      </c>
      <c r="D995" s="25">
        <v>626</v>
      </c>
      <c r="E995" s="25">
        <v>0</v>
      </c>
      <c r="F995" s="21">
        <v>0</v>
      </c>
      <c r="G995" s="25">
        <v>29</v>
      </c>
      <c r="H995" s="25">
        <v>5</v>
      </c>
      <c r="I995" s="25">
        <v>5</v>
      </c>
      <c r="J995" s="92">
        <f t="shared" si="134"/>
        <v>0.0691559876270438</v>
      </c>
      <c r="K995" s="93">
        <f t="shared" si="135"/>
        <v>2.7597124600639</v>
      </c>
      <c r="L995" s="94">
        <f t="shared" si="136"/>
        <v>0</v>
      </c>
      <c r="M995" s="92">
        <f t="shared" si="137"/>
        <v>0</v>
      </c>
      <c r="N995" s="46">
        <f t="shared" si="138"/>
        <v>0</v>
      </c>
      <c r="O995" s="46">
        <f t="shared" si="139"/>
        <v>0</v>
      </c>
      <c r="P995" s="93">
        <f t="shared" si="140"/>
        <v>59.571724137931</v>
      </c>
    </row>
    <row r="996" s="2" customFormat="1" spans="1:16">
      <c r="A996" s="82">
        <v>45643</v>
      </c>
      <c r="B996" s="21">
        <v>1479.4</v>
      </c>
      <c r="C996" s="33">
        <v>7894</v>
      </c>
      <c r="D996" s="25">
        <v>533</v>
      </c>
      <c r="E996" s="25">
        <v>1</v>
      </c>
      <c r="F996" s="21">
        <v>10643</v>
      </c>
      <c r="G996" s="25">
        <v>37</v>
      </c>
      <c r="H996" s="25">
        <v>2</v>
      </c>
      <c r="I996" s="25">
        <v>3</v>
      </c>
      <c r="J996" s="92">
        <f t="shared" si="134"/>
        <v>0.0675196351659488</v>
      </c>
      <c r="K996" s="93">
        <f t="shared" si="135"/>
        <v>2.77560975609756</v>
      </c>
      <c r="L996" s="94">
        <f t="shared" si="136"/>
        <v>7.19413275652291</v>
      </c>
      <c r="M996" s="92">
        <f t="shared" si="137"/>
        <v>0.00187617260787992</v>
      </c>
      <c r="N996" s="46">
        <f t="shared" si="138"/>
        <v>10643</v>
      </c>
      <c r="O996" s="46">
        <f t="shared" si="139"/>
        <v>1479.4</v>
      </c>
      <c r="P996" s="93">
        <f t="shared" si="140"/>
        <v>39.9837837837838</v>
      </c>
    </row>
    <row r="997" s="2" customFormat="1" spans="1:16">
      <c r="A997" s="82">
        <v>45644</v>
      </c>
      <c r="B997" s="21">
        <v>954.69</v>
      </c>
      <c r="C997" s="33">
        <v>5637</v>
      </c>
      <c r="D997" s="25">
        <v>387</v>
      </c>
      <c r="E997" s="25">
        <v>0</v>
      </c>
      <c r="F997" s="21">
        <v>0</v>
      </c>
      <c r="G997" s="25">
        <v>34</v>
      </c>
      <c r="H997" s="25">
        <v>3</v>
      </c>
      <c r="I997" s="25">
        <v>0</v>
      </c>
      <c r="J997" s="92">
        <f t="shared" si="134"/>
        <v>0.0686535391165514</v>
      </c>
      <c r="K997" s="93">
        <f t="shared" si="135"/>
        <v>2.4668992248062</v>
      </c>
      <c r="L997" s="94">
        <f t="shared" si="136"/>
        <v>0</v>
      </c>
      <c r="M997" s="92">
        <f t="shared" si="137"/>
        <v>0</v>
      </c>
      <c r="N997" s="46">
        <f t="shared" si="138"/>
        <v>0</v>
      </c>
      <c r="O997" s="46">
        <f t="shared" si="139"/>
        <v>0</v>
      </c>
      <c r="P997" s="93">
        <f t="shared" si="140"/>
        <v>28.0791176470588</v>
      </c>
    </row>
    <row r="998" s="2" customFormat="1" spans="1:16">
      <c r="A998" s="82">
        <v>45645</v>
      </c>
      <c r="B998" s="21">
        <v>1111.69</v>
      </c>
      <c r="C998" s="33">
        <v>5851</v>
      </c>
      <c r="D998" s="25">
        <v>444</v>
      </c>
      <c r="E998" s="25">
        <v>0</v>
      </c>
      <c r="F998" s="21">
        <v>0</v>
      </c>
      <c r="G998" s="25">
        <v>24</v>
      </c>
      <c r="H998" s="25">
        <v>4</v>
      </c>
      <c r="I998" s="25">
        <v>2</v>
      </c>
      <c r="J998" s="92">
        <f t="shared" ref="J998:J1061" si="141">D998/C998</f>
        <v>0.0758844641941548</v>
      </c>
      <c r="K998" s="93">
        <f t="shared" ref="K998:K1061" si="142">B998/D998</f>
        <v>2.50380630630631</v>
      </c>
      <c r="L998" s="94">
        <f t="shared" ref="L998:L1061" si="143">F998/B998</f>
        <v>0</v>
      </c>
      <c r="M998" s="92">
        <f t="shared" ref="M998:M1061" si="144">E998/D998</f>
        <v>0</v>
      </c>
      <c r="N998" s="46">
        <f t="shared" ref="N998:N1061" si="145">IF(E998=0,0,F998/E998)</f>
        <v>0</v>
      </c>
      <c r="O998" s="46">
        <f t="shared" ref="O998:O1061" si="146">IF(E998=0,0,B998/E998)</f>
        <v>0</v>
      </c>
      <c r="P998" s="93">
        <f t="shared" ref="P998:P1061" si="147">B998/G998</f>
        <v>46.3204166666667</v>
      </c>
    </row>
    <row r="999" s="2" customFormat="1" spans="1:16">
      <c r="A999" s="82">
        <v>45646</v>
      </c>
      <c r="B999" s="21">
        <v>1142.75</v>
      </c>
      <c r="C999" s="33">
        <v>5521</v>
      </c>
      <c r="D999" s="25">
        <v>427</v>
      </c>
      <c r="E999" s="25">
        <v>0</v>
      </c>
      <c r="F999" s="21">
        <v>0</v>
      </c>
      <c r="G999" s="25">
        <v>36</v>
      </c>
      <c r="H999" s="25">
        <v>3</v>
      </c>
      <c r="I999" s="25">
        <v>4</v>
      </c>
      <c r="J999" s="92">
        <f t="shared" si="141"/>
        <v>0.0773410614019199</v>
      </c>
      <c r="K999" s="93">
        <f t="shared" si="142"/>
        <v>2.67622950819672</v>
      </c>
      <c r="L999" s="94">
        <f t="shared" si="143"/>
        <v>0</v>
      </c>
      <c r="M999" s="92">
        <f t="shared" si="144"/>
        <v>0</v>
      </c>
      <c r="N999" s="46">
        <f t="shared" si="145"/>
        <v>0</v>
      </c>
      <c r="O999" s="46">
        <f t="shared" si="146"/>
        <v>0</v>
      </c>
      <c r="P999" s="93">
        <f t="shared" si="147"/>
        <v>31.7430555555556</v>
      </c>
    </row>
    <row r="1000" s="2" customFormat="1" spans="1:16">
      <c r="A1000" s="82">
        <v>45647</v>
      </c>
      <c r="B1000" s="21">
        <v>1175.9</v>
      </c>
      <c r="C1000" s="33">
        <v>5061</v>
      </c>
      <c r="D1000" s="25">
        <v>437</v>
      </c>
      <c r="E1000" s="25">
        <v>1</v>
      </c>
      <c r="F1000" s="21">
        <v>17334</v>
      </c>
      <c r="G1000" s="25">
        <v>19</v>
      </c>
      <c r="H1000" s="25">
        <v>4</v>
      </c>
      <c r="I1000" s="25">
        <v>4</v>
      </c>
      <c r="J1000" s="92">
        <f t="shared" si="141"/>
        <v>0.0863465718237502</v>
      </c>
      <c r="K1000" s="93">
        <f t="shared" si="142"/>
        <v>2.6908466819222</v>
      </c>
      <c r="L1000" s="94">
        <f t="shared" si="143"/>
        <v>14.7410494089633</v>
      </c>
      <c r="M1000" s="92">
        <f t="shared" si="144"/>
        <v>0.0022883295194508</v>
      </c>
      <c r="N1000" s="46">
        <f t="shared" si="145"/>
        <v>17334</v>
      </c>
      <c r="O1000" s="46">
        <f t="shared" si="146"/>
        <v>1175.9</v>
      </c>
      <c r="P1000" s="93">
        <f t="shared" si="147"/>
        <v>61.8894736842105</v>
      </c>
    </row>
    <row r="1001" s="2" customFormat="1" spans="1:16">
      <c r="A1001" s="82">
        <v>45648</v>
      </c>
      <c r="B1001" s="21">
        <v>1188.56</v>
      </c>
      <c r="C1001" s="33">
        <v>4288</v>
      </c>
      <c r="D1001" s="25">
        <v>377</v>
      </c>
      <c r="E1001" s="25">
        <v>1</v>
      </c>
      <c r="F1001" s="21">
        <v>9794</v>
      </c>
      <c r="G1001" s="25">
        <v>19</v>
      </c>
      <c r="H1001" s="25">
        <v>3</v>
      </c>
      <c r="I1001" s="25">
        <v>3</v>
      </c>
      <c r="J1001" s="92">
        <f t="shared" si="141"/>
        <v>0.087919776119403</v>
      </c>
      <c r="K1001" s="93">
        <f t="shared" si="142"/>
        <v>3.15267904509284</v>
      </c>
      <c r="L1001" s="94">
        <f t="shared" si="143"/>
        <v>8.24022346368715</v>
      </c>
      <c r="M1001" s="92">
        <f t="shared" si="144"/>
        <v>0.0026525198938992</v>
      </c>
      <c r="N1001" s="46">
        <f t="shared" si="145"/>
        <v>9794</v>
      </c>
      <c r="O1001" s="46">
        <f t="shared" si="146"/>
        <v>1188.56</v>
      </c>
      <c r="P1001" s="93">
        <f t="shared" si="147"/>
        <v>62.5557894736842</v>
      </c>
    </row>
    <row r="1002" s="2" customFormat="1" spans="1:16">
      <c r="A1002" s="82">
        <v>45649</v>
      </c>
      <c r="B1002" s="21">
        <v>1279.03</v>
      </c>
      <c r="C1002" s="33">
        <v>5894</v>
      </c>
      <c r="D1002" s="25">
        <v>449</v>
      </c>
      <c r="E1002" s="25">
        <v>0</v>
      </c>
      <c r="F1002" s="21">
        <v>0</v>
      </c>
      <c r="G1002" s="25">
        <v>33</v>
      </c>
      <c r="H1002" s="25">
        <v>2</v>
      </c>
      <c r="I1002" s="25">
        <v>3</v>
      </c>
      <c r="J1002" s="92">
        <f t="shared" si="141"/>
        <v>0.0761791652527995</v>
      </c>
      <c r="K1002" s="93">
        <f t="shared" si="142"/>
        <v>2.84861915367483</v>
      </c>
      <c r="L1002" s="94">
        <f t="shared" si="143"/>
        <v>0</v>
      </c>
      <c r="M1002" s="92">
        <f t="shared" si="144"/>
        <v>0</v>
      </c>
      <c r="N1002" s="46">
        <f t="shared" si="145"/>
        <v>0</v>
      </c>
      <c r="O1002" s="46">
        <f t="shared" si="146"/>
        <v>0</v>
      </c>
      <c r="P1002" s="93">
        <f t="shared" si="147"/>
        <v>38.7584848484848</v>
      </c>
    </row>
    <row r="1003" s="2" customFormat="1" spans="1:16">
      <c r="A1003" s="82">
        <v>45650</v>
      </c>
      <c r="B1003" s="21">
        <v>1406.52</v>
      </c>
      <c r="C1003" s="33">
        <v>6375</v>
      </c>
      <c r="D1003" s="25">
        <v>492</v>
      </c>
      <c r="E1003" s="25">
        <v>1</v>
      </c>
      <c r="F1003" s="21">
        <v>20934</v>
      </c>
      <c r="G1003" s="25">
        <v>38</v>
      </c>
      <c r="H1003" s="25">
        <v>3</v>
      </c>
      <c r="I1003" s="25">
        <v>5</v>
      </c>
      <c r="J1003" s="92">
        <f t="shared" si="141"/>
        <v>0.0771764705882353</v>
      </c>
      <c r="K1003" s="93">
        <f t="shared" si="142"/>
        <v>2.85878048780488</v>
      </c>
      <c r="L1003" s="94">
        <f t="shared" si="143"/>
        <v>14.8835423598669</v>
      </c>
      <c r="M1003" s="92">
        <f t="shared" si="144"/>
        <v>0.00203252032520325</v>
      </c>
      <c r="N1003" s="46">
        <f t="shared" si="145"/>
        <v>20934</v>
      </c>
      <c r="O1003" s="46">
        <f t="shared" si="146"/>
        <v>1406.52</v>
      </c>
      <c r="P1003" s="93">
        <f t="shared" si="147"/>
        <v>37.0136842105263</v>
      </c>
    </row>
    <row r="1004" s="2" customFormat="1" spans="1:16">
      <c r="A1004" s="82">
        <v>45651</v>
      </c>
      <c r="B1004" s="21">
        <v>1197.52</v>
      </c>
      <c r="C1004" s="33">
        <v>6302</v>
      </c>
      <c r="D1004" s="25">
        <v>444</v>
      </c>
      <c r="E1004" s="25">
        <v>2</v>
      </c>
      <c r="F1004" s="21">
        <v>34235</v>
      </c>
      <c r="G1004" s="25">
        <v>22</v>
      </c>
      <c r="H1004" s="25">
        <v>5</v>
      </c>
      <c r="I1004" s="25">
        <v>1</v>
      </c>
      <c r="J1004" s="92">
        <f t="shared" si="141"/>
        <v>0.0704538241827991</v>
      </c>
      <c r="K1004" s="93">
        <f t="shared" si="142"/>
        <v>2.69711711711712</v>
      </c>
      <c r="L1004" s="94">
        <f t="shared" si="143"/>
        <v>28.5882490480326</v>
      </c>
      <c r="M1004" s="92">
        <f t="shared" si="144"/>
        <v>0.0045045045045045</v>
      </c>
      <c r="N1004" s="46">
        <f t="shared" si="145"/>
        <v>17117.5</v>
      </c>
      <c r="O1004" s="46">
        <f t="shared" si="146"/>
        <v>598.76</v>
      </c>
      <c r="P1004" s="93">
        <f t="shared" si="147"/>
        <v>54.4327272727273</v>
      </c>
    </row>
    <row r="1005" s="2" customFormat="1" spans="1:16">
      <c r="A1005" s="82">
        <v>45652</v>
      </c>
      <c r="B1005" s="21">
        <v>1236.44</v>
      </c>
      <c r="C1005" s="33">
        <v>4913</v>
      </c>
      <c r="D1005" s="25">
        <v>469</v>
      </c>
      <c r="E1005" s="25">
        <v>0</v>
      </c>
      <c r="F1005" s="21">
        <v>0</v>
      </c>
      <c r="G1005" s="25">
        <v>18</v>
      </c>
      <c r="H1005" s="25">
        <v>8</v>
      </c>
      <c r="I1005" s="25">
        <v>2</v>
      </c>
      <c r="J1005" s="92">
        <f t="shared" si="141"/>
        <v>0.0954610217789538</v>
      </c>
      <c r="K1005" s="93">
        <f t="shared" si="142"/>
        <v>2.63633262260128</v>
      </c>
      <c r="L1005" s="94">
        <f t="shared" si="143"/>
        <v>0</v>
      </c>
      <c r="M1005" s="92">
        <f t="shared" si="144"/>
        <v>0</v>
      </c>
      <c r="N1005" s="46">
        <f t="shared" si="145"/>
        <v>0</v>
      </c>
      <c r="O1005" s="46">
        <f t="shared" si="146"/>
        <v>0</v>
      </c>
      <c r="P1005" s="93">
        <f t="shared" si="147"/>
        <v>68.6911111111111</v>
      </c>
    </row>
    <row r="1006" s="2" customFormat="1" spans="1:16">
      <c r="A1006" s="82">
        <v>45653</v>
      </c>
      <c r="B1006" s="21">
        <v>1320.43</v>
      </c>
      <c r="C1006" s="33">
        <v>4626</v>
      </c>
      <c r="D1006" s="25">
        <v>422</v>
      </c>
      <c r="E1006" s="25">
        <v>1</v>
      </c>
      <c r="F1006" s="21">
        <v>9443</v>
      </c>
      <c r="G1006" s="25">
        <v>22</v>
      </c>
      <c r="H1006" s="25">
        <v>2</v>
      </c>
      <c r="I1006" s="25">
        <v>3</v>
      </c>
      <c r="J1006" s="92">
        <f t="shared" si="141"/>
        <v>0.0912235192390834</v>
      </c>
      <c r="K1006" s="93">
        <f t="shared" si="142"/>
        <v>3.12898104265403</v>
      </c>
      <c r="L1006" s="94">
        <f t="shared" si="143"/>
        <v>7.15145823708943</v>
      </c>
      <c r="M1006" s="92">
        <f t="shared" si="144"/>
        <v>0.0023696682464455</v>
      </c>
      <c r="N1006" s="46">
        <f t="shared" si="145"/>
        <v>9443</v>
      </c>
      <c r="O1006" s="46">
        <f t="shared" si="146"/>
        <v>1320.43</v>
      </c>
      <c r="P1006" s="93">
        <f t="shared" si="147"/>
        <v>60.0195454545455</v>
      </c>
    </row>
    <row r="1007" s="2" customFormat="1" spans="1:16">
      <c r="A1007" s="82">
        <v>45654</v>
      </c>
      <c r="B1007" s="21">
        <v>1469.69</v>
      </c>
      <c r="C1007" s="33">
        <v>4681</v>
      </c>
      <c r="D1007" s="25">
        <v>404</v>
      </c>
      <c r="E1007" s="25">
        <v>0</v>
      </c>
      <c r="F1007" s="21">
        <v>0</v>
      </c>
      <c r="G1007" s="25">
        <v>51</v>
      </c>
      <c r="H1007" s="25">
        <v>2</v>
      </c>
      <c r="I1007" s="25">
        <v>4</v>
      </c>
      <c r="J1007" s="92">
        <f t="shared" si="141"/>
        <v>0.0863063447981201</v>
      </c>
      <c r="K1007" s="93">
        <f t="shared" si="142"/>
        <v>3.63784653465347</v>
      </c>
      <c r="L1007" s="94">
        <f t="shared" si="143"/>
        <v>0</v>
      </c>
      <c r="M1007" s="92">
        <f t="shared" si="144"/>
        <v>0</v>
      </c>
      <c r="N1007" s="46">
        <f t="shared" si="145"/>
        <v>0</v>
      </c>
      <c r="O1007" s="46">
        <f t="shared" si="146"/>
        <v>0</v>
      </c>
      <c r="P1007" s="93">
        <f t="shared" si="147"/>
        <v>28.8174509803922</v>
      </c>
    </row>
    <row r="1008" s="2" customFormat="1" spans="1:16">
      <c r="A1008" s="82">
        <v>45655</v>
      </c>
      <c r="B1008" s="21">
        <v>1491.32</v>
      </c>
      <c r="C1008" s="33">
        <v>4303</v>
      </c>
      <c r="D1008" s="25">
        <v>470</v>
      </c>
      <c r="E1008" s="25">
        <v>1</v>
      </c>
      <c r="F1008" s="21">
        <v>11901</v>
      </c>
      <c r="G1008" s="25">
        <v>29</v>
      </c>
      <c r="H1008" s="25">
        <v>2</v>
      </c>
      <c r="I1008" s="25">
        <v>1</v>
      </c>
      <c r="J1008" s="92">
        <f t="shared" si="141"/>
        <v>0.109226121310713</v>
      </c>
      <c r="K1008" s="93">
        <f t="shared" si="142"/>
        <v>3.17302127659574</v>
      </c>
      <c r="L1008" s="94">
        <f t="shared" si="143"/>
        <v>7.98017863369364</v>
      </c>
      <c r="M1008" s="92">
        <f t="shared" si="144"/>
        <v>0.00212765957446809</v>
      </c>
      <c r="N1008" s="46">
        <f t="shared" si="145"/>
        <v>11901</v>
      </c>
      <c r="O1008" s="46">
        <f t="shared" si="146"/>
        <v>1491.32</v>
      </c>
      <c r="P1008" s="93">
        <f t="shared" si="147"/>
        <v>51.4248275862069</v>
      </c>
    </row>
    <row r="1009" s="2" customFormat="1" spans="1:16">
      <c r="A1009" s="82">
        <v>45656</v>
      </c>
      <c r="B1009" s="21">
        <v>1551.6</v>
      </c>
      <c r="C1009" s="33">
        <v>5832</v>
      </c>
      <c r="D1009" s="25">
        <v>545</v>
      </c>
      <c r="E1009" s="25">
        <v>1</v>
      </c>
      <c r="F1009" s="21">
        <v>13072</v>
      </c>
      <c r="G1009" s="25">
        <v>38</v>
      </c>
      <c r="H1009" s="25">
        <v>4</v>
      </c>
      <c r="I1009" s="25">
        <v>3</v>
      </c>
      <c r="J1009" s="92">
        <f t="shared" si="141"/>
        <v>0.0934499314128944</v>
      </c>
      <c r="K1009" s="93">
        <f t="shared" si="142"/>
        <v>2.84697247706422</v>
      </c>
      <c r="L1009" s="94">
        <f t="shared" si="143"/>
        <v>8.42485176591905</v>
      </c>
      <c r="M1009" s="92">
        <f t="shared" si="144"/>
        <v>0.0018348623853211</v>
      </c>
      <c r="N1009" s="46">
        <f t="shared" si="145"/>
        <v>13072</v>
      </c>
      <c r="O1009" s="46">
        <f t="shared" si="146"/>
        <v>1551.6</v>
      </c>
      <c r="P1009" s="93">
        <f t="shared" si="147"/>
        <v>40.8315789473684</v>
      </c>
    </row>
    <row r="1010" s="2" customFormat="1" spans="1:16">
      <c r="A1010" s="82">
        <v>45657</v>
      </c>
      <c r="B1010" s="21">
        <v>1477.13</v>
      </c>
      <c r="C1010" s="33">
        <v>5434</v>
      </c>
      <c r="D1010" s="25">
        <v>495</v>
      </c>
      <c r="E1010" s="25">
        <v>2</v>
      </c>
      <c r="F1010" s="21">
        <v>34508</v>
      </c>
      <c r="G1010" s="25">
        <v>38</v>
      </c>
      <c r="H1010" s="25">
        <v>4</v>
      </c>
      <c r="I1010" s="25">
        <v>0</v>
      </c>
      <c r="J1010" s="92">
        <f t="shared" si="141"/>
        <v>0.0910931174089069</v>
      </c>
      <c r="K1010" s="93">
        <f t="shared" si="142"/>
        <v>2.98410101010101</v>
      </c>
      <c r="L1010" s="94">
        <f t="shared" si="143"/>
        <v>23.3615186205683</v>
      </c>
      <c r="M1010" s="92">
        <f t="shared" si="144"/>
        <v>0.00404040404040404</v>
      </c>
      <c r="N1010" s="46">
        <f t="shared" si="145"/>
        <v>17254</v>
      </c>
      <c r="O1010" s="46">
        <f t="shared" si="146"/>
        <v>738.565</v>
      </c>
      <c r="P1010" s="93">
        <f t="shared" si="147"/>
        <v>38.8718421052632</v>
      </c>
    </row>
    <row r="1011" s="2" customFormat="1" spans="1:16">
      <c r="A1011" s="82">
        <v>45658</v>
      </c>
      <c r="B1011" s="21">
        <v>1752.9</v>
      </c>
      <c r="C1011" s="33">
        <v>6756</v>
      </c>
      <c r="D1011" s="25">
        <v>593</v>
      </c>
      <c r="E1011" s="25">
        <v>1</v>
      </c>
      <c r="F1011" s="21">
        <v>17687.04</v>
      </c>
      <c r="G1011" s="25">
        <v>43</v>
      </c>
      <c r="H1011" s="25">
        <v>6</v>
      </c>
      <c r="I1011" s="25">
        <v>3</v>
      </c>
      <c r="J1011" s="92">
        <f t="shared" si="141"/>
        <v>0.0877738306690349</v>
      </c>
      <c r="K1011" s="93">
        <f t="shared" si="142"/>
        <v>2.95598650927487</v>
      </c>
      <c r="L1011" s="94">
        <f t="shared" si="143"/>
        <v>10.0901591648126</v>
      </c>
      <c r="M1011" s="92">
        <f t="shared" si="144"/>
        <v>0.00168634064080944</v>
      </c>
      <c r="N1011" s="46">
        <f t="shared" si="145"/>
        <v>17687.04</v>
      </c>
      <c r="O1011" s="46">
        <f t="shared" si="146"/>
        <v>1752.9</v>
      </c>
      <c r="P1011" s="93">
        <f t="shared" si="147"/>
        <v>40.7651162790698</v>
      </c>
    </row>
    <row r="1012" s="2" customFormat="1" spans="1:16">
      <c r="A1012" s="82">
        <v>45659</v>
      </c>
      <c r="B1012" s="21">
        <v>1651.41</v>
      </c>
      <c r="C1012" s="33">
        <v>7665</v>
      </c>
      <c r="D1012" s="25">
        <v>634</v>
      </c>
      <c r="E1012" s="25">
        <v>0</v>
      </c>
      <c r="F1012" s="21">
        <v>0</v>
      </c>
      <c r="G1012" s="25">
        <v>41</v>
      </c>
      <c r="H1012" s="25">
        <v>5</v>
      </c>
      <c r="I1012" s="25">
        <v>6</v>
      </c>
      <c r="J1012" s="92">
        <f t="shared" si="141"/>
        <v>0.0827136333985649</v>
      </c>
      <c r="K1012" s="93">
        <f t="shared" si="142"/>
        <v>2.6047476340694</v>
      </c>
      <c r="L1012" s="94">
        <f t="shared" si="143"/>
        <v>0</v>
      </c>
      <c r="M1012" s="92">
        <f t="shared" si="144"/>
        <v>0</v>
      </c>
      <c r="N1012" s="46">
        <f t="shared" si="145"/>
        <v>0</v>
      </c>
      <c r="O1012" s="46">
        <f t="shared" si="146"/>
        <v>0</v>
      </c>
      <c r="P1012" s="93">
        <f t="shared" si="147"/>
        <v>40.2782926829268</v>
      </c>
    </row>
    <row r="1013" s="2" customFormat="1" spans="1:16">
      <c r="A1013" s="82">
        <v>45660</v>
      </c>
      <c r="B1013" s="21">
        <v>1733.93</v>
      </c>
      <c r="C1013" s="33">
        <v>7563</v>
      </c>
      <c r="D1013" s="25">
        <v>688</v>
      </c>
      <c r="E1013" s="25">
        <v>2</v>
      </c>
      <c r="F1013" s="21">
        <v>26409</v>
      </c>
      <c r="G1013" s="25">
        <v>45</v>
      </c>
      <c r="H1013" s="25">
        <v>4</v>
      </c>
      <c r="I1013" s="25">
        <v>5</v>
      </c>
      <c r="J1013" s="92">
        <f t="shared" si="141"/>
        <v>0.0909691921195293</v>
      </c>
      <c r="K1013" s="93">
        <f t="shared" si="142"/>
        <v>2.52024709302326</v>
      </c>
      <c r="L1013" s="94">
        <f t="shared" si="143"/>
        <v>15.2307186564625</v>
      </c>
      <c r="M1013" s="92">
        <f t="shared" si="144"/>
        <v>0.00290697674418605</v>
      </c>
      <c r="N1013" s="46">
        <f t="shared" si="145"/>
        <v>13204.5</v>
      </c>
      <c r="O1013" s="46">
        <f t="shared" si="146"/>
        <v>866.965</v>
      </c>
      <c r="P1013" s="93">
        <f t="shared" si="147"/>
        <v>38.5317777777778</v>
      </c>
    </row>
    <row r="1014" s="2" customFormat="1" spans="1:16">
      <c r="A1014" s="82">
        <v>45661</v>
      </c>
      <c r="B1014" s="21">
        <v>1837.37</v>
      </c>
      <c r="C1014" s="33">
        <v>7111</v>
      </c>
      <c r="D1014" s="25">
        <v>690</v>
      </c>
      <c r="E1014" s="25">
        <v>0</v>
      </c>
      <c r="F1014" s="21">
        <v>0</v>
      </c>
      <c r="G1014" s="25">
        <v>37</v>
      </c>
      <c r="H1014" s="25">
        <v>5</v>
      </c>
      <c r="I1014" s="25">
        <v>4</v>
      </c>
      <c r="J1014" s="92">
        <f t="shared" si="141"/>
        <v>0.0970327661369709</v>
      </c>
      <c r="K1014" s="93">
        <f t="shared" si="142"/>
        <v>2.66285507246377</v>
      </c>
      <c r="L1014" s="94">
        <f t="shared" si="143"/>
        <v>0</v>
      </c>
      <c r="M1014" s="92">
        <f t="shared" si="144"/>
        <v>0</v>
      </c>
      <c r="N1014" s="46">
        <f t="shared" si="145"/>
        <v>0</v>
      </c>
      <c r="O1014" s="46">
        <f t="shared" si="146"/>
        <v>0</v>
      </c>
      <c r="P1014" s="93">
        <f t="shared" si="147"/>
        <v>49.6586486486486</v>
      </c>
    </row>
    <row r="1015" s="2" customFormat="1" spans="1:16">
      <c r="A1015" s="82">
        <v>45662</v>
      </c>
      <c r="B1015" s="21">
        <v>1829.74</v>
      </c>
      <c r="C1015" s="33">
        <v>6316</v>
      </c>
      <c r="D1015" s="25">
        <v>630</v>
      </c>
      <c r="E1015" s="25">
        <v>0</v>
      </c>
      <c r="F1015" s="21">
        <v>0</v>
      </c>
      <c r="G1015" s="25">
        <v>27</v>
      </c>
      <c r="H1015" s="25">
        <v>10</v>
      </c>
      <c r="I1015" s="25">
        <v>3</v>
      </c>
      <c r="J1015" s="92">
        <f t="shared" si="141"/>
        <v>0.0997466751108296</v>
      </c>
      <c r="K1015" s="93">
        <f t="shared" si="142"/>
        <v>2.90434920634921</v>
      </c>
      <c r="L1015" s="94">
        <f t="shared" si="143"/>
        <v>0</v>
      </c>
      <c r="M1015" s="92">
        <f t="shared" si="144"/>
        <v>0</v>
      </c>
      <c r="N1015" s="46">
        <f t="shared" si="145"/>
        <v>0</v>
      </c>
      <c r="O1015" s="46">
        <f t="shared" si="146"/>
        <v>0</v>
      </c>
      <c r="P1015" s="93">
        <f t="shared" si="147"/>
        <v>67.7681481481481</v>
      </c>
    </row>
    <row r="1016" s="2" customFormat="1" spans="1:16">
      <c r="A1016" s="82">
        <v>45663</v>
      </c>
      <c r="B1016" s="21">
        <v>1826.31</v>
      </c>
      <c r="C1016" s="33">
        <v>6672</v>
      </c>
      <c r="D1016" s="25">
        <v>625</v>
      </c>
      <c r="E1016" s="25">
        <v>1</v>
      </c>
      <c r="F1016" s="21">
        <v>28948</v>
      </c>
      <c r="G1016" s="25">
        <v>35</v>
      </c>
      <c r="H1016" s="25">
        <v>4</v>
      </c>
      <c r="I1016" s="25">
        <v>1</v>
      </c>
      <c r="J1016" s="92">
        <f t="shared" si="141"/>
        <v>0.0936750599520384</v>
      </c>
      <c r="K1016" s="93">
        <f t="shared" si="142"/>
        <v>2.922096</v>
      </c>
      <c r="L1016" s="94">
        <f t="shared" si="143"/>
        <v>15.8505401602138</v>
      </c>
      <c r="M1016" s="92">
        <f t="shared" si="144"/>
        <v>0.0016</v>
      </c>
      <c r="N1016" s="46">
        <f t="shared" si="145"/>
        <v>28948</v>
      </c>
      <c r="O1016" s="46">
        <f t="shared" si="146"/>
        <v>1826.31</v>
      </c>
      <c r="P1016" s="93">
        <f t="shared" si="147"/>
        <v>52.1802857142857</v>
      </c>
    </row>
    <row r="1017" s="2" customFormat="1" spans="1:16">
      <c r="A1017" s="82">
        <v>45664</v>
      </c>
      <c r="B1017" s="21">
        <v>2052.42</v>
      </c>
      <c r="C1017" s="33">
        <v>7892</v>
      </c>
      <c r="D1017" s="25">
        <v>746</v>
      </c>
      <c r="E1017" s="25">
        <v>0</v>
      </c>
      <c r="F1017" s="21">
        <v>0</v>
      </c>
      <c r="G1017" s="25">
        <v>56</v>
      </c>
      <c r="H1017" s="25">
        <v>5</v>
      </c>
      <c r="I1017" s="25">
        <v>2</v>
      </c>
      <c r="J1017" s="92">
        <f t="shared" si="141"/>
        <v>0.0945261023821592</v>
      </c>
      <c r="K1017" s="93">
        <f t="shared" si="142"/>
        <v>2.75123324396783</v>
      </c>
      <c r="L1017" s="94">
        <f t="shared" si="143"/>
        <v>0</v>
      </c>
      <c r="M1017" s="92">
        <f t="shared" si="144"/>
        <v>0</v>
      </c>
      <c r="N1017" s="46">
        <f t="shared" si="145"/>
        <v>0</v>
      </c>
      <c r="O1017" s="46">
        <f t="shared" si="146"/>
        <v>0</v>
      </c>
      <c r="P1017" s="93">
        <f t="shared" si="147"/>
        <v>36.6503571428571</v>
      </c>
    </row>
    <row r="1018" s="2" customFormat="1" spans="1:16">
      <c r="A1018" s="82">
        <v>45665</v>
      </c>
      <c r="B1018" s="21">
        <v>2011.15</v>
      </c>
      <c r="C1018" s="33">
        <v>8110</v>
      </c>
      <c r="D1018" s="25">
        <v>725</v>
      </c>
      <c r="E1018" s="25">
        <v>0</v>
      </c>
      <c r="F1018" s="21">
        <v>0</v>
      </c>
      <c r="G1018" s="25">
        <v>42</v>
      </c>
      <c r="H1018" s="25">
        <v>3</v>
      </c>
      <c r="I1018" s="25">
        <v>7</v>
      </c>
      <c r="J1018" s="92">
        <f t="shared" si="141"/>
        <v>0.0893958076448829</v>
      </c>
      <c r="K1018" s="93">
        <f t="shared" si="142"/>
        <v>2.774</v>
      </c>
      <c r="L1018" s="94">
        <f t="shared" si="143"/>
        <v>0</v>
      </c>
      <c r="M1018" s="92">
        <f t="shared" si="144"/>
        <v>0</v>
      </c>
      <c r="N1018" s="46">
        <f t="shared" si="145"/>
        <v>0</v>
      </c>
      <c r="O1018" s="46">
        <f t="shared" si="146"/>
        <v>0</v>
      </c>
      <c r="P1018" s="93">
        <f t="shared" si="147"/>
        <v>47.8845238095238</v>
      </c>
    </row>
    <row r="1019" s="2" customFormat="1" spans="1:16">
      <c r="A1019" s="82">
        <v>45666</v>
      </c>
      <c r="B1019" s="21">
        <v>1845.09</v>
      </c>
      <c r="C1019" s="33">
        <v>7420</v>
      </c>
      <c r="D1019" s="25">
        <v>651</v>
      </c>
      <c r="E1019" s="25">
        <v>0</v>
      </c>
      <c r="F1019" s="21">
        <v>0</v>
      </c>
      <c r="G1019" s="25">
        <v>30</v>
      </c>
      <c r="H1019" s="25">
        <v>3</v>
      </c>
      <c r="I1019" s="25">
        <v>0</v>
      </c>
      <c r="J1019" s="92">
        <f t="shared" si="141"/>
        <v>0.0877358490566038</v>
      </c>
      <c r="K1019" s="93">
        <f t="shared" si="142"/>
        <v>2.83423963133641</v>
      </c>
      <c r="L1019" s="94">
        <f t="shared" si="143"/>
        <v>0</v>
      </c>
      <c r="M1019" s="92">
        <f t="shared" si="144"/>
        <v>0</v>
      </c>
      <c r="N1019" s="46">
        <f t="shared" si="145"/>
        <v>0</v>
      </c>
      <c r="O1019" s="46">
        <f t="shared" si="146"/>
        <v>0</v>
      </c>
      <c r="P1019" s="93">
        <f t="shared" si="147"/>
        <v>61.503</v>
      </c>
    </row>
    <row r="1020" s="2" customFormat="1" spans="1:16">
      <c r="A1020" s="82">
        <v>45667</v>
      </c>
      <c r="B1020" s="21">
        <v>1741.89</v>
      </c>
      <c r="C1020" s="33">
        <v>8679</v>
      </c>
      <c r="D1020" s="25">
        <v>622</v>
      </c>
      <c r="E1020" s="25">
        <v>0</v>
      </c>
      <c r="F1020" s="21">
        <v>0</v>
      </c>
      <c r="G1020" s="25">
        <v>30</v>
      </c>
      <c r="H1020" s="25">
        <v>1</v>
      </c>
      <c r="I1020" s="25">
        <v>1</v>
      </c>
      <c r="J1020" s="92">
        <f t="shared" si="141"/>
        <v>0.0716672427699044</v>
      </c>
      <c r="K1020" s="93">
        <f t="shared" si="142"/>
        <v>2.80046623794212</v>
      </c>
      <c r="L1020" s="94">
        <f t="shared" si="143"/>
        <v>0</v>
      </c>
      <c r="M1020" s="92">
        <f t="shared" si="144"/>
        <v>0</v>
      </c>
      <c r="N1020" s="46">
        <f t="shared" si="145"/>
        <v>0</v>
      </c>
      <c r="O1020" s="46">
        <f t="shared" si="146"/>
        <v>0</v>
      </c>
      <c r="P1020" s="93">
        <f t="shared" si="147"/>
        <v>58.063</v>
      </c>
    </row>
    <row r="1021" s="2" customFormat="1" spans="1:16">
      <c r="A1021" s="82">
        <v>45668</v>
      </c>
      <c r="B1021" s="21">
        <v>1707.39</v>
      </c>
      <c r="C1021" s="33">
        <v>8308</v>
      </c>
      <c r="D1021" s="25">
        <v>610</v>
      </c>
      <c r="E1021" s="25">
        <v>2</v>
      </c>
      <c r="F1021" s="21">
        <v>16590.32</v>
      </c>
      <c r="G1021" s="25">
        <v>46</v>
      </c>
      <c r="H1021" s="25">
        <v>3</v>
      </c>
      <c r="I1021" s="25">
        <v>3</v>
      </c>
      <c r="J1021" s="92">
        <f t="shared" si="141"/>
        <v>0.0734232065479056</v>
      </c>
      <c r="K1021" s="93">
        <f t="shared" si="142"/>
        <v>2.799</v>
      </c>
      <c r="L1021" s="94">
        <f t="shared" si="143"/>
        <v>9.71677238357961</v>
      </c>
      <c r="M1021" s="92">
        <f t="shared" si="144"/>
        <v>0.00327868852459016</v>
      </c>
      <c r="N1021" s="46">
        <f t="shared" si="145"/>
        <v>8295.16</v>
      </c>
      <c r="O1021" s="46">
        <f t="shared" si="146"/>
        <v>853.695</v>
      </c>
      <c r="P1021" s="93">
        <f t="shared" si="147"/>
        <v>37.1171739130435</v>
      </c>
    </row>
    <row r="1022" s="2" customFormat="1" spans="1:16">
      <c r="A1022" s="82">
        <v>45669</v>
      </c>
      <c r="B1022" s="21">
        <v>1872.1</v>
      </c>
      <c r="C1022" s="33">
        <v>8293</v>
      </c>
      <c r="D1022" s="25">
        <v>636</v>
      </c>
      <c r="E1022" s="25">
        <v>1</v>
      </c>
      <c r="F1022" s="21">
        <v>9524</v>
      </c>
      <c r="G1022" s="25">
        <v>34</v>
      </c>
      <c r="H1022" s="25">
        <v>7</v>
      </c>
      <c r="I1022" s="25">
        <v>6</v>
      </c>
      <c r="J1022" s="92">
        <f t="shared" si="141"/>
        <v>0.0766911853370312</v>
      </c>
      <c r="K1022" s="93">
        <f t="shared" si="142"/>
        <v>2.9435534591195</v>
      </c>
      <c r="L1022" s="94">
        <f t="shared" si="143"/>
        <v>5.08733507825437</v>
      </c>
      <c r="M1022" s="92">
        <f t="shared" si="144"/>
        <v>0.00157232704402516</v>
      </c>
      <c r="N1022" s="46">
        <f t="shared" si="145"/>
        <v>9524</v>
      </c>
      <c r="O1022" s="46">
        <f t="shared" si="146"/>
        <v>1872.1</v>
      </c>
      <c r="P1022" s="93">
        <f t="shared" si="147"/>
        <v>55.0617647058824</v>
      </c>
    </row>
    <row r="1023" s="2" customFormat="1" spans="1:16">
      <c r="A1023" s="82">
        <v>45670</v>
      </c>
      <c r="B1023" s="21">
        <v>2283.95</v>
      </c>
      <c r="C1023" s="33">
        <v>7543</v>
      </c>
      <c r="D1023" s="25">
        <v>746</v>
      </c>
      <c r="E1023" s="25">
        <v>0</v>
      </c>
      <c r="F1023" s="21">
        <v>0</v>
      </c>
      <c r="G1023" s="25">
        <v>36</v>
      </c>
      <c r="H1023" s="25">
        <v>2</v>
      </c>
      <c r="I1023" s="25">
        <v>6</v>
      </c>
      <c r="J1023" s="92">
        <f t="shared" si="141"/>
        <v>0.0988996420522339</v>
      </c>
      <c r="K1023" s="93">
        <f t="shared" si="142"/>
        <v>3.06159517426273</v>
      </c>
      <c r="L1023" s="94">
        <f t="shared" si="143"/>
        <v>0</v>
      </c>
      <c r="M1023" s="92">
        <f t="shared" si="144"/>
        <v>0</v>
      </c>
      <c r="N1023" s="46">
        <f t="shared" si="145"/>
        <v>0</v>
      </c>
      <c r="O1023" s="46">
        <f t="shared" si="146"/>
        <v>0</v>
      </c>
      <c r="P1023" s="93">
        <f t="shared" si="147"/>
        <v>63.4430555555556</v>
      </c>
    </row>
    <row r="1024" s="2" customFormat="1" spans="1:16">
      <c r="A1024" s="82">
        <v>45671</v>
      </c>
      <c r="B1024" s="21">
        <v>2166.68</v>
      </c>
      <c r="C1024" s="33">
        <v>8555</v>
      </c>
      <c r="D1024" s="25">
        <v>756</v>
      </c>
      <c r="E1024" s="25">
        <v>0</v>
      </c>
      <c r="F1024" s="21">
        <v>0</v>
      </c>
      <c r="G1024" s="25">
        <v>24</v>
      </c>
      <c r="H1024" s="25">
        <v>6</v>
      </c>
      <c r="I1024" s="25">
        <v>2</v>
      </c>
      <c r="J1024" s="92">
        <f t="shared" si="141"/>
        <v>0.0883693746347165</v>
      </c>
      <c r="K1024" s="93">
        <f t="shared" si="142"/>
        <v>2.86597883597884</v>
      </c>
      <c r="L1024" s="94">
        <f t="shared" si="143"/>
        <v>0</v>
      </c>
      <c r="M1024" s="92">
        <f t="shared" si="144"/>
        <v>0</v>
      </c>
      <c r="N1024" s="46">
        <f t="shared" si="145"/>
        <v>0</v>
      </c>
      <c r="O1024" s="46">
        <f t="shared" si="146"/>
        <v>0</v>
      </c>
      <c r="P1024" s="93">
        <f t="shared" si="147"/>
        <v>90.2783333333333</v>
      </c>
    </row>
    <row r="1025" s="2" customFormat="1" spans="1:16">
      <c r="A1025" s="82">
        <v>45672</v>
      </c>
      <c r="B1025" s="21">
        <v>2180</v>
      </c>
      <c r="C1025" s="33">
        <v>9321</v>
      </c>
      <c r="D1025" s="25">
        <v>896</v>
      </c>
      <c r="E1025" s="25">
        <v>2</v>
      </c>
      <c r="F1025" s="21">
        <v>19044</v>
      </c>
      <c r="G1025" s="25">
        <v>36</v>
      </c>
      <c r="H1025" s="25">
        <v>5</v>
      </c>
      <c r="I1025" s="25">
        <v>5</v>
      </c>
      <c r="J1025" s="92">
        <f t="shared" si="141"/>
        <v>0.0961270249973179</v>
      </c>
      <c r="K1025" s="93">
        <f t="shared" si="142"/>
        <v>2.43303571428571</v>
      </c>
      <c r="L1025" s="94">
        <f t="shared" si="143"/>
        <v>8.73577981651376</v>
      </c>
      <c r="M1025" s="92">
        <f t="shared" si="144"/>
        <v>0.00223214285714286</v>
      </c>
      <c r="N1025" s="46">
        <f t="shared" si="145"/>
        <v>9522</v>
      </c>
      <c r="O1025" s="46">
        <f t="shared" si="146"/>
        <v>1090</v>
      </c>
      <c r="P1025" s="93">
        <f t="shared" si="147"/>
        <v>60.5555555555556</v>
      </c>
    </row>
    <row r="1026" s="2" customFormat="1" spans="1:16">
      <c r="A1026" s="82">
        <v>45673</v>
      </c>
      <c r="B1026" s="21">
        <v>2145.65</v>
      </c>
      <c r="C1026" s="33">
        <v>9803</v>
      </c>
      <c r="D1026" s="25">
        <v>806</v>
      </c>
      <c r="E1026" s="25">
        <v>0</v>
      </c>
      <c r="F1026" s="21">
        <v>0</v>
      </c>
      <c r="G1026" s="25">
        <v>28</v>
      </c>
      <c r="H1026" s="25">
        <v>5</v>
      </c>
      <c r="I1026" s="25">
        <v>6</v>
      </c>
      <c r="J1026" s="92">
        <f t="shared" si="141"/>
        <v>0.0822197286544935</v>
      </c>
      <c r="K1026" s="93">
        <f t="shared" si="142"/>
        <v>2.66209677419355</v>
      </c>
      <c r="L1026" s="94">
        <f t="shared" si="143"/>
        <v>0</v>
      </c>
      <c r="M1026" s="92">
        <f t="shared" si="144"/>
        <v>0</v>
      </c>
      <c r="N1026" s="46">
        <f t="shared" si="145"/>
        <v>0</v>
      </c>
      <c r="O1026" s="46">
        <f t="shared" si="146"/>
        <v>0</v>
      </c>
      <c r="P1026" s="93">
        <f t="shared" si="147"/>
        <v>76.6303571428572</v>
      </c>
    </row>
    <row r="1027" s="2" customFormat="1" spans="1:16">
      <c r="A1027" s="82">
        <v>45674</v>
      </c>
      <c r="B1027" s="21">
        <v>1527.99</v>
      </c>
      <c r="C1027" s="33">
        <v>6548</v>
      </c>
      <c r="D1027" s="25">
        <v>624</v>
      </c>
      <c r="E1027" s="25">
        <v>0</v>
      </c>
      <c r="F1027" s="21">
        <v>0</v>
      </c>
      <c r="G1027" s="25">
        <v>38</v>
      </c>
      <c r="H1027" s="25">
        <v>3</v>
      </c>
      <c r="I1027" s="25">
        <v>3</v>
      </c>
      <c r="J1027" s="92">
        <f t="shared" si="141"/>
        <v>0.09529627367135</v>
      </c>
      <c r="K1027" s="93">
        <f t="shared" si="142"/>
        <v>2.44870192307692</v>
      </c>
      <c r="L1027" s="94">
        <f t="shared" si="143"/>
        <v>0</v>
      </c>
      <c r="M1027" s="92">
        <f t="shared" si="144"/>
        <v>0</v>
      </c>
      <c r="N1027" s="46">
        <f t="shared" si="145"/>
        <v>0</v>
      </c>
      <c r="O1027" s="46">
        <f t="shared" si="146"/>
        <v>0</v>
      </c>
      <c r="P1027" s="93">
        <f t="shared" si="147"/>
        <v>40.2102631578947</v>
      </c>
    </row>
    <row r="1028" s="2" customFormat="1" spans="1:16">
      <c r="A1028" s="82">
        <v>45675</v>
      </c>
      <c r="B1028" s="21">
        <v>1518.11</v>
      </c>
      <c r="C1028" s="33">
        <v>5859</v>
      </c>
      <c r="D1028" s="25">
        <v>593</v>
      </c>
      <c r="E1028" s="25">
        <v>0</v>
      </c>
      <c r="F1028" s="21">
        <v>0</v>
      </c>
      <c r="G1028" s="25">
        <v>45</v>
      </c>
      <c r="H1028" s="25">
        <v>1</v>
      </c>
      <c r="I1028" s="25">
        <v>5</v>
      </c>
      <c r="J1028" s="92">
        <f t="shared" si="141"/>
        <v>0.10121181088923</v>
      </c>
      <c r="K1028" s="93">
        <f t="shared" si="142"/>
        <v>2.56005059021922</v>
      </c>
      <c r="L1028" s="94">
        <f t="shared" si="143"/>
        <v>0</v>
      </c>
      <c r="M1028" s="92">
        <f t="shared" si="144"/>
        <v>0</v>
      </c>
      <c r="N1028" s="46">
        <f t="shared" si="145"/>
        <v>0</v>
      </c>
      <c r="O1028" s="46">
        <f t="shared" si="146"/>
        <v>0</v>
      </c>
      <c r="P1028" s="93">
        <f t="shared" si="147"/>
        <v>33.7357777777778</v>
      </c>
    </row>
    <row r="1029" s="2" customFormat="1" spans="1:16">
      <c r="A1029" s="82">
        <v>45676</v>
      </c>
      <c r="B1029" s="21">
        <v>1522.22</v>
      </c>
      <c r="C1029" s="33">
        <v>5213</v>
      </c>
      <c r="D1029" s="25">
        <v>563</v>
      </c>
      <c r="E1029" s="25">
        <v>0</v>
      </c>
      <c r="F1029" s="21">
        <v>0</v>
      </c>
      <c r="G1029" s="25">
        <v>16</v>
      </c>
      <c r="H1029" s="25">
        <v>3</v>
      </c>
      <c r="I1029" s="25">
        <v>3</v>
      </c>
      <c r="J1029" s="92">
        <f t="shared" si="141"/>
        <v>0.107999232687512</v>
      </c>
      <c r="K1029" s="93">
        <f t="shared" si="142"/>
        <v>2.70376554174068</v>
      </c>
      <c r="L1029" s="94">
        <f t="shared" si="143"/>
        <v>0</v>
      </c>
      <c r="M1029" s="92">
        <f t="shared" si="144"/>
        <v>0</v>
      </c>
      <c r="N1029" s="46">
        <f t="shared" si="145"/>
        <v>0</v>
      </c>
      <c r="O1029" s="46">
        <f t="shared" si="146"/>
        <v>0</v>
      </c>
      <c r="P1029" s="93">
        <f t="shared" si="147"/>
        <v>95.13875</v>
      </c>
    </row>
    <row r="1030" s="2" customFormat="1" spans="1:16">
      <c r="A1030" s="82">
        <v>45677</v>
      </c>
      <c r="B1030" s="21">
        <v>1786.8</v>
      </c>
      <c r="C1030" s="33">
        <v>7433</v>
      </c>
      <c r="D1030" s="25">
        <v>643</v>
      </c>
      <c r="E1030" s="25">
        <v>0</v>
      </c>
      <c r="F1030" s="21">
        <v>0</v>
      </c>
      <c r="G1030" s="25">
        <v>29</v>
      </c>
      <c r="H1030" s="25">
        <v>2</v>
      </c>
      <c r="I1030" s="25">
        <v>3</v>
      </c>
      <c r="J1030" s="92">
        <f t="shared" si="141"/>
        <v>0.0865061213507332</v>
      </c>
      <c r="K1030" s="93">
        <f t="shared" si="142"/>
        <v>2.77884914463453</v>
      </c>
      <c r="L1030" s="94">
        <f t="shared" si="143"/>
        <v>0</v>
      </c>
      <c r="M1030" s="92">
        <f t="shared" si="144"/>
        <v>0</v>
      </c>
      <c r="N1030" s="46">
        <f t="shared" si="145"/>
        <v>0</v>
      </c>
      <c r="O1030" s="46">
        <f t="shared" si="146"/>
        <v>0</v>
      </c>
      <c r="P1030" s="93">
        <f t="shared" si="147"/>
        <v>61.6137931034483</v>
      </c>
    </row>
    <row r="1031" s="2" customFormat="1" spans="1:16">
      <c r="A1031" s="82">
        <v>45678</v>
      </c>
      <c r="B1031" s="21">
        <v>1943.52</v>
      </c>
      <c r="C1031" s="33">
        <v>7352</v>
      </c>
      <c r="D1031" s="25">
        <v>710</v>
      </c>
      <c r="E1031" s="25">
        <v>1</v>
      </c>
      <c r="F1031" s="21">
        <v>9688</v>
      </c>
      <c r="G1031" s="25">
        <v>45</v>
      </c>
      <c r="H1031" s="25">
        <v>8</v>
      </c>
      <c r="I1031" s="25">
        <v>8</v>
      </c>
      <c r="J1031" s="92">
        <f t="shared" si="141"/>
        <v>0.0965723612622416</v>
      </c>
      <c r="K1031" s="93">
        <f t="shared" si="142"/>
        <v>2.73735211267606</v>
      </c>
      <c r="L1031" s="94">
        <f t="shared" si="143"/>
        <v>4.98476990203342</v>
      </c>
      <c r="M1031" s="92">
        <f t="shared" si="144"/>
        <v>0.00140845070422535</v>
      </c>
      <c r="N1031" s="46">
        <f t="shared" si="145"/>
        <v>9688</v>
      </c>
      <c r="O1031" s="46">
        <f t="shared" si="146"/>
        <v>1943.52</v>
      </c>
      <c r="P1031" s="93">
        <f t="shared" si="147"/>
        <v>43.1893333333333</v>
      </c>
    </row>
    <row r="1032" s="2" customFormat="1" spans="1:16">
      <c r="A1032" s="82">
        <v>45679</v>
      </c>
      <c r="B1032" s="21">
        <v>1920.73</v>
      </c>
      <c r="C1032" s="33">
        <v>6704</v>
      </c>
      <c r="D1032" s="25">
        <v>741</v>
      </c>
      <c r="E1032" s="25">
        <v>6</v>
      </c>
      <c r="F1032" s="21">
        <v>56966</v>
      </c>
      <c r="G1032" s="25">
        <v>52</v>
      </c>
      <c r="H1032" s="25">
        <v>5</v>
      </c>
      <c r="I1032" s="25">
        <v>6</v>
      </c>
      <c r="J1032" s="92">
        <f t="shared" si="141"/>
        <v>0.110531026252983</v>
      </c>
      <c r="K1032" s="93">
        <f t="shared" si="142"/>
        <v>2.59207827260459</v>
      </c>
      <c r="L1032" s="94">
        <f t="shared" si="143"/>
        <v>29.6585152520136</v>
      </c>
      <c r="M1032" s="92">
        <f t="shared" si="144"/>
        <v>0.00809716599190283</v>
      </c>
      <c r="N1032" s="46">
        <f t="shared" si="145"/>
        <v>9494.33333333333</v>
      </c>
      <c r="O1032" s="46">
        <f t="shared" si="146"/>
        <v>320.121666666667</v>
      </c>
      <c r="P1032" s="93">
        <f t="shared" si="147"/>
        <v>36.9371153846154</v>
      </c>
    </row>
    <row r="1033" s="2" customFormat="1" spans="1:16">
      <c r="A1033" s="82">
        <v>45680</v>
      </c>
      <c r="B1033" s="21">
        <v>1897.66</v>
      </c>
      <c r="C1033" s="33">
        <v>7090</v>
      </c>
      <c r="D1033" s="25">
        <v>782</v>
      </c>
      <c r="E1033" s="25">
        <v>0</v>
      </c>
      <c r="F1033" s="21">
        <v>0</v>
      </c>
      <c r="G1033" s="25">
        <v>36</v>
      </c>
      <c r="H1033" s="25">
        <v>6</v>
      </c>
      <c r="I1033" s="25">
        <v>4</v>
      </c>
      <c r="J1033" s="92">
        <f t="shared" si="141"/>
        <v>0.110296191819464</v>
      </c>
      <c r="K1033" s="93">
        <f t="shared" si="142"/>
        <v>2.42667519181586</v>
      </c>
      <c r="L1033" s="94">
        <f t="shared" si="143"/>
        <v>0</v>
      </c>
      <c r="M1033" s="92">
        <f t="shared" si="144"/>
        <v>0</v>
      </c>
      <c r="N1033" s="46">
        <f t="shared" si="145"/>
        <v>0</v>
      </c>
      <c r="O1033" s="46">
        <f t="shared" si="146"/>
        <v>0</v>
      </c>
      <c r="P1033" s="93">
        <f t="shared" si="147"/>
        <v>52.7127777777778</v>
      </c>
    </row>
    <row r="1034" s="2" customFormat="1" spans="1:16">
      <c r="A1034" s="82">
        <v>45681</v>
      </c>
      <c r="B1034" s="21">
        <v>2034.48</v>
      </c>
      <c r="C1034" s="33">
        <v>6627</v>
      </c>
      <c r="D1034" s="25">
        <v>880</v>
      </c>
      <c r="E1034" s="25">
        <v>0</v>
      </c>
      <c r="F1034" s="21">
        <v>0</v>
      </c>
      <c r="G1034" s="25">
        <v>58</v>
      </c>
      <c r="H1034" s="25">
        <v>7</v>
      </c>
      <c r="I1034" s="25">
        <v>5</v>
      </c>
      <c r="J1034" s="92">
        <f t="shared" si="141"/>
        <v>0.132790101101554</v>
      </c>
      <c r="K1034" s="93">
        <f t="shared" si="142"/>
        <v>2.31190909090909</v>
      </c>
      <c r="L1034" s="94">
        <f t="shared" si="143"/>
        <v>0</v>
      </c>
      <c r="M1034" s="92">
        <f t="shared" si="144"/>
        <v>0</v>
      </c>
      <c r="N1034" s="46">
        <f t="shared" si="145"/>
        <v>0</v>
      </c>
      <c r="O1034" s="46">
        <f t="shared" si="146"/>
        <v>0</v>
      </c>
      <c r="P1034" s="93">
        <f t="shared" si="147"/>
        <v>35.0772413793103</v>
      </c>
    </row>
    <row r="1035" s="2" customFormat="1" spans="1:16">
      <c r="A1035" s="82">
        <v>45682</v>
      </c>
      <c r="B1035" s="21">
        <v>1817.73</v>
      </c>
      <c r="C1035" s="33">
        <v>4720</v>
      </c>
      <c r="D1035" s="25">
        <v>1003</v>
      </c>
      <c r="E1035" s="25">
        <v>0</v>
      </c>
      <c r="F1035" s="21">
        <v>0</v>
      </c>
      <c r="G1035" s="25">
        <v>61</v>
      </c>
      <c r="H1035" s="25">
        <v>15</v>
      </c>
      <c r="I1035" s="25">
        <v>12</v>
      </c>
      <c r="J1035" s="92">
        <f t="shared" si="141"/>
        <v>0.2125</v>
      </c>
      <c r="K1035" s="93">
        <f t="shared" si="142"/>
        <v>1.81229312063809</v>
      </c>
      <c r="L1035" s="94">
        <f t="shared" si="143"/>
        <v>0</v>
      </c>
      <c r="M1035" s="92">
        <f t="shared" si="144"/>
        <v>0</v>
      </c>
      <c r="N1035" s="46">
        <f t="shared" si="145"/>
        <v>0</v>
      </c>
      <c r="O1035" s="46">
        <f t="shared" si="146"/>
        <v>0</v>
      </c>
      <c r="P1035" s="93">
        <f t="shared" si="147"/>
        <v>29.7988524590164</v>
      </c>
    </row>
    <row r="1036" s="2" customFormat="1" spans="1:16">
      <c r="A1036" s="82">
        <v>45683</v>
      </c>
      <c r="B1036" s="21">
        <v>1814.34</v>
      </c>
      <c r="C1036" s="33">
        <v>6117</v>
      </c>
      <c r="D1036" s="25">
        <v>1000</v>
      </c>
      <c r="E1036" s="25">
        <v>2</v>
      </c>
      <c r="F1036" s="21">
        <v>37313</v>
      </c>
      <c r="G1036" s="25">
        <v>53</v>
      </c>
      <c r="H1036" s="25">
        <v>12</v>
      </c>
      <c r="I1036" s="25">
        <v>7</v>
      </c>
      <c r="J1036" s="92">
        <f t="shared" si="141"/>
        <v>0.163478829491581</v>
      </c>
      <c r="K1036" s="93">
        <f t="shared" si="142"/>
        <v>1.81434</v>
      </c>
      <c r="L1036" s="94">
        <f t="shared" si="143"/>
        <v>20.5656051236262</v>
      </c>
      <c r="M1036" s="92">
        <f t="shared" si="144"/>
        <v>0.002</v>
      </c>
      <c r="N1036" s="46">
        <f t="shared" si="145"/>
        <v>18656.5</v>
      </c>
      <c r="O1036" s="46">
        <f t="shared" si="146"/>
        <v>907.17</v>
      </c>
      <c r="P1036" s="93">
        <f t="shared" si="147"/>
        <v>34.2328301886792</v>
      </c>
    </row>
    <row r="1037" s="2" customFormat="1" spans="1:16">
      <c r="A1037" s="82">
        <v>45684</v>
      </c>
      <c r="B1037" s="21">
        <v>1810.96</v>
      </c>
      <c r="C1037" s="33">
        <v>6516</v>
      </c>
      <c r="D1037" s="25">
        <v>860</v>
      </c>
      <c r="E1037" s="25">
        <v>7</v>
      </c>
      <c r="F1037" s="21">
        <v>55738.84</v>
      </c>
      <c r="G1037" s="25">
        <v>52</v>
      </c>
      <c r="H1037" s="25">
        <v>6</v>
      </c>
      <c r="I1037" s="25">
        <v>10</v>
      </c>
      <c r="J1037" s="92">
        <f t="shared" si="141"/>
        <v>0.131982811540823</v>
      </c>
      <c r="K1037" s="93">
        <f t="shared" si="142"/>
        <v>2.10576744186047</v>
      </c>
      <c r="L1037" s="94">
        <f t="shared" si="143"/>
        <v>30.7786146574193</v>
      </c>
      <c r="M1037" s="92">
        <f t="shared" si="144"/>
        <v>0.00813953488372093</v>
      </c>
      <c r="N1037" s="46">
        <f t="shared" si="145"/>
        <v>7962.69142857143</v>
      </c>
      <c r="O1037" s="46">
        <f t="shared" si="146"/>
        <v>258.708571428571</v>
      </c>
      <c r="P1037" s="93">
        <f t="shared" si="147"/>
        <v>34.8261538461538</v>
      </c>
    </row>
    <row r="1038" s="2" customFormat="1" spans="1:16">
      <c r="A1038" s="82">
        <v>45685</v>
      </c>
      <c r="B1038" s="21">
        <v>1602.04</v>
      </c>
      <c r="C1038" s="33">
        <v>7179</v>
      </c>
      <c r="D1038" s="25">
        <v>687</v>
      </c>
      <c r="E1038" s="25">
        <v>0</v>
      </c>
      <c r="F1038" s="21">
        <v>0</v>
      </c>
      <c r="G1038" s="25">
        <v>53</v>
      </c>
      <c r="H1038" s="25">
        <v>7</v>
      </c>
      <c r="I1038" s="25">
        <v>5</v>
      </c>
      <c r="J1038" s="92">
        <f t="shared" si="141"/>
        <v>0.0956957793564563</v>
      </c>
      <c r="K1038" s="93">
        <f t="shared" si="142"/>
        <v>2.33193595342067</v>
      </c>
      <c r="L1038" s="94">
        <f t="shared" si="143"/>
        <v>0</v>
      </c>
      <c r="M1038" s="92">
        <f t="shared" si="144"/>
        <v>0</v>
      </c>
      <c r="N1038" s="46">
        <f t="shared" si="145"/>
        <v>0</v>
      </c>
      <c r="O1038" s="46">
        <f t="shared" si="146"/>
        <v>0</v>
      </c>
      <c r="P1038" s="93">
        <f t="shared" si="147"/>
        <v>30.2271698113208</v>
      </c>
    </row>
    <row r="1039" s="2" customFormat="1" spans="1:16">
      <c r="A1039" s="82">
        <v>45686</v>
      </c>
      <c r="B1039" s="21">
        <v>1550.59</v>
      </c>
      <c r="C1039" s="33">
        <v>6542</v>
      </c>
      <c r="D1039" s="25">
        <v>625</v>
      </c>
      <c r="E1039" s="25">
        <v>0</v>
      </c>
      <c r="F1039" s="21">
        <v>0</v>
      </c>
      <c r="G1039" s="25">
        <v>47</v>
      </c>
      <c r="H1039" s="25">
        <v>6</v>
      </c>
      <c r="I1039" s="25">
        <v>4</v>
      </c>
      <c r="J1039" s="92">
        <f t="shared" si="141"/>
        <v>0.0955365331702843</v>
      </c>
      <c r="K1039" s="93">
        <f t="shared" si="142"/>
        <v>2.480944</v>
      </c>
      <c r="L1039" s="94">
        <f t="shared" si="143"/>
        <v>0</v>
      </c>
      <c r="M1039" s="92">
        <f t="shared" si="144"/>
        <v>0</v>
      </c>
      <c r="N1039" s="46">
        <f t="shared" si="145"/>
        <v>0</v>
      </c>
      <c r="O1039" s="46">
        <f t="shared" si="146"/>
        <v>0</v>
      </c>
      <c r="P1039" s="93">
        <f t="shared" si="147"/>
        <v>32.9912765957447</v>
      </c>
    </row>
    <row r="1040" s="2" customFormat="1" spans="1:16">
      <c r="A1040" s="82">
        <v>45687</v>
      </c>
      <c r="B1040" s="21">
        <v>1642.52</v>
      </c>
      <c r="C1040" s="33">
        <v>7244</v>
      </c>
      <c r="D1040" s="25">
        <v>745</v>
      </c>
      <c r="E1040" s="25">
        <v>0</v>
      </c>
      <c r="F1040" s="21">
        <v>0</v>
      </c>
      <c r="G1040" s="25">
        <v>38</v>
      </c>
      <c r="H1040" s="25">
        <v>1</v>
      </c>
      <c r="I1040" s="25">
        <v>2</v>
      </c>
      <c r="J1040" s="92">
        <f t="shared" si="141"/>
        <v>0.10284373274434</v>
      </c>
      <c r="K1040" s="93">
        <f t="shared" si="142"/>
        <v>2.20472483221477</v>
      </c>
      <c r="L1040" s="94">
        <f t="shared" si="143"/>
        <v>0</v>
      </c>
      <c r="M1040" s="92">
        <f t="shared" si="144"/>
        <v>0</v>
      </c>
      <c r="N1040" s="46">
        <f t="shared" si="145"/>
        <v>0</v>
      </c>
      <c r="O1040" s="46">
        <f t="shared" si="146"/>
        <v>0</v>
      </c>
      <c r="P1040" s="93">
        <f t="shared" si="147"/>
        <v>43.2242105263158</v>
      </c>
    </row>
    <row r="1041" s="2" customFormat="1" spans="1:16">
      <c r="A1041" s="82">
        <v>45688</v>
      </c>
      <c r="B1041" s="21">
        <v>1635.05</v>
      </c>
      <c r="C1041" s="33">
        <v>8185</v>
      </c>
      <c r="D1041" s="25">
        <v>741</v>
      </c>
      <c r="E1041" s="25">
        <v>0</v>
      </c>
      <c r="F1041" s="21">
        <v>0</v>
      </c>
      <c r="G1041" s="25">
        <v>57</v>
      </c>
      <c r="H1041" s="25">
        <v>6</v>
      </c>
      <c r="I1041" s="25">
        <v>10</v>
      </c>
      <c r="J1041" s="92">
        <f t="shared" si="141"/>
        <v>0.0905314599877825</v>
      </c>
      <c r="K1041" s="93">
        <f t="shared" si="142"/>
        <v>2.20654520917679</v>
      </c>
      <c r="L1041" s="94">
        <f t="shared" si="143"/>
        <v>0</v>
      </c>
      <c r="M1041" s="92">
        <f t="shared" si="144"/>
        <v>0</v>
      </c>
      <c r="N1041" s="46">
        <f t="shared" si="145"/>
        <v>0</v>
      </c>
      <c r="O1041" s="46">
        <f t="shared" si="146"/>
        <v>0</v>
      </c>
      <c r="P1041" s="93">
        <f t="shared" si="147"/>
        <v>28.6850877192982</v>
      </c>
    </row>
    <row r="1042" s="2" customFormat="1" spans="1:16">
      <c r="A1042" s="82">
        <v>45689</v>
      </c>
      <c r="B1042" s="21">
        <v>1652.97</v>
      </c>
      <c r="C1042" s="33">
        <v>7340</v>
      </c>
      <c r="D1042" s="25">
        <v>770</v>
      </c>
      <c r="E1042" s="25">
        <v>0</v>
      </c>
      <c r="F1042" s="21">
        <v>0</v>
      </c>
      <c r="G1042" s="25">
        <v>33</v>
      </c>
      <c r="H1042" s="25">
        <v>7</v>
      </c>
      <c r="I1042" s="25">
        <v>5</v>
      </c>
      <c r="J1042" s="92">
        <f t="shared" si="141"/>
        <v>0.104904632152589</v>
      </c>
      <c r="K1042" s="93">
        <f t="shared" si="142"/>
        <v>2.14671428571429</v>
      </c>
      <c r="L1042" s="94">
        <f t="shared" si="143"/>
        <v>0</v>
      </c>
      <c r="M1042" s="92">
        <f t="shared" si="144"/>
        <v>0</v>
      </c>
      <c r="N1042" s="46">
        <f t="shared" si="145"/>
        <v>0</v>
      </c>
      <c r="O1042" s="46">
        <f t="shared" si="146"/>
        <v>0</v>
      </c>
      <c r="P1042" s="93">
        <f t="shared" si="147"/>
        <v>50.09</v>
      </c>
    </row>
    <row r="1043" s="2" customFormat="1" spans="1:16">
      <c r="A1043" s="82">
        <v>45690</v>
      </c>
      <c r="B1043" s="21">
        <v>1624.05</v>
      </c>
      <c r="C1043" s="33">
        <v>7818</v>
      </c>
      <c r="D1043" s="25">
        <v>826</v>
      </c>
      <c r="E1043" s="25">
        <v>0</v>
      </c>
      <c r="F1043" s="21">
        <v>0</v>
      </c>
      <c r="G1043" s="25">
        <v>49</v>
      </c>
      <c r="H1043" s="25">
        <v>13</v>
      </c>
      <c r="I1043" s="25">
        <v>4</v>
      </c>
      <c r="J1043" s="92">
        <f t="shared" si="141"/>
        <v>0.105653619851624</v>
      </c>
      <c r="K1043" s="93">
        <f t="shared" si="142"/>
        <v>1.96616222760291</v>
      </c>
      <c r="L1043" s="94">
        <f t="shared" si="143"/>
        <v>0</v>
      </c>
      <c r="M1043" s="92">
        <f t="shared" si="144"/>
        <v>0</v>
      </c>
      <c r="N1043" s="46">
        <f t="shared" si="145"/>
        <v>0</v>
      </c>
      <c r="O1043" s="46">
        <f t="shared" si="146"/>
        <v>0</v>
      </c>
      <c r="P1043" s="93">
        <f t="shared" si="147"/>
        <v>33.1438775510204</v>
      </c>
    </row>
    <row r="1044" s="2" customFormat="1" spans="1:16">
      <c r="A1044" s="82">
        <v>45691</v>
      </c>
      <c r="B1044" s="21">
        <v>1817.75</v>
      </c>
      <c r="C1044" s="33">
        <v>9262</v>
      </c>
      <c r="D1044" s="25">
        <v>975</v>
      </c>
      <c r="E1044" s="25">
        <v>1</v>
      </c>
      <c r="F1044" s="21">
        <v>10197</v>
      </c>
      <c r="G1044" s="25">
        <v>36</v>
      </c>
      <c r="H1044" s="25">
        <v>9</v>
      </c>
      <c r="I1044" s="25">
        <v>4</v>
      </c>
      <c r="J1044" s="92">
        <f t="shared" si="141"/>
        <v>0.105268840423235</v>
      </c>
      <c r="K1044" s="93">
        <f t="shared" si="142"/>
        <v>1.86435897435897</v>
      </c>
      <c r="L1044" s="94">
        <f t="shared" si="143"/>
        <v>5.60968229954614</v>
      </c>
      <c r="M1044" s="92">
        <f t="shared" si="144"/>
        <v>0.00102564102564103</v>
      </c>
      <c r="N1044" s="46">
        <f t="shared" si="145"/>
        <v>10197</v>
      </c>
      <c r="O1044" s="46">
        <f t="shared" si="146"/>
        <v>1817.75</v>
      </c>
      <c r="P1044" s="93">
        <f t="shared" si="147"/>
        <v>50.4930555555556</v>
      </c>
    </row>
    <row r="1045" s="2" customFormat="1" spans="1:16">
      <c r="A1045" s="82">
        <v>45692</v>
      </c>
      <c r="B1045" s="21">
        <v>1759.73</v>
      </c>
      <c r="C1045" s="33">
        <v>8062</v>
      </c>
      <c r="D1045" s="25">
        <v>1054</v>
      </c>
      <c r="E1045" s="25">
        <v>3</v>
      </c>
      <c r="F1045" s="21">
        <v>81458</v>
      </c>
      <c r="G1045" s="25">
        <v>49</v>
      </c>
      <c r="H1045" s="25">
        <v>11</v>
      </c>
      <c r="I1045" s="25">
        <v>7</v>
      </c>
      <c r="J1045" s="92">
        <f t="shared" si="141"/>
        <v>0.130736789878442</v>
      </c>
      <c r="K1045" s="93">
        <f t="shared" si="142"/>
        <v>1.66957305502846</v>
      </c>
      <c r="L1045" s="94">
        <f t="shared" si="143"/>
        <v>46.2900558608423</v>
      </c>
      <c r="M1045" s="92">
        <f t="shared" si="144"/>
        <v>0.00284629981024668</v>
      </c>
      <c r="N1045" s="46">
        <f t="shared" si="145"/>
        <v>27152.6666666667</v>
      </c>
      <c r="O1045" s="46">
        <f t="shared" si="146"/>
        <v>586.576666666667</v>
      </c>
      <c r="P1045" s="93">
        <f t="shared" si="147"/>
        <v>35.9128571428571</v>
      </c>
    </row>
    <row r="1046" s="2" customFormat="1" spans="1:16">
      <c r="A1046" s="82">
        <v>45693</v>
      </c>
      <c r="B1046" s="21">
        <v>1504.54</v>
      </c>
      <c r="C1046" s="33">
        <v>7688</v>
      </c>
      <c r="D1046" s="25">
        <v>922</v>
      </c>
      <c r="E1046" s="25">
        <v>2</v>
      </c>
      <c r="F1046" s="21">
        <v>17648</v>
      </c>
      <c r="G1046" s="25">
        <v>56</v>
      </c>
      <c r="H1046" s="25">
        <v>13</v>
      </c>
      <c r="I1046" s="25">
        <v>8</v>
      </c>
      <c r="J1046" s="92">
        <f t="shared" si="141"/>
        <v>0.119927159209157</v>
      </c>
      <c r="K1046" s="93">
        <f t="shared" si="142"/>
        <v>1.63182212581345</v>
      </c>
      <c r="L1046" s="94">
        <f t="shared" si="143"/>
        <v>11.7298310447047</v>
      </c>
      <c r="M1046" s="92">
        <f t="shared" si="144"/>
        <v>0.00216919739696312</v>
      </c>
      <c r="N1046" s="46">
        <f t="shared" si="145"/>
        <v>8824</v>
      </c>
      <c r="O1046" s="46">
        <f t="shared" si="146"/>
        <v>752.27</v>
      </c>
      <c r="P1046" s="93">
        <f t="shared" si="147"/>
        <v>26.8667857142857</v>
      </c>
    </row>
    <row r="1047" s="2" customFormat="1" spans="1:16">
      <c r="A1047" s="82">
        <v>45694</v>
      </c>
      <c r="B1047" s="21">
        <v>1307.47</v>
      </c>
      <c r="C1047" s="33">
        <v>6329</v>
      </c>
      <c r="D1047" s="25">
        <v>771</v>
      </c>
      <c r="E1047" s="25">
        <v>0</v>
      </c>
      <c r="F1047" s="21">
        <v>0</v>
      </c>
      <c r="G1047" s="25">
        <v>55</v>
      </c>
      <c r="H1047" s="25">
        <v>7</v>
      </c>
      <c r="I1047" s="25">
        <v>5</v>
      </c>
      <c r="J1047" s="92">
        <f t="shared" si="141"/>
        <v>0.12182019276347</v>
      </c>
      <c r="K1047" s="93">
        <f t="shared" si="142"/>
        <v>1.69581063553826</v>
      </c>
      <c r="L1047" s="94">
        <f t="shared" si="143"/>
        <v>0</v>
      </c>
      <c r="M1047" s="92">
        <f t="shared" si="144"/>
        <v>0</v>
      </c>
      <c r="N1047" s="46">
        <f t="shared" si="145"/>
        <v>0</v>
      </c>
      <c r="O1047" s="46">
        <f t="shared" si="146"/>
        <v>0</v>
      </c>
      <c r="P1047" s="93">
        <f t="shared" si="147"/>
        <v>23.7721818181818</v>
      </c>
    </row>
    <row r="1048" s="2" customFormat="1" spans="1:16">
      <c r="A1048" s="82">
        <v>45695</v>
      </c>
      <c r="B1048" s="21">
        <v>1466.79</v>
      </c>
      <c r="C1048" s="33">
        <v>7242</v>
      </c>
      <c r="D1048" s="25">
        <v>1025</v>
      </c>
      <c r="E1048" s="25">
        <v>0</v>
      </c>
      <c r="F1048" s="21">
        <v>0</v>
      </c>
      <c r="G1048" s="25">
        <v>69</v>
      </c>
      <c r="H1048" s="25">
        <v>13</v>
      </c>
      <c r="I1048" s="25">
        <v>4</v>
      </c>
      <c r="J1048" s="92">
        <f t="shared" si="141"/>
        <v>0.14153548743441</v>
      </c>
      <c r="K1048" s="93">
        <f t="shared" si="142"/>
        <v>1.43101463414634</v>
      </c>
      <c r="L1048" s="94">
        <f t="shared" si="143"/>
        <v>0</v>
      </c>
      <c r="M1048" s="92">
        <f t="shared" si="144"/>
        <v>0</v>
      </c>
      <c r="N1048" s="46">
        <f t="shared" si="145"/>
        <v>0</v>
      </c>
      <c r="O1048" s="46">
        <f t="shared" si="146"/>
        <v>0</v>
      </c>
      <c r="P1048" s="93">
        <f t="shared" si="147"/>
        <v>21.2578260869565</v>
      </c>
    </row>
    <row r="1049" s="2" customFormat="1" spans="1:16">
      <c r="A1049" s="82">
        <v>45696</v>
      </c>
      <c r="B1049" s="21">
        <v>1532.65</v>
      </c>
      <c r="C1049" s="33">
        <v>7326</v>
      </c>
      <c r="D1049" s="25">
        <v>1072</v>
      </c>
      <c r="E1049" s="25">
        <v>0</v>
      </c>
      <c r="F1049" s="21">
        <v>0</v>
      </c>
      <c r="G1049" s="25">
        <v>72</v>
      </c>
      <c r="H1049" s="25">
        <v>6</v>
      </c>
      <c r="I1049" s="25">
        <v>7</v>
      </c>
      <c r="J1049" s="92">
        <f t="shared" si="141"/>
        <v>0.146328146328146</v>
      </c>
      <c r="K1049" s="93">
        <f t="shared" si="142"/>
        <v>1.42971082089552</v>
      </c>
      <c r="L1049" s="94">
        <f t="shared" si="143"/>
        <v>0</v>
      </c>
      <c r="M1049" s="92">
        <f t="shared" si="144"/>
        <v>0</v>
      </c>
      <c r="N1049" s="46">
        <f t="shared" si="145"/>
        <v>0</v>
      </c>
      <c r="O1049" s="46">
        <f t="shared" si="146"/>
        <v>0</v>
      </c>
      <c r="P1049" s="93">
        <f t="shared" si="147"/>
        <v>21.2868055555556</v>
      </c>
    </row>
    <row r="1050" s="2" customFormat="1" spans="1:16">
      <c r="A1050" s="82">
        <v>45697</v>
      </c>
      <c r="B1050" s="21">
        <v>1563.88</v>
      </c>
      <c r="C1050" s="33">
        <v>6740</v>
      </c>
      <c r="D1050" s="25">
        <v>991</v>
      </c>
      <c r="E1050" s="25">
        <v>1</v>
      </c>
      <c r="F1050" s="21">
        <v>7114</v>
      </c>
      <c r="G1050" s="25">
        <v>73</v>
      </c>
      <c r="H1050" s="25">
        <v>12</v>
      </c>
      <c r="I1050" s="25">
        <v>2</v>
      </c>
      <c r="J1050" s="92">
        <f t="shared" si="141"/>
        <v>0.147032640949555</v>
      </c>
      <c r="K1050" s="93">
        <f t="shared" si="142"/>
        <v>1.57808274470232</v>
      </c>
      <c r="L1050" s="94">
        <f t="shared" si="143"/>
        <v>4.5489423740952</v>
      </c>
      <c r="M1050" s="92">
        <f t="shared" si="144"/>
        <v>0.00100908173562059</v>
      </c>
      <c r="N1050" s="46">
        <f t="shared" si="145"/>
        <v>7114</v>
      </c>
      <c r="O1050" s="46">
        <f t="shared" si="146"/>
        <v>1563.88</v>
      </c>
      <c r="P1050" s="93">
        <f t="shared" si="147"/>
        <v>21.4230136986301</v>
      </c>
    </row>
    <row r="1051" s="2" customFormat="1" spans="1:16">
      <c r="A1051" s="82">
        <v>45698</v>
      </c>
      <c r="B1051" s="21">
        <v>1566.53</v>
      </c>
      <c r="C1051" s="33">
        <v>5796</v>
      </c>
      <c r="D1051" s="25">
        <v>973</v>
      </c>
      <c r="E1051" s="25">
        <v>2</v>
      </c>
      <c r="F1051" s="21">
        <v>19887.64</v>
      </c>
      <c r="G1051" s="25">
        <v>64</v>
      </c>
      <c r="H1051" s="25">
        <v>10</v>
      </c>
      <c r="I1051" s="25">
        <v>6</v>
      </c>
      <c r="J1051" s="92">
        <f t="shared" si="141"/>
        <v>0.167874396135266</v>
      </c>
      <c r="K1051" s="93">
        <f t="shared" si="142"/>
        <v>1.61</v>
      </c>
      <c r="L1051" s="94">
        <f t="shared" si="143"/>
        <v>12.695345764205</v>
      </c>
      <c r="M1051" s="92">
        <f t="shared" si="144"/>
        <v>0.00205549845837616</v>
      </c>
      <c r="N1051" s="46">
        <f t="shared" si="145"/>
        <v>9943.82</v>
      </c>
      <c r="O1051" s="46">
        <f t="shared" si="146"/>
        <v>783.265</v>
      </c>
      <c r="P1051" s="93">
        <f t="shared" si="147"/>
        <v>24.47703125</v>
      </c>
    </row>
    <row r="1052" s="2" customFormat="1" spans="1:16">
      <c r="A1052" s="82">
        <v>45699</v>
      </c>
      <c r="B1052" s="21">
        <v>1569.05</v>
      </c>
      <c r="C1052" s="33">
        <v>5418</v>
      </c>
      <c r="D1052" s="25">
        <v>973</v>
      </c>
      <c r="E1052" s="25">
        <v>0</v>
      </c>
      <c r="F1052" s="21">
        <v>0</v>
      </c>
      <c r="G1052" s="25">
        <v>54</v>
      </c>
      <c r="H1052" s="25">
        <v>8</v>
      </c>
      <c r="I1052" s="25">
        <v>6</v>
      </c>
      <c r="J1052" s="92">
        <f t="shared" si="141"/>
        <v>0.179586563307494</v>
      </c>
      <c r="K1052" s="93">
        <f t="shared" si="142"/>
        <v>1.61258992805755</v>
      </c>
      <c r="L1052" s="94">
        <f t="shared" si="143"/>
        <v>0</v>
      </c>
      <c r="M1052" s="92">
        <f t="shared" si="144"/>
        <v>0</v>
      </c>
      <c r="N1052" s="46">
        <f t="shared" si="145"/>
        <v>0</v>
      </c>
      <c r="O1052" s="46">
        <f t="shared" si="146"/>
        <v>0</v>
      </c>
      <c r="P1052" s="93">
        <f t="shared" si="147"/>
        <v>29.0564814814815</v>
      </c>
    </row>
    <row r="1053" s="2" customFormat="1" spans="1:16">
      <c r="A1053" s="82">
        <v>45700</v>
      </c>
      <c r="B1053" s="21">
        <v>1563.41</v>
      </c>
      <c r="C1053" s="33">
        <v>5584</v>
      </c>
      <c r="D1053" s="25">
        <v>911</v>
      </c>
      <c r="E1053" s="25">
        <v>0</v>
      </c>
      <c r="F1053" s="21">
        <v>0</v>
      </c>
      <c r="G1053" s="25">
        <v>49</v>
      </c>
      <c r="H1053" s="25">
        <v>8</v>
      </c>
      <c r="I1053" s="25">
        <v>5</v>
      </c>
      <c r="J1053" s="92">
        <f t="shared" si="141"/>
        <v>0.163144699140401</v>
      </c>
      <c r="K1053" s="93">
        <f t="shared" si="142"/>
        <v>1.71614709110867</v>
      </c>
      <c r="L1053" s="94">
        <f t="shared" si="143"/>
        <v>0</v>
      </c>
      <c r="M1053" s="92">
        <f t="shared" si="144"/>
        <v>0</v>
      </c>
      <c r="N1053" s="46">
        <f t="shared" si="145"/>
        <v>0</v>
      </c>
      <c r="O1053" s="46">
        <f t="shared" si="146"/>
        <v>0</v>
      </c>
      <c r="P1053" s="93">
        <f t="shared" si="147"/>
        <v>31.9063265306122</v>
      </c>
    </row>
    <row r="1054" s="2" customFormat="1" spans="1:16">
      <c r="A1054" s="82">
        <v>45701</v>
      </c>
      <c r="B1054" s="21">
        <v>1534.42</v>
      </c>
      <c r="C1054" s="33">
        <v>6697</v>
      </c>
      <c r="D1054" s="25">
        <v>962</v>
      </c>
      <c r="E1054" s="25">
        <v>0</v>
      </c>
      <c r="F1054" s="21">
        <v>0</v>
      </c>
      <c r="G1054" s="25">
        <v>49</v>
      </c>
      <c r="H1054" s="25">
        <v>5</v>
      </c>
      <c r="I1054" s="25">
        <v>6</v>
      </c>
      <c r="J1054" s="92">
        <f t="shared" si="141"/>
        <v>0.143646408839779</v>
      </c>
      <c r="K1054" s="93">
        <f t="shared" si="142"/>
        <v>1.59503118503119</v>
      </c>
      <c r="L1054" s="94">
        <f t="shared" si="143"/>
        <v>0</v>
      </c>
      <c r="M1054" s="92">
        <f t="shared" si="144"/>
        <v>0</v>
      </c>
      <c r="N1054" s="46">
        <f t="shared" si="145"/>
        <v>0</v>
      </c>
      <c r="O1054" s="46">
        <f t="shared" si="146"/>
        <v>0</v>
      </c>
      <c r="P1054" s="93">
        <f t="shared" si="147"/>
        <v>31.314693877551</v>
      </c>
    </row>
    <row r="1055" s="2" customFormat="1" spans="1:16">
      <c r="A1055" s="82">
        <v>45702</v>
      </c>
      <c r="B1055" s="21">
        <v>1366.26</v>
      </c>
      <c r="C1055" s="33">
        <v>6426</v>
      </c>
      <c r="D1055" s="25">
        <v>837</v>
      </c>
      <c r="E1055" s="25">
        <v>2</v>
      </c>
      <c r="F1055" s="21">
        <v>22916</v>
      </c>
      <c r="G1055" s="25">
        <v>51</v>
      </c>
      <c r="H1055" s="25">
        <v>11</v>
      </c>
      <c r="I1055" s="25">
        <v>4</v>
      </c>
      <c r="J1055" s="92">
        <f t="shared" si="141"/>
        <v>0.130252100840336</v>
      </c>
      <c r="K1055" s="93">
        <f t="shared" si="142"/>
        <v>1.63232974910394</v>
      </c>
      <c r="L1055" s="94">
        <f t="shared" si="143"/>
        <v>16.772795807533</v>
      </c>
      <c r="M1055" s="92">
        <f t="shared" si="144"/>
        <v>0.002389486260454</v>
      </c>
      <c r="N1055" s="46">
        <f t="shared" si="145"/>
        <v>11458</v>
      </c>
      <c r="O1055" s="46">
        <f t="shared" si="146"/>
        <v>683.13</v>
      </c>
      <c r="P1055" s="93">
        <f t="shared" si="147"/>
        <v>26.7894117647059</v>
      </c>
    </row>
    <row r="1056" s="2" customFormat="1" spans="1:16">
      <c r="A1056" s="82">
        <v>45703</v>
      </c>
      <c r="B1056" s="21">
        <v>1351.48</v>
      </c>
      <c r="C1056" s="33">
        <v>6061</v>
      </c>
      <c r="D1056" s="25">
        <v>755</v>
      </c>
      <c r="E1056" s="25">
        <v>0</v>
      </c>
      <c r="F1056" s="21">
        <v>0</v>
      </c>
      <c r="G1056" s="25">
        <v>51</v>
      </c>
      <c r="H1056" s="25">
        <v>13</v>
      </c>
      <c r="I1056" s="25">
        <v>5</v>
      </c>
      <c r="J1056" s="92">
        <f t="shared" si="141"/>
        <v>0.124566903151295</v>
      </c>
      <c r="K1056" s="93">
        <f t="shared" si="142"/>
        <v>1.79003973509934</v>
      </c>
      <c r="L1056" s="94">
        <f t="shared" si="143"/>
        <v>0</v>
      </c>
      <c r="M1056" s="92">
        <f t="shared" si="144"/>
        <v>0</v>
      </c>
      <c r="N1056" s="46">
        <f t="shared" si="145"/>
        <v>0</v>
      </c>
      <c r="O1056" s="46">
        <f t="shared" si="146"/>
        <v>0</v>
      </c>
      <c r="P1056" s="93">
        <f t="shared" si="147"/>
        <v>26.4996078431373</v>
      </c>
    </row>
    <row r="1057" s="2" customFormat="1" spans="1:16">
      <c r="A1057" s="82">
        <v>45704</v>
      </c>
      <c r="B1057" s="21">
        <v>1369.19</v>
      </c>
      <c r="C1057" s="33">
        <v>5426</v>
      </c>
      <c r="D1057" s="25">
        <v>764</v>
      </c>
      <c r="E1057" s="25">
        <v>0</v>
      </c>
      <c r="F1057" s="21">
        <v>0</v>
      </c>
      <c r="G1057" s="25">
        <v>28</v>
      </c>
      <c r="H1057" s="25">
        <v>5</v>
      </c>
      <c r="I1057" s="25">
        <v>2</v>
      </c>
      <c r="J1057" s="92">
        <f t="shared" si="141"/>
        <v>0.140803538518245</v>
      </c>
      <c r="K1057" s="93">
        <f t="shared" si="142"/>
        <v>1.7921335078534</v>
      </c>
      <c r="L1057" s="94">
        <f t="shared" si="143"/>
        <v>0</v>
      </c>
      <c r="M1057" s="92">
        <f t="shared" si="144"/>
        <v>0</v>
      </c>
      <c r="N1057" s="46">
        <f t="shared" si="145"/>
        <v>0</v>
      </c>
      <c r="O1057" s="46">
        <f t="shared" si="146"/>
        <v>0</v>
      </c>
      <c r="P1057" s="93">
        <f t="shared" si="147"/>
        <v>48.8996428571429</v>
      </c>
    </row>
    <row r="1058" s="2" customFormat="1" spans="1:16">
      <c r="A1058" s="82">
        <v>45705</v>
      </c>
      <c r="B1058" s="21">
        <v>1366.4</v>
      </c>
      <c r="C1058" s="33">
        <v>4805</v>
      </c>
      <c r="D1058" s="25">
        <v>755</v>
      </c>
      <c r="E1058" s="25">
        <v>0</v>
      </c>
      <c r="F1058" s="21">
        <v>0</v>
      </c>
      <c r="G1058" s="25">
        <v>36</v>
      </c>
      <c r="H1058" s="25">
        <v>8</v>
      </c>
      <c r="I1058" s="25">
        <v>3</v>
      </c>
      <c r="J1058" s="92">
        <f t="shared" si="141"/>
        <v>0.157127991675338</v>
      </c>
      <c r="K1058" s="93">
        <f t="shared" si="142"/>
        <v>1.80980132450331</v>
      </c>
      <c r="L1058" s="94">
        <f t="shared" si="143"/>
        <v>0</v>
      </c>
      <c r="M1058" s="92">
        <f t="shared" si="144"/>
        <v>0</v>
      </c>
      <c r="N1058" s="46">
        <f t="shared" si="145"/>
        <v>0</v>
      </c>
      <c r="O1058" s="46">
        <f t="shared" si="146"/>
        <v>0</v>
      </c>
      <c r="P1058" s="93">
        <f t="shared" si="147"/>
        <v>37.9555555555556</v>
      </c>
    </row>
    <row r="1059" s="2" customFormat="1" spans="1:16">
      <c r="A1059" s="82">
        <v>45706</v>
      </c>
      <c r="B1059" s="21">
        <v>1385.78</v>
      </c>
      <c r="C1059" s="33">
        <v>5606</v>
      </c>
      <c r="D1059" s="25">
        <v>939</v>
      </c>
      <c r="E1059" s="25">
        <v>0</v>
      </c>
      <c r="F1059" s="21">
        <v>0</v>
      </c>
      <c r="G1059" s="25">
        <v>82</v>
      </c>
      <c r="H1059" s="25">
        <v>15</v>
      </c>
      <c r="I1059" s="25">
        <v>5</v>
      </c>
      <c r="J1059" s="92">
        <f t="shared" si="141"/>
        <v>0.167499108098466</v>
      </c>
      <c r="K1059" s="93">
        <f t="shared" si="142"/>
        <v>1.47580404685836</v>
      </c>
      <c r="L1059" s="94">
        <f t="shared" si="143"/>
        <v>0</v>
      </c>
      <c r="M1059" s="92">
        <f t="shared" si="144"/>
        <v>0</v>
      </c>
      <c r="N1059" s="46">
        <f t="shared" si="145"/>
        <v>0</v>
      </c>
      <c r="O1059" s="46">
        <f t="shared" si="146"/>
        <v>0</v>
      </c>
      <c r="P1059" s="93">
        <f t="shared" si="147"/>
        <v>16.899756097561</v>
      </c>
    </row>
    <row r="1060" s="2" customFormat="1" spans="1:16">
      <c r="A1060" s="82">
        <v>45707</v>
      </c>
      <c r="B1060" s="21">
        <v>961.83</v>
      </c>
      <c r="C1060" s="33">
        <v>3091</v>
      </c>
      <c r="D1060" s="25">
        <v>627</v>
      </c>
      <c r="E1060" s="25">
        <v>0</v>
      </c>
      <c r="F1060" s="21">
        <v>0</v>
      </c>
      <c r="G1060" s="25">
        <v>43</v>
      </c>
      <c r="H1060" s="25">
        <v>6</v>
      </c>
      <c r="I1060" s="25">
        <v>2</v>
      </c>
      <c r="J1060" s="92">
        <f t="shared" si="141"/>
        <v>0.202846975088968</v>
      </c>
      <c r="K1060" s="93">
        <f t="shared" si="142"/>
        <v>1.53401913875598</v>
      </c>
      <c r="L1060" s="94">
        <f t="shared" si="143"/>
        <v>0</v>
      </c>
      <c r="M1060" s="92">
        <f t="shared" si="144"/>
        <v>0</v>
      </c>
      <c r="N1060" s="46">
        <f t="shared" si="145"/>
        <v>0</v>
      </c>
      <c r="O1060" s="46">
        <f t="shared" si="146"/>
        <v>0</v>
      </c>
      <c r="P1060" s="93">
        <f t="shared" si="147"/>
        <v>22.3681395348837</v>
      </c>
    </row>
    <row r="1061" s="2" customFormat="1" spans="1:16">
      <c r="A1061" s="82">
        <v>45708</v>
      </c>
      <c r="B1061" s="21">
        <v>1231.07</v>
      </c>
      <c r="C1061" s="33">
        <v>5760</v>
      </c>
      <c r="D1061" s="25">
        <v>913</v>
      </c>
      <c r="E1061" s="25">
        <v>0</v>
      </c>
      <c r="F1061" s="21">
        <v>0</v>
      </c>
      <c r="G1061" s="25">
        <v>51</v>
      </c>
      <c r="H1061" s="25">
        <v>11</v>
      </c>
      <c r="I1061" s="25">
        <v>3</v>
      </c>
      <c r="J1061" s="92">
        <f t="shared" si="141"/>
        <v>0.158506944444444</v>
      </c>
      <c r="K1061" s="93">
        <f t="shared" si="142"/>
        <v>1.34837897042716</v>
      </c>
      <c r="L1061" s="94">
        <f t="shared" si="143"/>
        <v>0</v>
      </c>
      <c r="M1061" s="92">
        <f t="shared" si="144"/>
        <v>0</v>
      </c>
      <c r="N1061" s="46">
        <f t="shared" si="145"/>
        <v>0</v>
      </c>
      <c r="O1061" s="46">
        <f t="shared" si="146"/>
        <v>0</v>
      </c>
      <c r="P1061" s="93">
        <f t="shared" si="147"/>
        <v>24.1386274509804</v>
      </c>
    </row>
    <row r="1062" s="2" customFormat="1" spans="1:16">
      <c r="A1062" s="82">
        <v>45709</v>
      </c>
      <c r="B1062" s="21">
        <v>1383.54</v>
      </c>
      <c r="C1062" s="33">
        <v>9132</v>
      </c>
      <c r="D1062" s="25">
        <v>1082</v>
      </c>
      <c r="E1062" s="25">
        <v>0</v>
      </c>
      <c r="F1062" s="21">
        <v>0</v>
      </c>
      <c r="G1062" s="25">
        <v>68</v>
      </c>
      <c r="H1062" s="25">
        <v>8</v>
      </c>
      <c r="I1062" s="25">
        <v>7</v>
      </c>
      <c r="J1062" s="92">
        <f t="shared" ref="J1062:J1125" si="148">D1062/C1062</f>
        <v>0.118484450284713</v>
      </c>
      <c r="K1062" s="93">
        <f t="shared" ref="K1062:K1125" si="149">B1062/D1062</f>
        <v>1.2786876155268</v>
      </c>
      <c r="L1062" s="94">
        <f t="shared" ref="L1062:L1125" si="150">F1062/B1062</f>
        <v>0</v>
      </c>
      <c r="M1062" s="92">
        <f t="shared" ref="M1062:M1125" si="151">E1062/D1062</f>
        <v>0</v>
      </c>
      <c r="N1062" s="46">
        <f t="shared" ref="N1062:N1125" si="152">IF(E1062=0,0,F1062/E1062)</f>
        <v>0</v>
      </c>
      <c r="O1062" s="46">
        <f t="shared" ref="O1062:O1125" si="153">IF(E1062=0,0,B1062/E1062)</f>
        <v>0</v>
      </c>
      <c r="P1062" s="93">
        <f t="shared" ref="P1062:P1125" si="154">B1062/G1062</f>
        <v>20.3461764705882</v>
      </c>
    </row>
    <row r="1063" s="2" customFormat="1" spans="1:16">
      <c r="A1063" s="82">
        <v>45710</v>
      </c>
      <c r="B1063" s="21">
        <v>1430.84</v>
      </c>
      <c r="C1063" s="33">
        <v>10290</v>
      </c>
      <c r="D1063" s="25">
        <v>1001</v>
      </c>
      <c r="E1063" s="25">
        <v>0</v>
      </c>
      <c r="F1063" s="21">
        <v>0</v>
      </c>
      <c r="G1063" s="25">
        <v>55</v>
      </c>
      <c r="H1063" s="25">
        <v>3</v>
      </c>
      <c r="I1063" s="25">
        <v>4</v>
      </c>
      <c r="J1063" s="92">
        <f t="shared" si="148"/>
        <v>0.0972789115646259</v>
      </c>
      <c r="K1063" s="93">
        <f t="shared" si="149"/>
        <v>1.42941058941059</v>
      </c>
      <c r="L1063" s="94">
        <f t="shared" si="150"/>
        <v>0</v>
      </c>
      <c r="M1063" s="92">
        <f t="shared" si="151"/>
        <v>0</v>
      </c>
      <c r="N1063" s="46">
        <f t="shared" si="152"/>
        <v>0</v>
      </c>
      <c r="O1063" s="46">
        <f t="shared" si="153"/>
        <v>0</v>
      </c>
      <c r="P1063" s="93">
        <f t="shared" si="154"/>
        <v>26.0152727272727</v>
      </c>
    </row>
    <row r="1064" s="2" customFormat="1" spans="1:16">
      <c r="A1064" s="82">
        <v>45711</v>
      </c>
      <c r="B1064" s="21">
        <v>1434.91</v>
      </c>
      <c r="C1064" s="33">
        <v>8848</v>
      </c>
      <c r="D1064" s="25">
        <v>952</v>
      </c>
      <c r="E1064" s="25">
        <v>0</v>
      </c>
      <c r="F1064" s="21">
        <v>0</v>
      </c>
      <c r="G1064" s="25">
        <v>73</v>
      </c>
      <c r="H1064" s="25">
        <v>6</v>
      </c>
      <c r="I1064" s="25">
        <v>6</v>
      </c>
      <c r="J1064" s="92">
        <f t="shared" si="148"/>
        <v>0.107594936708861</v>
      </c>
      <c r="K1064" s="93">
        <f t="shared" si="149"/>
        <v>1.50725840336134</v>
      </c>
      <c r="L1064" s="94">
        <f t="shared" si="150"/>
        <v>0</v>
      </c>
      <c r="M1064" s="92">
        <f t="shared" si="151"/>
        <v>0</v>
      </c>
      <c r="N1064" s="46">
        <f t="shared" si="152"/>
        <v>0</v>
      </c>
      <c r="O1064" s="46">
        <f t="shared" si="153"/>
        <v>0</v>
      </c>
      <c r="P1064" s="93">
        <f t="shared" si="154"/>
        <v>19.656301369863</v>
      </c>
    </row>
    <row r="1065" s="2" customFormat="1" spans="1:16">
      <c r="A1065" s="82">
        <v>45712</v>
      </c>
      <c r="B1065" s="21">
        <v>1481.2</v>
      </c>
      <c r="C1065" s="33">
        <v>9686</v>
      </c>
      <c r="D1065" s="25">
        <v>952</v>
      </c>
      <c r="E1065" s="25">
        <v>0</v>
      </c>
      <c r="F1065" s="21">
        <v>0</v>
      </c>
      <c r="G1065" s="25">
        <v>51</v>
      </c>
      <c r="H1065" s="25">
        <v>3</v>
      </c>
      <c r="I1065" s="25">
        <v>7</v>
      </c>
      <c r="J1065" s="92">
        <f t="shared" si="148"/>
        <v>0.0982861862481933</v>
      </c>
      <c r="K1065" s="93">
        <f t="shared" si="149"/>
        <v>1.55588235294118</v>
      </c>
      <c r="L1065" s="94">
        <f t="shared" si="150"/>
        <v>0</v>
      </c>
      <c r="M1065" s="92">
        <f t="shared" si="151"/>
        <v>0</v>
      </c>
      <c r="N1065" s="46">
        <f t="shared" si="152"/>
        <v>0</v>
      </c>
      <c r="O1065" s="46">
        <f t="shared" si="153"/>
        <v>0</v>
      </c>
      <c r="P1065" s="93">
        <f t="shared" si="154"/>
        <v>29.043137254902</v>
      </c>
    </row>
    <row r="1066" s="2" customFormat="1" spans="1:16">
      <c r="A1066" s="82">
        <v>45713</v>
      </c>
      <c r="B1066" s="21">
        <v>1636.08</v>
      </c>
      <c r="C1066" s="33">
        <v>11411</v>
      </c>
      <c r="D1066" s="25">
        <v>1059</v>
      </c>
      <c r="E1066" s="25">
        <v>0</v>
      </c>
      <c r="F1066" s="21">
        <v>0</v>
      </c>
      <c r="G1066" s="25">
        <v>71</v>
      </c>
      <c r="H1066" s="25">
        <v>9</v>
      </c>
      <c r="I1066" s="25">
        <v>5</v>
      </c>
      <c r="J1066" s="92">
        <f t="shared" si="148"/>
        <v>0.0928051879765139</v>
      </c>
      <c r="K1066" s="93">
        <f t="shared" si="149"/>
        <v>1.54492917847025</v>
      </c>
      <c r="L1066" s="94">
        <f t="shared" si="150"/>
        <v>0</v>
      </c>
      <c r="M1066" s="92">
        <f t="shared" si="151"/>
        <v>0</v>
      </c>
      <c r="N1066" s="46">
        <f t="shared" si="152"/>
        <v>0</v>
      </c>
      <c r="O1066" s="46">
        <f t="shared" si="153"/>
        <v>0</v>
      </c>
      <c r="P1066" s="93">
        <f t="shared" si="154"/>
        <v>23.0433802816901</v>
      </c>
    </row>
    <row r="1067" s="2" customFormat="1" spans="1:16">
      <c r="A1067" s="82">
        <v>45714</v>
      </c>
      <c r="B1067" s="21">
        <v>1684.15</v>
      </c>
      <c r="C1067" s="33">
        <v>11449</v>
      </c>
      <c r="D1067" s="25">
        <v>969</v>
      </c>
      <c r="E1067" s="25">
        <v>0</v>
      </c>
      <c r="F1067" s="21">
        <v>0</v>
      </c>
      <c r="G1067" s="25">
        <v>53</v>
      </c>
      <c r="H1067" s="25">
        <v>13</v>
      </c>
      <c r="I1067" s="25">
        <v>6</v>
      </c>
      <c r="J1067" s="92">
        <f t="shared" si="148"/>
        <v>0.0846362127696742</v>
      </c>
      <c r="K1067" s="93">
        <f t="shared" si="149"/>
        <v>1.73802889576883</v>
      </c>
      <c r="L1067" s="94">
        <f t="shared" si="150"/>
        <v>0</v>
      </c>
      <c r="M1067" s="92">
        <f t="shared" si="151"/>
        <v>0</v>
      </c>
      <c r="N1067" s="46">
        <f t="shared" si="152"/>
        <v>0</v>
      </c>
      <c r="O1067" s="46">
        <f t="shared" si="153"/>
        <v>0</v>
      </c>
      <c r="P1067" s="93">
        <f t="shared" si="154"/>
        <v>31.7764150943396</v>
      </c>
    </row>
    <row r="1068" s="2" customFormat="1" spans="1:16">
      <c r="A1068" s="82">
        <v>45715</v>
      </c>
      <c r="B1068" s="21">
        <v>1782.19</v>
      </c>
      <c r="C1068" s="33">
        <v>10444</v>
      </c>
      <c r="D1068" s="25">
        <v>988</v>
      </c>
      <c r="E1068" s="25">
        <v>0</v>
      </c>
      <c r="F1068" s="21">
        <v>0</v>
      </c>
      <c r="G1068" s="25">
        <v>45</v>
      </c>
      <c r="H1068" s="25">
        <v>6</v>
      </c>
      <c r="I1068" s="25">
        <v>5</v>
      </c>
      <c r="J1068" s="92">
        <f t="shared" si="148"/>
        <v>0.0945997702029874</v>
      </c>
      <c r="K1068" s="93">
        <f t="shared" si="149"/>
        <v>1.80383603238866</v>
      </c>
      <c r="L1068" s="94">
        <f t="shared" si="150"/>
        <v>0</v>
      </c>
      <c r="M1068" s="92">
        <f t="shared" si="151"/>
        <v>0</v>
      </c>
      <c r="N1068" s="46">
        <f t="shared" si="152"/>
        <v>0</v>
      </c>
      <c r="O1068" s="46">
        <f t="shared" si="153"/>
        <v>0</v>
      </c>
      <c r="P1068" s="93">
        <f t="shared" si="154"/>
        <v>39.6042222222222</v>
      </c>
    </row>
    <row r="1069" s="2" customFormat="1" spans="1:16">
      <c r="A1069" s="82">
        <v>45716</v>
      </c>
      <c r="B1069" s="21">
        <v>2077.68</v>
      </c>
      <c r="C1069" s="33">
        <v>9330</v>
      </c>
      <c r="D1069" s="25">
        <v>930</v>
      </c>
      <c r="E1069" s="25">
        <v>4</v>
      </c>
      <c r="F1069" s="21">
        <v>33319</v>
      </c>
      <c r="G1069" s="25">
        <v>47</v>
      </c>
      <c r="H1069" s="25">
        <v>7</v>
      </c>
      <c r="I1069" s="25">
        <v>11</v>
      </c>
      <c r="J1069" s="92">
        <f t="shared" si="148"/>
        <v>0.0996784565916399</v>
      </c>
      <c r="K1069" s="93">
        <f t="shared" si="149"/>
        <v>2.23406451612903</v>
      </c>
      <c r="L1069" s="94">
        <f t="shared" si="150"/>
        <v>16.0366370182126</v>
      </c>
      <c r="M1069" s="92">
        <f t="shared" si="151"/>
        <v>0.0043010752688172</v>
      </c>
      <c r="N1069" s="46">
        <f t="shared" si="152"/>
        <v>8329.75</v>
      </c>
      <c r="O1069" s="46">
        <f t="shared" si="153"/>
        <v>519.42</v>
      </c>
      <c r="P1069" s="93">
        <f t="shared" si="154"/>
        <v>44.2059574468085</v>
      </c>
    </row>
    <row r="1070" s="2" customFormat="1" spans="1:16">
      <c r="A1070" s="82">
        <v>45717</v>
      </c>
      <c r="B1070" s="21">
        <v>2299.63</v>
      </c>
      <c r="C1070" s="33">
        <v>9592</v>
      </c>
      <c r="D1070" s="25">
        <v>918</v>
      </c>
      <c r="E1070" s="25">
        <v>2</v>
      </c>
      <c r="F1070" s="21">
        <v>17058</v>
      </c>
      <c r="G1070" s="25">
        <v>59</v>
      </c>
      <c r="H1070" s="25">
        <v>3</v>
      </c>
      <c r="I1070" s="25">
        <v>4</v>
      </c>
      <c r="J1070" s="92">
        <f t="shared" si="148"/>
        <v>0.0957047539616347</v>
      </c>
      <c r="K1070" s="93">
        <f t="shared" si="149"/>
        <v>2.50504357298475</v>
      </c>
      <c r="L1070" s="94">
        <f t="shared" si="150"/>
        <v>7.41771502372121</v>
      </c>
      <c r="M1070" s="92">
        <f t="shared" si="151"/>
        <v>0.00217864923747277</v>
      </c>
      <c r="N1070" s="46">
        <f t="shared" si="152"/>
        <v>8529</v>
      </c>
      <c r="O1070" s="46">
        <f t="shared" si="153"/>
        <v>1149.815</v>
      </c>
      <c r="P1070" s="93">
        <f t="shared" si="154"/>
        <v>38.9767796610169</v>
      </c>
    </row>
    <row r="1071" s="2" customFormat="1" spans="1:16">
      <c r="A1071" s="82">
        <v>45718</v>
      </c>
      <c r="B1071" s="21">
        <v>2170.05</v>
      </c>
      <c r="C1071" s="33">
        <v>8070</v>
      </c>
      <c r="D1071" s="25">
        <v>819</v>
      </c>
      <c r="E1071" s="25">
        <v>1</v>
      </c>
      <c r="F1071" s="21">
        <v>5946</v>
      </c>
      <c r="G1071" s="25">
        <v>60</v>
      </c>
      <c r="H1071" s="25">
        <v>4</v>
      </c>
      <c r="I1071" s="25">
        <v>2</v>
      </c>
      <c r="J1071" s="92">
        <f t="shared" si="148"/>
        <v>0.101486988847584</v>
      </c>
      <c r="K1071" s="93">
        <f t="shared" si="149"/>
        <v>2.6496336996337</v>
      </c>
      <c r="L1071" s="94">
        <f t="shared" si="150"/>
        <v>2.74002903158913</v>
      </c>
      <c r="M1071" s="92">
        <f t="shared" si="151"/>
        <v>0.00122100122100122</v>
      </c>
      <c r="N1071" s="46">
        <f t="shared" si="152"/>
        <v>5946</v>
      </c>
      <c r="O1071" s="46">
        <f t="shared" si="153"/>
        <v>2170.05</v>
      </c>
      <c r="P1071" s="93">
        <f t="shared" si="154"/>
        <v>36.1675</v>
      </c>
    </row>
    <row r="1072" s="2" customFormat="1" spans="1:16">
      <c r="A1072" s="82">
        <v>45719</v>
      </c>
      <c r="B1072" s="21">
        <v>2349.11</v>
      </c>
      <c r="C1072" s="33">
        <v>8658</v>
      </c>
      <c r="D1072" s="25">
        <v>837</v>
      </c>
      <c r="E1072" s="25">
        <v>2</v>
      </c>
      <c r="F1072" s="21">
        <v>19199</v>
      </c>
      <c r="G1072" s="25">
        <v>39</v>
      </c>
      <c r="H1072" s="25">
        <v>4</v>
      </c>
      <c r="I1072" s="25">
        <v>2</v>
      </c>
      <c r="J1072" s="92">
        <f t="shared" si="148"/>
        <v>0.0966735966735967</v>
      </c>
      <c r="K1072" s="93">
        <f t="shared" si="149"/>
        <v>2.80658303464755</v>
      </c>
      <c r="L1072" s="94">
        <f t="shared" si="150"/>
        <v>8.17288249592399</v>
      </c>
      <c r="M1072" s="92">
        <f t="shared" si="151"/>
        <v>0.002389486260454</v>
      </c>
      <c r="N1072" s="46">
        <f t="shared" si="152"/>
        <v>9599.5</v>
      </c>
      <c r="O1072" s="46">
        <f t="shared" si="153"/>
        <v>1174.555</v>
      </c>
      <c r="P1072" s="93">
        <f t="shared" si="154"/>
        <v>60.2335897435897</v>
      </c>
    </row>
    <row r="1073" s="2" customFormat="1" spans="1:16">
      <c r="A1073" s="82">
        <v>45720</v>
      </c>
      <c r="B1073" s="21">
        <v>2349.95</v>
      </c>
      <c r="C1073" s="33">
        <v>9514</v>
      </c>
      <c r="D1073" s="25">
        <v>870</v>
      </c>
      <c r="E1073" s="25">
        <v>1</v>
      </c>
      <c r="F1073" s="21">
        <v>19354</v>
      </c>
      <c r="G1073" s="25">
        <v>60</v>
      </c>
      <c r="H1073" s="25">
        <v>9</v>
      </c>
      <c r="I1073" s="25">
        <v>2</v>
      </c>
      <c r="J1073" s="92">
        <f t="shared" si="148"/>
        <v>0.0914441875131385</v>
      </c>
      <c r="K1073" s="93">
        <f t="shared" si="149"/>
        <v>2.70109195402299</v>
      </c>
      <c r="L1073" s="94">
        <f t="shared" si="150"/>
        <v>8.23591991318964</v>
      </c>
      <c r="M1073" s="92">
        <f t="shared" si="151"/>
        <v>0.00114942528735632</v>
      </c>
      <c r="N1073" s="46">
        <f t="shared" si="152"/>
        <v>19354</v>
      </c>
      <c r="O1073" s="46">
        <f t="shared" si="153"/>
        <v>2349.95</v>
      </c>
      <c r="P1073" s="93">
        <f t="shared" si="154"/>
        <v>39.1658333333333</v>
      </c>
    </row>
    <row r="1074" s="2" customFormat="1" spans="1:16">
      <c r="A1074" s="82">
        <v>45721</v>
      </c>
      <c r="B1074" s="21">
        <v>2105.89</v>
      </c>
      <c r="C1074" s="33">
        <v>8624</v>
      </c>
      <c r="D1074" s="25">
        <v>848</v>
      </c>
      <c r="E1074" s="25">
        <v>2</v>
      </c>
      <c r="F1074" s="21">
        <v>14743</v>
      </c>
      <c r="G1074" s="25">
        <v>52</v>
      </c>
      <c r="H1074" s="25">
        <v>6</v>
      </c>
      <c r="I1074" s="25">
        <v>3</v>
      </c>
      <c r="J1074" s="92">
        <f t="shared" si="148"/>
        <v>0.098330241187384</v>
      </c>
      <c r="K1074" s="93">
        <f t="shared" si="149"/>
        <v>2.4833608490566</v>
      </c>
      <c r="L1074" s="94">
        <f t="shared" si="150"/>
        <v>7.0008404997412</v>
      </c>
      <c r="M1074" s="92">
        <f t="shared" si="151"/>
        <v>0.00235849056603774</v>
      </c>
      <c r="N1074" s="46">
        <f t="shared" si="152"/>
        <v>7371.5</v>
      </c>
      <c r="O1074" s="46">
        <f t="shared" si="153"/>
        <v>1052.945</v>
      </c>
      <c r="P1074" s="93">
        <f t="shared" si="154"/>
        <v>40.4978846153846</v>
      </c>
    </row>
    <row r="1075" s="2" customFormat="1" spans="1:16">
      <c r="A1075" s="82">
        <v>45722</v>
      </c>
      <c r="B1075" s="21">
        <v>2493.85</v>
      </c>
      <c r="C1075" s="33">
        <v>9661</v>
      </c>
      <c r="D1075" s="25">
        <v>947</v>
      </c>
      <c r="E1075" s="25">
        <v>2</v>
      </c>
      <c r="F1075" s="21">
        <v>15158</v>
      </c>
      <c r="G1075" s="25">
        <v>39</v>
      </c>
      <c r="H1075" s="25">
        <v>3</v>
      </c>
      <c r="I1075" s="25">
        <v>5</v>
      </c>
      <c r="J1075" s="92">
        <f t="shared" si="148"/>
        <v>0.0980229789876824</v>
      </c>
      <c r="K1075" s="93">
        <f t="shared" si="149"/>
        <v>2.63342133051742</v>
      </c>
      <c r="L1075" s="94">
        <f t="shared" si="150"/>
        <v>6.07815225454618</v>
      </c>
      <c r="M1075" s="92">
        <f t="shared" si="151"/>
        <v>0.00211193241816262</v>
      </c>
      <c r="N1075" s="46">
        <f t="shared" si="152"/>
        <v>7579</v>
      </c>
      <c r="O1075" s="46">
        <f t="shared" si="153"/>
        <v>1246.925</v>
      </c>
      <c r="P1075" s="93">
        <f t="shared" si="154"/>
        <v>63.9448717948718</v>
      </c>
    </row>
    <row r="1076" s="2" customFormat="1" spans="1:16">
      <c r="A1076" s="82">
        <v>45723</v>
      </c>
      <c r="B1076" s="21">
        <v>2493.92</v>
      </c>
      <c r="C1076" s="33">
        <v>7928</v>
      </c>
      <c r="D1076" s="25">
        <v>788</v>
      </c>
      <c r="E1076" s="25">
        <v>2</v>
      </c>
      <c r="F1076" s="21">
        <v>17352</v>
      </c>
      <c r="G1076" s="25">
        <v>45</v>
      </c>
      <c r="H1076" s="25">
        <v>6</v>
      </c>
      <c r="I1076" s="25">
        <v>2</v>
      </c>
      <c r="J1076" s="92">
        <f t="shared" si="148"/>
        <v>0.0993945509586276</v>
      </c>
      <c r="K1076" s="93">
        <f t="shared" si="149"/>
        <v>3.1648730964467</v>
      </c>
      <c r="L1076" s="94">
        <f t="shared" si="150"/>
        <v>6.95772117790466</v>
      </c>
      <c r="M1076" s="92">
        <f t="shared" si="151"/>
        <v>0.00253807106598985</v>
      </c>
      <c r="N1076" s="46">
        <f t="shared" si="152"/>
        <v>8676</v>
      </c>
      <c r="O1076" s="46">
        <f t="shared" si="153"/>
        <v>1246.96</v>
      </c>
      <c r="P1076" s="93">
        <f t="shared" si="154"/>
        <v>55.4204444444444</v>
      </c>
    </row>
    <row r="1077" s="2" customFormat="1" spans="1:16">
      <c r="A1077" s="82">
        <v>45724</v>
      </c>
      <c r="B1077" s="21">
        <v>2755.42</v>
      </c>
      <c r="C1077" s="33">
        <v>7816</v>
      </c>
      <c r="D1077" s="25">
        <v>847</v>
      </c>
      <c r="E1077" s="25">
        <v>0</v>
      </c>
      <c r="F1077" s="21">
        <v>0</v>
      </c>
      <c r="G1077" s="25">
        <v>31</v>
      </c>
      <c r="H1077" s="25">
        <v>4</v>
      </c>
      <c r="I1077" s="25">
        <v>4</v>
      </c>
      <c r="J1077" s="92">
        <f t="shared" si="148"/>
        <v>0.108367451381781</v>
      </c>
      <c r="K1077" s="93">
        <f t="shared" si="149"/>
        <v>3.25315230224321</v>
      </c>
      <c r="L1077" s="94">
        <f t="shared" si="150"/>
        <v>0</v>
      </c>
      <c r="M1077" s="92">
        <f t="shared" si="151"/>
        <v>0</v>
      </c>
      <c r="N1077" s="46">
        <f t="shared" si="152"/>
        <v>0</v>
      </c>
      <c r="O1077" s="46">
        <f t="shared" si="153"/>
        <v>0</v>
      </c>
      <c r="P1077" s="93">
        <f t="shared" si="154"/>
        <v>88.8845161290323</v>
      </c>
    </row>
    <row r="1078" s="2" customFormat="1" spans="1:16">
      <c r="A1078" s="82">
        <v>45725</v>
      </c>
      <c r="B1078" s="21">
        <v>2763.75</v>
      </c>
      <c r="C1078" s="33">
        <v>8595</v>
      </c>
      <c r="D1078" s="25">
        <v>972</v>
      </c>
      <c r="E1078" s="25">
        <v>1</v>
      </c>
      <c r="F1078" s="21">
        <v>5874</v>
      </c>
      <c r="G1078" s="25">
        <v>45</v>
      </c>
      <c r="H1078" s="25">
        <v>9</v>
      </c>
      <c r="I1078" s="25">
        <v>5</v>
      </c>
      <c r="J1078" s="92">
        <f t="shared" si="148"/>
        <v>0.113089005235602</v>
      </c>
      <c r="K1078" s="93">
        <f t="shared" si="149"/>
        <v>2.84336419753086</v>
      </c>
      <c r="L1078" s="94">
        <f t="shared" si="150"/>
        <v>2.12537313432836</v>
      </c>
      <c r="M1078" s="92">
        <f t="shared" si="151"/>
        <v>0.00102880658436214</v>
      </c>
      <c r="N1078" s="46">
        <f t="shared" si="152"/>
        <v>5874</v>
      </c>
      <c r="O1078" s="46">
        <f t="shared" si="153"/>
        <v>2763.75</v>
      </c>
      <c r="P1078" s="93">
        <f t="shared" si="154"/>
        <v>61.4166666666667</v>
      </c>
    </row>
    <row r="1079" s="2" customFormat="1" spans="1:16">
      <c r="A1079" s="82">
        <v>45726</v>
      </c>
      <c r="B1079" s="21">
        <v>2758</v>
      </c>
      <c r="C1079" s="33">
        <v>7910</v>
      </c>
      <c r="D1079" s="25">
        <v>1013</v>
      </c>
      <c r="E1079" s="25">
        <v>0</v>
      </c>
      <c r="F1079" s="21">
        <v>0</v>
      </c>
      <c r="G1079" s="25">
        <v>47</v>
      </c>
      <c r="H1079" s="25">
        <v>4</v>
      </c>
      <c r="I1079" s="25">
        <v>4</v>
      </c>
      <c r="J1079" s="92">
        <f t="shared" si="148"/>
        <v>0.128065739570164</v>
      </c>
      <c r="K1079" s="93">
        <f t="shared" si="149"/>
        <v>2.72260612043435</v>
      </c>
      <c r="L1079" s="94">
        <f t="shared" si="150"/>
        <v>0</v>
      </c>
      <c r="M1079" s="92">
        <f t="shared" si="151"/>
        <v>0</v>
      </c>
      <c r="N1079" s="46">
        <f t="shared" si="152"/>
        <v>0</v>
      </c>
      <c r="O1079" s="46">
        <f t="shared" si="153"/>
        <v>0</v>
      </c>
      <c r="P1079" s="93">
        <f t="shared" si="154"/>
        <v>58.6808510638298</v>
      </c>
    </row>
    <row r="1080" s="2" customFormat="1" spans="1:16">
      <c r="A1080" s="82">
        <v>45727</v>
      </c>
      <c r="B1080" s="21">
        <v>2674.41</v>
      </c>
      <c r="C1080" s="33">
        <v>7595</v>
      </c>
      <c r="D1080" s="25">
        <v>960</v>
      </c>
      <c r="E1080" s="25">
        <v>1</v>
      </c>
      <c r="F1080" s="21">
        <v>12314</v>
      </c>
      <c r="G1080" s="25">
        <v>54</v>
      </c>
      <c r="H1080" s="25">
        <v>6</v>
      </c>
      <c r="I1080" s="25">
        <v>7</v>
      </c>
      <c r="J1080" s="92">
        <f t="shared" si="148"/>
        <v>0.126398946675444</v>
      </c>
      <c r="K1080" s="93">
        <f t="shared" si="149"/>
        <v>2.78584375</v>
      </c>
      <c r="L1080" s="94">
        <f t="shared" si="150"/>
        <v>4.60438003148358</v>
      </c>
      <c r="M1080" s="92">
        <f t="shared" si="151"/>
        <v>0.00104166666666667</v>
      </c>
      <c r="N1080" s="46">
        <f t="shared" si="152"/>
        <v>12314</v>
      </c>
      <c r="O1080" s="46">
        <f t="shared" si="153"/>
        <v>2674.41</v>
      </c>
      <c r="P1080" s="93">
        <f t="shared" si="154"/>
        <v>49.5261111111111</v>
      </c>
    </row>
    <row r="1081" s="2" customFormat="1" spans="1:16">
      <c r="A1081" s="82">
        <v>45728</v>
      </c>
      <c r="B1081" s="21">
        <v>2667.18</v>
      </c>
      <c r="C1081" s="33">
        <v>7712</v>
      </c>
      <c r="D1081" s="25">
        <v>958</v>
      </c>
      <c r="E1081" s="25">
        <v>3</v>
      </c>
      <c r="F1081" s="21">
        <v>48498.99</v>
      </c>
      <c r="G1081" s="25">
        <v>60</v>
      </c>
      <c r="H1081" s="25">
        <v>10</v>
      </c>
      <c r="I1081" s="25">
        <v>4</v>
      </c>
      <c r="J1081" s="92">
        <f t="shared" si="148"/>
        <v>0.124221991701245</v>
      </c>
      <c r="K1081" s="93">
        <f t="shared" si="149"/>
        <v>2.7841127348643</v>
      </c>
      <c r="L1081" s="94">
        <f t="shared" si="150"/>
        <v>18.1836209029762</v>
      </c>
      <c r="M1081" s="92">
        <f t="shared" si="151"/>
        <v>0.00313152400835073</v>
      </c>
      <c r="N1081" s="46">
        <f t="shared" si="152"/>
        <v>16166.33</v>
      </c>
      <c r="O1081" s="46">
        <f t="shared" si="153"/>
        <v>889.06</v>
      </c>
      <c r="P1081" s="93">
        <f t="shared" si="154"/>
        <v>44.453</v>
      </c>
    </row>
    <row r="1082" s="2" customFormat="1" spans="1:16">
      <c r="A1082" s="82">
        <v>45729</v>
      </c>
      <c r="B1082" s="21">
        <v>2521</v>
      </c>
      <c r="C1082" s="33">
        <v>7483</v>
      </c>
      <c r="D1082" s="25">
        <v>948</v>
      </c>
      <c r="E1082" s="25">
        <v>1</v>
      </c>
      <c r="F1082" s="21">
        <v>12873</v>
      </c>
      <c r="G1082" s="25">
        <v>57</v>
      </c>
      <c r="H1082" s="25">
        <v>9</v>
      </c>
      <c r="I1082" s="25">
        <v>7</v>
      </c>
      <c r="J1082" s="92">
        <f t="shared" si="148"/>
        <v>0.12668715755713</v>
      </c>
      <c r="K1082" s="93">
        <f t="shared" si="149"/>
        <v>2.65928270042194</v>
      </c>
      <c r="L1082" s="94">
        <f t="shared" si="150"/>
        <v>5.1063070210234</v>
      </c>
      <c r="M1082" s="92">
        <f t="shared" si="151"/>
        <v>0.00105485232067511</v>
      </c>
      <c r="N1082" s="46">
        <f t="shared" si="152"/>
        <v>12873</v>
      </c>
      <c r="O1082" s="46">
        <f t="shared" si="153"/>
        <v>2521</v>
      </c>
      <c r="P1082" s="93">
        <f t="shared" si="154"/>
        <v>44.2280701754386</v>
      </c>
    </row>
    <row r="1083" s="2" customFormat="1" spans="1:16">
      <c r="A1083" s="82">
        <v>45730</v>
      </c>
      <c r="B1083" s="21">
        <v>2545.7</v>
      </c>
      <c r="C1083" s="33">
        <v>6493</v>
      </c>
      <c r="D1083" s="25">
        <v>1065</v>
      </c>
      <c r="E1083" s="25">
        <v>0</v>
      </c>
      <c r="F1083" s="21">
        <v>0</v>
      </c>
      <c r="G1083" s="25">
        <v>61</v>
      </c>
      <c r="H1083" s="25">
        <v>10</v>
      </c>
      <c r="I1083" s="25">
        <v>2</v>
      </c>
      <c r="J1083" s="92">
        <f t="shared" si="148"/>
        <v>0.164022793777915</v>
      </c>
      <c r="K1083" s="93">
        <f t="shared" si="149"/>
        <v>2.39032863849765</v>
      </c>
      <c r="L1083" s="94">
        <f t="shared" si="150"/>
        <v>0</v>
      </c>
      <c r="M1083" s="92">
        <f t="shared" si="151"/>
        <v>0</v>
      </c>
      <c r="N1083" s="46">
        <f t="shared" si="152"/>
        <v>0</v>
      </c>
      <c r="O1083" s="46">
        <f t="shared" si="153"/>
        <v>0</v>
      </c>
      <c r="P1083" s="93">
        <f t="shared" si="154"/>
        <v>41.7327868852459</v>
      </c>
    </row>
    <row r="1084" s="2" customFormat="1" spans="1:16">
      <c r="A1084" s="82">
        <v>45731</v>
      </c>
      <c r="B1084" s="21">
        <v>2849.12</v>
      </c>
      <c r="C1084" s="33">
        <v>7778</v>
      </c>
      <c r="D1084" s="25">
        <v>1102</v>
      </c>
      <c r="E1084" s="25">
        <v>1</v>
      </c>
      <c r="F1084" s="21">
        <v>5344</v>
      </c>
      <c r="G1084" s="25">
        <v>87</v>
      </c>
      <c r="H1084" s="25">
        <v>12</v>
      </c>
      <c r="I1084" s="25">
        <v>5</v>
      </c>
      <c r="J1084" s="92">
        <f t="shared" si="148"/>
        <v>0.141681666238107</v>
      </c>
      <c r="K1084" s="93">
        <f t="shared" si="149"/>
        <v>2.58540834845735</v>
      </c>
      <c r="L1084" s="94">
        <f t="shared" si="150"/>
        <v>1.8756668725782</v>
      </c>
      <c r="M1084" s="92">
        <f t="shared" si="151"/>
        <v>0.000907441016333938</v>
      </c>
      <c r="N1084" s="46">
        <f t="shared" si="152"/>
        <v>5344</v>
      </c>
      <c r="O1084" s="46">
        <f t="shared" si="153"/>
        <v>2849.12</v>
      </c>
      <c r="P1084" s="93">
        <f t="shared" si="154"/>
        <v>32.7485057471264</v>
      </c>
    </row>
    <row r="1085" s="2" customFormat="1" spans="1:16">
      <c r="A1085" s="82">
        <v>45732</v>
      </c>
      <c r="B1085" s="21">
        <v>3156.24</v>
      </c>
      <c r="C1085" s="33">
        <v>7547</v>
      </c>
      <c r="D1085" s="25">
        <v>1137</v>
      </c>
      <c r="E1085" s="25">
        <v>1</v>
      </c>
      <c r="F1085" s="21">
        <v>13272</v>
      </c>
      <c r="G1085" s="25">
        <v>83</v>
      </c>
      <c r="H1085" s="25">
        <v>10</v>
      </c>
      <c r="I1085" s="25">
        <v>10</v>
      </c>
      <c r="J1085" s="92">
        <f t="shared" si="148"/>
        <v>0.15065588975752</v>
      </c>
      <c r="K1085" s="93">
        <f t="shared" si="149"/>
        <v>2.77593667546174</v>
      </c>
      <c r="L1085" s="94">
        <f t="shared" si="150"/>
        <v>4.20500342179302</v>
      </c>
      <c r="M1085" s="92">
        <f t="shared" si="151"/>
        <v>0.000879507475813544</v>
      </c>
      <c r="N1085" s="46">
        <f t="shared" si="152"/>
        <v>13272</v>
      </c>
      <c r="O1085" s="46">
        <f t="shared" si="153"/>
        <v>3156.24</v>
      </c>
      <c r="P1085" s="93">
        <f t="shared" si="154"/>
        <v>38.0269879518072</v>
      </c>
    </row>
    <row r="1086" s="2" customFormat="1" spans="1:16">
      <c r="A1086" s="82">
        <v>45733</v>
      </c>
      <c r="B1086" s="21">
        <v>3215.48</v>
      </c>
      <c r="C1086" s="33">
        <v>7834</v>
      </c>
      <c r="D1086" s="25">
        <v>1071</v>
      </c>
      <c r="E1086" s="25">
        <v>4</v>
      </c>
      <c r="F1086" s="21">
        <v>51874</v>
      </c>
      <c r="G1086" s="25">
        <v>62</v>
      </c>
      <c r="H1086" s="25">
        <v>8</v>
      </c>
      <c r="I1086" s="25">
        <v>3</v>
      </c>
      <c r="J1086" s="92">
        <f t="shared" si="148"/>
        <v>0.136711769211131</v>
      </c>
      <c r="K1086" s="93">
        <f t="shared" si="149"/>
        <v>3.00231559290383</v>
      </c>
      <c r="L1086" s="94">
        <f t="shared" si="150"/>
        <v>16.1325836267058</v>
      </c>
      <c r="M1086" s="92">
        <f t="shared" si="151"/>
        <v>0.00373482726423903</v>
      </c>
      <c r="N1086" s="46">
        <f t="shared" si="152"/>
        <v>12968.5</v>
      </c>
      <c r="O1086" s="46">
        <f t="shared" si="153"/>
        <v>803.87</v>
      </c>
      <c r="P1086" s="93">
        <f t="shared" si="154"/>
        <v>51.8625806451613</v>
      </c>
    </row>
    <row r="1087" s="2" customFormat="1" spans="1:16">
      <c r="A1087" s="82">
        <v>45734</v>
      </c>
      <c r="B1087" s="21">
        <v>3163.23</v>
      </c>
      <c r="C1087" s="33">
        <v>7162</v>
      </c>
      <c r="D1087" s="25">
        <v>1011</v>
      </c>
      <c r="E1087" s="25">
        <v>1</v>
      </c>
      <c r="F1087" s="21">
        <v>7694</v>
      </c>
      <c r="G1087" s="25">
        <v>88</v>
      </c>
      <c r="H1087" s="25">
        <v>8</v>
      </c>
      <c r="I1087" s="25">
        <v>3</v>
      </c>
      <c r="J1087" s="92">
        <f t="shared" si="148"/>
        <v>0.141161686679698</v>
      </c>
      <c r="K1087" s="93">
        <f t="shared" si="149"/>
        <v>3.12881305637982</v>
      </c>
      <c r="L1087" s="94">
        <f t="shared" si="150"/>
        <v>2.432323922067</v>
      </c>
      <c r="M1087" s="92">
        <f t="shared" si="151"/>
        <v>0.000989119683481701</v>
      </c>
      <c r="N1087" s="46">
        <f t="shared" si="152"/>
        <v>7694</v>
      </c>
      <c r="O1087" s="46">
        <f t="shared" si="153"/>
        <v>3163.23</v>
      </c>
      <c r="P1087" s="93">
        <f t="shared" si="154"/>
        <v>35.9457954545455</v>
      </c>
    </row>
    <row r="1088" s="2" customFormat="1" spans="1:16">
      <c r="A1088" s="82">
        <v>45735</v>
      </c>
      <c r="B1088" s="21">
        <v>3166.61</v>
      </c>
      <c r="C1088" s="33">
        <v>6693</v>
      </c>
      <c r="D1088" s="25">
        <v>1027</v>
      </c>
      <c r="E1088" s="25">
        <v>2</v>
      </c>
      <c r="F1088" s="21">
        <v>16816</v>
      </c>
      <c r="G1088" s="25">
        <v>63</v>
      </c>
      <c r="H1088" s="25">
        <v>7</v>
      </c>
      <c r="I1088" s="25">
        <v>1</v>
      </c>
      <c r="J1088" s="92">
        <f t="shared" si="148"/>
        <v>0.153443896608397</v>
      </c>
      <c r="K1088" s="93">
        <f t="shared" si="149"/>
        <v>3.08335929892892</v>
      </c>
      <c r="L1088" s="94">
        <f t="shared" si="150"/>
        <v>5.31041081787779</v>
      </c>
      <c r="M1088" s="92">
        <f t="shared" si="151"/>
        <v>0.00194741966893866</v>
      </c>
      <c r="N1088" s="46">
        <f t="shared" si="152"/>
        <v>8408</v>
      </c>
      <c r="O1088" s="46">
        <f t="shared" si="153"/>
        <v>1583.305</v>
      </c>
      <c r="P1088" s="93">
        <f t="shared" si="154"/>
        <v>50.2636507936508</v>
      </c>
    </row>
    <row r="1089" s="2" customFormat="1" spans="1:16">
      <c r="A1089" s="82">
        <v>45736</v>
      </c>
      <c r="B1089" s="21">
        <v>2917.52</v>
      </c>
      <c r="C1089" s="33">
        <v>6244</v>
      </c>
      <c r="D1089" s="25">
        <v>914</v>
      </c>
      <c r="E1089" s="25">
        <v>2</v>
      </c>
      <c r="F1089" s="21">
        <v>25788</v>
      </c>
      <c r="G1089" s="25">
        <v>69</v>
      </c>
      <c r="H1089" s="25">
        <v>6</v>
      </c>
      <c r="I1089" s="25">
        <v>5</v>
      </c>
      <c r="J1089" s="92">
        <f t="shared" si="148"/>
        <v>0.146380525304292</v>
      </c>
      <c r="K1089" s="93">
        <f t="shared" si="149"/>
        <v>3.19203501094092</v>
      </c>
      <c r="L1089" s="94">
        <f t="shared" si="150"/>
        <v>8.83901395705942</v>
      </c>
      <c r="M1089" s="92">
        <f t="shared" si="151"/>
        <v>0.00218818380743982</v>
      </c>
      <c r="N1089" s="46">
        <f t="shared" si="152"/>
        <v>12894</v>
      </c>
      <c r="O1089" s="46">
        <f t="shared" si="153"/>
        <v>1458.76</v>
      </c>
      <c r="P1089" s="93">
        <f t="shared" si="154"/>
        <v>42.2828985507246</v>
      </c>
    </row>
    <row r="1090" s="2" customFormat="1" spans="1:16">
      <c r="A1090" s="82">
        <v>45737</v>
      </c>
      <c r="B1090" s="21">
        <v>2853.48</v>
      </c>
      <c r="C1090" s="33">
        <v>6892</v>
      </c>
      <c r="D1090" s="25">
        <v>905</v>
      </c>
      <c r="E1090" s="25">
        <v>3</v>
      </c>
      <c r="F1090" s="21">
        <v>31790</v>
      </c>
      <c r="G1090" s="25">
        <v>56</v>
      </c>
      <c r="H1090" s="25">
        <v>3</v>
      </c>
      <c r="I1090" s="25">
        <v>6</v>
      </c>
      <c r="J1090" s="92">
        <f t="shared" si="148"/>
        <v>0.131311665699362</v>
      </c>
      <c r="K1090" s="93">
        <f t="shared" si="149"/>
        <v>3.15301657458564</v>
      </c>
      <c r="L1090" s="94">
        <f t="shared" si="150"/>
        <v>11.1407824831434</v>
      </c>
      <c r="M1090" s="92">
        <f t="shared" si="151"/>
        <v>0.00331491712707182</v>
      </c>
      <c r="N1090" s="46">
        <f t="shared" si="152"/>
        <v>10596.6666666667</v>
      </c>
      <c r="O1090" s="46">
        <f t="shared" si="153"/>
        <v>951.16</v>
      </c>
      <c r="P1090" s="93">
        <f t="shared" si="154"/>
        <v>50.955</v>
      </c>
    </row>
    <row r="1091" s="2" customFormat="1" spans="1:16">
      <c r="A1091" s="82">
        <v>45738</v>
      </c>
      <c r="B1091" s="21">
        <v>2996.23</v>
      </c>
      <c r="C1091" s="33">
        <v>6341</v>
      </c>
      <c r="D1091" s="25">
        <v>825</v>
      </c>
      <c r="E1091" s="25">
        <v>0</v>
      </c>
      <c r="F1091" s="21">
        <v>0</v>
      </c>
      <c r="G1091" s="25">
        <v>46</v>
      </c>
      <c r="H1091" s="25">
        <v>8</v>
      </c>
      <c r="I1091" s="25">
        <v>5</v>
      </c>
      <c r="J1091" s="92">
        <f t="shared" si="148"/>
        <v>0.130105661567576</v>
      </c>
      <c r="K1091" s="93">
        <f t="shared" si="149"/>
        <v>3.63179393939394</v>
      </c>
      <c r="L1091" s="94">
        <f t="shared" si="150"/>
        <v>0</v>
      </c>
      <c r="M1091" s="92">
        <f t="shared" si="151"/>
        <v>0</v>
      </c>
      <c r="N1091" s="46">
        <f t="shared" si="152"/>
        <v>0</v>
      </c>
      <c r="O1091" s="46">
        <f t="shared" si="153"/>
        <v>0</v>
      </c>
      <c r="P1091" s="93">
        <f t="shared" si="154"/>
        <v>65.1354347826087</v>
      </c>
    </row>
    <row r="1092" s="2" customFormat="1" spans="1:16">
      <c r="A1092" s="82">
        <v>45739</v>
      </c>
      <c r="B1092" s="21">
        <v>3087.81</v>
      </c>
      <c r="C1092" s="33">
        <v>5779</v>
      </c>
      <c r="D1092" s="25">
        <v>867</v>
      </c>
      <c r="E1092" s="25">
        <v>1</v>
      </c>
      <c r="F1092" s="21">
        <v>16320</v>
      </c>
      <c r="G1092" s="25">
        <v>45</v>
      </c>
      <c r="H1092" s="25">
        <v>4</v>
      </c>
      <c r="I1092" s="25">
        <v>2</v>
      </c>
      <c r="J1092" s="92">
        <f t="shared" si="148"/>
        <v>0.150025956047759</v>
      </c>
      <c r="K1092" s="93">
        <f t="shared" si="149"/>
        <v>3.56148788927336</v>
      </c>
      <c r="L1092" s="94">
        <f t="shared" si="150"/>
        <v>5.28529928978791</v>
      </c>
      <c r="M1092" s="92">
        <f t="shared" si="151"/>
        <v>0.00115340253748558</v>
      </c>
      <c r="N1092" s="46">
        <f t="shared" si="152"/>
        <v>16320</v>
      </c>
      <c r="O1092" s="46">
        <f t="shared" si="153"/>
        <v>3087.81</v>
      </c>
      <c r="P1092" s="93">
        <f t="shared" si="154"/>
        <v>68.618</v>
      </c>
    </row>
    <row r="1093" s="2" customFormat="1" spans="1:16">
      <c r="A1093" s="82">
        <v>45740</v>
      </c>
      <c r="B1093" s="21">
        <v>3015.76</v>
      </c>
      <c r="C1093" s="33">
        <v>5862</v>
      </c>
      <c r="D1093" s="25">
        <v>838</v>
      </c>
      <c r="E1093" s="25">
        <v>0</v>
      </c>
      <c r="F1093" s="21">
        <v>0</v>
      </c>
      <c r="G1093" s="25">
        <v>65</v>
      </c>
      <c r="H1093" s="25">
        <v>4</v>
      </c>
      <c r="I1093" s="25">
        <v>3</v>
      </c>
      <c r="J1093" s="92">
        <f t="shared" si="148"/>
        <v>0.142954622995565</v>
      </c>
      <c r="K1093" s="93">
        <f t="shared" si="149"/>
        <v>3.59875894988067</v>
      </c>
      <c r="L1093" s="94">
        <f t="shared" si="150"/>
        <v>0</v>
      </c>
      <c r="M1093" s="92">
        <f t="shared" si="151"/>
        <v>0</v>
      </c>
      <c r="N1093" s="46">
        <f t="shared" si="152"/>
        <v>0</v>
      </c>
      <c r="O1093" s="46">
        <f t="shared" si="153"/>
        <v>0</v>
      </c>
      <c r="P1093" s="93">
        <f t="shared" si="154"/>
        <v>46.3963076923077</v>
      </c>
    </row>
    <row r="1094" s="2" customFormat="1" spans="1:16">
      <c r="A1094" s="82">
        <v>45741</v>
      </c>
      <c r="B1094" s="21">
        <v>3260.46</v>
      </c>
      <c r="C1094" s="33">
        <v>7234</v>
      </c>
      <c r="D1094" s="25">
        <v>929</v>
      </c>
      <c r="E1094" s="25">
        <v>1</v>
      </c>
      <c r="F1094" s="21">
        <v>13712</v>
      </c>
      <c r="G1094" s="25">
        <v>59</v>
      </c>
      <c r="H1094" s="25">
        <v>6</v>
      </c>
      <c r="I1094" s="25">
        <v>2</v>
      </c>
      <c r="J1094" s="92">
        <f t="shared" si="148"/>
        <v>0.128421343654963</v>
      </c>
      <c r="K1094" s="93">
        <f t="shared" si="149"/>
        <v>3.50964477933262</v>
      </c>
      <c r="L1094" s="94">
        <f t="shared" si="150"/>
        <v>4.20554154935193</v>
      </c>
      <c r="M1094" s="92">
        <f t="shared" si="151"/>
        <v>0.00107642626480086</v>
      </c>
      <c r="N1094" s="46">
        <f t="shared" si="152"/>
        <v>13712</v>
      </c>
      <c r="O1094" s="46">
        <f t="shared" si="153"/>
        <v>3260.46</v>
      </c>
      <c r="P1094" s="93">
        <f t="shared" si="154"/>
        <v>55.2620338983051</v>
      </c>
    </row>
    <row r="1095" s="2" customFormat="1" spans="1:16">
      <c r="A1095" s="82">
        <v>45742</v>
      </c>
      <c r="B1095" s="21">
        <v>3745.67</v>
      </c>
      <c r="C1095" s="33">
        <v>7883</v>
      </c>
      <c r="D1095" s="25">
        <v>1001</v>
      </c>
      <c r="E1095" s="25">
        <v>2</v>
      </c>
      <c r="F1095" s="21">
        <v>26767</v>
      </c>
      <c r="G1095" s="25">
        <v>60</v>
      </c>
      <c r="H1095" s="25">
        <v>2</v>
      </c>
      <c r="I1095" s="25">
        <v>9</v>
      </c>
      <c r="J1095" s="92">
        <f t="shared" si="148"/>
        <v>0.126982113408601</v>
      </c>
      <c r="K1095" s="93">
        <f t="shared" si="149"/>
        <v>3.74192807192807</v>
      </c>
      <c r="L1095" s="94">
        <f t="shared" si="150"/>
        <v>7.14611805097619</v>
      </c>
      <c r="M1095" s="92">
        <f t="shared" si="151"/>
        <v>0.001998001998002</v>
      </c>
      <c r="N1095" s="46">
        <f t="shared" si="152"/>
        <v>13383.5</v>
      </c>
      <c r="O1095" s="46">
        <f t="shared" si="153"/>
        <v>1872.835</v>
      </c>
      <c r="P1095" s="93">
        <f t="shared" si="154"/>
        <v>62.4278333333333</v>
      </c>
    </row>
    <row r="1096" s="2" customFormat="1" spans="1:16">
      <c r="A1096" s="82">
        <v>45743</v>
      </c>
      <c r="B1096" s="21">
        <v>4242.2</v>
      </c>
      <c r="C1096" s="33">
        <v>9135</v>
      </c>
      <c r="D1096" s="25">
        <v>924</v>
      </c>
      <c r="E1096" s="25">
        <v>1</v>
      </c>
      <c r="F1096" s="21">
        <v>12372</v>
      </c>
      <c r="G1096" s="25">
        <v>40</v>
      </c>
      <c r="H1096" s="25">
        <v>6</v>
      </c>
      <c r="I1096" s="25">
        <v>7</v>
      </c>
      <c r="J1096" s="92">
        <f t="shared" si="148"/>
        <v>0.101149425287356</v>
      </c>
      <c r="K1096" s="93">
        <f t="shared" si="149"/>
        <v>4.59112554112554</v>
      </c>
      <c r="L1096" s="94">
        <f t="shared" si="150"/>
        <v>2.91641129602565</v>
      </c>
      <c r="M1096" s="92">
        <f t="shared" si="151"/>
        <v>0.00108225108225108</v>
      </c>
      <c r="N1096" s="46">
        <f t="shared" si="152"/>
        <v>12372</v>
      </c>
      <c r="O1096" s="46">
        <f t="shared" si="153"/>
        <v>4242.2</v>
      </c>
      <c r="P1096" s="93">
        <f t="shared" si="154"/>
        <v>106.055</v>
      </c>
    </row>
    <row r="1097" s="2" customFormat="1" spans="1:16">
      <c r="A1097" s="82">
        <v>45744</v>
      </c>
      <c r="B1097" s="21">
        <v>3994.77</v>
      </c>
      <c r="C1097" s="33">
        <v>7620</v>
      </c>
      <c r="D1097" s="25">
        <v>947</v>
      </c>
      <c r="E1097" s="25">
        <v>1</v>
      </c>
      <c r="F1097" s="21">
        <v>15792</v>
      </c>
      <c r="G1097" s="25">
        <v>60</v>
      </c>
      <c r="H1097" s="25">
        <v>7</v>
      </c>
      <c r="I1097" s="25">
        <v>4</v>
      </c>
      <c r="J1097" s="92">
        <f t="shared" si="148"/>
        <v>0.124278215223097</v>
      </c>
      <c r="K1097" s="93">
        <f t="shared" si="149"/>
        <v>4.21834213305174</v>
      </c>
      <c r="L1097" s="94">
        <f t="shared" si="150"/>
        <v>3.95316876816437</v>
      </c>
      <c r="M1097" s="92">
        <f t="shared" si="151"/>
        <v>0.00105596620908131</v>
      </c>
      <c r="N1097" s="46">
        <f t="shared" si="152"/>
        <v>15792</v>
      </c>
      <c r="O1097" s="46">
        <f t="shared" si="153"/>
        <v>3994.77</v>
      </c>
      <c r="P1097" s="93">
        <f t="shared" si="154"/>
        <v>66.5795</v>
      </c>
    </row>
    <row r="1098" s="2" customFormat="1" spans="1:16">
      <c r="A1098" s="82">
        <v>45745</v>
      </c>
      <c r="B1098" s="21">
        <v>5279.19</v>
      </c>
      <c r="C1098" s="33">
        <v>6963</v>
      </c>
      <c r="D1098" s="25">
        <v>975</v>
      </c>
      <c r="E1098" s="25">
        <v>1</v>
      </c>
      <c r="F1098" s="21">
        <v>9874</v>
      </c>
      <c r="G1098" s="25">
        <v>52</v>
      </c>
      <c r="H1098" s="25">
        <v>4</v>
      </c>
      <c r="I1098" s="25">
        <v>4</v>
      </c>
      <c r="J1098" s="92">
        <f t="shared" si="148"/>
        <v>0.140025850926325</v>
      </c>
      <c r="K1098" s="93">
        <f t="shared" si="149"/>
        <v>5.41455384615385</v>
      </c>
      <c r="L1098" s="94">
        <f t="shared" si="150"/>
        <v>1.87036268821543</v>
      </c>
      <c r="M1098" s="92">
        <f t="shared" si="151"/>
        <v>0.00102564102564103</v>
      </c>
      <c r="N1098" s="46">
        <f t="shared" si="152"/>
        <v>9874</v>
      </c>
      <c r="O1098" s="46">
        <f t="shared" si="153"/>
        <v>5279.19</v>
      </c>
      <c r="P1098" s="93">
        <f t="shared" si="154"/>
        <v>101.522884615385</v>
      </c>
    </row>
    <row r="1099" s="2" customFormat="1" spans="1:16">
      <c r="A1099" s="82">
        <v>45746</v>
      </c>
      <c r="B1099" s="21">
        <v>5590.99</v>
      </c>
      <c r="C1099" s="33">
        <v>7524</v>
      </c>
      <c r="D1099" s="25">
        <v>1122</v>
      </c>
      <c r="E1099" s="25">
        <v>5</v>
      </c>
      <c r="F1099" s="21">
        <v>54256</v>
      </c>
      <c r="G1099" s="25">
        <v>87</v>
      </c>
      <c r="H1099" s="25">
        <v>9</v>
      </c>
      <c r="I1099" s="25">
        <v>9</v>
      </c>
      <c r="J1099" s="92">
        <f t="shared" si="148"/>
        <v>0.149122807017544</v>
      </c>
      <c r="K1099" s="93">
        <f t="shared" si="149"/>
        <v>4.98305704099822</v>
      </c>
      <c r="L1099" s="94">
        <f t="shared" si="150"/>
        <v>9.70418476870823</v>
      </c>
      <c r="M1099" s="92">
        <f t="shared" si="151"/>
        <v>0.00445632798573975</v>
      </c>
      <c r="N1099" s="46">
        <f t="shared" si="152"/>
        <v>10851.2</v>
      </c>
      <c r="O1099" s="46">
        <f t="shared" si="153"/>
        <v>1118.198</v>
      </c>
      <c r="P1099" s="93">
        <f t="shared" si="154"/>
        <v>64.2642528735632</v>
      </c>
    </row>
    <row r="1100" s="2" customFormat="1" spans="1:16">
      <c r="A1100" s="82">
        <v>45747</v>
      </c>
      <c r="B1100" s="21">
        <v>5635.44</v>
      </c>
      <c r="C1100" s="33">
        <v>8453</v>
      </c>
      <c r="D1100" s="25">
        <v>1092</v>
      </c>
      <c r="E1100" s="25">
        <v>4</v>
      </c>
      <c r="F1100" s="21">
        <v>60376</v>
      </c>
      <c r="G1100" s="25">
        <v>60</v>
      </c>
      <c r="H1100" s="25">
        <v>2</v>
      </c>
      <c r="I1100" s="25">
        <v>2</v>
      </c>
      <c r="J1100" s="92">
        <f t="shared" si="148"/>
        <v>0.129184904767538</v>
      </c>
      <c r="K1100" s="93">
        <f t="shared" si="149"/>
        <v>5.16065934065934</v>
      </c>
      <c r="L1100" s="94">
        <f t="shared" si="150"/>
        <v>10.7136266201042</v>
      </c>
      <c r="M1100" s="92">
        <f t="shared" si="151"/>
        <v>0.00366300366300366</v>
      </c>
      <c r="N1100" s="46">
        <f t="shared" si="152"/>
        <v>15094</v>
      </c>
      <c r="O1100" s="46">
        <f t="shared" si="153"/>
        <v>1408.86</v>
      </c>
      <c r="P1100" s="93">
        <f t="shared" si="154"/>
        <v>93.924</v>
      </c>
    </row>
    <row r="1101" s="2" customFormat="1" spans="1:16">
      <c r="A1101" s="82">
        <v>45748</v>
      </c>
      <c r="B1101" s="21">
        <v>2983.23</v>
      </c>
      <c r="C1101" s="33">
        <v>5715</v>
      </c>
      <c r="D1101" s="25">
        <v>808</v>
      </c>
      <c r="E1101" s="25">
        <v>1</v>
      </c>
      <c r="F1101" s="21">
        <v>11788</v>
      </c>
      <c r="G1101" s="25">
        <v>74</v>
      </c>
      <c r="H1101" s="25">
        <v>11</v>
      </c>
      <c r="I1101" s="25">
        <v>6</v>
      </c>
      <c r="J1101" s="92">
        <f t="shared" si="148"/>
        <v>0.141382327209099</v>
      </c>
      <c r="K1101" s="93">
        <f t="shared" si="149"/>
        <v>3.69211633663366</v>
      </c>
      <c r="L1101" s="94">
        <f t="shared" si="150"/>
        <v>3.95142178108962</v>
      </c>
      <c r="M1101" s="92">
        <f t="shared" si="151"/>
        <v>0.00123762376237624</v>
      </c>
      <c r="N1101" s="46">
        <f t="shared" si="152"/>
        <v>11788</v>
      </c>
      <c r="O1101" s="46">
        <f t="shared" si="153"/>
        <v>2983.23</v>
      </c>
      <c r="P1101" s="93">
        <f t="shared" si="154"/>
        <v>40.3139189189189</v>
      </c>
    </row>
    <row r="1102" s="2" customFormat="1" spans="1:16">
      <c r="A1102" s="82">
        <v>45749</v>
      </c>
      <c r="B1102" s="21">
        <v>2663.69</v>
      </c>
      <c r="C1102" s="33">
        <v>5559</v>
      </c>
      <c r="D1102" s="25">
        <v>735</v>
      </c>
      <c r="E1102" s="25">
        <v>0</v>
      </c>
      <c r="F1102" s="21">
        <v>0</v>
      </c>
      <c r="G1102" s="25">
        <v>35</v>
      </c>
      <c r="H1102" s="25">
        <v>3</v>
      </c>
      <c r="I1102" s="25">
        <v>6</v>
      </c>
      <c r="J1102" s="92">
        <f t="shared" si="148"/>
        <v>0.132218024824609</v>
      </c>
      <c r="K1102" s="93">
        <f t="shared" si="149"/>
        <v>3.62406802721088</v>
      </c>
      <c r="L1102" s="94">
        <f t="shared" si="150"/>
        <v>0</v>
      </c>
      <c r="M1102" s="92">
        <f t="shared" si="151"/>
        <v>0</v>
      </c>
      <c r="N1102" s="46">
        <f t="shared" si="152"/>
        <v>0</v>
      </c>
      <c r="O1102" s="46">
        <f t="shared" si="153"/>
        <v>0</v>
      </c>
      <c r="P1102" s="93">
        <f t="shared" si="154"/>
        <v>76.1054285714286</v>
      </c>
    </row>
    <row r="1103" s="2" customFormat="1" spans="1:16">
      <c r="A1103" s="82">
        <v>45750</v>
      </c>
      <c r="B1103" s="21">
        <v>2569.18</v>
      </c>
      <c r="C1103" s="33">
        <v>4766</v>
      </c>
      <c r="D1103" s="25">
        <v>668</v>
      </c>
      <c r="E1103" s="25">
        <v>2</v>
      </c>
      <c r="F1103" s="21">
        <v>16417</v>
      </c>
      <c r="G1103" s="25">
        <v>35</v>
      </c>
      <c r="H1103" s="25">
        <v>6</v>
      </c>
      <c r="I1103" s="25">
        <v>3</v>
      </c>
      <c r="J1103" s="92">
        <f t="shared" si="148"/>
        <v>0.140159462861939</v>
      </c>
      <c r="K1103" s="93">
        <f t="shared" si="149"/>
        <v>3.84607784431138</v>
      </c>
      <c r="L1103" s="94">
        <f t="shared" si="150"/>
        <v>6.38997656839926</v>
      </c>
      <c r="M1103" s="92">
        <f t="shared" si="151"/>
        <v>0.0029940119760479</v>
      </c>
      <c r="N1103" s="46">
        <f t="shared" si="152"/>
        <v>8208.5</v>
      </c>
      <c r="O1103" s="46">
        <f t="shared" si="153"/>
        <v>1284.59</v>
      </c>
      <c r="P1103" s="93">
        <f t="shared" si="154"/>
        <v>73.4051428571428</v>
      </c>
    </row>
    <row r="1104" s="2" customFormat="1" spans="1:16">
      <c r="A1104" s="82">
        <v>45751</v>
      </c>
      <c r="B1104" s="21">
        <v>2643.03</v>
      </c>
      <c r="C1104" s="33">
        <v>4913</v>
      </c>
      <c r="D1104" s="25">
        <v>708</v>
      </c>
      <c r="E1104" s="25">
        <v>2</v>
      </c>
      <c r="F1104" s="21">
        <v>22340</v>
      </c>
      <c r="G1104" s="25">
        <v>40</v>
      </c>
      <c r="H1104" s="25">
        <v>2</v>
      </c>
      <c r="I1104" s="25">
        <v>7</v>
      </c>
      <c r="J1104" s="92">
        <f t="shared" si="148"/>
        <v>0.14410746997761</v>
      </c>
      <c r="K1104" s="93">
        <f t="shared" si="149"/>
        <v>3.73309322033898</v>
      </c>
      <c r="L1104" s="94">
        <f t="shared" si="150"/>
        <v>8.45242013900712</v>
      </c>
      <c r="M1104" s="92">
        <f t="shared" si="151"/>
        <v>0.00282485875706215</v>
      </c>
      <c r="N1104" s="46">
        <f t="shared" si="152"/>
        <v>11170</v>
      </c>
      <c r="O1104" s="46">
        <f t="shared" si="153"/>
        <v>1321.515</v>
      </c>
      <c r="P1104" s="93">
        <f t="shared" si="154"/>
        <v>66.07575</v>
      </c>
    </row>
    <row r="1105" s="2" customFormat="1" spans="1:16">
      <c r="A1105" s="82">
        <v>45752</v>
      </c>
      <c r="B1105" s="21">
        <v>1890.06</v>
      </c>
      <c r="C1105" s="33">
        <v>4323</v>
      </c>
      <c r="D1105" s="25">
        <v>554</v>
      </c>
      <c r="E1105" s="25">
        <v>1</v>
      </c>
      <c r="F1105" s="21">
        <v>4936</v>
      </c>
      <c r="G1105" s="25">
        <v>26</v>
      </c>
      <c r="H1105" s="25">
        <v>4</v>
      </c>
      <c r="I1105" s="25">
        <v>5</v>
      </c>
      <c r="J1105" s="92">
        <f t="shared" si="148"/>
        <v>0.128151746472357</v>
      </c>
      <c r="K1105" s="93">
        <f t="shared" si="149"/>
        <v>3.41166064981949</v>
      </c>
      <c r="L1105" s="94">
        <f t="shared" si="150"/>
        <v>2.6115573050591</v>
      </c>
      <c r="M1105" s="92">
        <f t="shared" si="151"/>
        <v>0.00180505415162455</v>
      </c>
      <c r="N1105" s="46">
        <f t="shared" si="152"/>
        <v>4936</v>
      </c>
      <c r="O1105" s="46">
        <f t="shared" si="153"/>
        <v>1890.06</v>
      </c>
      <c r="P1105" s="93">
        <f t="shared" si="154"/>
        <v>72.6946153846154</v>
      </c>
    </row>
    <row r="1106" s="2" customFormat="1" spans="1:16">
      <c r="A1106" s="82">
        <v>45753</v>
      </c>
      <c r="B1106" s="21">
        <v>1954.39</v>
      </c>
      <c r="C1106" s="33">
        <v>4630</v>
      </c>
      <c r="D1106" s="25">
        <v>717</v>
      </c>
      <c r="E1106" s="25">
        <v>1</v>
      </c>
      <c r="F1106" s="21">
        <v>34122</v>
      </c>
      <c r="G1106" s="25">
        <v>37</v>
      </c>
      <c r="H1106" s="25">
        <v>4</v>
      </c>
      <c r="I1106" s="25">
        <v>4</v>
      </c>
      <c r="J1106" s="92">
        <f t="shared" si="148"/>
        <v>0.154859611231102</v>
      </c>
      <c r="K1106" s="93">
        <f t="shared" si="149"/>
        <v>2.7257880055788</v>
      </c>
      <c r="L1106" s="94">
        <f t="shared" si="150"/>
        <v>17.4591560538071</v>
      </c>
      <c r="M1106" s="92">
        <f t="shared" si="151"/>
        <v>0.00139470013947001</v>
      </c>
      <c r="N1106" s="46">
        <f t="shared" si="152"/>
        <v>34122</v>
      </c>
      <c r="O1106" s="46">
        <f t="shared" si="153"/>
        <v>1954.39</v>
      </c>
      <c r="P1106" s="93">
        <f t="shared" si="154"/>
        <v>52.8213513513514</v>
      </c>
    </row>
    <row r="1107" s="2" customFormat="1" spans="1:16">
      <c r="A1107" s="82">
        <v>45754</v>
      </c>
      <c r="B1107" s="21">
        <v>2148.63</v>
      </c>
      <c r="C1107" s="33">
        <v>4227</v>
      </c>
      <c r="D1107" s="25">
        <v>820</v>
      </c>
      <c r="E1107" s="25">
        <v>3</v>
      </c>
      <c r="F1107" s="21">
        <v>38850</v>
      </c>
      <c r="G1107" s="25">
        <v>63</v>
      </c>
      <c r="H1107" s="25">
        <v>3</v>
      </c>
      <c r="I1107" s="25">
        <v>6</v>
      </c>
      <c r="J1107" s="92">
        <f t="shared" si="148"/>
        <v>0.193991010172699</v>
      </c>
      <c r="K1107" s="93">
        <f t="shared" si="149"/>
        <v>2.62028048780488</v>
      </c>
      <c r="L1107" s="94">
        <f t="shared" si="150"/>
        <v>18.081289007414</v>
      </c>
      <c r="M1107" s="92">
        <f t="shared" si="151"/>
        <v>0.00365853658536585</v>
      </c>
      <c r="N1107" s="46">
        <f t="shared" si="152"/>
        <v>12950</v>
      </c>
      <c r="O1107" s="46">
        <f t="shared" si="153"/>
        <v>716.21</v>
      </c>
      <c r="P1107" s="93">
        <f t="shared" si="154"/>
        <v>34.1052380952381</v>
      </c>
    </row>
    <row r="1108" s="2" customFormat="1" spans="1:16">
      <c r="A1108" s="82">
        <v>45755</v>
      </c>
      <c r="B1108" s="21">
        <v>2232.43</v>
      </c>
      <c r="C1108" s="33">
        <v>4951</v>
      </c>
      <c r="D1108" s="25">
        <v>892</v>
      </c>
      <c r="E1108" s="25">
        <v>0</v>
      </c>
      <c r="F1108" s="21">
        <v>0</v>
      </c>
      <c r="G1108" s="25">
        <v>48</v>
      </c>
      <c r="H1108" s="25">
        <v>6</v>
      </c>
      <c r="I1108" s="25">
        <v>2</v>
      </c>
      <c r="J1108" s="92">
        <f t="shared" si="148"/>
        <v>0.180165623106443</v>
      </c>
      <c r="K1108" s="93">
        <f t="shared" si="149"/>
        <v>2.50272421524664</v>
      </c>
      <c r="L1108" s="94">
        <f t="shared" si="150"/>
        <v>0</v>
      </c>
      <c r="M1108" s="92">
        <f t="shared" si="151"/>
        <v>0</v>
      </c>
      <c r="N1108" s="46">
        <f t="shared" si="152"/>
        <v>0</v>
      </c>
      <c r="O1108" s="46">
        <f t="shared" si="153"/>
        <v>0</v>
      </c>
      <c r="P1108" s="93">
        <f t="shared" si="154"/>
        <v>46.5089583333333</v>
      </c>
    </row>
    <row r="1109" s="2" customFormat="1" spans="1:16">
      <c r="A1109" s="82">
        <v>45756</v>
      </c>
      <c r="B1109" s="21">
        <v>1974.52</v>
      </c>
      <c r="C1109" s="33">
        <v>3786</v>
      </c>
      <c r="D1109" s="25">
        <v>784</v>
      </c>
      <c r="E1109" s="25">
        <v>1</v>
      </c>
      <c r="F1109" s="21">
        <v>6136</v>
      </c>
      <c r="G1109" s="25">
        <v>54</v>
      </c>
      <c r="H1109" s="25">
        <v>9</v>
      </c>
      <c r="I1109" s="25">
        <v>5</v>
      </c>
      <c r="J1109" s="92">
        <f t="shared" si="148"/>
        <v>0.207078711040676</v>
      </c>
      <c r="K1109" s="93">
        <f t="shared" si="149"/>
        <v>2.51852040816327</v>
      </c>
      <c r="L1109" s="94">
        <f t="shared" si="150"/>
        <v>3.10759070558921</v>
      </c>
      <c r="M1109" s="92">
        <f t="shared" si="151"/>
        <v>0.00127551020408163</v>
      </c>
      <c r="N1109" s="46">
        <f t="shared" si="152"/>
        <v>6136</v>
      </c>
      <c r="O1109" s="46">
        <f t="shared" si="153"/>
        <v>1974.52</v>
      </c>
      <c r="P1109" s="93">
        <f t="shared" si="154"/>
        <v>36.5651851851852</v>
      </c>
    </row>
    <row r="1110" s="2" customFormat="1" spans="1:16">
      <c r="A1110" s="82">
        <v>45757</v>
      </c>
      <c r="B1110" s="21">
        <v>2268.26</v>
      </c>
      <c r="C1110" s="33">
        <v>5141</v>
      </c>
      <c r="D1110" s="25">
        <v>880</v>
      </c>
      <c r="E1110" s="25">
        <v>1</v>
      </c>
      <c r="F1110" s="21">
        <v>12674</v>
      </c>
      <c r="G1110" s="25">
        <v>63</v>
      </c>
      <c r="H1110" s="25">
        <v>7</v>
      </c>
      <c r="I1110" s="25">
        <v>2</v>
      </c>
      <c r="J1110" s="92">
        <f t="shared" si="148"/>
        <v>0.171172923555728</v>
      </c>
      <c r="K1110" s="93">
        <f t="shared" si="149"/>
        <v>2.57756818181818</v>
      </c>
      <c r="L1110" s="94">
        <f t="shared" si="150"/>
        <v>5.58754287427367</v>
      </c>
      <c r="M1110" s="92">
        <f t="shared" si="151"/>
        <v>0.00113636363636364</v>
      </c>
      <c r="N1110" s="46">
        <f t="shared" si="152"/>
        <v>12674</v>
      </c>
      <c r="O1110" s="46">
        <f t="shared" si="153"/>
        <v>2268.26</v>
      </c>
      <c r="P1110" s="93">
        <f t="shared" si="154"/>
        <v>36.004126984127</v>
      </c>
    </row>
    <row r="1111" s="2" customFormat="1" spans="1:16">
      <c r="A1111" s="82">
        <v>45758</v>
      </c>
      <c r="B1111" s="21">
        <v>2133.31</v>
      </c>
      <c r="C1111" s="33">
        <v>5244</v>
      </c>
      <c r="D1111" s="25">
        <v>859</v>
      </c>
      <c r="E1111" s="25">
        <v>2</v>
      </c>
      <c r="F1111" s="21">
        <v>14892</v>
      </c>
      <c r="G1111" s="25">
        <v>51</v>
      </c>
      <c r="H1111" s="25">
        <v>3</v>
      </c>
      <c r="I1111" s="25">
        <v>3</v>
      </c>
      <c r="J1111" s="92">
        <f t="shared" si="148"/>
        <v>0.163806254767353</v>
      </c>
      <c r="K1111" s="93">
        <f t="shared" si="149"/>
        <v>2.48348079161816</v>
      </c>
      <c r="L1111" s="94">
        <f t="shared" si="150"/>
        <v>6.98070135142103</v>
      </c>
      <c r="M1111" s="92">
        <f t="shared" si="151"/>
        <v>0.00232828870779977</v>
      </c>
      <c r="N1111" s="46">
        <f t="shared" si="152"/>
        <v>7446</v>
      </c>
      <c r="O1111" s="46">
        <f t="shared" si="153"/>
        <v>1066.655</v>
      </c>
      <c r="P1111" s="93">
        <f t="shared" si="154"/>
        <v>41.8296078431373</v>
      </c>
    </row>
    <row r="1112" s="2" customFormat="1" spans="1:16">
      <c r="A1112" s="82">
        <v>45759</v>
      </c>
      <c r="B1112" s="21">
        <v>2460.74</v>
      </c>
      <c r="C1112" s="33">
        <v>5673</v>
      </c>
      <c r="D1112" s="25">
        <v>912</v>
      </c>
      <c r="E1112" s="25">
        <v>3</v>
      </c>
      <c r="F1112" s="21">
        <v>64933</v>
      </c>
      <c r="G1112" s="25">
        <v>41</v>
      </c>
      <c r="H1112" s="25">
        <v>9</v>
      </c>
      <c r="I1112" s="25">
        <v>9</v>
      </c>
      <c r="J1112" s="92">
        <f t="shared" si="148"/>
        <v>0.160761501850873</v>
      </c>
      <c r="K1112" s="93">
        <f t="shared" si="149"/>
        <v>2.6981798245614</v>
      </c>
      <c r="L1112" s="94">
        <f t="shared" si="150"/>
        <v>26.3875907247413</v>
      </c>
      <c r="M1112" s="92">
        <f t="shared" si="151"/>
        <v>0.00328947368421053</v>
      </c>
      <c r="N1112" s="46">
        <f t="shared" si="152"/>
        <v>21644.3333333333</v>
      </c>
      <c r="O1112" s="46">
        <f t="shared" si="153"/>
        <v>820.246666666667</v>
      </c>
      <c r="P1112" s="93">
        <f t="shared" si="154"/>
        <v>60.0180487804878</v>
      </c>
    </row>
    <row r="1113" s="2" customFormat="1" spans="1:16">
      <c r="A1113" s="82">
        <v>45760</v>
      </c>
      <c r="B1113" s="21">
        <v>2467.73</v>
      </c>
      <c r="C1113" s="33">
        <v>4830</v>
      </c>
      <c r="D1113" s="25">
        <v>877</v>
      </c>
      <c r="E1113" s="25">
        <v>2</v>
      </c>
      <c r="F1113" s="21">
        <v>7704</v>
      </c>
      <c r="G1113" s="25">
        <v>66</v>
      </c>
      <c r="H1113" s="25">
        <v>4</v>
      </c>
      <c r="I1113" s="25">
        <v>4</v>
      </c>
      <c r="J1113" s="92">
        <f t="shared" si="148"/>
        <v>0.181573498964803</v>
      </c>
      <c r="K1113" s="93">
        <f t="shared" si="149"/>
        <v>2.81383124287343</v>
      </c>
      <c r="L1113" s="94">
        <f t="shared" si="150"/>
        <v>3.12189745231448</v>
      </c>
      <c r="M1113" s="92">
        <f t="shared" si="151"/>
        <v>0.00228050171037628</v>
      </c>
      <c r="N1113" s="46">
        <f t="shared" si="152"/>
        <v>3852</v>
      </c>
      <c r="O1113" s="46">
        <f t="shared" si="153"/>
        <v>1233.865</v>
      </c>
      <c r="P1113" s="93">
        <f t="shared" si="154"/>
        <v>37.3898484848485</v>
      </c>
    </row>
    <row r="1114" s="2" customFormat="1" spans="1:16">
      <c r="A1114" s="82">
        <v>45761</v>
      </c>
      <c r="B1114" s="21">
        <v>2685.82</v>
      </c>
      <c r="C1114" s="33">
        <v>6343</v>
      </c>
      <c r="D1114" s="25">
        <v>1036</v>
      </c>
      <c r="E1114" s="25">
        <v>8</v>
      </c>
      <c r="F1114" s="21">
        <v>123076</v>
      </c>
      <c r="G1114" s="25">
        <v>59</v>
      </c>
      <c r="H1114" s="25">
        <v>4</v>
      </c>
      <c r="I1114" s="25">
        <v>5</v>
      </c>
      <c r="J1114" s="92">
        <f t="shared" si="148"/>
        <v>0.163329654737506</v>
      </c>
      <c r="K1114" s="93">
        <f t="shared" si="149"/>
        <v>2.59249034749035</v>
      </c>
      <c r="L1114" s="94">
        <f t="shared" si="150"/>
        <v>45.8243664877021</v>
      </c>
      <c r="M1114" s="92">
        <f t="shared" si="151"/>
        <v>0.00772200772200772</v>
      </c>
      <c r="N1114" s="46">
        <f t="shared" si="152"/>
        <v>15384.5</v>
      </c>
      <c r="O1114" s="46">
        <f t="shared" si="153"/>
        <v>335.7275</v>
      </c>
      <c r="P1114" s="93">
        <f t="shared" si="154"/>
        <v>45.5223728813559</v>
      </c>
    </row>
    <row r="1115" s="2" customFormat="1" spans="1:16">
      <c r="A1115" s="82">
        <v>45762</v>
      </c>
      <c r="B1115" s="21">
        <v>2527.7</v>
      </c>
      <c r="C1115" s="33">
        <v>5808</v>
      </c>
      <c r="D1115" s="25">
        <v>929</v>
      </c>
      <c r="E1115" s="25">
        <v>1</v>
      </c>
      <c r="F1115" s="21">
        <v>7906</v>
      </c>
      <c r="G1115" s="25">
        <v>53</v>
      </c>
      <c r="H1115" s="25">
        <v>7</v>
      </c>
      <c r="I1115" s="25">
        <v>10</v>
      </c>
      <c r="J1115" s="92">
        <f t="shared" si="148"/>
        <v>0.159951790633609</v>
      </c>
      <c r="K1115" s="93">
        <f t="shared" si="149"/>
        <v>2.72088266953714</v>
      </c>
      <c r="L1115" s="94">
        <f t="shared" si="150"/>
        <v>3.12774458994343</v>
      </c>
      <c r="M1115" s="92">
        <f t="shared" si="151"/>
        <v>0.00107642626480086</v>
      </c>
      <c r="N1115" s="46">
        <f t="shared" si="152"/>
        <v>7906</v>
      </c>
      <c r="O1115" s="46">
        <f t="shared" si="153"/>
        <v>2527.7</v>
      </c>
      <c r="P1115" s="93">
        <f t="shared" si="154"/>
        <v>47.6924528301887</v>
      </c>
    </row>
    <row r="1116" s="2" customFormat="1" spans="1:16">
      <c r="A1116" s="82">
        <v>45763</v>
      </c>
      <c r="B1116" s="21">
        <v>2512.91</v>
      </c>
      <c r="C1116" s="33">
        <v>5851</v>
      </c>
      <c r="D1116" s="25">
        <v>842</v>
      </c>
      <c r="E1116" s="25">
        <v>4</v>
      </c>
      <c r="F1116" s="21">
        <v>68357</v>
      </c>
      <c r="G1116" s="25">
        <v>47</v>
      </c>
      <c r="H1116" s="25">
        <v>4</v>
      </c>
      <c r="I1116" s="25">
        <v>4</v>
      </c>
      <c r="J1116" s="92">
        <f t="shared" si="148"/>
        <v>0.143907024440267</v>
      </c>
      <c r="K1116" s="93">
        <f t="shared" si="149"/>
        <v>2.98445368171021</v>
      </c>
      <c r="L1116" s="94">
        <f t="shared" si="150"/>
        <v>27.2023271824299</v>
      </c>
      <c r="M1116" s="92">
        <f t="shared" si="151"/>
        <v>0.00475059382422803</v>
      </c>
      <c r="N1116" s="46">
        <f t="shared" si="152"/>
        <v>17089.25</v>
      </c>
      <c r="O1116" s="46">
        <f t="shared" si="153"/>
        <v>628.2275</v>
      </c>
      <c r="P1116" s="93">
        <f t="shared" si="154"/>
        <v>53.466170212766</v>
      </c>
    </row>
    <row r="1117" s="2" customFormat="1" spans="1:16">
      <c r="A1117" s="82">
        <v>45764</v>
      </c>
      <c r="B1117" s="21">
        <v>2753.62</v>
      </c>
      <c r="C1117" s="33">
        <v>6767</v>
      </c>
      <c r="D1117" s="25">
        <v>828</v>
      </c>
      <c r="E1117" s="25">
        <v>1</v>
      </c>
      <c r="F1117" s="21">
        <v>6094</v>
      </c>
      <c r="G1117" s="25">
        <v>40</v>
      </c>
      <c r="H1117" s="25">
        <v>4</v>
      </c>
      <c r="I1117" s="25">
        <v>0</v>
      </c>
      <c r="J1117" s="92">
        <f t="shared" si="148"/>
        <v>0.122358504507167</v>
      </c>
      <c r="K1117" s="93">
        <f t="shared" si="149"/>
        <v>3.32562801932367</v>
      </c>
      <c r="L1117" s="94">
        <f t="shared" si="150"/>
        <v>2.21308677304784</v>
      </c>
      <c r="M1117" s="92">
        <f t="shared" si="151"/>
        <v>0.00120772946859903</v>
      </c>
      <c r="N1117" s="46">
        <f t="shared" si="152"/>
        <v>6094</v>
      </c>
      <c r="O1117" s="46">
        <f t="shared" si="153"/>
        <v>2753.62</v>
      </c>
      <c r="P1117" s="93">
        <f t="shared" si="154"/>
        <v>68.8405</v>
      </c>
    </row>
    <row r="1118" s="2" customFormat="1" spans="1:16">
      <c r="A1118" s="82">
        <v>45765</v>
      </c>
      <c r="B1118" s="21">
        <v>2887.76</v>
      </c>
      <c r="C1118" s="33">
        <v>6630</v>
      </c>
      <c r="D1118" s="25">
        <v>784</v>
      </c>
      <c r="E1118" s="25">
        <v>4</v>
      </c>
      <c r="F1118" s="21">
        <v>62250</v>
      </c>
      <c r="G1118" s="25">
        <v>36</v>
      </c>
      <c r="H1118" s="25">
        <v>5</v>
      </c>
      <c r="I1118" s="25">
        <v>1</v>
      </c>
      <c r="J1118" s="92">
        <f t="shared" si="148"/>
        <v>0.118250377073906</v>
      </c>
      <c r="K1118" s="93">
        <f t="shared" si="149"/>
        <v>3.68336734693878</v>
      </c>
      <c r="L1118" s="94">
        <f t="shared" si="150"/>
        <v>21.5565005402111</v>
      </c>
      <c r="M1118" s="92">
        <f t="shared" si="151"/>
        <v>0.00510204081632653</v>
      </c>
      <c r="N1118" s="46">
        <f t="shared" si="152"/>
        <v>15562.5</v>
      </c>
      <c r="O1118" s="46">
        <f t="shared" si="153"/>
        <v>721.94</v>
      </c>
      <c r="P1118" s="93">
        <f t="shared" si="154"/>
        <v>80.2155555555556</v>
      </c>
    </row>
    <row r="1119" s="2" customFormat="1" spans="1:16">
      <c r="A1119" s="82">
        <v>45766</v>
      </c>
      <c r="B1119" s="21">
        <v>2610.19</v>
      </c>
      <c r="C1119" s="33">
        <v>6447</v>
      </c>
      <c r="D1119" s="25">
        <v>721</v>
      </c>
      <c r="E1119" s="25">
        <v>0</v>
      </c>
      <c r="F1119" s="21">
        <v>0</v>
      </c>
      <c r="G1119" s="25">
        <v>43</v>
      </c>
      <c r="H1119" s="25">
        <v>6</v>
      </c>
      <c r="I1119" s="25">
        <v>3</v>
      </c>
      <c r="J1119" s="92">
        <f t="shared" si="148"/>
        <v>0.111834961997828</v>
      </c>
      <c r="K1119" s="93">
        <f t="shared" si="149"/>
        <v>3.62023578363384</v>
      </c>
      <c r="L1119" s="94">
        <f t="shared" si="150"/>
        <v>0</v>
      </c>
      <c r="M1119" s="92">
        <f t="shared" si="151"/>
        <v>0</v>
      </c>
      <c r="N1119" s="46">
        <f t="shared" si="152"/>
        <v>0</v>
      </c>
      <c r="O1119" s="46">
        <f t="shared" si="153"/>
        <v>0</v>
      </c>
      <c r="P1119" s="93">
        <f t="shared" si="154"/>
        <v>60.7020930232558</v>
      </c>
    </row>
    <row r="1120" s="2" customFormat="1" spans="1:16">
      <c r="A1120" s="82">
        <v>45767</v>
      </c>
      <c r="B1120" s="21">
        <v>2234.15</v>
      </c>
      <c r="C1120" s="33">
        <v>5702</v>
      </c>
      <c r="D1120" s="25">
        <v>716</v>
      </c>
      <c r="E1120" s="25">
        <v>1</v>
      </c>
      <c r="F1120" s="21">
        <v>16512</v>
      </c>
      <c r="G1120" s="25">
        <v>51</v>
      </c>
      <c r="H1120" s="25">
        <v>6</v>
      </c>
      <c r="I1120" s="25">
        <v>5</v>
      </c>
      <c r="J1120" s="92">
        <f t="shared" si="148"/>
        <v>0.125569975447212</v>
      </c>
      <c r="K1120" s="93">
        <f t="shared" si="149"/>
        <v>3.12032122905028</v>
      </c>
      <c r="L1120" s="94">
        <f t="shared" si="150"/>
        <v>7.39073025535439</v>
      </c>
      <c r="M1120" s="92">
        <f t="shared" si="151"/>
        <v>0.00139664804469274</v>
      </c>
      <c r="N1120" s="46">
        <f t="shared" si="152"/>
        <v>16512</v>
      </c>
      <c r="O1120" s="46">
        <f t="shared" si="153"/>
        <v>2234.15</v>
      </c>
      <c r="P1120" s="93">
        <f t="shared" si="154"/>
        <v>43.806862745098</v>
      </c>
    </row>
    <row r="1121" s="2" customFormat="1" spans="1:16">
      <c r="A1121" s="82">
        <v>45768</v>
      </c>
      <c r="B1121" s="21">
        <v>1864.35</v>
      </c>
      <c r="C1121" s="33">
        <v>4944</v>
      </c>
      <c r="D1121" s="25">
        <v>633</v>
      </c>
      <c r="E1121" s="25">
        <v>2</v>
      </c>
      <c r="F1121" s="21">
        <v>13518</v>
      </c>
      <c r="G1121" s="25">
        <v>32</v>
      </c>
      <c r="H1121" s="25">
        <v>3</v>
      </c>
      <c r="I1121" s="25">
        <v>6</v>
      </c>
      <c r="J1121" s="92">
        <f t="shared" si="148"/>
        <v>0.128033980582524</v>
      </c>
      <c r="K1121" s="93">
        <f t="shared" si="149"/>
        <v>2.94526066350711</v>
      </c>
      <c r="L1121" s="94">
        <f t="shared" si="150"/>
        <v>7.25078445570842</v>
      </c>
      <c r="M1121" s="92">
        <f t="shared" si="151"/>
        <v>0.00315955766192733</v>
      </c>
      <c r="N1121" s="46">
        <f t="shared" si="152"/>
        <v>6759</v>
      </c>
      <c r="O1121" s="46">
        <f t="shared" si="153"/>
        <v>932.175</v>
      </c>
      <c r="P1121" s="93">
        <f t="shared" si="154"/>
        <v>58.2609375</v>
      </c>
    </row>
    <row r="1122" s="2" customFormat="1" spans="1:16">
      <c r="A1122" s="82">
        <v>45769</v>
      </c>
      <c r="B1122" s="21">
        <v>1926.63</v>
      </c>
      <c r="C1122" s="33">
        <v>5278</v>
      </c>
      <c r="D1122" s="25">
        <v>721</v>
      </c>
      <c r="E1122" s="25">
        <v>0</v>
      </c>
      <c r="F1122" s="21">
        <v>0</v>
      </c>
      <c r="G1122" s="25">
        <v>34</v>
      </c>
      <c r="H1122" s="25">
        <v>4</v>
      </c>
      <c r="I1122" s="25">
        <v>2</v>
      </c>
      <c r="J1122" s="92">
        <f t="shared" si="148"/>
        <v>0.136604774535809</v>
      </c>
      <c r="K1122" s="93">
        <f t="shared" si="149"/>
        <v>2.67216366158114</v>
      </c>
      <c r="L1122" s="94">
        <f t="shared" si="150"/>
        <v>0</v>
      </c>
      <c r="M1122" s="92">
        <f t="shared" si="151"/>
        <v>0</v>
      </c>
      <c r="N1122" s="46">
        <f t="shared" si="152"/>
        <v>0</v>
      </c>
      <c r="O1122" s="46">
        <f t="shared" si="153"/>
        <v>0</v>
      </c>
      <c r="P1122" s="93">
        <f t="shared" si="154"/>
        <v>56.6655882352941</v>
      </c>
    </row>
    <row r="1123" s="2" customFormat="1" spans="1:16">
      <c r="A1123" s="82">
        <v>45770</v>
      </c>
      <c r="B1123" s="21">
        <v>1698.09</v>
      </c>
      <c r="C1123" s="33">
        <v>5112</v>
      </c>
      <c r="D1123" s="25">
        <v>650</v>
      </c>
      <c r="E1123" s="25">
        <v>0</v>
      </c>
      <c r="F1123" s="21">
        <v>0</v>
      </c>
      <c r="G1123" s="25">
        <v>16</v>
      </c>
      <c r="H1123" s="25">
        <v>8</v>
      </c>
      <c r="I1123" s="25">
        <v>6</v>
      </c>
      <c r="J1123" s="92">
        <f t="shared" si="148"/>
        <v>0.127151799687011</v>
      </c>
      <c r="K1123" s="93">
        <f t="shared" si="149"/>
        <v>2.61244615384615</v>
      </c>
      <c r="L1123" s="94">
        <f t="shared" si="150"/>
        <v>0</v>
      </c>
      <c r="M1123" s="92">
        <f t="shared" si="151"/>
        <v>0</v>
      </c>
      <c r="N1123" s="46">
        <f t="shared" si="152"/>
        <v>0</v>
      </c>
      <c r="O1123" s="46">
        <f t="shared" si="153"/>
        <v>0</v>
      </c>
      <c r="P1123" s="93">
        <f t="shared" si="154"/>
        <v>106.130625</v>
      </c>
    </row>
    <row r="1124" s="2" customFormat="1" spans="1:16">
      <c r="A1124" s="82">
        <v>45771</v>
      </c>
      <c r="B1124" s="21">
        <v>821.65</v>
      </c>
      <c r="C1124" s="33">
        <v>2550</v>
      </c>
      <c r="D1124" s="25">
        <v>343</v>
      </c>
      <c r="E1124" s="25">
        <v>1</v>
      </c>
      <c r="F1124" s="21">
        <v>8336</v>
      </c>
      <c r="G1124" s="25">
        <v>23</v>
      </c>
      <c r="H1124" s="25">
        <v>3</v>
      </c>
      <c r="I1124" s="25">
        <v>1</v>
      </c>
      <c r="J1124" s="92">
        <f t="shared" si="148"/>
        <v>0.134509803921569</v>
      </c>
      <c r="K1124" s="93">
        <f t="shared" si="149"/>
        <v>2.39548104956268</v>
      </c>
      <c r="L1124" s="94">
        <f t="shared" si="150"/>
        <v>10.1454390555589</v>
      </c>
      <c r="M1124" s="92">
        <f t="shared" si="151"/>
        <v>0.00291545189504373</v>
      </c>
      <c r="N1124" s="46">
        <f t="shared" si="152"/>
        <v>8336</v>
      </c>
      <c r="O1124" s="46">
        <f t="shared" si="153"/>
        <v>821.65</v>
      </c>
      <c r="P1124" s="93">
        <f t="shared" si="154"/>
        <v>35.7239130434783</v>
      </c>
    </row>
    <row r="1125" s="2" customFormat="1" spans="1:16">
      <c r="A1125" s="82">
        <v>45772</v>
      </c>
      <c r="B1125" s="21">
        <v>1551.69</v>
      </c>
      <c r="C1125" s="33">
        <v>5171</v>
      </c>
      <c r="D1125" s="25">
        <v>592</v>
      </c>
      <c r="E1125" s="25">
        <v>2</v>
      </c>
      <c r="F1125" s="21">
        <v>24694</v>
      </c>
      <c r="G1125" s="25">
        <v>39</v>
      </c>
      <c r="H1125" s="25">
        <v>5</v>
      </c>
      <c r="I1125" s="25">
        <v>4</v>
      </c>
      <c r="J1125" s="92">
        <f t="shared" si="148"/>
        <v>0.114484625797718</v>
      </c>
      <c r="K1125" s="93">
        <f t="shared" si="149"/>
        <v>2.62109797297297</v>
      </c>
      <c r="L1125" s="94">
        <f t="shared" si="150"/>
        <v>15.9142612248581</v>
      </c>
      <c r="M1125" s="92">
        <f t="shared" si="151"/>
        <v>0.00337837837837838</v>
      </c>
      <c r="N1125" s="46">
        <f t="shared" si="152"/>
        <v>12347</v>
      </c>
      <c r="O1125" s="46">
        <f t="shared" si="153"/>
        <v>775.845</v>
      </c>
      <c r="P1125" s="93">
        <f t="shared" si="154"/>
        <v>39.7869230769231</v>
      </c>
    </row>
    <row r="1126" s="2" customFormat="1" spans="1:16">
      <c r="A1126" s="82">
        <v>45773</v>
      </c>
      <c r="B1126" s="21">
        <v>1620.24</v>
      </c>
      <c r="C1126" s="33">
        <v>4855</v>
      </c>
      <c r="D1126" s="25">
        <v>594</v>
      </c>
      <c r="E1126" s="25">
        <v>2</v>
      </c>
      <c r="F1126" s="21">
        <v>41144</v>
      </c>
      <c r="G1126" s="25">
        <v>37</v>
      </c>
      <c r="H1126" s="25">
        <v>7</v>
      </c>
      <c r="I1126" s="25">
        <v>5</v>
      </c>
      <c r="J1126" s="92">
        <f t="shared" ref="J1126:J1189" si="155">D1126/C1126</f>
        <v>0.122348094747683</v>
      </c>
      <c r="K1126" s="93">
        <f t="shared" ref="K1126:K1189" si="156">B1126/D1126</f>
        <v>2.72767676767677</v>
      </c>
      <c r="L1126" s="94">
        <f t="shared" ref="L1126:L1189" si="157">F1126/B1126</f>
        <v>25.3937688243717</v>
      </c>
      <c r="M1126" s="92">
        <f t="shared" ref="M1126:M1189" si="158">E1126/D1126</f>
        <v>0.00336700336700337</v>
      </c>
      <c r="N1126" s="46">
        <f t="shared" ref="N1126:N1189" si="159">IF(E1126=0,0,F1126/E1126)</f>
        <v>20572</v>
      </c>
      <c r="O1126" s="46">
        <f t="shared" ref="O1126:O1189" si="160">IF(E1126=0,0,B1126/E1126)</f>
        <v>810.12</v>
      </c>
      <c r="P1126" s="93">
        <f t="shared" ref="P1126:P1189" si="161">B1126/G1126</f>
        <v>43.7902702702703</v>
      </c>
    </row>
    <row r="1127" s="2" customFormat="1" spans="1:16">
      <c r="A1127" s="82">
        <v>45774</v>
      </c>
      <c r="B1127" s="21">
        <v>2209.9</v>
      </c>
      <c r="C1127" s="33">
        <v>5559</v>
      </c>
      <c r="D1127" s="25">
        <v>774</v>
      </c>
      <c r="E1127" s="25">
        <v>0</v>
      </c>
      <c r="F1127" s="21">
        <v>0</v>
      </c>
      <c r="G1127" s="25">
        <v>46</v>
      </c>
      <c r="H1127" s="25">
        <v>1</v>
      </c>
      <c r="I1127" s="25">
        <v>5</v>
      </c>
      <c r="J1127" s="92">
        <f t="shared" si="155"/>
        <v>0.139233675121425</v>
      </c>
      <c r="K1127" s="93">
        <f t="shared" si="156"/>
        <v>2.85516795865633</v>
      </c>
      <c r="L1127" s="94">
        <f t="shared" si="157"/>
        <v>0</v>
      </c>
      <c r="M1127" s="92">
        <f t="shared" si="158"/>
        <v>0</v>
      </c>
      <c r="N1127" s="46">
        <f t="shared" si="159"/>
        <v>0</v>
      </c>
      <c r="O1127" s="46">
        <f t="shared" si="160"/>
        <v>0</v>
      </c>
      <c r="P1127" s="93">
        <f t="shared" si="161"/>
        <v>48.0413043478261</v>
      </c>
    </row>
    <row r="1128" s="2" customFormat="1" spans="1:16">
      <c r="A1128" s="82">
        <v>45775</v>
      </c>
      <c r="B1128" s="21">
        <v>2144.68</v>
      </c>
      <c r="C1128" s="33">
        <v>5962</v>
      </c>
      <c r="D1128" s="25">
        <v>698</v>
      </c>
      <c r="E1128" s="25">
        <v>1</v>
      </c>
      <c r="F1128" s="21">
        <v>8624</v>
      </c>
      <c r="G1128" s="25">
        <v>30</v>
      </c>
      <c r="H1128" s="25">
        <v>2</v>
      </c>
      <c r="I1128" s="25">
        <v>3</v>
      </c>
      <c r="J1128" s="92">
        <f t="shared" si="155"/>
        <v>0.117074807111707</v>
      </c>
      <c r="K1128" s="93">
        <f t="shared" si="156"/>
        <v>3.07260744985673</v>
      </c>
      <c r="L1128" s="94">
        <f t="shared" si="157"/>
        <v>4.02111270679076</v>
      </c>
      <c r="M1128" s="92">
        <f t="shared" si="158"/>
        <v>0.00143266475644699</v>
      </c>
      <c r="N1128" s="46">
        <f t="shared" si="159"/>
        <v>8624</v>
      </c>
      <c r="O1128" s="46">
        <f t="shared" si="160"/>
        <v>2144.68</v>
      </c>
      <c r="P1128" s="93">
        <f t="shared" si="161"/>
        <v>71.4893333333333</v>
      </c>
    </row>
    <row r="1129" s="2" customFormat="1" spans="1:16">
      <c r="A1129" s="82">
        <v>45776</v>
      </c>
      <c r="B1129" s="21">
        <v>2045.34</v>
      </c>
      <c r="C1129" s="33">
        <v>5237</v>
      </c>
      <c r="D1129" s="25">
        <v>601</v>
      </c>
      <c r="E1129" s="25">
        <v>1</v>
      </c>
      <c r="F1129" s="21">
        <v>13534</v>
      </c>
      <c r="G1129" s="25">
        <v>27</v>
      </c>
      <c r="H1129" s="25">
        <v>1</v>
      </c>
      <c r="I1129" s="25">
        <v>4</v>
      </c>
      <c r="J1129" s="92">
        <f t="shared" si="155"/>
        <v>0.114760358984151</v>
      </c>
      <c r="K1129" s="93">
        <f t="shared" si="156"/>
        <v>3.40322795341098</v>
      </c>
      <c r="L1129" s="94">
        <f t="shared" si="157"/>
        <v>6.61699277381756</v>
      </c>
      <c r="M1129" s="92">
        <f t="shared" si="158"/>
        <v>0.00166389351081531</v>
      </c>
      <c r="N1129" s="46">
        <f t="shared" si="159"/>
        <v>13534</v>
      </c>
      <c r="O1129" s="46">
        <f t="shared" si="160"/>
        <v>2045.34</v>
      </c>
      <c r="P1129" s="93">
        <f t="shared" si="161"/>
        <v>75.7533333333333</v>
      </c>
    </row>
    <row r="1130" s="2" customFormat="1" spans="1:16">
      <c r="A1130" s="82">
        <v>45777</v>
      </c>
      <c r="B1130" s="21">
        <v>2083.95</v>
      </c>
      <c r="C1130" s="33">
        <v>5084</v>
      </c>
      <c r="D1130" s="25">
        <v>585</v>
      </c>
      <c r="E1130" s="25">
        <v>0</v>
      </c>
      <c r="F1130" s="21">
        <v>0</v>
      </c>
      <c r="G1130" s="25">
        <v>25</v>
      </c>
      <c r="H1130" s="25">
        <v>3</v>
      </c>
      <c r="I1130" s="25">
        <v>1</v>
      </c>
      <c r="J1130" s="92">
        <f t="shared" si="155"/>
        <v>0.115066876475216</v>
      </c>
      <c r="K1130" s="93">
        <f t="shared" si="156"/>
        <v>3.56230769230769</v>
      </c>
      <c r="L1130" s="94">
        <f t="shared" si="157"/>
        <v>0</v>
      </c>
      <c r="M1130" s="92">
        <f t="shared" si="158"/>
        <v>0</v>
      </c>
      <c r="N1130" s="46">
        <f t="shared" si="159"/>
        <v>0</v>
      </c>
      <c r="O1130" s="46">
        <f t="shared" si="160"/>
        <v>0</v>
      </c>
      <c r="P1130" s="93">
        <f t="shared" si="161"/>
        <v>83.358</v>
      </c>
    </row>
    <row r="1131" s="2" customFormat="1" spans="1:16">
      <c r="A1131" s="82">
        <v>45778</v>
      </c>
      <c r="B1131" s="21">
        <v>1812.07</v>
      </c>
      <c r="C1131" s="33">
        <v>4686</v>
      </c>
      <c r="D1131" s="25">
        <v>514</v>
      </c>
      <c r="E1131" s="25">
        <v>1</v>
      </c>
      <c r="F1131" s="21">
        <v>17092</v>
      </c>
      <c r="G1131" s="25">
        <v>29</v>
      </c>
      <c r="H1131" s="25">
        <v>2</v>
      </c>
      <c r="I1131" s="25">
        <v>1</v>
      </c>
      <c r="J1131" s="92">
        <f t="shared" si="155"/>
        <v>0.109688433632096</v>
      </c>
      <c r="K1131" s="93">
        <f t="shared" si="156"/>
        <v>3.5254280155642</v>
      </c>
      <c r="L1131" s="94">
        <f t="shared" si="157"/>
        <v>9.43230669896858</v>
      </c>
      <c r="M1131" s="92">
        <f t="shared" si="158"/>
        <v>0.00194552529182879</v>
      </c>
      <c r="N1131" s="46">
        <f t="shared" si="159"/>
        <v>17092</v>
      </c>
      <c r="O1131" s="46">
        <f t="shared" si="160"/>
        <v>1812.07</v>
      </c>
      <c r="P1131" s="93">
        <f t="shared" si="161"/>
        <v>62.4851724137931</v>
      </c>
    </row>
    <row r="1132" s="2" customFormat="1" spans="1:16">
      <c r="A1132" s="82">
        <v>45779</v>
      </c>
      <c r="B1132" s="21">
        <v>1837.17</v>
      </c>
      <c r="C1132" s="33">
        <v>5166</v>
      </c>
      <c r="D1132" s="25">
        <v>600</v>
      </c>
      <c r="E1132" s="25">
        <v>3</v>
      </c>
      <c r="F1132" s="21">
        <v>43550</v>
      </c>
      <c r="G1132" s="25">
        <v>39</v>
      </c>
      <c r="H1132" s="25">
        <v>2</v>
      </c>
      <c r="I1132" s="25">
        <v>5</v>
      </c>
      <c r="J1132" s="92">
        <f t="shared" si="155"/>
        <v>0.116144018583043</v>
      </c>
      <c r="K1132" s="93">
        <f t="shared" si="156"/>
        <v>3.06195</v>
      </c>
      <c r="L1132" s="94">
        <f t="shared" si="157"/>
        <v>23.7049374853715</v>
      </c>
      <c r="M1132" s="92">
        <f t="shared" si="158"/>
        <v>0.005</v>
      </c>
      <c r="N1132" s="46">
        <f t="shared" si="159"/>
        <v>14516.6666666667</v>
      </c>
      <c r="O1132" s="46">
        <f t="shared" si="160"/>
        <v>612.39</v>
      </c>
      <c r="P1132" s="93">
        <f t="shared" si="161"/>
        <v>47.1069230769231</v>
      </c>
    </row>
    <row r="1133" s="2" customFormat="1" spans="1:16">
      <c r="A1133" s="82">
        <v>45780</v>
      </c>
      <c r="B1133" s="21">
        <v>1887.36</v>
      </c>
      <c r="C1133" s="33">
        <v>4304</v>
      </c>
      <c r="D1133" s="25">
        <v>562</v>
      </c>
      <c r="E1133" s="25">
        <v>2</v>
      </c>
      <c r="F1133" s="21">
        <v>20841</v>
      </c>
      <c r="G1133" s="25">
        <v>45</v>
      </c>
      <c r="H1133" s="25">
        <v>3</v>
      </c>
      <c r="I1133" s="25">
        <v>11</v>
      </c>
      <c r="J1133" s="92">
        <f t="shared" si="155"/>
        <v>0.130576208178439</v>
      </c>
      <c r="K1133" s="93">
        <f t="shared" si="156"/>
        <v>3.35829181494662</v>
      </c>
      <c r="L1133" s="94">
        <f t="shared" si="157"/>
        <v>11.0424084435402</v>
      </c>
      <c r="M1133" s="92">
        <f t="shared" si="158"/>
        <v>0.00355871886120996</v>
      </c>
      <c r="N1133" s="46">
        <f t="shared" si="159"/>
        <v>10420.5</v>
      </c>
      <c r="O1133" s="46">
        <f t="shared" si="160"/>
        <v>943.68</v>
      </c>
      <c r="P1133" s="93">
        <f t="shared" si="161"/>
        <v>41.9413333333333</v>
      </c>
    </row>
    <row r="1134" s="2" customFormat="1" spans="1:16">
      <c r="A1134" s="82">
        <v>45781</v>
      </c>
      <c r="B1134" s="21">
        <v>1241.51</v>
      </c>
      <c r="C1134" s="33">
        <v>3057</v>
      </c>
      <c r="D1134" s="25">
        <v>469</v>
      </c>
      <c r="E1134" s="25">
        <v>1</v>
      </c>
      <c r="F1134" s="21">
        <v>11154</v>
      </c>
      <c r="G1134" s="25">
        <v>30</v>
      </c>
      <c r="H1134" s="25">
        <v>4</v>
      </c>
      <c r="I1134" s="25">
        <v>2</v>
      </c>
      <c r="J1134" s="92">
        <f t="shared" si="155"/>
        <v>0.153418384036637</v>
      </c>
      <c r="K1134" s="93">
        <f t="shared" si="156"/>
        <v>2.64714285714286</v>
      </c>
      <c r="L1134" s="94">
        <f t="shared" si="157"/>
        <v>8.98422082786284</v>
      </c>
      <c r="M1134" s="92">
        <f t="shared" si="158"/>
        <v>0.00213219616204691</v>
      </c>
      <c r="N1134" s="46">
        <f t="shared" si="159"/>
        <v>11154</v>
      </c>
      <c r="O1134" s="46">
        <f t="shared" si="160"/>
        <v>1241.51</v>
      </c>
      <c r="P1134" s="93">
        <f t="shared" si="161"/>
        <v>41.3836666666667</v>
      </c>
    </row>
    <row r="1135" s="2" customFormat="1" spans="1:16">
      <c r="A1135" s="82">
        <v>45782</v>
      </c>
      <c r="B1135" s="21">
        <v>1675.06</v>
      </c>
      <c r="C1135" s="33">
        <v>4238</v>
      </c>
      <c r="D1135" s="25">
        <v>657</v>
      </c>
      <c r="E1135" s="25">
        <v>1</v>
      </c>
      <c r="F1135" s="21">
        <v>13884</v>
      </c>
      <c r="G1135" s="25">
        <v>40</v>
      </c>
      <c r="H1135" s="25">
        <v>6</v>
      </c>
      <c r="I1135" s="25">
        <v>8</v>
      </c>
      <c r="J1135" s="92">
        <f t="shared" si="155"/>
        <v>0.155025955639453</v>
      </c>
      <c r="K1135" s="93">
        <f t="shared" si="156"/>
        <v>2.54955859969559</v>
      </c>
      <c r="L1135" s="94">
        <f t="shared" si="157"/>
        <v>8.28865831671701</v>
      </c>
      <c r="M1135" s="92">
        <f t="shared" si="158"/>
        <v>0.0015220700152207</v>
      </c>
      <c r="N1135" s="46">
        <f t="shared" si="159"/>
        <v>13884</v>
      </c>
      <c r="O1135" s="46">
        <f t="shared" si="160"/>
        <v>1675.06</v>
      </c>
      <c r="P1135" s="93">
        <f t="shared" si="161"/>
        <v>41.8765</v>
      </c>
    </row>
    <row r="1136" s="2" customFormat="1" spans="1:16">
      <c r="A1136" s="82">
        <v>45783</v>
      </c>
      <c r="B1136" s="21">
        <v>1738.04</v>
      </c>
      <c r="C1136" s="33">
        <v>4273</v>
      </c>
      <c r="D1136" s="25">
        <v>663</v>
      </c>
      <c r="E1136" s="25">
        <v>2</v>
      </c>
      <c r="F1136" s="21">
        <v>30346</v>
      </c>
      <c r="G1136" s="25">
        <v>59</v>
      </c>
      <c r="H1136" s="25">
        <v>5</v>
      </c>
      <c r="I1136" s="25">
        <v>3</v>
      </c>
      <c r="J1136" s="92">
        <f t="shared" si="155"/>
        <v>0.155160308916452</v>
      </c>
      <c r="K1136" s="93">
        <f t="shared" si="156"/>
        <v>2.62147812971342</v>
      </c>
      <c r="L1136" s="94">
        <f t="shared" si="157"/>
        <v>17.459897355642</v>
      </c>
      <c r="M1136" s="92">
        <f t="shared" si="158"/>
        <v>0.00301659125188537</v>
      </c>
      <c r="N1136" s="46">
        <f t="shared" si="159"/>
        <v>15173</v>
      </c>
      <c r="O1136" s="46">
        <f t="shared" si="160"/>
        <v>869.02</v>
      </c>
      <c r="P1136" s="93">
        <f t="shared" si="161"/>
        <v>29.4583050847458</v>
      </c>
    </row>
    <row r="1137" s="2" customFormat="1" spans="1:16">
      <c r="A1137" s="82">
        <v>45784</v>
      </c>
      <c r="B1137" s="21">
        <v>2081.98</v>
      </c>
      <c r="C1137" s="33">
        <v>4606</v>
      </c>
      <c r="D1137" s="25">
        <v>700</v>
      </c>
      <c r="E1137" s="25">
        <v>2</v>
      </c>
      <c r="F1137" s="21">
        <v>12097</v>
      </c>
      <c r="G1137" s="25">
        <v>60</v>
      </c>
      <c r="H1137" s="25">
        <v>8</v>
      </c>
      <c r="I1137" s="25">
        <v>4</v>
      </c>
      <c r="J1137" s="92">
        <f t="shared" si="155"/>
        <v>0.151975683890578</v>
      </c>
      <c r="K1137" s="93">
        <f t="shared" si="156"/>
        <v>2.97425714285714</v>
      </c>
      <c r="L1137" s="94">
        <f t="shared" si="157"/>
        <v>5.81033439322184</v>
      </c>
      <c r="M1137" s="92">
        <f t="shared" si="158"/>
        <v>0.00285714285714286</v>
      </c>
      <c r="N1137" s="46">
        <f t="shared" si="159"/>
        <v>6048.5</v>
      </c>
      <c r="O1137" s="46">
        <f t="shared" si="160"/>
        <v>1040.99</v>
      </c>
      <c r="P1137" s="93">
        <f t="shared" si="161"/>
        <v>34.6996666666667</v>
      </c>
    </row>
    <row r="1138" s="2" customFormat="1" spans="1:16">
      <c r="A1138" s="82">
        <v>45785</v>
      </c>
      <c r="B1138" s="21">
        <v>2541.44</v>
      </c>
      <c r="C1138" s="33">
        <v>5022</v>
      </c>
      <c r="D1138" s="25">
        <v>756</v>
      </c>
      <c r="E1138" s="25">
        <v>2</v>
      </c>
      <c r="F1138" s="21">
        <v>34940</v>
      </c>
      <c r="G1138" s="25">
        <v>58</v>
      </c>
      <c r="H1138" s="25">
        <v>9</v>
      </c>
      <c r="I1138" s="25">
        <v>4</v>
      </c>
      <c r="J1138" s="92">
        <f t="shared" si="155"/>
        <v>0.150537634408602</v>
      </c>
      <c r="K1138" s="93">
        <f t="shared" si="156"/>
        <v>3.36169312169312</v>
      </c>
      <c r="L1138" s="94">
        <f t="shared" si="157"/>
        <v>13.7481113069756</v>
      </c>
      <c r="M1138" s="92">
        <f t="shared" si="158"/>
        <v>0.00264550264550265</v>
      </c>
      <c r="N1138" s="46">
        <f t="shared" si="159"/>
        <v>17470</v>
      </c>
      <c r="O1138" s="46">
        <f t="shared" si="160"/>
        <v>1270.72</v>
      </c>
      <c r="P1138" s="93">
        <f t="shared" si="161"/>
        <v>43.8179310344828</v>
      </c>
    </row>
    <row r="1139" s="2" customFormat="1" spans="1:16">
      <c r="A1139" s="82">
        <v>45786</v>
      </c>
      <c r="B1139" s="21">
        <v>2492.52</v>
      </c>
      <c r="C1139" s="33">
        <v>4957</v>
      </c>
      <c r="D1139" s="25">
        <v>650</v>
      </c>
      <c r="E1139" s="25">
        <v>1</v>
      </c>
      <c r="F1139" s="21">
        <v>16014</v>
      </c>
      <c r="G1139" s="25">
        <v>36</v>
      </c>
      <c r="H1139" s="25">
        <v>7</v>
      </c>
      <c r="I1139" s="25">
        <v>5</v>
      </c>
      <c r="J1139" s="92">
        <f t="shared" si="155"/>
        <v>0.131127698204559</v>
      </c>
      <c r="K1139" s="93">
        <f t="shared" si="156"/>
        <v>3.83464615384615</v>
      </c>
      <c r="L1139" s="94">
        <f t="shared" si="157"/>
        <v>6.42482307062732</v>
      </c>
      <c r="M1139" s="92">
        <f t="shared" si="158"/>
        <v>0.00153846153846154</v>
      </c>
      <c r="N1139" s="46">
        <f t="shared" si="159"/>
        <v>16014</v>
      </c>
      <c r="O1139" s="46">
        <f t="shared" si="160"/>
        <v>2492.52</v>
      </c>
      <c r="P1139" s="93">
        <f t="shared" si="161"/>
        <v>69.2366666666667</v>
      </c>
    </row>
    <row r="1140" s="2" customFormat="1" spans="1:16">
      <c r="A1140" s="82">
        <v>45787</v>
      </c>
      <c r="B1140" s="21">
        <v>2301.32</v>
      </c>
      <c r="C1140" s="33">
        <v>4500</v>
      </c>
      <c r="D1140" s="25">
        <v>592</v>
      </c>
      <c r="E1140" s="25">
        <v>3</v>
      </c>
      <c r="F1140" s="21">
        <v>36582</v>
      </c>
      <c r="G1140" s="25">
        <v>50</v>
      </c>
      <c r="H1140" s="25">
        <v>3</v>
      </c>
      <c r="I1140" s="25">
        <v>7</v>
      </c>
      <c r="J1140" s="92">
        <f t="shared" si="155"/>
        <v>0.131555555555556</v>
      </c>
      <c r="K1140" s="93">
        <f t="shared" si="156"/>
        <v>3.88736486486487</v>
      </c>
      <c r="L1140" s="94">
        <f t="shared" si="157"/>
        <v>15.896094415379</v>
      </c>
      <c r="M1140" s="92">
        <f t="shared" si="158"/>
        <v>0.00506756756756757</v>
      </c>
      <c r="N1140" s="46">
        <f t="shared" si="159"/>
        <v>12194</v>
      </c>
      <c r="O1140" s="46">
        <f t="shared" si="160"/>
        <v>767.106666666667</v>
      </c>
      <c r="P1140" s="93">
        <f t="shared" si="161"/>
        <v>46.0264</v>
      </c>
    </row>
    <row r="1141" s="2" customFormat="1" spans="1:16">
      <c r="A1141" s="82">
        <v>45788</v>
      </c>
      <c r="B1141" s="21">
        <v>2608.77</v>
      </c>
      <c r="C1141" s="33">
        <v>5000</v>
      </c>
      <c r="D1141" s="25">
        <v>646</v>
      </c>
      <c r="E1141" s="25">
        <v>1</v>
      </c>
      <c r="F1141" s="21">
        <v>11554</v>
      </c>
      <c r="G1141" s="25">
        <v>76</v>
      </c>
      <c r="H1141" s="25">
        <v>3</v>
      </c>
      <c r="I1141" s="25">
        <v>7</v>
      </c>
      <c r="J1141" s="92">
        <f t="shared" si="155"/>
        <v>0.1292</v>
      </c>
      <c r="K1141" s="93">
        <f t="shared" si="156"/>
        <v>4.03834365325077</v>
      </c>
      <c r="L1141" s="94">
        <f t="shared" si="157"/>
        <v>4.42890710948071</v>
      </c>
      <c r="M1141" s="92">
        <f t="shared" si="158"/>
        <v>0.00154798761609907</v>
      </c>
      <c r="N1141" s="46">
        <f t="shared" si="159"/>
        <v>11554</v>
      </c>
      <c r="O1141" s="46">
        <f t="shared" si="160"/>
        <v>2608.77</v>
      </c>
      <c r="P1141" s="93">
        <f t="shared" si="161"/>
        <v>34.3259210526316</v>
      </c>
    </row>
    <row r="1142" s="2" customFormat="1" spans="1:16">
      <c r="A1142" s="82">
        <v>45789</v>
      </c>
      <c r="B1142" s="21">
        <v>1822.55</v>
      </c>
      <c r="C1142" s="33">
        <v>5875</v>
      </c>
      <c r="D1142" s="25">
        <v>623</v>
      </c>
      <c r="E1142" s="25">
        <v>1</v>
      </c>
      <c r="F1142" s="21">
        <v>6404</v>
      </c>
      <c r="G1142" s="25">
        <v>53</v>
      </c>
      <c r="H1142" s="25">
        <v>3</v>
      </c>
      <c r="I1142" s="25">
        <v>5</v>
      </c>
      <c r="J1142" s="92">
        <f t="shared" si="155"/>
        <v>0.106042553191489</v>
      </c>
      <c r="K1142" s="93">
        <f t="shared" si="156"/>
        <v>2.92544141252006</v>
      </c>
      <c r="L1142" s="94">
        <f t="shared" si="157"/>
        <v>3.51375819593427</v>
      </c>
      <c r="M1142" s="92">
        <f t="shared" si="158"/>
        <v>0.00160513643659711</v>
      </c>
      <c r="N1142" s="46">
        <f t="shared" si="159"/>
        <v>6404</v>
      </c>
      <c r="O1142" s="46">
        <f t="shared" si="160"/>
        <v>1822.55</v>
      </c>
      <c r="P1142" s="93">
        <f t="shared" si="161"/>
        <v>34.3877358490566</v>
      </c>
    </row>
    <row r="1143" s="2" customFormat="1" spans="1:16">
      <c r="A1143" s="82">
        <v>45790</v>
      </c>
      <c r="B1143" s="21">
        <v>2224.62</v>
      </c>
      <c r="C1143" s="33">
        <v>5921</v>
      </c>
      <c r="D1143" s="25">
        <v>690</v>
      </c>
      <c r="E1143" s="25">
        <v>7</v>
      </c>
      <c r="F1143" s="21">
        <v>93083</v>
      </c>
      <c r="G1143" s="25">
        <v>39</v>
      </c>
      <c r="H1143" s="25">
        <v>10</v>
      </c>
      <c r="I1143" s="25">
        <v>9</v>
      </c>
      <c r="J1143" s="92">
        <f t="shared" si="155"/>
        <v>0.116534369194393</v>
      </c>
      <c r="K1143" s="93">
        <f t="shared" si="156"/>
        <v>3.22408695652174</v>
      </c>
      <c r="L1143" s="94">
        <f t="shared" si="157"/>
        <v>41.8422022637574</v>
      </c>
      <c r="M1143" s="92">
        <f t="shared" si="158"/>
        <v>0.0101449275362319</v>
      </c>
      <c r="N1143" s="46">
        <f t="shared" si="159"/>
        <v>13297.5714285714</v>
      </c>
      <c r="O1143" s="46">
        <f t="shared" si="160"/>
        <v>317.802857142857</v>
      </c>
      <c r="P1143" s="93">
        <f t="shared" si="161"/>
        <v>57.0415384615385</v>
      </c>
    </row>
    <row r="1144" s="2" customFormat="1" spans="1:16">
      <c r="A1144" s="82">
        <v>45791</v>
      </c>
      <c r="B1144" s="21">
        <v>4172.62</v>
      </c>
      <c r="C1144" s="33">
        <v>6621</v>
      </c>
      <c r="D1144" s="25">
        <v>939</v>
      </c>
      <c r="E1144" s="25">
        <v>10</v>
      </c>
      <c r="F1144" s="21">
        <v>139758.99</v>
      </c>
      <c r="G1144" s="25">
        <v>83</v>
      </c>
      <c r="H1144" s="25">
        <v>12</v>
      </c>
      <c r="I1144" s="25">
        <v>9</v>
      </c>
      <c r="J1144" s="92">
        <f t="shared" si="155"/>
        <v>0.14182147711826</v>
      </c>
      <c r="K1144" s="93">
        <f t="shared" si="156"/>
        <v>4.44368477103301</v>
      </c>
      <c r="L1144" s="94">
        <f t="shared" si="157"/>
        <v>33.4943009428129</v>
      </c>
      <c r="M1144" s="92">
        <f t="shared" si="158"/>
        <v>0.0106496272630458</v>
      </c>
      <c r="N1144" s="46">
        <f t="shared" si="159"/>
        <v>13975.899</v>
      </c>
      <c r="O1144" s="46">
        <f t="shared" si="160"/>
        <v>417.262</v>
      </c>
      <c r="P1144" s="93">
        <f t="shared" si="161"/>
        <v>50.2725301204819</v>
      </c>
    </row>
    <row r="1145" s="2" customFormat="1" spans="1:16">
      <c r="A1145" s="82">
        <v>45792</v>
      </c>
      <c r="B1145" s="21">
        <v>4666.27</v>
      </c>
      <c r="C1145" s="33">
        <v>6475</v>
      </c>
      <c r="D1145" s="25">
        <v>963</v>
      </c>
      <c r="E1145" s="25">
        <v>11</v>
      </c>
      <c r="F1145" s="21">
        <v>124955</v>
      </c>
      <c r="G1145" s="25">
        <v>94</v>
      </c>
      <c r="H1145" s="25">
        <v>7</v>
      </c>
      <c r="I1145" s="25">
        <v>9</v>
      </c>
      <c r="J1145" s="92">
        <f t="shared" si="155"/>
        <v>0.148725868725869</v>
      </c>
      <c r="K1145" s="93">
        <f t="shared" si="156"/>
        <v>4.84555555555556</v>
      </c>
      <c r="L1145" s="94">
        <f t="shared" si="157"/>
        <v>26.7783475881164</v>
      </c>
      <c r="M1145" s="92">
        <f t="shared" si="158"/>
        <v>0.0114226375908619</v>
      </c>
      <c r="N1145" s="46">
        <f t="shared" si="159"/>
        <v>11359.5454545455</v>
      </c>
      <c r="O1145" s="46">
        <f t="shared" si="160"/>
        <v>424.206363636364</v>
      </c>
      <c r="P1145" s="93">
        <f t="shared" si="161"/>
        <v>49.641170212766</v>
      </c>
    </row>
    <row r="1146" s="2" customFormat="1" spans="1:16">
      <c r="A1146" s="82">
        <v>45793</v>
      </c>
      <c r="B1146" s="21">
        <v>4618.54</v>
      </c>
      <c r="C1146" s="33">
        <v>8462</v>
      </c>
      <c r="D1146" s="25">
        <v>895</v>
      </c>
      <c r="E1146" s="25">
        <v>7</v>
      </c>
      <c r="F1146" s="21">
        <v>87272</v>
      </c>
      <c r="G1146" s="25">
        <v>85</v>
      </c>
      <c r="H1146" s="25">
        <v>6</v>
      </c>
      <c r="I1146" s="25">
        <v>9</v>
      </c>
      <c r="J1146" s="92">
        <f t="shared" si="155"/>
        <v>0.105766958165918</v>
      </c>
      <c r="K1146" s="93">
        <f t="shared" si="156"/>
        <v>5.16037988826816</v>
      </c>
      <c r="L1146" s="94">
        <f t="shared" si="157"/>
        <v>18.8960147579105</v>
      </c>
      <c r="M1146" s="92">
        <f t="shared" si="158"/>
        <v>0.00782122905027933</v>
      </c>
      <c r="N1146" s="46">
        <f t="shared" si="159"/>
        <v>12467.4285714286</v>
      </c>
      <c r="O1146" s="46">
        <f t="shared" si="160"/>
        <v>659.791428571429</v>
      </c>
      <c r="P1146" s="93">
        <f t="shared" si="161"/>
        <v>54.3357647058824</v>
      </c>
    </row>
    <row r="1147" s="2" customFormat="1" spans="1:16">
      <c r="A1147" s="82">
        <v>45794</v>
      </c>
      <c r="B1147" s="21">
        <v>3394.39</v>
      </c>
      <c r="C1147" s="33">
        <v>6923</v>
      </c>
      <c r="D1147" s="25">
        <v>700</v>
      </c>
      <c r="E1147" s="25">
        <v>5</v>
      </c>
      <c r="F1147" s="21">
        <v>57728</v>
      </c>
      <c r="G1147" s="25">
        <v>84</v>
      </c>
      <c r="H1147" s="25">
        <v>3</v>
      </c>
      <c r="I1147" s="25">
        <v>6</v>
      </c>
      <c r="J1147" s="92">
        <f t="shared" si="155"/>
        <v>0.101112234580384</v>
      </c>
      <c r="K1147" s="93">
        <f t="shared" si="156"/>
        <v>4.84912857142857</v>
      </c>
      <c r="L1147" s="94">
        <f t="shared" si="157"/>
        <v>17.0068848894794</v>
      </c>
      <c r="M1147" s="92">
        <f t="shared" si="158"/>
        <v>0.00714285714285714</v>
      </c>
      <c r="N1147" s="46">
        <f t="shared" si="159"/>
        <v>11545.6</v>
      </c>
      <c r="O1147" s="46">
        <f t="shared" si="160"/>
        <v>678.878</v>
      </c>
      <c r="P1147" s="93">
        <f t="shared" si="161"/>
        <v>40.4094047619048</v>
      </c>
    </row>
    <row r="1148" s="2" customFormat="1" spans="1:16">
      <c r="A1148" s="82">
        <v>45795</v>
      </c>
      <c r="B1148" s="21">
        <v>3716.18</v>
      </c>
      <c r="C1148" s="33">
        <v>7972</v>
      </c>
      <c r="D1148" s="25">
        <v>864</v>
      </c>
      <c r="E1148" s="25">
        <v>3</v>
      </c>
      <c r="F1148" s="21">
        <v>24070</v>
      </c>
      <c r="G1148" s="25">
        <v>71</v>
      </c>
      <c r="H1148" s="25">
        <v>5</v>
      </c>
      <c r="I1148" s="25">
        <v>8</v>
      </c>
      <c r="J1148" s="92">
        <f t="shared" si="155"/>
        <v>0.108379327646764</v>
      </c>
      <c r="K1148" s="93">
        <f t="shared" si="156"/>
        <v>4.30113425925926</v>
      </c>
      <c r="L1148" s="94">
        <f t="shared" si="157"/>
        <v>6.47708130391962</v>
      </c>
      <c r="M1148" s="92">
        <f t="shared" si="158"/>
        <v>0.00347222222222222</v>
      </c>
      <c r="N1148" s="46">
        <f t="shared" si="159"/>
        <v>8023.33333333333</v>
      </c>
      <c r="O1148" s="46">
        <f t="shared" si="160"/>
        <v>1238.72666666667</v>
      </c>
      <c r="P1148" s="93">
        <f t="shared" si="161"/>
        <v>52.3405633802817</v>
      </c>
    </row>
    <row r="1149" s="2" customFormat="1" spans="1:16">
      <c r="A1149" s="82">
        <v>45796</v>
      </c>
      <c r="B1149" s="21">
        <v>3092</v>
      </c>
      <c r="C1149" s="33">
        <v>6165</v>
      </c>
      <c r="D1149" s="25">
        <v>738</v>
      </c>
      <c r="E1149" s="25">
        <v>3</v>
      </c>
      <c r="F1149" s="21">
        <v>15106</v>
      </c>
      <c r="G1149" s="25">
        <v>53</v>
      </c>
      <c r="H1149" s="25">
        <v>4</v>
      </c>
      <c r="I1149" s="25">
        <v>2</v>
      </c>
      <c r="J1149" s="92">
        <f t="shared" si="155"/>
        <v>0.11970802919708</v>
      </c>
      <c r="K1149" s="93">
        <f t="shared" si="156"/>
        <v>4.18970189701897</v>
      </c>
      <c r="L1149" s="94">
        <f t="shared" si="157"/>
        <v>4.88551099611902</v>
      </c>
      <c r="M1149" s="92">
        <f t="shared" si="158"/>
        <v>0.0040650406504065</v>
      </c>
      <c r="N1149" s="46">
        <f t="shared" si="159"/>
        <v>5035.33333333333</v>
      </c>
      <c r="O1149" s="46">
        <f t="shared" si="160"/>
        <v>1030.66666666667</v>
      </c>
      <c r="P1149" s="93">
        <f t="shared" si="161"/>
        <v>58.3396226415094</v>
      </c>
    </row>
    <row r="1150" s="2" customFormat="1" spans="1:16">
      <c r="A1150" s="82">
        <v>45797</v>
      </c>
      <c r="B1150" s="21">
        <v>1965.59</v>
      </c>
      <c r="C1150" s="33">
        <v>5292</v>
      </c>
      <c r="D1150" s="25">
        <v>565</v>
      </c>
      <c r="E1150" s="25">
        <v>1</v>
      </c>
      <c r="F1150" s="21">
        <v>38136</v>
      </c>
      <c r="G1150" s="25">
        <v>61</v>
      </c>
      <c r="H1150" s="25">
        <v>4</v>
      </c>
      <c r="I1150" s="25">
        <v>2</v>
      </c>
      <c r="J1150" s="92">
        <f t="shared" si="155"/>
        <v>0.1067649281935</v>
      </c>
      <c r="K1150" s="93">
        <f t="shared" si="156"/>
        <v>3.4789203539823</v>
      </c>
      <c r="L1150" s="94">
        <f t="shared" si="157"/>
        <v>19.4018081085069</v>
      </c>
      <c r="M1150" s="92">
        <f t="shared" si="158"/>
        <v>0.00176991150442478</v>
      </c>
      <c r="N1150" s="46">
        <f t="shared" si="159"/>
        <v>38136</v>
      </c>
      <c r="O1150" s="46">
        <f t="shared" si="160"/>
        <v>1965.59</v>
      </c>
      <c r="P1150" s="93">
        <f t="shared" si="161"/>
        <v>32.2227868852459</v>
      </c>
    </row>
    <row r="1151" s="2" customFormat="1" spans="1:16">
      <c r="A1151" s="82">
        <v>45798</v>
      </c>
      <c r="B1151" s="21">
        <v>1994.67</v>
      </c>
      <c r="C1151" s="33">
        <v>5535</v>
      </c>
      <c r="D1151" s="25">
        <v>566</v>
      </c>
      <c r="E1151" s="25">
        <v>3</v>
      </c>
      <c r="F1151" s="21">
        <v>35816</v>
      </c>
      <c r="G1151" s="25">
        <v>72</v>
      </c>
      <c r="H1151" s="25">
        <v>4</v>
      </c>
      <c r="I1151" s="25">
        <v>9</v>
      </c>
      <c r="J1151" s="92">
        <f t="shared" si="155"/>
        <v>0.102258355916893</v>
      </c>
      <c r="K1151" s="93">
        <f t="shared" si="156"/>
        <v>3.5241519434629</v>
      </c>
      <c r="L1151" s="94">
        <f t="shared" si="157"/>
        <v>17.9558523465034</v>
      </c>
      <c r="M1151" s="92">
        <f t="shared" si="158"/>
        <v>0.00530035335689046</v>
      </c>
      <c r="N1151" s="46">
        <f t="shared" si="159"/>
        <v>11938.6666666667</v>
      </c>
      <c r="O1151" s="46">
        <f t="shared" si="160"/>
        <v>664.89</v>
      </c>
      <c r="P1151" s="93">
        <f t="shared" si="161"/>
        <v>27.70375</v>
      </c>
    </row>
    <row r="1152" s="2" customFormat="1" spans="1:16">
      <c r="A1152" s="82">
        <v>45799</v>
      </c>
      <c r="B1152" s="21">
        <v>1925.99</v>
      </c>
      <c r="C1152" s="33">
        <v>7434</v>
      </c>
      <c r="D1152" s="25">
        <v>593</v>
      </c>
      <c r="E1152" s="25">
        <v>7</v>
      </c>
      <c r="F1152" s="21">
        <v>76613</v>
      </c>
      <c r="G1152" s="25">
        <v>29</v>
      </c>
      <c r="H1152" s="25">
        <v>4</v>
      </c>
      <c r="I1152" s="25">
        <v>1</v>
      </c>
      <c r="J1152" s="92">
        <f t="shared" si="155"/>
        <v>0.0797686306160882</v>
      </c>
      <c r="K1152" s="93">
        <f t="shared" si="156"/>
        <v>3.24787521079258</v>
      </c>
      <c r="L1152" s="94">
        <f t="shared" si="157"/>
        <v>39.7785035228636</v>
      </c>
      <c r="M1152" s="92">
        <f t="shared" si="158"/>
        <v>0.0118043844856661</v>
      </c>
      <c r="N1152" s="46">
        <f t="shared" si="159"/>
        <v>10944.7142857143</v>
      </c>
      <c r="O1152" s="46">
        <f t="shared" si="160"/>
        <v>275.141428571429</v>
      </c>
      <c r="P1152" s="93">
        <f t="shared" si="161"/>
        <v>66.4134482758621</v>
      </c>
    </row>
    <row r="1153" s="2" customFormat="1" spans="1:16">
      <c r="A1153" s="82">
        <v>45800</v>
      </c>
      <c r="B1153" s="21">
        <v>2394.12</v>
      </c>
      <c r="C1153" s="33">
        <v>8282</v>
      </c>
      <c r="D1153" s="25">
        <v>675</v>
      </c>
      <c r="E1153" s="25">
        <v>2</v>
      </c>
      <c r="F1153" s="21">
        <v>16580</v>
      </c>
      <c r="G1153" s="25">
        <v>50</v>
      </c>
      <c r="H1153" s="25">
        <v>6</v>
      </c>
      <c r="I1153" s="25">
        <v>1</v>
      </c>
      <c r="J1153" s="92">
        <f t="shared" si="155"/>
        <v>0.0815020526442888</v>
      </c>
      <c r="K1153" s="93">
        <f t="shared" si="156"/>
        <v>3.54684444444444</v>
      </c>
      <c r="L1153" s="94">
        <f t="shared" si="157"/>
        <v>6.92530031911517</v>
      </c>
      <c r="M1153" s="92">
        <f t="shared" si="158"/>
        <v>0.00296296296296296</v>
      </c>
      <c r="N1153" s="46">
        <f t="shared" si="159"/>
        <v>8290</v>
      </c>
      <c r="O1153" s="46">
        <f t="shared" si="160"/>
        <v>1197.06</v>
      </c>
      <c r="P1153" s="93">
        <f t="shared" si="161"/>
        <v>47.8824</v>
      </c>
    </row>
    <row r="1154" s="2" customFormat="1" spans="1:16">
      <c r="A1154" s="82">
        <v>45801</v>
      </c>
      <c r="B1154" s="21">
        <v>2415.19</v>
      </c>
      <c r="C1154" s="33">
        <v>8544</v>
      </c>
      <c r="D1154" s="25">
        <v>709</v>
      </c>
      <c r="E1154" s="25">
        <v>1</v>
      </c>
      <c r="F1154" s="21">
        <v>3794</v>
      </c>
      <c r="G1154" s="25">
        <v>46</v>
      </c>
      <c r="H1154" s="25">
        <v>2</v>
      </c>
      <c r="I1154" s="25">
        <v>5</v>
      </c>
      <c r="J1154" s="92">
        <f t="shared" si="155"/>
        <v>0.0829822097378277</v>
      </c>
      <c r="K1154" s="93">
        <f t="shared" si="156"/>
        <v>3.40647390691114</v>
      </c>
      <c r="L1154" s="94">
        <f t="shared" si="157"/>
        <v>1.57089090299314</v>
      </c>
      <c r="M1154" s="92">
        <f t="shared" si="158"/>
        <v>0.00141043723554302</v>
      </c>
      <c r="N1154" s="46">
        <f t="shared" si="159"/>
        <v>3794</v>
      </c>
      <c r="O1154" s="46">
        <f t="shared" si="160"/>
        <v>2415.19</v>
      </c>
      <c r="P1154" s="93">
        <f t="shared" si="161"/>
        <v>52.5041304347826</v>
      </c>
    </row>
    <row r="1155" s="2" customFormat="1" spans="1:16">
      <c r="A1155" s="82">
        <v>45802</v>
      </c>
      <c r="B1155" s="21">
        <v>2447.29</v>
      </c>
      <c r="C1155" s="33">
        <v>7620</v>
      </c>
      <c r="D1155" s="25">
        <v>689</v>
      </c>
      <c r="E1155" s="25">
        <v>3</v>
      </c>
      <c r="F1155" s="21">
        <v>23548</v>
      </c>
      <c r="G1155" s="25">
        <v>59</v>
      </c>
      <c r="H1155" s="25">
        <v>5</v>
      </c>
      <c r="I1155" s="25">
        <v>2</v>
      </c>
      <c r="J1155" s="92">
        <f t="shared" si="155"/>
        <v>0.0904199475065617</v>
      </c>
      <c r="K1155" s="93">
        <f t="shared" si="156"/>
        <v>3.55194484760522</v>
      </c>
      <c r="L1155" s="94">
        <f t="shared" si="157"/>
        <v>9.62207176100912</v>
      </c>
      <c r="M1155" s="92">
        <f t="shared" si="158"/>
        <v>0.00435413642960813</v>
      </c>
      <c r="N1155" s="46">
        <f t="shared" si="159"/>
        <v>7849.33333333333</v>
      </c>
      <c r="O1155" s="46">
        <f t="shared" si="160"/>
        <v>815.763333333333</v>
      </c>
      <c r="P1155" s="93">
        <f t="shared" si="161"/>
        <v>41.4794915254237</v>
      </c>
    </row>
    <row r="1156" s="2" customFormat="1" customHeight="1" spans="1:16">
      <c r="A1156" s="82">
        <v>45803</v>
      </c>
      <c r="B1156" s="21">
        <v>2608.07</v>
      </c>
      <c r="C1156" s="33">
        <v>9413</v>
      </c>
      <c r="D1156" s="25">
        <v>761</v>
      </c>
      <c r="E1156" s="25">
        <v>2</v>
      </c>
      <c r="F1156" s="21">
        <v>29068</v>
      </c>
      <c r="G1156" s="25">
        <v>32</v>
      </c>
      <c r="H1156" s="25">
        <v>12</v>
      </c>
      <c r="I1156" s="25">
        <v>7</v>
      </c>
      <c r="J1156" s="92">
        <f t="shared" si="155"/>
        <v>0.08084563900988</v>
      </c>
      <c r="K1156" s="93">
        <f t="shared" si="156"/>
        <v>3.42716162943495</v>
      </c>
      <c r="L1156" s="94">
        <f t="shared" si="157"/>
        <v>11.1454063732952</v>
      </c>
      <c r="M1156" s="92">
        <f t="shared" si="158"/>
        <v>0.0026281208935611</v>
      </c>
      <c r="N1156" s="46">
        <f t="shared" si="159"/>
        <v>14534</v>
      </c>
      <c r="O1156" s="46">
        <f t="shared" si="160"/>
        <v>1304.035</v>
      </c>
      <c r="P1156" s="93">
        <f t="shared" si="161"/>
        <v>81.5021875</v>
      </c>
    </row>
    <row r="1157" s="2" customFormat="1" customHeight="1" spans="1:16">
      <c r="A1157" s="82">
        <v>45804</v>
      </c>
      <c r="B1157" s="21">
        <v>2661.39</v>
      </c>
      <c r="C1157" s="33">
        <v>10532</v>
      </c>
      <c r="D1157" s="25">
        <v>746</v>
      </c>
      <c r="E1157" s="25">
        <v>0</v>
      </c>
      <c r="F1157" s="21">
        <v>0</v>
      </c>
      <c r="G1157" s="25">
        <v>43</v>
      </c>
      <c r="H1157" s="25">
        <v>8</v>
      </c>
      <c r="I1157" s="25">
        <v>5</v>
      </c>
      <c r="J1157" s="92">
        <f t="shared" si="155"/>
        <v>0.0708317508545385</v>
      </c>
      <c r="K1157" s="93">
        <f t="shared" si="156"/>
        <v>3.56754691689008</v>
      </c>
      <c r="L1157" s="94">
        <f t="shared" si="157"/>
        <v>0</v>
      </c>
      <c r="M1157" s="92">
        <f t="shared" si="158"/>
        <v>0</v>
      </c>
      <c r="N1157" s="46">
        <f t="shared" si="159"/>
        <v>0</v>
      </c>
      <c r="O1157" s="46">
        <f t="shared" si="160"/>
        <v>0</v>
      </c>
      <c r="P1157" s="93">
        <f t="shared" si="161"/>
        <v>61.8927906976744</v>
      </c>
    </row>
    <row r="1158" s="2" customFormat="1" customHeight="1" spans="1:16">
      <c r="A1158" s="82">
        <v>45805</v>
      </c>
      <c r="B1158" s="21">
        <v>2976.94</v>
      </c>
      <c r="C1158" s="33">
        <v>11748</v>
      </c>
      <c r="D1158" s="25">
        <v>700</v>
      </c>
      <c r="E1158" s="25">
        <v>1</v>
      </c>
      <c r="F1158" s="21">
        <v>7736</v>
      </c>
      <c r="G1158" s="25">
        <v>66</v>
      </c>
      <c r="H1158" s="25">
        <v>7</v>
      </c>
      <c r="I1158" s="25">
        <v>5</v>
      </c>
      <c r="J1158" s="92">
        <f t="shared" si="155"/>
        <v>0.0595846101464079</v>
      </c>
      <c r="K1158" s="93">
        <f t="shared" si="156"/>
        <v>4.25277142857143</v>
      </c>
      <c r="L1158" s="94">
        <f t="shared" si="157"/>
        <v>2.59864155811001</v>
      </c>
      <c r="M1158" s="92">
        <f t="shared" si="158"/>
        <v>0.00142857142857143</v>
      </c>
      <c r="N1158" s="46">
        <f t="shared" si="159"/>
        <v>7736</v>
      </c>
      <c r="O1158" s="46">
        <f t="shared" si="160"/>
        <v>2976.94</v>
      </c>
      <c r="P1158" s="93">
        <f t="shared" si="161"/>
        <v>45.1051515151515</v>
      </c>
    </row>
    <row r="1159" s="2" customFormat="1" customHeight="1" spans="1:16">
      <c r="A1159" s="82">
        <v>45806</v>
      </c>
      <c r="B1159" s="21">
        <v>2763.18</v>
      </c>
      <c r="C1159" s="33">
        <v>10993</v>
      </c>
      <c r="D1159" s="25">
        <v>649</v>
      </c>
      <c r="E1159" s="25">
        <v>6</v>
      </c>
      <c r="F1159" s="21">
        <v>72987</v>
      </c>
      <c r="G1159" s="25">
        <v>53</v>
      </c>
      <c r="H1159" s="25">
        <v>5</v>
      </c>
      <c r="I1159" s="25">
        <v>3</v>
      </c>
      <c r="J1159" s="92">
        <f t="shared" si="155"/>
        <v>0.0590375693623215</v>
      </c>
      <c r="K1159" s="93">
        <f t="shared" si="156"/>
        <v>4.25759630200308</v>
      </c>
      <c r="L1159" s="94">
        <f t="shared" si="157"/>
        <v>26.4141315440905</v>
      </c>
      <c r="M1159" s="92">
        <f t="shared" si="158"/>
        <v>0.00924499229583975</v>
      </c>
      <c r="N1159" s="46">
        <f t="shared" si="159"/>
        <v>12164.5</v>
      </c>
      <c r="O1159" s="46">
        <f t="shared" si="160"/>
        <v>460.53</v>
      </c>
      <c r="P1159" s="93">
        <f t="shared" si="161"/>
        <v>52.1354716981132</v>
      </c>
    </row>
    <row r="1160" s="2" customFormat="1" customHeight="1" spans="1:16">
      <c r="A1160" s="82">
        <v>45807</v>
      </c>
      <c r="B1160" s="21">
        <v>2140.73</v>
      </c>
      <c r="C1160" s="33">
        <v>11125</v>
      </c>
      <c r="D1160" s="25">
        <v>564</v>
      </c>
      <c r="E1160" s="25">
        <v>1</v>
      </c>
      <c r="F1160" s="21">
        <v>10198</v>
      </c>
      <c r="G1160" s="25">
        <v>39</v>
      </c>
      <c r="H1160" s="25">
        <v>2</v>
      </c>
      <c r="I1160" s="25">
        <v>2</v>
      </c>
      <c r="J1160" s="92">
        <f t="shared" si="155"/>
        <v>0.0506966292134831</v>
      </c>
      <c r="K1160" s="93">
        <f t="shared" si="156"/>
        <v>3.79562056737589</v>
      </c>
      <c r="L1160" s="94">
        <f t="shared" si="157"/>
        <v>4.76379552769382</v>
      </c>
      <c r="M1160" s="92">
        <f t="shared" si="158"/>
        <v>0.00177304964539007</v>
      </c>
      <c r="N1160" s="46">
        <f t="shared" si="159"/>
        <v>10198</v>
      </c>
      <c r="O1160" s="46">
        <f t="shared" si="160"/>
        <v>2140.73</v>
      </c>
      <c r="P1160" s="93">
        <f t="shared" si="161"/>
        <v>54.8905128205128</v>
      </c>
    </row>
    <row r="1161" s="2" customFormat="1" customHeight="1" spans="1:16">
      <c r="A1161" s="82">
        <v>45808</v>
      </c>
      <c r="B1161" s="21">
        <v>2165.36</v>
      </c>
      <c r="C1161" s="33">
        <v>10117</v>
      </c>
      <c r="D1161" s="25">
        <v>567</v>
      </c>
      <c r="E1161" s="25">
        <v>2</v>
      </c>
      <c r="F1161" s="21">
        <v>35755</v>
      </c>
      <c r="G1161" s="25">
        <v>43</v>
      </c>
      <c r="H1161" s="25">
        <v>2</v>
      </c>
      <c r="I1161" s="25">
        <v>4</v>
      </c>
      <c r="J1161" s="92">
        <f t="shared" si="155"/>
        <v>0.0560442819017495</v>
      </c>
      <c r="K1161" s="93">
        <f t="shared" si="156"/>
        <v>3.81897707231041</v>
      </c>
      <c r="L1161" s="94">
        <f t="shared" si="157"/>
        <v>16.5122658587948</v>
      </c>
      <c r="M1161" s="92">
        <f t="shared" si="158"/>
        <v>0.00352733686067019</v>
      </c>
      <c r="N1161" s="46">
        <f t="shared" si="159"/>
        <v>17877.5</v>
      </c>
      <c r="O1161" s="46">
        <f t="shared" si="160"/>
        <v>1082.68</v>
      </c>
      <c r="P1161" s="93">
        <f t="shared" si="161"/>
        <v>50.3572093023256</v>
      </c>
    </row>
    <row r="1162" s="2" customFormat="1" customHeight="1" spans="1:16">
      <c r="A1162" s="82">
        <v>45809</v>
      </c>
      <c r="B1162" s="21">
        <v>2154.57</v>
      </c>
      <c r="C1162" s="33">
        <v>10237</v>
      </c>
      <c r="D1162" s="25">
        <v>563</v>
      </c>
      <c r="E1162" s="25">
        <v>2</v>
      </c>
      <c r="F1162" s="21">
        <v>23811</v>
      </c>
      <c r="G1162" s="25">
        <v>38</v>
      </c>
      <c r="H1162" s="25">
        <v>1</v>
      </c>
      <c r="I1162" s="25">
        <v>3</v>
      </c>
      <c r="J1162" s="92">
        <f t="shared" si="155"/>
        <v>0.0549965810295985</v>
      </c>
      <c r="K1162" s="93">
        <f t="shared" si="156"/>
        <v>3.82694493783304</v>
      </c>
      <c r="L1162" s="94">
        <f t="shared" si="157"/>
        <v>11.0513930853952</v>
      </c>
      <c r="M1162" s="92">
        <f t="shared" si="158"/>
        <v>0.00355239786856128</v>
      </c>
      <c r="N1162" s="46">
        <f t="shared" si="159"/>
        <v>11905.5</v>
      </c>
      <c r="O1162" s="46">
        <f t="shared" si="160"/>
        <v>1077.285</v>
      </c>
      <c r="P1162" s="93">
        <f t="shared" si="161"/>
        <v>56.6992105263158</v>
      </c>
    </row>
    <row r="1163" s="2" customFormat="1" customHeight="1" spans="1:16">
      <c r="A1163" s="82">
        <v>45810</v>
      </c>
      <c r="B1163" s="21">
        <v>1422.57</v>
      </c>
      <c r="C1163" s="33">
        <v>8709</v>
      </c>
      <c r="D1163" s="25">
        <v>497</v>
      </c>
      <c r="E1163" s="25">
        <v>1</v>
      </c>
      <c r="F1163" s="21">
        <v>8946</v>
      </c>
      <c r="G1163" s="25">
        <v>38</v>
      </c>
      <c r="H1163" s="25">
        <v>3</v>
      </c>
      <c r="I1163" s="25">
        <v>3</v>
      </c>
      <c r="J1163" s="92">
        <f t="shared" si="155"/>
        <v>0.0570674015386382</v>
      </c>
      <c r="K1163" s="93">
        <f t="shared" si="156"/>
        <v>2.8623138832998</v>
      </c>
      <c r="L1163" s="94">
        <f t="shared" si="157"/>
        <v>6.28861848626078</v>
      </c>
      <c r="M1163" s="92">
        <f t="shared" si="158"/>
        <v>0.00201207243460765</v>
      </c>
      <c r="N1163" s="46">
        <f t="shared" si="159"/>
        <v>8946</v>
      </c>
      <c r="O1163" s="46">
        <f t="shared" si="160"/>
        <v>1422.57</v>
      </c>
      <c r="P1163" s="93">
        <f t="shared" si="161"/>
        <v>37.4360526315789</v>
      </c>
    </row>
    <row r="1164" s="2" customFormat="1" customHeight="1" spans="1:16">
      <c r="A1164" s="82">
        <v>45811</v>
      </c>
      <c r="B1164" s="21">
        <v>2143.47</v>
      </c>
      <c r="C1164" s="33">
        <v>11030</v>
      </c>
      <c r="D1164" s="25">
        <v>690</v>
      </c>
      <c r="E1164" s="25">
        <v>0</v>
      </c>
      <c r="F1164" s="21">
        <v>0</v>
      </c>
      <c r="G1164" s="25">
        <v>47</v>
      </c>
      <c r="H1164" s="25">
        <v>6</v>
      </c>
      <c r="I1164" s="25">
        <v>3</v>
      </c>
      <c r="J1164" s="92">
        <f t="shared" si="155"/>
        <v>0.0625566636446056</v>
      </c>
      <c r="K1164" s="93">
        <f t="shared" si="156"/>
        <v>3.10647826086956</v>
      </c>
      <c r="L1164" s="94">
        <f t="shared" si="157"/>
        <v>0</v>
      </c>
      <c r="M1164" s="92">
        <f t="shared" si="158"/>
        <v>0</v>
      </c>
      <c r="N1164" s="46">
        <f t="shared" si="159"/>
        <v>0</v>
      </c>
      <c r="O1164" s="46">
        <f t="shared" si="160"/>
        <v>0</v>
      </c>
      <c r="P1164" s="93">
        <f t="shared" si="161"/>
        <v>45.6057446808511</v>
      </c>
    </row>
    <row r="1165" s="2" customFormat="1" customHeight="1" spans="1:16">
      <c r="A1165" s="82">
        <v>45812</v>
      </c>
      <c r="B1165" s="21">
        <v>2005.52</v>
      </c>
      <c r="C1165" s="33">
        <v>9938</v>
      </c>
      <c r="D1165" s="25">
        <v>700</v>
      </c>
      <c r="E1165" s="25">
        <v>1</v>
      </c>
      <c r="F1165" s="21">
        <v>13614</v>
      </c>
      <c r="G1165" s="25">
        <v>37</v>
      </c>
      <c r="H1165" s="25">
        <v>2</v>
      </c>
      <c r="I1165" s="25">
        <v>3</v>
      </c>
      <c r="J1165" s="92">
        <f t="shared" si="155"/>
        <v>0.0704367075870396</v>
      </c>
      <c r="K1165" s="93">
        <f t="shared" si="156"/>
        <v>2.86502857142857</v>
      </c>
      <c r="L1165" s="94">
        <f t="shared" si="157"/>
        <v>6.78826439028282</v>
      </c>
      <c r="M1165" s="92">
        <f t="shared" si="158"/>
        <v>0.00142857142857143</v>
      </c>
      <c r="N1165" s="46">
        <f t="shared" si="159"/>
        <v>13614</v>
      </c>
      <c r="O1165" s="46">
        <f t="shared" si="160"/>
        <v>2005.52</v>
      </c>
      <c r="P1165" s="93">
        <f t="shared" si="161"/>
        <v>54.2032432432432</v>
      </c>
    </row>
    <row r="1166" s="2" customFormat="1" customHeight="1" spans="1:16">
      <c r="A1166" s="82">
        <v>45813</v>
      </c>
      <c r="B1166" s="21">
        <v>1551.29</v>
      </c>
      <c r="C1166" s="33">
        <v>7980</v>
      </c>
      <c r="D1166" s="25">
        <v>615</v>
      </c>
      <c r="E1166" s="25">
        <v>0</v>
      </c>
      <c r="F1166" s="21">
        <v>0</v>
      </c>
      <c r="G1166" s="25">
        <v>49</v>
      </c>
      <c r="H1166" s="25">
        <v>7</v>
      </c>
      <c r="I1166" s="25">
        <v>7</v>
      </c>
      <c r="J1166" s="92">
        <f t="shared" si="155"/>
        <v>0.0770676691729323</v>
      </c>
      <c r="K1166" s="93">
        <f t="shared" si="156"/>
        <v>2.52242276422764</v>
      </c>
      <c r="L1166" s="94">
        <f t="shared" si="157"/>
        <v>0</v>
      </c>
      <c r="M1166" s="92">
        <f t="shared" si="158"/>
        <v>0</v>
      </c>
      <c r="N1166" s="46">
        <f t="shared" si="159"/>
        <v>0</v>
      </c>
      <c r="O1166" s="46">
        <f t="shared" si="160"/>
        <v>0</v>
      </c>
      <c r="P1166" s="93">
        <f t="shared" si="161"/>
        <v>31.6589795918367</v>
      </c>
    </row>
    <row r="1167" s="2" customFormat="1" customHeight="1" spans="1:16">
      <c r="A1167" s="82">
        <v>45814</v>
      </c>
      <c r="B1167" s="21">
        <v>1553.37</v>
      </c>
      <c r="C1167" s="33">
        <v>7171</v>
      </c>
      <c r="D1167" s="25">
        <v>573</v>
      </c>
      <c r="E1167" s="25">
        <v>0</v>
      </c>
      <c r="F1167" s="21">
        <v>0</v>
      </c>
      <c r="G1167" s="25">
        <v>39</v>
      </c>
      <c r="H1167" s="25">
        <v>6</v>
      </c>
      <c r="I1167" s="25">
        <v>3</v>
      </c>
      <c r="J1167" s="92">
        <f t="shared" si="155"/>
        <v>0.0799051736159531</v>
      </c>
      <c r="K1167" s="93">
        <f t="shared" si="156"/>
        <v>2.71094240837696</v>
      </c>
      <c r="L1167" s="94">
        <f t="shared" si="157"/>
        <v>0</v>
      </c>
      <c r="M1167" s="92">
        <f t="shared" si="158"/>
        <v>0</v>
      </c>
      <c r="N1167" s="46">
        <f t="shared" si="159"/>
        <v>0</v>
      </c>
      <c r="O1167" s="46">
        <f t="shared" si="160"/>
        <v>0</v>
      </c>
      <c r="P1167" s="93">
        <f t="shared" si="161"/>
        <v>39.83</v>
      </c>
    </row>
    <row r="1168" s="2" customFormat="1" customHeight="1" spans="1:16">
      <c r="A1168" s="82">
        <v>45815</v>
      </c>
      <c r="B1168" s="21">
        <v>1420.6</v>
      </c>
      <c r="C1168" s="33">
        <v>7716</v>
      </c>
      <c r="D1168" s="25">
        <v>586</v>
      </c>
      <c r="E1168" s="25">
        <v>2</v>
      </c>
      <c r="F1168" s="21">
        <v>43352</v>
      </c>
      <c r="G1168" s="25">
        <v>55</v>
      </c>
      <c r="H1168" s="25">
        <v>5</v>
      </c>
      <c r="I1168" s="25">
        <v>6</v>
      </c>
      <c r="J1168" s="92">
        <f t="shared" si="155"/>
        <v>0.0759460860549507</v>
      </c>
      <c r="K1168" s="93">
        <f t="shared" si="156"/>
        <v>2.42423208191126</v>
      </c>
      <c r="L1168" s="94">
        <f t="shared" si="157"/>
        <v>30.5166830916514</v>
      </c>
      <c r="M1168" s="92">
        <f t="shared" si="158"/>
        <v>0.00341296928327645</v>
      </c>
      <c r="N1168" s="46">
        <f t="shared" si="159"/>
        <v>21676</v>
      </c>
      <c r="O1168" s="46">
        <f t="shared" si="160"/>
        <v>710.3</v>
      </c>
      <c r="P1168" s="93">
        <f t="shared" si="161"/>
        <v>25.8290909090909</v>
      </c>
    </row>
    <row r="1169" s="2" customFormat="1" customHeight="1" spans="1:16">
      <c r="A1169" s="82">
        <v>45816</v>
      </c>
      <c r="B1169" s="21">
        <v>1553.54</v>
      </c>
      <c r="C1169" s="33">
        <v>7535</v>
      </c>
      <c r="D1169" s="25">
        <v>622</v>
      </c>
      <c r="E1169" s="25">
        <v>3</v>
      </c>
      <c r="F1169" s="21">
        <v>53336</v>
      </c>
      <c r="G1169" s="25">
        <v>56</v>
      </c>
      <c r="H1169" s="25">
        <v>10</v>
      </c>
      <c r="I1169" s="25">
        <v>1</v>
      </c>
      <c r="J1169" s="92">
        <f t="shared" si="155"/>
        <v>0.0825481088254811</v>
      </c>
      <c r="K1169" s="93">
        <f t="shared" si="156"/>
        <v>2.49765273311897</v>
      </c>
      <c r="L1169" s="94">
        <f t="shared" si="157"/>
        <v>34.3319129214568</v>
      </c>
      <c r="M1169" s="92">
        <f t="shared" si="158"/>
        <v>0.00482315112540193</v>
      </c>
      <c r="N1169" s="46">
        <f t="shared" si="159"/>
        <v>17778.6666666667</v>
      </c>
      <c r="O1169" s="46">
        <f t="shared" si="160"/>
        <v>517.846666666667</v>
      </c>
      <c r="P1169" s="93">
        <f t="shared" si="161"/>
        <v>27.7417857142857</v>
      </c>
    </row>
    <row r="1170" s="2" customFormat="1" customHeight="1" spans="1:16">
      <c r="A1170" s="82">
        <v>45817</v>
      </c>
      <c r="B1170" s="21">
        <v>1300.86</v>
      </c>
      <c r="C1170" s="33">
        <v>55107</v>
      </c>
      <c r="D1170" s="25">
        <v>707</v>
      </c>
      <c r="E1170" s="25">
        <v>1</v>
      </c>
      <c r="F1170" s="21">
        <v>15092</v>
      </c>
      <c r="G1170" s="25">
        <v>29</v>
      </c>
      <c r="H1170" s="25">
        <v>5</v>
      </c>
      <c r="I1170" s="25">
        <v>5</v>
      </c>
      <c r="J1170" s="92">
        <f t="shared" si="155"/>
        <v>0.0128295860779937</v>
      </c>
      <c r="K1170" s="93">
        <f t="shared" si="156"/>
        <v>1.83997171145686</v>
      </c>
      <c r="L1170" s="94">
        <f t="shared" si="157"/>
        <v>11.6015558937933</v>
      </c>
      <c r="M1170" s="92">
        <f t="shared" si="158"/>
        <v>0.00141442715700141</v>
      </c>
      <c r="N1170" s="46">
        <f t="shared" si="159"/>
        <v>15092</v>
      </c>
      <c r="O1170" s="46">
        <f t="shared" si="160"/>
        <v>1300.86</v>
      </c>
      <c r="P1170" s="93">
        <f t="shared" si="161"/>
        <v>44.8572413793103</v>
      </c>
    </row>
    <row r="1171" s="2" customFormat="1" customHeight="1" spans="1:16">
      <c r="A1171" s="82">
        <v>45818</v>
      </c>
      <c r="B1171" s="21">
        <v>1763.26</v>
      </c>
      <c r="C1171" s="33">
        <v>7116</v>
      </c>
      <c r="D1171" s="25">
        <v>661</v>
      </c>
      <c r="E1171" s="25">
        <v>0</v>
      </c>
      <c r="F1171" s="21">
        <v>0</v>
      </c>
      <c r="G1171" s="25">
        <v>31</v>
      </c>
      <c r="H1171" s="25">
        <v>3</v>
      </c>
      <c r="I1171" s="25">
        <v>3</v>
      </c>
      <c r="J1171" s="92">
        <f t="shared" si="155"/>
        <v>0.0928892636312535</v>
      </c>
      <c r="K1171" s="93">
        <f t="shared" si="156"/>
        <v>2.66756429652042</v>
      </c>
      <c r="L1171" s="94">
        <f t="shared" si="157"/>
        <v>0</v>
      </c>
      <c r="M1171" s="92">
        <f t="shared" si="158"/>
        <v>0</v>
      </c>
      <c r="N1171" s="46">
        <f t="shared" si="159"/>
        <v>0</v>
      </c>
      <c r="O1171" s="46">
        <f t="shared" si="160"/>
        <v>0</v>
      </c>
      <c r="P1171" s="93">
        <f t="shared" si="161"/>
        <v>56.8793548387097</v>
      </c>
    </row>
    <row r="1172" s="2" customFormat="1" customHeight="1" spans="1:16">
      <c r="A1172" s="82">
        <v>45819</v>
      </c>
      <c r="B1172" s="21">
        <v>2328.91</v>
      </c>
      <c r="C1172" s="33">
        <v>10037</v>
      </c>
      <c r="D1172" s="25">
        <v>805</v>
      </c>
      <c r="E1172" s="25">
        <v>3</v>
      </c>
      <c r="F1172" s="21">
        <v>41053</v>
      </c>
      <c r="G1172" s="25">
        <v>53</v>
      </c>
      <c r="H1172" s="25">
        <v>4</v>
      </c>
      <c r="I1172" s="25">
        <v>4</v>
      </c>
      <c r="J1172" s="92">
        <f t="shared" si="155"/>
        <v>0.0802032479824649</v>
      </c>
      <c r="K1172" s="93">
        <f t="shared" si="156"/>
        <v>2.89305590062112</v>
      </c>
      <c r="L1172" s="94">
        <f t="shared" si="157"/>
        <v>17.6275596738388</v>
      </c>
      <c r="M1172" s="92">
        <f t="shared" si="158"/>
        <v>0.00372670807453416</v>
      </c>
      <c r="N1172" s="46">
        <f t="shared" si="159"/>
        <v>13684.3333333333</v>
      </c>
      <c r="O1172" s="46">
        <f t="shared" si="160"/>
        <v>776.303333333333</v>
      </c>
      <c r="P1172" s="93">
        <f t="shared" si="161"/>
        <v>43.9416981132075</v>
      </c>
    </row>
    <row r="1173" s="2" customFormat="1" customHeight="1" spans="1:16">
      <c r="A1173" s="82">
        <v>45820</v>
      </c>
      <c r="B1173" s="21">
        <v>2563.6</v>
      </c>
      <c r="C1173" s="33">
        <v>10552</v>
      </c>
      <c r="D1173" s="25">
        <v>865</v>
      </c>
      <c r="E1173" s="25">
        <v>0</v>
      </c>
      <c r="F1173" s="21">
        <v>0</v>
      </c>
      <c r="G1173" s="25">
        <v>44</v>
      </c>
      <c r="H1173" s="25">
        <v>7</v>
      </c>
      <c r="I1173" s="25">
        <v>9</v>
      </c>
      <c r="J1173" s="92">
        <f t="shared" si="155"/>
        <v>0.0819749810462472</v>
      </c>
      <c r="K1173" s="93">
        <f t="shared" si="156"/>
        <v>2.96369942196532</v>
      </c>
      <c r="L1173" s="94">
        <f t="shared" si="157"/>
        <v>0</v>
      </c>
      <c r="M1173" s="92">
        <f t="shared" si="158"/>
        <v>0</v>
      </c>
      <c r="N1173" s="46">
        <f t="shared" si="159"/>
        <v>0</v>
      </c>
      <c r="O1173" s="46">
        <f t="shared" si="160"/>
        <v>0</v>
      </c>
      <c r="P1173" s="93">
        <f t="shared" si="161"/>
        <v>58.2636363636364</v>
      </c>
    </row>
    <row r="1174" s="2" customFormat="1" customHeight="1" spans="1:16">
      <c r="A1174" s="82">
        <v>45821</v>
      </c>
      <c r="B1174" s="21">
        <v>2552.86</v>
      </c>
      <c r="C1174" s="33">
        <v>9405</v>
      </c>
      <c r="D1174" s="25">
        <v>798</v>
      </c>
      <c r="E1174" s="25">
        <v>5</v>
      </c>
      <c r="F1174" s="21">
        <v>78099</v>
      </c>
      <c r="G1174" s="25">
        <v>44</v>
      </c>
      <c r="H1174" s="25">
        <v>3</v>
      </c>
      <c r="I1174" s="25">
        <v>3</v>
      </c>
      <c r="J1174" s="92">
        <f t="shared" si="155"/>
        <v>0.0848484848484849</v>
      </c>
      <c r="K1174" s="93">
        <f t="shared" si="156"/>
        <v>3.19907268170426</v>
      </c>
      <c r="L1174" s="94">
        <f t="shared" si="157"/>
        <v>30.5927469583134</v>
      </c>
      <c r="M1174" s="92">
        <f t="shared" si="158"/>
        <v>0.006265664160401</v>
      </c>
      <c r="N1174" s="46">
        <f t="shared" si="159"/>
        <v>15619.8</v>
      </c>
      <c r="O1174" s="46">
        <f t="shared" si="160"/>
        <v>510.572</v>
      </c>
      <c r="P1174" s="93">
        <f t="shared" si="161"/>
        <v>58.0195454545455</v>
      </c>
    </row>
    <row r="1175" s="2" customFormat="1" customHeight="1" spans="1:16">
      <c r="A1175" s="82">
        <v>45822</v>
      </c>
      <c r="B1175" s="21">
        <v>2606.25</v>
      </c>
      <c r="C1175" s="33">
        <v>8318</v>
      </c>
      <c r="D1175" s="25">
        <v>775</v>
      </c>
      <c r="E1175" s="25">
        <v>0</v>
      </c>
      <c r="F1175" s="21">
        <v>0</v>
      </c>
      <c r="G1175" s="25">
        <v>57</v>
      </c>
      <c r="H1175" s="25">
        <v>4</v>
      </c>
      <c r="I1175" s="25">
        <v>4</v>
      </c>
      <c r="J1175" s="92">
        <f t="shared" si="155"/>
        <v>0.0931714354412118</v>
      </c>
      <c r="K1175" s="93">
        <f t="shared" si="156"/>
        <v>3.36290322580645</v>
      </c>
      <c r="L1175" s="94">
        <f t="shared" si="157"/>
        <v>0</v>
      </c>
      <c r="M1175" s="92">
        <f t="shared" si="158"/>
        <v>0</v>
      </c>
      <c r="N1175" s="46">
        <f t="shared" si="159"/>
        <v>0</v>
      </c>
      <c r="O1175" s="46">
        <f t="shared" si="160"/>
        <v>0</v>
      </c>
      <c r="P1175" s="93">
        <f t="shared" si="161"/>
        <v>45.7236842105263</v>
      </c>
    </row>
    <row r="1176" s="2" customFormat="1" customHeight="1" spans="1:16">
      <c r="A1176" s="82">
        <v>45823</v>
      </c>
      <c r="B1176" s="21">
        <v>2603.16</v>
      </c>
      <c r="C1176" s="33">
        <v>6068</v>
      </c>
      <c r="D1176" s="25">
        <v>820</v>
      </c>
      <c r="E1176" s="25">
        <v>2</v>
      </c>
      <c r="F1176" s="21">
        <v>21390</v>
      </c>
      <c r="G1176" s="25">
        <v>71</v>
      </c>
      <c r="H1176" s="25">
        <v>9</v>
      </c>
      <c r="I1176" s="25">
        <v>10</v>
      </c>
      <c r="J1176" s="92">
        <f t="shared" si="155"/>
        <v>0.135135135135135</v>
      </c>
      <c r="K1176" s="93">
        <f t="shared" si="156"/>
        <v>3.17458536585366</v>
      </c>
      <c r="L1176" s="94">
        <f t="shared" si="157"/>
        <v>8.21693633891117</v>
      </c>
      <c r="M1176" s="92">
        <f t="shared" si="158"/>
        <v>0.0024390243902439</v>
      </c>
      <c r="N1176" s="46">
        <f t="shared" si="159"/>
        <v>10695</v>
      </c>
      <c r="O1176" s="46">
        <f t="shared" si="160"/>
        <v>1301.58</v>
      </c>
      <c r="P1176" s="93">
        <f t="shared" si="161"/>
        <v>36.6642253521127</v>
      </c>
    </row>
    <row r="1177" s="2" customFormat="1" customHeight="1" spans="1:16">
      <c r="A1177" s="82">
        <v>45824</v>
      </c>
      <c r="B1177" s="21">
        <v>2540.55</v>
      </c>
      <c r="C1177" s="33">
        <v>5793</v>
      </c>
      <c r="D1177" s="25">
        <v>769</v>
      </c>
      <c r="E1177" s="25">
        <v>4</v>
      </c>
      <c r="F1177" s="21">
        <v>28288</v>
      </c>
      <c r="G1177" s="25">
        <v>63</v>
      </c>
      <c r="H1177" s="25">
        <v>8</v>
      </c>
      <c r="I1177" s="25">
        <v>7</v>
      </c>
      <c r="J1177" s="92">
        <f t="shared" si="155"/>
        <v>0.132746418090799</v>
      </c>
      <c r="K1177" s="93">
        <f t="shared" si="156"/>
        <v>3.30370611183355</v>
      </c>
      <c r="L1177" s="94">
        <f t="shared" si="157"/>
        <v>11.1345968392671</v>
      </c>
      <c r="M1177" s="92">
        <f t="shared" si="158"/>
        <v>0.00520156046814044</v>
      </c>
      <c r="N1177" s="46">
        <f t="shared" si="159"/>
        <v>7072</v>
      </c>
      <c r="O1177" s="46">
        <f t="shared" si="160"/>
        <v>635.1375</v>
      </c>
      <c r="P1177" s="93">
        <f t="shared" si="161"/>
        <v>40.3261904761905</v>
      </c>
    </row>
    <row r="1178" s="2" customFormat="1" customHeight="1" spans="1:16">
      <c r="A1178" s="82">
        <v>45825</v>
      </c>
      <c r="B1178" s="21">
        <v>2605.69</v>
      </c>
      <c r="C1178" s="33">
        <v>6679</v>
      </c>
      <c r="D1178" s="25">
        <v>878</v>
      </c>
      <c r="E1178" s="25">
        <v>0</v>
      </c>
      <c r="F1178" s="21">
        <v>0</v>
      </c>
      <c r="G1178" s="25">
        <v>81</v>
      </c>
      <c r="H1178" s="25">
        <v>7</v>
      </c>
      <c r="I1178" s="25">
        <v>1</v>
      </c>
      <c r="J1178" s="92">
        <f t="shared" si="155"/>
        <v>0.131456804910915</v>
      </c>
      <c r="K1178" s="93">
        <f t="shared" si="156"/>
        <v>2.9677562642369</v>
      </c>
      <c r="L1178" s="94">
        <f t="shared" si="157"/>
        <v>0</v>
      </c>
      <c r="M1178" s="92">
        <f t="shared" si="158"/>
        <v>0</v>
      </c>
      <c r="N1178" s="46">
        <f t="shared" si="159"/>
        <v>0</v>
      </c>
      <c r="O1178" s="46">
        <f t="shared" si="160"/>
        <v>0</v>
      </c>
      <c r="P1178" s="93">
        <f t="shared" si="161"/>
        <v>32.169012345679</v>
      </c>
    </row>
    <row r="1179" s="2" customFormat="1" customHeight="1" spans="1:16">
      <c r="A1179" s="82">
        <v>45826</v>
      </c>
      <c r="B1179" s="21">
        <v>3481.92</v>
      </c>
      <c r="C1179" s="33">
        <v>7946</v>
      </c>
      <c r="D1179" s="25">
        <v>1056</v>
      </c>
      <c r="E1179" s="25">
        <v>9</v>
      </c>
      <c r="F1179" s="21">
        <v>86786</v>
      </c>
      <c r="G1179" s="25">
        <v>84</v>
      </c>
      <c r="H1179" s="25">
        <v>10</v>
      </c>
      <c r="I1179" s="25">
        <v>10</v>
      </c>
      <c r="J1179" s="92">
        <f t="shared" si="155"/>
        <v>0.132897055122074</v>
      </c>
      <c r="K1179" s="93">
        <f t="shared" si="156"/>
        <v>3.29727272727273</v>
      </c>
      <c r="L1179" s="94">
        <f t="shared" si="157"/>
        <v>24.9247541586251</v>
      </c>
      <c r="M1179" s="92">
        <f t="shared" si="158"/>
        <v>0.00852272727272727</v>
      </c>
      <c r="N1179" s="46">
        <f t="shared" si="159"/>
        <v>9642.88888888889</v>
      </c>
      <c r="O1179" s="46">
        <f t="shared" si="160"/>
        <v>386.88</v>
      </c>
      <c r="P1179" s="93">
        <f t="shared" si="161"/>
        <v>41.4514285714286</v>
      </c>
    </row>
    <row r="1180" s="2" customFormat="1" customHeight="1" spans="1:16">
      <c r="A1180" s="82">
        <v>45827</v>
      </c>
      <c r="B1180" s="21">
        <v>2985.64</v>
      </c>
      <c r="C1180" s="33">
        <v>7893</v>
      </c>
      <c r="D1180" s="25">
        <v>908</v>
      </c>
      <c r="E1180" s="25">
        <v>4</v>
      </c>
      <c r="F1180" s="21">
        <v>40764</v>
      </c>
      <c r="G1180" s="25">
        <v>47</v>
      </c>
      <c r="H1180" s="25">
        <v>6</v>
      </c>
      <c r="I1180" s="25">
        <v>8</v>
      </c>
      <c r="J1180" s="92">
        <f t="shared" si="155"/>
        <v>0.115038641834537</v>
      </c>
      <c r="K1180" s="93">
        <f t="shared" si="156"/>
        <v>3.28814977973568</v>
      </c>
      <c r="L1180" s="94">
        <f t="shared" si="157"/>
        <v>13.653354054742</v>
      </c>
      <c r="M1180" s="92">
        <f t="shared" si="158"/>
        <v>0.00440528634361234</v>
      </c>
      <c r="N1180" s="46">
        <f t="shared" si="159"/>
        <v>10191</v>
      </c>
      <c r="O1180" s="46">
        <f t="shared" si="160"/>
        <v>746.41</v>
      </c>
      <c r="P1180" s="93">
        <f t="shared" si="161"/>
        <v>63.5242553191489</v>
      </c>
    </row>
    <row r="1181" s="2" customFormat="1" customHeight="1" spans="1:16">
      <c r="A1181" s="82">
        <v>45828</v>
      </c>
      <c r="B1181" s="21">
        <v>3006.63</v>
      </c>
      <c r="C1181" s="33">
        <v>6479</v>
      </c>
      <c r="D1181" s="25">
        <v>816</v>
      </c>
      <c r="E1181" s="25">
        <v>3</v>
      </c>
      <c r="F1181" s="21">
        <v>22150</v>
      </c>
      <c r="G1181" s="25">
        <v>66</v>
      </c>
      <c r="H1181" s="25">
        <v>6</v>
      </c>
      <c r="I1181" s="25">
        <v>8</v>
      </c>
      <c r="J1181" s="92">
        <f t="shared" si="155"/>
        <v>0.125945361938571</v>
      </c>
      <c r="K1181" s="93">
        <f t="shared" si="156"/>
        <v>3.68459558823529</v>
      </c>
      <c r="L1181" s="94">
        <f t="shared" si="157"/>
        <v>7.36705214808606</v>
      </c>
      <c r="M1181" s="92">
        <f t="shared" si="158"/>
        <v>0.00367647058823529</v>
      </c>
      <c r="N1181" s="46">
        <f t="shared" si="159"/>
        <v>7383.33333333333</v>
      </c>
      <c r="O1181" s="46">
        <f t="shared" si="160"/>
        <v>1002.21</v>
      </c>
      <c r="P1181" s="93">
        <f t="shared" si="161"/>
        <v>45.555</v>
      </c>
    </row>
    <row r="1182" s="2" customFormat="1" customHeight="1" spans="1:16">
      <c r="A1182" s="82">
        <v>45829</v>
      </c>
      <c r="B1182" s="21">
        <v>1128.81</v>
      </c>
      <c r="C1182" s="33">
        <v>4037</v>
      </c>
      <c r="D1182" s="25">
        <v>507</v>
      </c>
      <c r="E1182" s="25">
        <v>1</v>
      </c>
      <c r="F1182" s="21">
        <v>7794</v>
      </c>
      <c r="G1182" s="25">
        <v>50</v>
      </c>
      <c r="H1182" s="25">
        <v>3</v>
      </c>
      <c r="I1182" s="25">
        <v>8</v>
      </c>
      <c r="J1182" s="92">
        <f t="shared" si="155"/>
        <v>0.125588308149616</v>
      </c>
      <c r="K1182" s="93">
        <f t="shared" si="156"/>
        <v>2.22644970414201</v>
      </c>
      <c r="L1182" s="94">
        <f t="shared" si="157"/>
        <v>6.90461636590746</v>
      </c>
      <c r="M1182" s="92">
        <f t="shared" si="158"/>
        <v>0.0019723865877712</v>
      </c>
      <c r="N1182" s="46">
        <f t="shared" si="159"/>
        <v>7794</v>
      </c>
      <c r="O1182" s="46">
        <f t="shared" si="160"/>
        <v>1128.81</v>
      </c>
      <c r="P1182" s="93">
        <f t="shared" si="161"/>
        <v>22.5762</v>
      </c>
    </row>
    <row r="1183" s="2" customFormat="1" customHeight="1" spans="1:16">
      <c r="A1183" s="82">
        <v>45830</v>
      </c>
      <c r="B1183" s="21">
        <v>1138.96</v>
      </c>
      <c r="C1183" s="33">
        <v>4255</v>
      </c>
      <c r="D1183" s="25">
        <v>587</v>
      </c>
      <c r="E1183" s="25">
        <v>0</v>
      </c>
      <c r="F1183" s="21">
        <v>0</v>
      </c>
      <c r="G1183" s="25">
        <v>55</v>
      </c>
      <c r="H1183" s="25">
        <v>5</v>
      </c>
      <c r="I1183" s="25">
        <v>5</v>
      </c>
      <c r="J1183" s="92">
        <f t="shared" si="155"/>
        <v>0.137955346650999</v>
      </c>
      <c r="K1183" s="93">
        <f t="shared" si="156"/>
        <v>1.9403066439523</v>
      </c>
      <c r="L1183" s="94">
        <f t="shared" si="157"/>
        <v>0</v>
      </c>
      <c r="M1183" s="92">
        <f t="shared" si="158"/>
        <v>0</v>
      </c>
      <c r="N1183" s="46">
        <f t="shared" si="159"/>
        <v>0</v>
      </c>
      <c r="O1183" s="46">
        <f t="shared" si="160"/>
        <v>0</v>
      </c>
      <c r="P1183" s="93">
        <f t="shared" si="161"/>
        <v>20.7083636363636</v>
      </c>
    </row>
    <row r="1184" s="2" customFormat="1" customHeight="1" spans="1:16">
      <c r="A1184" s="82">
        <v>45831</v>
      </c>
      <c r="B1184" s="21">
        <v>1146.02</v>
      </c>
      <c r="C1184" s="33">
        <v>4601</v>
      </c>
      <c r="D1184" s="25">
        <v>572</v>
      </c>
      <c r="E1184" s="25">
        <v>4</v>
      </c>
      <c r="F1184" s="21">
        <v>69171</v>
      </c>
      <c r="G1184" s="25">
        <v>53</v>
      </c>
      <c r="H1184" s="25">
        <v>1</v>
      </c>
      <c r="I1184" s="25">
        <v>4</v>
      </c>
      <c r="J1184" s="92">
        <f t="shared" si="155"/>
        <v>0.124320799826125</v>
      </c>
      <c r="K1184" s="93">
        <f t="shared" si="156"/>
        <v>2.00353146853147</v>
      </c>
      <c r="L1184" s="94">
        <f t="shared" si="157"/>
        <v>60.3575853824541</v>
      </c>
      <c r="M1184" s="92">
        <f t="shared" si="158"/>
        <v>0.00699300699300699</v>
      </c>
      <c r="N1184" s="46">
        <f t="shared" si="159"/>
        <v>17292.75</v>
      </c>
      <c r="O1184" s="46">
        <f t="shared" si="160"/>
        <v>286.505</v>
      </c>
      <c r="P1184" s="93">
        <f t="shared" si="161"/>
        <v>21.6230188679245</v>
      </c>
    </row>
    <row r="1185" s="2" customFormat="1" customHeight="1" spans="1:16">
      <c r="A1185" s="82">
        <v>45832</v>
      </c>
      <c r="B1185" s="21">
        <v>1335.17</v>
      </c>
      <c r="C1185" s="33">
        <v>5553</v>
      </c>
      <c r="D1185" s="25">
        <v>682</v>
      </c>
      <c r="E1185" s="25">
        <v>4</v>
      </c>
      <c r="F1185" s="21">
        <v>35293</v>
      </c>
      <c r="G1185" s="25">
        <v>42</v>
      </c>
      <c r="H1185" s="25">
        <v>5</v>
      </c>
      <c r="I1185" s="25">
        <v>3</v>
      </c>
      <c r="J1185" s="92">
        <f t="shared" si="155"/>
        <v>0.12281649558797</v>
      </c>
      <c r="K1185" s="93">
        <f t="shared" si="156"/>
        <v>1.95772727272727</v>
      </c>
      <c r="L1185" s="94">
        <f t="shared" si="157"/>
        <v>26.4333380767992</v>
      </c>
      <c r="M1185" s="92">
        <f t="shared" si="158"/>
        <v>0.00586510263929619</v>
      </c>
      <c r="N1185" s="46">
        <f t="shared" si="159"/>
        <v>8823.25</v>
      </c>
      <c r="O1185" s="46">
        <f t="shared" si="160"/>
        <v>333.7925</v>
      </c>
      <c r="P1185" s="93">
        <f t="shared" si="161"/>
        <v>31.7897619047619</v>
      </c>
    </row>
    <row r="1186" s="2" customFormat="1" customHeight="1" spans="1:16">
      <c r="A1186" s="82">
        <v>45833</v>
      </c>
      <c r="B1186" s="21">
        <v>1309.1</v>
      </c>
      <c r="C1186" s="33">
        <v>6216</v>
      </c>
      <c r="D1186" s="25">
        <v>710</v>
      </c>
      <c r="E1186" s="25">
        <v>2</v>
      </c>
      <c r="F1186" s="21">
        <v>33708</v>
      </c>
      <c r="G1186" s="25">
        <v>66</v>
      </c>
      <c r="H1186" s="25">
        <v>4</v>
      </c>
      <c r="I1186" s="25">
        <v>5</v>
      </c>
      <c r="J1186" s="92">
        <f t="shared" si="155"/>
        <v>0.114221364221364</v>
      </c>
      <c r="K1186" s="93">
        <f t="shared" si="156"/>
        <v>1.84380281690141</v>
      </c>
      <c r="L1186" s="94">
        <f t="shared" si="157"/>
        <v>25.748987854251</v>
      </c>
      <c r="M1186" s="92">
        <f t="shared" si="158"/>
        <v>0.0028169014084507</v>
      </c>
      <c r="N1186" s="46">
        <f t="shared" si="159"/>
        <v>16854</v>
      </c>
      <c r="O1186" s="46">
        <f t="shared" si="160"/>
        <v>654.55</v>
      </c>
      <c r="P1186" s="93">
        <f t="shared" si="161"/>
        <v>19.8348484848485</v>
      </c>
    </row>
    <row r="1187" s="2" customFormat="1" customHeight="1" spans="1:16">
      <c r="A1187" s="82">
        <v>45834</v>
      </c>
      <c r="B1187" s="21">
        <v>1922.63</v>
      </c>
      <c r="C1187" s="33">
        <v>8165</v>
      </c>
      <c r="D1187" s="25">
        <v>886</v>
      </c>
      <c r="E1187" s="25">
        <v>1</v>
      </c>
      <c r="F1187" s="21">
        <v>22788</v>
      </c>
      <c r="G1187" s="25">
        <v>83</v>
      </c>
      <c r="H1187" s="25">
        <v>8</v>
      </c>
      <c r="I1187" s="25">
        <v>4</v>
      </c>
      <c r="J1187" s="92">
        <f t="shared" si="155"/>
        <v>0.108511941212492</v>
      </c>
      <c r="K1187" s="93">
        <f t="shared" si="156"/>
        <v>2.17001128668172</v>
      </c>
      <c r="L1187" s="94">
        <f t="shared" si="157"/>
        <v>11.8525145243755</v>
      </c>
      <c r="M1187" s="92">
        <f t="shared" si="158"/>
        <v>0.00112866817155756</v>
      </c>
      <c r="N1187" s="46">
        <f t="shared" si="159"/>
        <v>22788</v>
      </c>
      <c r="O1187" s="46">
        <f t="shared" si="160"/>
        <v>1922.63</v>
      </c>
      <c r="P1187" s="93">
        <f t="shared" si="161"/>
        <v>23.1642168674699</v>
      </c>
    </row>
    <row r="1188" s="2" customFormat="1" customHeight="1" spans="1:16">
      <c r="A1188" s="82">
        <v>45835</v>
      </c>
      <c r="B1188" s="21">
        <v>2143.33</v>
      </c>
      <c r="C1188" s="33">
        <v>7757</v>
      </c>
      <c r="D1188" s="25">
        <v>870</v>
      </c>
      <c r="E1188" s="25">
        <v>4</v>
      </c>
      <c r="F1188" s="21">
        <v>64574</v>
      </c>
      <c r="G1188" s="25">
        <v>43</v>
      </c>
      <c r="H1188" s="25">
        <v>9</v>
      </c>
      <c r="I1188" s="25">
        <v>1</v>
      </c>
      <c r="J1188" s="92">
        <f t="shared" si="155"/>
        <v>0.112156761634653</v>
      </c>
      <c r="K1188" s="93">
        <f t="shared" si="156"/>
        <v>2.46359770114943</v>
      </c>
      <c r="L1188" s="94">
        <f t="shared" si="157"/>
        <v>30.1278851133517</v>
      </c>
      <c r="M1188" s="92">
        <f t="shared" si="158"/>
        <v>0.00459770114942529</v>
      </c>
      <c r="N1188" s="46">
        <f t="shared" si="159"/>
        <v>16143.5</v>
      </c>
      <c r="O1188" s="46">
        <f t="shared" si="160"/>
        <v>535.8325</v>
      </c>
      <c r="P1188" s="93">
        <f t="shared" si="161"/>
        <v>49.8448837209302</v>
      </c>
    </row>
    <row r="1189" s="2" customFormat="1" customHeight="1" spans="1:16">
      <c r="A1189" s="82">
        <v>45836</v>
      </c>
      <c r="B1189" s="21">
        <v>2211.25</v>
      </c>
      <c r="C1189" s="33">
        <v>8011</v>
      </c>
      <c r="D1189" s="25">
        <v>831</v>
      </c>
      <c r="E1189" s="25">
        <v>0</v>
      </c>
      <c r="F1189" s="21">
        <v>0</v>
      </c>
      <c r="G1189" s="25">
        <v>52</v>
      </c>
      <c r="H1189" s="25">
        <v>2</v>
      </c>
      <c r="I1189" s="25">
        <v>4</v>
      </c>
      <c r="J1189" s="92">
        <f t="shared" si="155"/>
        <v>0.103732367994008</v>
      </c>
      <c r="K1189" s="93">
        <f t="shared" si="156"/>
        <v>2.66095066185319</v>
      </c>
      <c r="L1189" s="94">
        <f t="shared" si="157"/>
        <v>0</v>
      </c>
      <c r="M1189" s="92">
        <f t="shared" si="158"/>
        <v>0</v>
      </c>
      <c r="N1189" s="46">
        <f t="shared" si="159"/>
        <v>0</v>
      </c>
      <c r="O1189" s="46">
        <f t="shared" si="160"/>
        <v>0</v>
      </c>
      <c r="P1189" s="93">
        <f t="shared" si="161"/>
        <v>42.5240384615385</v>
      </c>
    </row>
    <row r="1190" s="2" customFormat="1" customHeight="1" spans="1:16">
      <c r="A1190" s="82">
        <v>45837</v>
      </c>
      <c r="B1190" s="21">
        <v>2350.38</v>
      </c>
      <c r="C1190" s="33">
        <v>8791</v>
      </c>
      <c r="D1190" s="25">
        <v>878</v>
      </c>
      <c r="E1190" s="25">
        <v>1</v>
      </c>
      <c r="F1190" s="21">
        <v>10794</v>
      </c>
      <c r="G1190" s="25">
        <v>47</v>
      </c>
      <c r="H1190" s="25">
        <v>2</v>
      </c>
      <c r="I1190" s="25">
        <v>5</v>
      </c>
      <c r="J1190" s="92">
        <f t="shared" ref="J1190:J1241" si="162">D1190/C1190</f>
        <v>0.0998748720282107</v>
      </c>
      <c r="K1190" s="93">
        <f t="shared" ref="K1190:K1241" si="163">B1190/D1190</f>
        <v>2.67697038724374</v>
      </c>
      <c r="L1190" s="94">
        <f t="shared" ref="L1190:L1241" si="164">F1190/B1190</f>
        <v>4.59244888060654</v>
      </c>
      <c r="M1190" s="92">
        <f t="shared" ref="M1190:M1253" si="165">E1190/D1190</f>
        <v>0.00113895216400911</v>
      </c>
      <c r="N1190" s="46">
        <f t="shared" ref="N1190:N1253" si="166">IF(E1190=0,0,F1190/E1190)</f>
        <v>10794</v>
      </c>
      <c r="O1190" s="46">
        <f t="shared" ref="O1190:O1253" si="167">IF(E1190=0,0,B1190/E1190)</f>
        <v>2350.38</v>
      </c>
      <c r="P1190" s="93">
        <f t="shared" ref="P1190:P1253" si="168">B1190/G1190</f>
        <v>50.008085106383</v>
      </c>
    </row>
    <row r="1191" s="2" customFormat="1" customHeight="1" spans="1:16">
      <c r="A1191" s="82">
        <v>45838</v>
      </c>
      <c r="B1191" s="21">
        <v>2916.78</v>
      </c>
      <c r="C1191" s="33">
        <v>9530</v>
      </c>
      <c r="D1191" s="25">
        <v>1030</v>
      </c>
      <c r="E1191" s="25">
        <v>3</v>
      </c>
      <c r="F1191" s="21">
        <v>34382</v>
      </c>
      <c r="G1191" s="25">
        <v>76</v>
      </c>
      <c r="H1191" s="25">
        <v>7</v>
      </c>
      <c r="I1191" s="25">
        <v>5</v>
      </c>
      <c r="J1191" s="92">
        <f t="shared" si="162"/>
        <v>0.108079748163694</v>
      </c>
      <c r="K1191" s="93">
        <f t="shared" si="163"/>
        <v>2.83182524271845</v>
      </c>
      <c r="L1191" s="94">
        <f t="shared" si="164"/>
        <v>11.7876562510714</v>
      </c>
      <c r="M1191" s="92">
        <f t="shared" si="165"/>
        <v>0.0029126213592233</v>
      </c>
      <c r="N1191" s="46">
        <f t="shared" si="166"/>
        <v>11460.6666666667</v>
      </c>
      <c r="O1191" s="46">
        <f t="shared" si="167"/>
        <v>972.26</v>
      </c>
      <c r="P1191" s="93">
        <f t="shared" si="168"/>
        <v>38.3786842105263</v>
      </c>
    </row>
    <row r="1192" s="2" customFormat="1" customHeight="1" spans="1:16">
      <c r="A1192" s="82">
        <v>45839</v>
      </c>
      <c r="B1192" s="21">
        <v>2572.86</v>
      </c>
      <c r="C1192" s="33">
        <v>8198</v>
      </c>
      <c r="D1192" s="25">
        <v>809</v>
      </c>
      <c r="E1192" s="25">
        <v>2</v>
      </c>
      <c r="F1192" s="21">
        <v>36040.99</v>
      </c>
      <c r="G1192" s="25">
        <v>56</v>
      </c>
      <c r="H1192" s="25">
        <v>7</v>
      </c>
      <c r="I1192" s="25">
        <v>1</v>
      </c>
      <c r="J1192" s="92">
        <f t="shared" si="162"/>
        <v>0.0986826055135399</v>
      </c>
      <c r="K1192" s="93">
        <f t="shared" si="163"/>
        <v>3.18029666254635</v>
      </c>
      <c r="L1192" s="94">
        <f t="shared" si="164"/>
        <v>14.0081426894584</v>
      </c>
      <c r="M1192" s="92">
        <f t="shared" si="165"/>
        <v>0.00247218788627936</v>
      </c>
      <c r="N1192" s="46">
        <f t="shared" si="166"/>
        <v>18020.495</v>
      </c>
      <c r="O1192" s="46">
        <f t="shared" si="167"/>
        <v>1286.43</v>
      </c>
      <c r="P1192" s="93">
        <f t="shared" si="168"/>
        <v>45.9439285714286</v>
      </c>
    </row>
    <row r="1193" s="2" customFormat="1" customHeight="1" spans="1:16">
      <c r="A1193" s="82">
        <v>45840</v>
      </c>
      <c r="B1193" s="21">
        <v>2117.26</v>
      </c>
      <c r="C1193" s="33">
        <v>7059</v>
      </c>
      <c r="D1193" s="25">
        <v>821</v>
      </c>
      <c r="E1193" s="25">
        <v>0</v>
      </c>
      <c r="F1193" s="21">
        <v>0</v>
      </c>
      <c r="G1193" s="25">
        <v>84</v>
      </c>
      <c r="H1193" s="25">
        <v>7</v>
      </c>
      <c r="I1193" s="25">
        <v>3</v>
      </c>
      <c r="J1193" s="92">
        <f t="shared" si="162"/>
        <v>0.116305425697691</v>
      </c>
      <c r="K1193" s="93">
        <f t="shared" si="163"/>
        <v>2.57887941534714</v>
      </c>
      <c r="L1193" s="94">
        <f t="shared" si="164"/>
        <v>0</v>
      </c>
      <c r="M1193" s="92">
        <f t="shared" si="165"/>
        <v>0</v>
      </c>
      <c r="N1193" s="46">
        <f t="shared" si="166"/>
        <v>0</v>
      </c>
      <c r="O1193" s="46">
        <f t="shared" si="167"/>
        <v>0</v>
      </c>
      <c r="P1193" s="93">
        <f t="shared" si="168"/>
        <v>25.2054761904762</v>
      </c>
    </row>
    <row r="1194" s="2" customFormat="1" customHeight="1" spans="1:16">
      <c r="A1194" s="82">
        <v>45841</v>
      </c>
      <c r="B1194" s="21">
        <v>2327.47</v>
      </c>
      <c r="C1194" s="33">
        <v>7177</v>
      </c>
      <c r="D1194" s="25">
        <v>828</v>
      </c>
      <c r="E1194" s="25">
        <v>2</v>
      </c>
      <c r="F1194" s="21">
        <v>65965</v>
      </c>
      <c r="G1194" s="25">
        <v>46</v>
      </c>
      <c r="H1194" s="25">
        <v>5</v>
      </c>
      <c r="I1194" s="25">
        <v>0</v>
      </c>
      <c r="J1194" s="92">
        <f t="shared" si="162"/>
        <v>0.115368538386512</v>
      </c>
      <c r="K1194" s="93">
        <f t="shared" si="163"/>
        <v>2.81095410628019</v>
      </c>
      <c r="L1194" s="94">
        <f t="shared" si="164"/>
        <v>28.3419335157918</v>
      </c>
      <c r="M1194" s="92">
        <f t="shared" si="165"/>
        <v>0.00241545893719807</v>
      </c>
      <c r="N1194" s="46">
        <f t="shared" si="166"/>
        <v>32982.5</v>
      </c>
      <c r="O1194" s="46">
        <f t="shared" si="167"/>
        <v>1163.735</v>
      </c>
      <c r="P1194" s="93">
        <f t="shared" si="168"/>
        <v>50.5971739130435</v>
      </c>
    </row>
    <row r="1195" s="2" customFormat="1" customHeight="1" spans="1:16">
      <c r="A1195" s="82">
        <v>45842</v>
      </c>
      <c r="B1195" s="21">
        <v>2318.36</v>
      </c>
      <c r="C1195" s="33">
        <v>7679</v>
      </c>
      <c r="D1195" s="25">
        <v>820</v>
      </c>
      <c r="E1195" s="25">
        <v>4</v>
      </c>
      <c r="F1195" s="21">
        <v>28475</v>
      </c>
      <c r="G1195" s="25">
        <v>71</v>
      </c>
      <c r="H1195" s="25">
        <v>4</v>
      </c>
      <c r="I1195" s="25">
        <v>1</v>
      </c>
      <c r="J1195" s="92">
        <f t="shared" si="162"/>
        <v>0.106784737596041</v>
      </c>
      <c r="K1195" s="93">
        <f t="shared" si="163"/>
        <v>2.82726829268293</v>
      </c>
      <c r="L1195" s="94">
        <f t="shared" si="164"/>
        <v>12.2823892751773</v>
      </c>
      <c r="M1195" s="92">
        <f t="shared" si="165"/>
        <v>0.0048780487804878</v>
      </c>
      <c r="N1195" s="46">
        <f t="shared" si="166"/>
        <v>7118.75</v>
      </c>
      <c r="O1195" s="46">
        <f t="shared" si="167"/>
        <v>579.59</v>
      </c>
      <c r="P1195" s="93">
        <f t="shared" si="168"/>
        <v>32.6529577464789</v>
      </c>
    </row>
    <row r="1196" s="2" customFormat="1" customHeight="1" spans="1:16">
      <c r="A1196" s="82">
        <v>45843</v>
      </c>
      <c r="B1196" s="21">
        <v>2355.48</v>
      </c>
      <c r="C1196" s="33">
        <v>7579</v>
      </c>
      <c r="D1196" s="25">
        <v>782</v>
      </c>
      <c r="E1196" s="25">
        <v>0</v>
      </c>
      <c r="F1196" s="21">
        <v>0</v>
      </c>
      <c r="G1196" s="25">
        <v>62</v>
      </c>
      <c r="H1196" s="25">
        <v>8</v>
      </c>
      <c r="I1196" s="25">
        <v>4</v>
      </c>
      <c r="J1196" s="92">
        <f t="shared" si="162"/>
        <v>0.103179839028896</v>
      </c>
      <c r="K1196" s="93">
        <f t="shared" si="163"/>
        <v>3.01212276214834</v>
      </c>
      <c r="L1196" s="94">
        <f t="shared" si="164"/>
        <v>0</v>
      </c>
      <c r="M1196" s="92">
        <f t="shared" si="165"/>
        <v>0</v>
      </c>
      <c r="N1196" s="46">
        <f t="shared" si="166"/>
        <v>0</v>
      </c>
      <c r="O1196" s="46">
        <f t="shared" si="167"/>
        <v>0</v>
      </c>
      <c r="P1196" s="93">
        <f t="shared" si="168"/>
        <v>37.9916129032258</v>
      </c>
    </row>
    <row r="1197" s="2" customFormat="1" customHeight="1" spans="1:16">
      <c r="A1197" s="82">
        <v>45844</v>
      </c>
      <c r="B1197" s="21">
        <v>2397.95</v>
      </c>
      <c r="C1197" s="33">
        <v>6774</v>
      </c>
      <c r="D1197" s="25">
        <v>833</v>
      </c>
      <c r="E1197" s="25">
        <v>3</v>
      </c>
      <c r="F1197" s="21">
        <v>37837</v>
      </c>
      <c r="G1197" s="25">
        <v>65</v>
      </c>
      <c r="H1197" s="25">
        <v>10</v>
      </c>
      <c r="I1197" s="25">
        <v>2</v>
      </c>
      <c r="J1197" s="92">
        <f t="shared" si="162"/>
        <v>0.122970180100384</v>
      </c>
      <c r="K1197" s="93">
        <f t="shared" si="163"/>
        <v>2.87869147659064</v>
      </c>
      <c r="L1197" s="94">
        <f t="shared" si="164"/>
        <v>15.7788944723618</v>
      </c>
      <c r="M1197" s="92">
        <f t="shared" si="165"/>
        <v>0.00360144057623049</v>
      </c>
      <c r="N1197" s="46">
        <f t="shared" si="166"/>
        <v>12612.3333333333</v>
      </c>
      <c r="O1197" s="46">
        <f t="shared" si="167"/>
        <v>799.316666666667</v>
      </c>
      <c r="P1197" s="93">
        <f t="shared" si="168"/>
        <v>36.8915384615385</v>
      </c>
    </row>
    <row r="1198" s="2" customFormat="1" customHeight="1" spans="1:16">
      <c r="A1198" s="82">
        <v>45845</v>
      </c>
      <c r="B1198" s="21">
        <v>2369.83</v>
      </c>
      <c r="C1198" s="33">
        <v>7020</v>
      </c>
      <c r="D1198" s="25">
        <v>835</v>
      </c>
      <c r="E1198" s="25">
        <v>4</v>
      </c>
      <c r="F1198" s="21">
        <v>36021</v>
      </c>
      <c r="G1198" s="25">
        <v>52</v>
      </c>
      <c r="H1198" s="25">
        <v>9</v>
      </c>
      <c r="I1198" s="25">
        <v>9</v>
      </c>
      <c r="J1198" s="92">
        <f t="shared" si="162"/>
        <v>0.118945868945869</v>
      </c>
      <c r="K1198" s="93">
        <f t="shared" si="163"/>
        <v>2.83811976047904</v>
      </c>
      <c r="L1198" s="94">
        <f t="shared" si="164"/>
        <v>15.1998244599824</v>
      </c>
      <c r="M1198" s="92">
        <f t="shared" si="165"/>
        <v>0.00479041916167665</v>
      </c>
      <c r="N1198" s="46">
        <f t="shared" si="166"/>
        <v>9005.25</v>
      </c>
      <c r="O1198" s="46">
        <f t="shared" si="167"/>
        <v>592.4575</v>
      </c>
      <c r="P1198" s="93">
        <f t="shared" si="168"/>
        <v>45.5736538461538</v>
      </c>
    </row>
    <row r="1199" s="2" customFormat="1" customHeight="1" spans="1:16">
      <c r="A1199" s="82">
        <v>45846</v>
      </c>
      <c r="B1199" s="21">
        <v>2420.97</v>
      </c>
      <c r="C1199" s="33">
        <v>7499</v>
      </c>
      <c r="D1199" s="25">
        <v>941</v>
      </c>
      <c r="E1199" s="25">
        <v>3</v>
      </c>
      <c r="F1199" s="21">
        <v>59635</v>
      </c>
      <c r="G1199" s="25">
        <v>61</v>
      </c>
      <c r="H1199" s="25">
        <v>3</v>
      </c>
      <c r="I1199" s="25">
        <v>5</v>
      </c>
      <c r="J1199" s="92">
        <f t="shared" si="162"/>
        <v>0.125483397786372</v>
      </c>
      <c r="K1199" s="93">
        <f t="shared" si="163"/>
        <v>2.57276301806589</v>
      </c>
      <c r="L1199" s="94">
        <f t="shared" si="164"/>
        <v>24.6326885504571</v>
      </c>
      <c r="M1199" s="92">
        <f t="shared" si="165"/>
        <v>0.00318809776833156</v>
      </c>
      <c r="N1199" s="46">
        <f t="shared" si="166"/>
        <v>19878.3333333333</v>
      </c>
      <c r="O1199" s="46">
        <f t="shared" si="167"/>
        <v>806.99</v>
      </c>
      <c r="P1199" s="93">
        <f t="shared" si="168"/>
        <v>39.6880327868852</v>
      </c>
    </row>
    <row r="1200" s="2" customFormat="1" customHeight="1" spans="1:16">
      <c r="A1200" s="82">
        <v>45847</v>
      </c>
      <c r="B1200" s="21">
        <v>2354.15</v>
      </c>
      <c r="C1200" s="33">
        <v>8678</v>
      </c>
      <c r="D1200" s="25">
        <v>903</v>
      </c>
      <c r="E1200" s="25">
        <v>0</v>
      </c>
      <c r="F1200" s="21">
        <v>0</v>
      </c>
      <c r="G1200" s="25">
        <v>52</v>
      </c>
      <c r="H1200" s="25">
        <v>4</v>
      </c>
      <c r="I1200" s="25">
        <v>6</v>
      </c>
      <c r="J1200" s="92">
        <f t="shared" si="162"/>
        <v>0.104056234155335</v>
      </c>
      <c r="K1200" s="93">
        <f t="shared" si="163"/>
        <v>2.60703211517165</v>
      </c>
      <c r="L1200" s="94">
        <f t="shared" si="164"/>
        <v>0</v>
      </c>
      <c r="M1200" s="92">
        <f t="shared" si="165"/>
        <v>0</v>
      </c>
      <c r="N1200" s="46">
        <f t="shared" si="166"/>
        <v>0</v>
      </c>
      <c r="O1200" s="46">
        <f t="shared" si="167"/>
        <v>0</v>
      </c>
      <c r="P1200" s="93">
        <f t="shared" si="168"/>
        <v>45.2721153846154</v>
      </c>
    </row>
    <row r="1201" s="2" customFormat="1" customHeight="1" spans="1:16">
      <c r="A1201" s="82">
        <v>45848</v>
      </c>
      <c r="B1201" s="21">
        <v>2638.11</v>
      </c>
      <c r="C1201" s="33">
        <v>9599</v>
      </c>
      <c r="D1201" s="25">
        <v>974</v>
      </c>
      <c r="E1201" s="25">
        <v>2</v>
      </c>
      <c r="F1201" s="21">
        <v>41000</v>
      </c>
      <c r="G1201" s="25">
        <v>75</v>
      </c>
      <c r="H1201" s="25">
        <v>8</v>
      </c>
      <c r="I1201" s="25">
        <v>3</v>
      </c>
      <c r="J1201" s="92">
        <f t="shared" si="162"/>
        <v>0.10146890301073</v>
      </c>
      <c r="K1201" s="93">
        <f t="shared" si="163"/>
        <v>2.7085318275154</v>
      </c>
      <c r="L1201" s="94">
        <f t="shared" si="164"/>
        <v>15.5414292808109</v>
      </c>
      <c r="M1201" s="92">
        <f t="shared" si="165"/>
        <v>0.00205338809034908</v>
      </c>
      <c r="N1201" s="46">
        <f t="shared" si="166"/>
        <v>20500</v>
      </c>
      <c r="O1201" s="46">
        <f t="shared" si="167"/>
        <v>1319.055</v>
      </c>
      <c r="P1201" s="93">
        <f t="shared" si="168"/>
        <v>35.1748</v>
      </c>
    </row>
    <row r="1202" s="2" customFormat="1" customHeight="1" spans="1:16">
      <c r="A1202" s="82">
        <v>45849</v>
      </c>
      <c r="B1202" s="21">
        <v>2628.47</v>
      </c>
      <c r="C1202" s="33">
        <v>9882</v>
      </c>
      <c r="D1202" s="25">
        <v>1312</v>
      </c>
      <c r="E1202" s="25">
        <v>1</v>
      </c>
      <c r="F1202" s="21">
        <v>30144</v>
      </c>
      <c r="G1202" s="25">
        <v>49</v>
      </c>
      <c r="H1202" s="25">
        <v>7</v>
      </c>
      <c r="I1202" s="25">
        <v>5</v>
      </c>
      <c r="J1202" s="92">
        <f t="shared" si="162"/>
        <v>0.132766646427849</v>
      </c>
      <c r="K1202" s="93">
        <f t="shared" si="163"/>
        <v>2.00340701219512</v>
      </c>
      <c r="L1202" s="94">
        <f t="shared" si="164"/>
        <v>11.4682686125389</v>
      </c>
      <c r="M1202" s="92">
        <f t="shared" si="165"/>
        <v>0.00076219512195122</v>
      </c>
      <c r="N1202" s="46">
        <f t="shared" si="166"/>
        <v>30144</v>
      </c>
      <c r="O1202" s="46">
        <f t="shared" si="167"/>
        <v>2628.47</v>
      </c>
      <c r="P1202" s="93">
        <f t="shared" si="168"/>
        <v>53.6422448979592</v>
      </c>
    </row>
    <row r="1203" s="2" customFormat="1" customHeight="1" spans="1:16">
      <c r="A1203" s="82">
        <v>45850</v>
      </c>
      <c r="B1203" s="21">
        <v>2469.43</v>
      </c>
      <c r="C1203" s="33">
        <v>10562</v>
      </c>
      <c r="D1203" s="25">
        <v>1035</v>
      </c>
      <c r="E1203" s="25">
        <v>1</v>
      </c>
      <c r="F1203" s="21">
        <v>13294</v>
      </c>
      <c r="G1203" s="25">
        <v>51</v>
      </c>
      <c r="H1203" s="25">
        <v>5</v>
      </c>
      <c r="I1203" s="25">
        <v>5</v>
      </c>
      <c r="J1203" s="92">
        <f t="shared" si="162"/>
        <v>0.0979928043931074</v>
      </c>
      <c r="K1203" s="93">
        <f t="shared" si="163"/>
        <v>2.38592270531401</v>
      </c>
      <c r="L1203" s="94">
        <f t="shared" si="164"/>
        <v>5.38342856448654</v>
      </c>
      <c r="M1203" s="92">
        <f t="shared" si="165"/>
        <v>0.000966183574879227</v>
      </c>
      <c r="N1203" s="46">
        <f t="shared" si="166"/>
        <v>13294</v>
      </c>
      <c r="O1203" s="46">
        <f t="shared" si="167"/>
        <v>2469.43</v>
      </c>
      <c r="P1203" s="93">
        <f t="shared" si="168"/>
        <v>48.4201960784314</v>
      </c>
    </row>
    <row r="1204" s="2" customFormat="1" customHeight="1" spans="1:16">
      <c r="A1204" s="82">
        <v>45851</v>
      </c>
      <c r="B1204" s="21">
        <v>2064.35</v>
      </c>
      <c r="C1204" s="33">
        <v>8752</v>
      </c>
      <c r="D1204" s="25">
        <v>902</v>
      </c>
      <c r="E1204" s="25">
        <v>2</v>
      </c>
      <c r="F1204" s="21">
        <v>34075</v>
      </c>
      <c r="G1204" s="25">
        <v>42</v>
      </c>
      <c r="H1204" s="25">
        <v>2</v>
      </c>
      <c r="I1204" s="25">
        <v>6</v>
      </c>
      <c r="J1204" s="92">
        <f t="shared" si="162"/>
        <v>0.103062157221207</v>
      </c>
      <c r="K1204" s="93">
        <f t="shared" si="163"/>
        <v>2.28863636363636</v>
      </c>
      <c r="L1204" s="94">
        <f t="shared" si="164"/>
        <v>16.506406374888</v>
      </c>
      <c r="M1204" s="92">
        <f t="shared" si="165"/>
        <v>0.00221729490022173</v>
      </c>
      <c r="N1204" s="46">
        <f t="shared" si="166"/>
        <v>17037.5</v>
      </c>
      <c r="O1204" s="46">
        <f t="shared" si="167"/>
        <v>1032.175</v>
      </c>
      <c r="P1204" s="93">
        <f t="shared" si="168"/>
        <v>49.1511904761905</v>
      </c>
    </row>
    <row r="1205" s="2" customFormat="1" customHeight="1" spans="1:16">
      <c r="A1205" s="82">
        <v>45852</v>
      </c>
      <c r="B1205" s="21">
        <v>2087.7</v>
      </c>
      <c r="C1205" s="33">
        <v>8439</v>
      </c>
      <c r="D1205" s="25">
        <v>934</v>
      </c>
      <c r="E1205" s="25">
        <v>2</v>
      </c>
      <c r="F1205" s="21">
        <v>27608</v>
      </c>
      <c r="G1205" s="25">
        <v>60</v>
      </c>
      <c r="H1205" s="25">
        <v>4</v>
      </c>
      <c r="I1205" s="25">
        <v>2</v>
      </c>
      <c r="J1205" s="92">
        <f t="shared" si="162"/>
        <v>0.11067662045266</v>
      </c>
      <c r="K1205" s="93">
        <f t="shared" si="163"/>
        <v>2.23522483940043</v>
      </c>
      <c r="L1205" s="94">
        <f t="shared" si="164"/>
        <v>13.2241222397854</v>
      </c>
      <c r="M1205" s="92">
        <f t="shared" si="165"/>
        <v>0.00214132762312634</v>
      </c>
      <c r="N1205" s="46">
        <f t="shared" si="166"/>
        <v>13804</v>
      </c>
      <c r="O1205" s="46">
        <f t="shared" si="167"/>
        <v>1043.85</v>
      </c>
      <c r="P1205" s="93">
        <f t="shared" si="168"/>
        <v>34.795</v>
      </c>
    </row>
    <row r="1206" s="2" customFormat="1" customHeight="1" spans="1:16">
      <c r="A1206" s="82">
        <v>45853</v>
      </c>
      <c r="B1206" s="21">
        <v>2097.98</v>
      </c>
      <c r="C1206" s="33">
        <v>8424</v>
      </c>
      <c r="D1206" s="25">
        <v>874</v>
      </c>
      <c r="E1206" s="25">
        <v>0</v>
      </c>
      <c r="F1206" s="21">
        <v>0</v>
      </c>
      <c r="G1206" s="25">
        <v>56</v>
      </c>
      <c r="H1206" s="25">
        <v>4</v>
      </c>
      <c r="I1206" s="25">
        <v>5</v>
      </c>
      <c r="J1206" s="92">
        <f t="shared" si="162"/>
        <v>0.10375118708452</v>
      </c>
      <c r="K1206" s="93">
        <f t="shared" si="163"/>
        <v>2.4004347826087</v>
      </c>
      <c r="L1206" s="94">
        <f t="shared" si="164"/>
        <v>0</v>
      </c>
      <c r="M1206" s="92">
        <f t="shared" si="165"/>
        <v>0</v>
      </c>
      <c r="N1206" s="46">
        <f t="shared" si="166"/>
        <v>0</v>
      </c>
      <c r="O1206" s="46">
        <f t="shared" si="167"/>
        <v>0</v>
      </c>
      <c r="P1206" s="93">
        <f t="shared" si="168"/>
        <v>37.4639285714286</v>
      </c>
    </row>
    <row r="1207" s="2" customFormat="1" customHeight="1" spans="1:16">
      <c r="A1207" s="82">
        <v>45854</v>
      </c>
      <c r="B1207" s="21">
        <v>1918.9</v>
      </c>
      <c r="C1207" s="33">
        <v>7548</v>
      </c>
      <c r="D1207" s="25">
        <v>928</v>
      </c>
      <c r="E1207" s="25">
        <v>4</v>
      </c>
      <c r="F1207" s="21">
        <v>63392</v>
      </c>
      <c r="G1207" s="25">
        <v>57</v>
      </c>
      <c r="H1207" s="25">
        <v>6</v>
      </c>
      <c r="I1207" s="25">
        <v>4</v>
      </c>
      <c r="J1207" s="92">
        <f t="shared" si="162"/>
        <v>0.122946475887652</v>
      </c>
      <c r="K1207" s="93">
        <f t="shared" si="163"/>
        <v>2.06778017241379</v>
      </c>
      <c r="L1207" s="94">
        <f t="shared" si="164"/>
        <v>33.0355933086664</v>
      </c>
      <c r="M1207" s="92">
        <f t="shared" si="165"/>
        <v>0.00431034482758621</v>
      </c>
      <c r="N1207" s="46">
        <f t="shared" si="166"/>
        <v>15848</v>
      </c>
      <c r="O1207" s="46">
        <f t="shared" si="167"/>
        <v>479.725</v>
      </c>
      <c r="P1207" s="93">
        <f t="shared" si="168"/>
        <v>33.6649122807018</v>
      </c>
    </row>
    <row r="1208" s="2" customFormat="1" customHeight="1" spans="1:16">
      <c r="A1208" s="82">
        <v>45855</v>
      </c>
      <c r="B1208" s="21">
        <v>1983.47</v>
      </c>
      <c r="C1208" s="33">
        <v>6538</v>
      </c>
      <c r="D1208" s="25">
        <v>864</v>
      </c>
      <c r="E1208" s="25">
        <v>1</v>
      </c>
      <c r="F1208" s="21">
        <v>6374</v>
      </c>
      <c r="G1208" s="25">
        <v>71</v>
      </c>
      <c r="H1208" s="25">
        <v>12</v>
      </c>
      <c r="I1208" s="25">
        <v>1</v>
      </c>
      <c r="J1208" s="92">
        <f t="shared" si="162"/>
        <v>0.132150504741511</v>
      </c>
      <c r="K1208" s="93">
        <f t="shared" si="163"/>
        <v>2.29568287037037</v>
      </c>
      <c r="L1208" s="94">
        <f t="shared" si="164"/>
        <v>3.21356007401171</v>
      </c>
      <c r="M1208" s="92">
        <f t="shared" si="165"/>
        <v>0.00115740740740741</v>
      </c>
      <c r="N1208" s="46">
        <f t="shared" si="166"/>
        <v>6374</v>
      </c>
      <c r="O1208" s="46">
        <f t="shared" si="167"/>
        <v>1983.47</v>
      </c>
      <c r="P1208" s="93">
        <f t="shared" si="168"/>
        <v>27.9361971830986</v>
      </c>
    </row>
    <row r="1209" s="2" customFormat="1" customHeight="1" spans="1:16">
      <c r="A1209" s="82">
        <v>45856</v>
      </c>
      <c r="B1209" s="21">
        <v>2017.19</v>
      </c>
      <c r="C1209" s="33">
        <v>7216</v>
      </c>
      <c r="D1209" s="25">
        <v>885</v>
      </c>
      <c r="E1209" s="25">
        <v>0</v>
      </c>
      <c r="F1209" s="21">
        <v>0</v>
      </c>
      <c r="G1209" s="25">
        <v>62</v>
      </c>
      <c r="H1209" s="25">
        <v>3</v>
      </c>
      <c r="I1209" s="25">
        <v>5</v>
      </c>
      <c r="J1209" s="92">
        <f t="shared" si="162"/>
        <v>0.122644124168514</v>
      </c>
      <c r="K1209" s="93">
        <f t="shared" si="163"/>
        <v>2.27931073446328</v>
      </c>
      <c r="L1209" s="94">
        <f t="shared" si="164"/>
        <v>0</v>
      </c>
      <c r="M1209" s="92">
        <f t="shared" si="165"/>
        <v>0</v>
      </c>
      <c r="N1209" s="46">
        <f t="shared" si="166"/>
        <v>0</v>
      </c>
      <c r="O1209" s="46">
        <f t="shared" si="167"/>
        <v>0</v>
      </c>
      <c r="P1209" s="93">
        <f t="shared" si="168"/>
        <v>32.5353225806452</v>
      </c>
    </row>
    <row r="1210" s="2" customFormat="1" customHeight="1" spans="1:16">
      <c r="A1210" s="82">
        <v>45857</v>
      </c>
      <c r="B1210" s="21">
        <v>1735.05</v>
      </c>
      <c r="C1210" s="33">
        <v>6846</v>
      </c>
      <c r="D1210" s="25">
        <v>848</v>
      </c>
      <c r="E1210" s="25">
        <v>0</v>
      </c>
      <c r="F1210" s="21">
        <v>0</v>
      </c>
      <c r="G1210" s="25">
        <v>56</v>
      </c>
      <c r="H1210" s="25">
        <v>5</v>
      </c>
      <c r="I1210" s="25">
        <v>4</v>
      </c>
      <c r="J1210" s="92">
        <f t="shared" si="162"/>
        <v>0.123867952088811</v>
      </c>
      <c r="K1210" s="93">
        <f t="shared" si="163"/>
        <v>2.04604952830189</v>
      </c>
      <c r="L1210" s="94">
        <f t="shared" si="164"/>
        <v>0</v>
      </c>
      <c r="M1210" s="92">
        <f t="shared" si="165"/>
        <v>0</v>
      </c>
      <c r="N1210" s="46">
        <f t="shared" si="166"/>
        <v>0</v>
      </c>
      <c r="O1210" s="46">
        <f t="shared" si="167"/>
        <v>0</v>
      </c>
      <c r="P1210" s="93">
        <f t="shared" si="168"/>
        <v>30.9830357142857</v>
      </c>
    </row>
    <row r="1211" s="2" customFormat="1" customHeight="1" spans="1:16">
      <c r="A1211" s="82">
        <v>45858</v>
      </c>
      <c r="B1211" s="21">
        <v>1732.36</v>
      </c>
      <c r="C1211" s="33">
        <v>7369</v>
      </c>
      <c r="D1211" s="25">
        <v>952</v>
      </c>
      <c r="E1211" s="25">
        <v>2</v>
      </c>
      <c r="F1211" s="21">
        <v>39471</v>
      </c>
      <c r="G1211" s="25">
        <v>60</v>
      </c>
      <c r="H1211" s="25">
        <v>5</v>
      </c>
      <c r="I1211" s="25">
        <v>6</v>
      </c>
      <c r="J1211" s="92">
        <f t="shared" si="162"/>
        <v>0.129189849368978</v>
      </c>
      <c r="K1211" s="93">
        <f t="shared" si="163"/>
        <v>1.81970588235294</v>
      </c>
      <c r="L1211" s="94">
        <f t="shared" si="164"/>
        <v>22.784525156434</v>
      </c>
      <c r="M1211" s="92">
        <f t="shared" si="165"/>
        <v>0.00210084033613445</v>
      </c>
      <c r="N1211" s="46">
        <f t="shared" si="166"/>
        <v>19735.5</v>
      </c>
      <c r="O1211" s="46">
        <f t="shared" si="167"/>
        <v>866.18</v>
      </c>
      <c r="P1211" s="93">
        <f t="shared" si="168"/>
        <v>28.8726666666667</v>
      </c>
    </row>
    <row r="1212" s="2" customFormat="1" customHeight="1" spans="1:16">
      <c r="A1212" s="82">
        <v>45859</v>
      </c>
      <c r="B1212" s="21">
        <v>1708.03</v>
      </c>
      <c r="C1212" s="33">
        <v>8084</v>
      </c>
      <c r="D1212" s="25">
        <v>880</v>
      </c>
      <c r="E1212" s="25">
        <v>1</v>
      </c>
      <c r="F1212" s="21">
        <v>6198</v>
      </c>
      <c r="G1212" s="25">
        <v>64</v>
      </c>
      <c r="H1212" s="25">
        <v>6</v>
      </c>
      <c r="I1212" s="25">
        <v>9</v>
      </c>
      <c r="J1212" s="92">
        <f t="shared" si="162"/>
        <v>0.108857001484414</v>
      </c>
      <c r="K1212" s="93">
        <f t="shared" si="163"/>
        <v>1.94094318181818</v>
      </c>
      <c r="L1212" s="94">
        <f t="shared" si="164"/>
        <v>3.62874188392476</v>
      </c>
      <c r="M1212" s="92">
        <f t="shared" si="165"/>
        <v>0.00113636363636364</v>
      </c>
      <c r="N1212" s="46">
        <f t="shared" si="166"/>
        <v>6198</v>
      </c>
      <c r="O1212" s="46">
        <f t="shared" si="167"/>
        <v>1708.03</v>
      </c>
      <c r="P1212" s="93">
        <f t="shared" si="168"/>
        <v>26.68796875</v>
      </c>
    </row>
    <row r="1213" s="2" customFormat="1" customHeight="1" spans="1:16">
      <c r="A1213" s="82">
        <v>45860</v>
      </c>
      <c r="B1213" s="21">
        <v>1730.57</v>
      </c>
      <c r="C1213" s="33">
        <v>7220</v>
      </c>
      <c r="D1213" s="25">
        <v>888</v>
      </c>
      <c r="E1213" s="25">
        <v>4</v>
      </c>
      <c r="F1213" s="21">
        <v>62280</v>
      </c>
      <c r="G1213" s="25">
        <v>61</v>
      </c>
      <c r="H1213" s="25">
        <v>5</v>
      </c>
      <c r="I1213" s="25">
        <v>5</v>
      </c>
      <c r="J1213" s="92">
        <f t="shared" si="162"/>
        <v>0.122991689750693</v>
      </c>
      <c r="K1213" s="93">
        <f t="shared" si="163"/>
        <v>1.94884009009009</v>
      </c>
      <c r="L1213" s="94">
        <f t="shared" si="164"/>
        <v>35.9881426350856</v>
      </c>
      <c r="M1213" s="92">
        <f t="shared" si="165"/>
        <v>0.0045045045045045</v>
      </c>
      <c r="N1213" s="46">
        <f t="shared" si="166"/>
        <v>15570</v>
      </c>
      <c r="O1213" s="46">
        <f t="shared" si="167"/>
        <v>432.6425</v>
      </c>
      <c r="P1213" s="93">
        <f t="shared" si="168"/>
        <v>28.37</v>
      </c>
    </row>
    <row r="1214" s="2" customFormat="1" customHeight="1" spans="1:16">
      <c r="A1214" s="82">
        <v>45861</v>
      </c>
      <c r="B1214" s="21">
        <v>1993.78</v>
      </c>
      <c r="C1214" s="33">
        <v>7539</v>
      </c>
      <c r="D1214" s="25">
        <v>852</v>
      </c>
      <c r="E1214" s="25">
        <v>1</v>
      </c>
      <c r="F1214" s="21">
        <v>15854</v>
      </c>
      <c r="G1214" s="25">
        <v>60</v>
      </c>
      <c r="H1214" s="25">
        <v>4</v>
      </c>
      <c r="I1214" s="25">
        <v>5</v>
      </c>
      <c r="J1214" s="92">
        <f t="shared" si="162"/>
        <v>0.113012335853561</v>
      </c>
      <c r="K1214" s="93">
        <f t="shared" si="163"/>
        <v>2.34011737089202</v>
      </c>
      <c r="L1214" s="94">
        <f t="shared" si="164"/>
        <v>7.95172987992657</v>
      </c>
      <c r="M1214" s="92">
        <f t="shared" si="165"/>
        <v>0.00117370892018779</v>
      </c>
      <c r="N1214" s="46">
        <f t="shared" si="166"/>
        <v>15854</v>
      </c>
      <c r="O1214" s="46">
        <f t="shared" si="167"/>
        <v>1993.78</v>
      </c>
      <c r="P1214" s="93">
        <f t="shared" si="168"/>
        <v>33.2296666666667</v>
      </c>
    </row>
    <row r="1215" s="2" customFormat="1" customHeight="1" spans="1:16">
      <c r="A1215" s="82">
        <v>45862</v>
      </c>
      <c r="B1215" s="21">
        <v>1823.52</v>
      </c>
      <c r="C1215" s="33">
        <v>6782</v>
      </c>
      <c r="D1215" s="25">
        <v>779</v>
      </c>
      <c r="E1215" s="25">
        <v>1</v>
      </c>
      <c r="F1215" s="21">
        <v>8134</v>
      </c>
      <c r="G1215" s="25">
        <v>30</v>
      </c>
      <c r="H1215" s="25">
        <v>5</v>
      </c>
      <c r="I1215" s="25">
        <v>6</v>
      </c>
      <c r="J1215" s="92">
        <f t="shared" si="162"/>
        <v>0.114862872309053</v>
      </c>
      <c r="K1215" s="93">
        <f t="shared" si="163"/>
        <v>2.34084724005135</v>
      </c>
      <c r="L1215" s="94">
        <f t="shared" si="164"/>
        <v>4.46060366763183</v>
      </c>
      <c r="M1215" s="92">
        <f t="shared" si="165"/>
        <v>0.00128369704749679</v>
      </c>
      <c r="N1215" s="46">
        <f t="shared" si="166"/>
        <v>8134</v>
      </c>
      <c r="O1215" s="46">
        <f t="shared" si="167"/>
        <v>1823.52</v>
      </c>
      <c r="P1215" s="93">
        <f t="shared" si="168"/>
        <v>60.784</v>
      </c>
    </row>
    <row r="1216" s="2" customFormat="1" customHeight="1" spans="1:16">
      <c r="A1216" s="82">
        <v>45863</v>
      </c>
      <c r="B1216" s="21">
        <v>2233.42</v>
      </c>
      <c r="C1216" s="33">
        <v>8464</v>
      </c>
      <c r="D1216" s="25">
        <v>904</v>
      </c>
      <c r="E1216" s="25">
        <v>0</v>
      </c>
      <c r="F1216" s="21">
        <v>0</v>
      </c>
      <c r="G1216" s="25">
        <v>52</v>
      </c>
      <c r="H1216" s="25">
        <v>6</v>
      </c>
      <c r="I1216" s="25">
        <v>1</v>
      </c>
      <c r="J1216" s="92">
        <f t="shared" si="162"/>
        <v>0.106805293005671</v>
      </c>
      <c r="K1216" s="93">
        <f t="shared" si="163"/>
        <v>2.47059734513274</v>
      </c>
      <c r="L1216" s="94">
        <f t="shared" si="164"/>
        <v>0</v>
      </c>
      <c r="M1216" s="92">
        <f t="shared" si="165"/>
        <v>0</v>
      </c>
      <c r="N1216" s="46">
        <f t="shared" si="166"/>
        <v>0</v>
      </c>
      <c r="O1216" s="46">
        <f t="shared" si="167"/>
        <v>0</v>
      </c>
      <c r="P1216" s="93">
        <f t="shared" si="168"/>
        <v>42.9503846153846</v>
      </c>
    </row>
    <row r="1217" s="2" customFormat="1" customHeight="1" spans="1:16">
      <c r="A1217" s="82">
        <v>45864</v>
      </c>
      <c r="B1217" s="21">
        <v>2303.96</v>
      </c>
      <c r="C1217" s="33">
        <v>8323</v>
      </c>
      <c r="D1217" s="25">
        <v>951</v>
      </c>
      <c r="E1217" s="25">
        <v>2</v>
      </c>
      <c r="F1217" s="21">
        <v>37053</v>
      </c>
      <c r="G1217" s="25">
        <v>53</v>
      </c>
      <c r="H1217" s="25">
        <v>8</v>
      </c>
      <c r="I1217" s="25">
        <v>1</v>
      </c>
      <c r="J1217" s="92">
        <f t="shared" si="162"/>
        <v>0.114261684488766</v>
      </c>
      <c r="K1217" s="93">
        <f t="shared" si="163"/>
        <v>2.42267087276551</v>
      </c>
      <c r="L1217" s="94">
        <f t="shared" si="164"/>
        <v>16.0823104567788</v>
      </c>
      <c r="M1217" s="92">
        <f t="shared" si="165"/>
        <v>0.00210304942166141</v>
      </c>
      <c r="N1217" s="46">
        <f t="shared" si="166"/>
        <v>18526.5</v>
      </c>
      <c r="O1217" s="46">
        <f t="shared" si="167"/>
        <v>1151.98</v>
      </c>
      <c r="P1217" s="93">
        <f t="shared" si="168"/>
        <v>43.4709433962264</v>
      </c>
    </row>
    <row r="1218" s="2" customFormat="1" customHeight="1" spans="1:16">
      <c r="A1218" s="82">
        <v>45865</v>
      </c>
      <c r="B1218" s="21">
        <v>2043.7</v>
      </c>
      <c r="C1218" s="33">
        <v>8629</v>
      </c>
      <c r="D1218" s="25">
        <v>956</v>
      </c>
      <c r="E1218" s="25">
        <v>0</v>
      </c>
      <c r="F1218" s="21">
        <v>0</v>
      </c>
      <c r="G1218" s="25">
        <v>34</v>
      </c>
      <c r="H1218" s="25">
        <v>5</v>
      </c>
      <c r="I1218" s="25">
        <v>3</v>
      </c>
      <c r="J1218" s="92">
        <f t="shared" si="162"/>
        <v>0.11078919921196</v>
      </c>
      <c r="K1218" s="93">
        <f t="shared" si="163"/>
        <v>2.13776150627615</v>
      </c>
      <c r="L1218" s="94">
        <f t="shared" si="164"/>
        <v>0</v>
      </c>
      <c r="M1218" s="92">
        <f t="shared" si="165"/>
        <v>0</v>
      </c>
      <c r="N1218" s="46">
        <f t="shared" si="166"/>
        <v>0</v>
      </c>
      <c r="O1218" s="46">
        <f t="shared" si="167"/>
        <v>0</v>
      </c>
      <c r="P1218" s="93">
        <f t="shared" si="168"/>
        <v>60.1088235294118</v>
      </c>
    </row>
    <row r="1219" s="2" customFormat="1" customHeight="1" spans="1:16">
      <c r="A1219" s="82">
        <v>45866</v>
      </c>
      <c r="B1219" s="21">
        <v>2210</v>
      </c>
      <c r="C1219" s="33">
        <v>7559</v>
      </c>
      <c r="D1219" s="25">
        <v>941</v>
      </c>
      <c r="E1219" s="25">
        <v>3</v>
      </c>
      <c r="F1219" s="21">
        <v>26510</v>
      </c>
      <c r="G1219" s="25">
        <v>67</v>
      </c>
      <c r="H1219" s="25">
        <v>9</v>
      </c>
      <c r="I1219" s="25">
        <v>6</v>
      </c>
      <c r="J1219" s="92">
        <f t="shared" si="162"/>
        <v>0.124487366053711</v>
      </c>
      <c r="K1219" s="93">
        <f t="shared" si="163"/>
        <v>2.34856535600425</v>
      </c>
      <c r="L1219" s="94">
        <f t="shared" si="164"/>
        <v>11.9954751131222</v>
      </c>
      <c r="M1219" s="92">
        <f t="shared" si="165"/>
        <v>0.00318809776833156</v>
      </c>
      <c r="N1219" s="46">
        <f t="shared" si="166"/>
        <v>8836.66666666667</v>
      </c>
      <c r="O1219" s="46">
        <f t="shared" si="167"/>
        <v>736.666666666667</v>
      </c>
      <c r="P1219" s="93">
        <f t="shared" si="168"/>
        <v>32.9850746268657</v>
      </c>
    </row>
    <row r="1220" s="2" customFormat="1" customHeight="1" spans="1:16">
      <c r="A1220" s="82">
        <v>45867</v>
      </c>
      <c r="B1220" s="21">
        <v>2285.94</v>
      </c>
      <c r="C1220" s="33">
        <v>9147</v>
      </c>
      <c r="D1220" s="25">
        <v>1011</v>
      </c>
      <c r="E1220" s="25">
        <v>0</v>
      </c>
      <c r="F1220" s="21">
        <v>0</v>
      </c>
      <c r="G1220" s="25">
        <v>41</v>
      </c>
      <c r="H1220" s="25">
        <v>5</v>
      </c>
      <c r="I1220" s="25">
        <v>0</v>
      </c>
      <c r="J1220" s="92">
        <f t="shared" si="162"/>
        <v>0.110528041980977</v>
      </c>
      <c r="K1220" s="93">
        <f t="shared" si="163"/>
        <v>2.26106824925816</v>
      </c>
      <c r="L1220" s="94">
        <f t="shared" si="164"/>
        <v>0</v>
      </c>
      <c r="M1220" s="92">
        <f t="shared" si="165"/>
        <v>0</v>
      </c>
      <c r="N1220" s="46">
        <f t="shared" si="166"/>
        <v>0</v>
      </c>
      <c r="O1220" s="46">
        <f t="shared" si="167"/>
        <v>0</v>
      </c>
      <c r="P1220" s="93">
        <f t="shared" si="168"/>
        <v>55.7546341463415</v>
      </c>
    </row>
    <row r="1221" s="2" customFormat="1" customHeight="1" spans="1:16">
      <c r="A1221" s="82">
        <v>45868</v>
      </c>
      <c r="B1221" s="21">
        <v>2268.62</v>
      </c>
      <c r="C1221" s="33">
        <v>8187</v>
      </c>
      <c r="D1221" s="25">
        <v>959</v>
      </c>
      <c r="E1221" s="25">
        <v>4</v>
      </c>
      <c r="F1221" s="21">
        <v>44806</v>
      </c>
      <c r="G1221" s="25">
        <v>37</v>
      </c>
      <c r="H1221" s="25">
        <v>8</v>
      </c>
      <c r="I1221" s="25">
        <v>3</v>
      </c>
      <c r="J1221" s="92">
        <f t="shared" si="162"/>
        <v>0.117136924392329</v>
      </c>
      <c r="K1221" s="93">
        <f t="shared" si="163"/>
        <v>2.36561001042753</v>
      </c>
      <c r="L1221" s="94">
        <f t="shared" si="164"/>
        <v>19.7503328014388</v>
      </c>
      <c r="M1221" s="92">
        <f t="shared" si="165"/>
        <v>0.00417101147028154</v>
      </c>
      <c r="N1221" s="46">
        <f t="shared" si="166"/>
        <v>11201.5</v>
      </c>
      <c r="O1221" s="46">
        <f t="shared" si="167"/>
        <v>567.155</v>
      </c>
      <c r="P1221" s="93">
        <f t="shared" si="168"/>
        <v>61.3140540540541</v>
      </c>
    </row>
    <row r="1222" s="2" customFormat="1" customHeight="1" spans="1:16">
      <c r="A1222" s="82">
        <v>45869</v>
      </c>
      <c r="B1222" s="21">
        <v>2185.48</v>
      </c>
      <c r="C1222" s="33">
        <v>9082</v>
      </c>
      <c r="D1222" s="25">
        <v>992</v>
      </c>
      <c r="E1222" s="25">
        <v>0</v>
      </c>
      <c r="F1222" s="21">
        <v>0</v>
      </c>
      <c r="G1222" s="25">
        <v>48</v>
      </c>
      <c r="H1222" s="25">
        <v>11</v>
      </c>
      <c r="I1222" s="25">
        <v>7</v>
      </c>
      <c r="J1222" s="92">
        <f t="shared" si="162"/>
        <v>0.109227042501652</v>
      </c>
      <c r="K1222" s="93">
        <f t="shared" si="163"/>
        <v>2.20310483870968</v>
      </c>
      <c r="L1222" s="94">
        <f t="shared" si="164"/>
        <v>0</v>
      </c>
      <c r="M1222" s="92">
        <f t="shared" si="165"/>
        <v>0</v>
      </c>
      <c r="N1222" s="46">
        <f t="shared" si="166"/>
        <v>0</v>
      </c>
      <c r="O1222" s="46">
        <f t="shared" si="167"/>
        <v>0</v>
      </c>
      <c r="P1222" s="93">
        <f t="shared" si="168"/>
        <v>45.5308333333333</v>
      </c>
    </row>
    <row r="1223" s="2" customFormat="1" customHeight="1" spans="1:16">
      <c r="A1223" s="82">
        <v>45870</v>
      </c>
      <c r="B1223" s="21">
        <v>1931.32</v>
      </c>
      <c r="C1223" s="33">
        <v>6918</v>
      </c>
      <c r="D1223" s="25">
        <v>751</v>
      </c>
      <c r="E1223" s="25">
        <v>1</v>
      </c>
      <c r="F1223" s="21">
        <v>23022</v>
      </c>
      <c r="G1223" s="25">
        <v>45</v>
      </c>
      <c r="H1223" s="25">
        <v>3</v>
      </c>
      <c r="I1223" s="25">
        <v>5</v>
      </c>
      <c r="J1223" s="92">
        <f t="shared" si="162"/>
        <v>0.108557386527898</v>
      </c>
      <c r="K1223" s="93">
        <f t="shared" si="163"/>
        <v>2.57166444740346</v>
      </c>
      <c r="L1223" s="94">
        <f t="shared" si="164"/>
        <v>11.9203446347576</v>
      </c>
      <c r="M1223" s="92">
        <f t="shared" si="165"/>
        <v>0.00133155792276964</v>
      </c>
      <c r="N1223" s="46">
        <f t="shared" si="166"/>
        <v>23022</v>
      </c>
      <c r="O1223" s="46">
        <f t="shared" si="167"/>
        <v>1931.32</v>
      </c>
      <c r="P1223" s="93">
        <f t="shared" si="168"/>
        <v>42.9182222222222</v>
      </c>
    </row>
    <row r="1224" s="2" customFormat="1" customHeight="1" spans="1:16">
      <c r="A1224" s="82">
        <v>45871</v>
      </c>
      <c r="B1224" s="21">
        <v>2162.99</v>
      </c>
      <c r="C1224" s="33">
        <v>6755</v>
      </c>
      <c r="D1224" s="25">
        <v>912</v>
      </c>
      <c r="E1224" s="25">
        <v>2</v>
      </c>
      <c r="F1224" s="21">
        <v>30786</v>
      </c>
      <c r="G1224" s="25">
        <v>63</v>
      </c>
      <c r="H1224" s="25">
        <v>5</v>
      </c>
      <c r="I1224" s="25">
        <v>5</v>
      </c>
      <c r="J1224" s="92">
        <f t="shared" si="162"/>
        <v>0.135011102886751</v>
      </c>
      <c r="K1224" s="93">
        <f t="shared" si="163"/>
        <v>2.37169956140351</v>
      </c>
      <c r="L1224" s="94">
        <f t="shared" si="164"/>
        <v>14.2330755112136</v>
      </c>
      <c r="M1224" s="92">
        <f t="shared" si="165"/>
        <v>0.00219298245614035</v>
      </c>
      <c r="N1224" s="46">
        <f t="shared" si="166"/>
        <v>15393</v>
      </c>
      <c r="O1224" s="46">
        <f t="shared" si="167"/>
        <v>1081.495</v>
      </c>
      <c r="P1224" s="93">
        <f t="shared" si="168"/>
        <v>34.3331746031746</v>
      </c>
    </row>
    <row r="1225" s="2" customFormat="1" customHeight="1" spans="1:16">
      <c r="A1225" s="82">
        <v>45872</v>
      </c>
      <c r="B1225" s="21">
        <v>2205.25</v>
      </c>
      <c r="C1225" s="33">
        <v>8235</v>
      </c>
      <c r="D1225" s="25">
        <v>1154</v>
      </c>
      <c r="E1225" s="25">
        <v>0</v>
      </c>
      <c r="F1225" s="21">
        <v>0</v>
      </c>
      <c r="G1225" s="25">
        <v>64</v>
      </c>
      <c r="H1225" s="25">
        <v>4</v>
      </c>
      <c r="I1225" s="25">
        <v>4</v>
      </c>
      <c r="J1225" s="92">
        <f t="shared" si="162"/>
        <v>0.14013357619915</v>
      </c>
      <c r="K1225" s="93">
        <f t="shared" si="163"/>
        <v>1.91096187175043</v>
      </c>
      <c r="L1225" s="94">
        <f t="shared" si="164"/>
        <v>0</v>
      </c>
      <c r="M1225" s="92">
        <f t="shared" si="165"/>
        <v>0</v>
      </c>
      <c r="N1225" s="46">
        <f t="shared" si="166"/>
        <v>0</v>
      </c>
      <c r="O1225" s="46">
        <f t="shared" si="167"/>
        <v>0</v>
      </c>
      <c r="P1225" s="93">
        <f t="shared" si="168"/>
        <v>34.45703125</v>
      </c>
    </row>
    <row r="1226" s="2" customFormat="1" customHeight="1" spans="1:16">
      <c r="A1226" s="82">
        <v>45873</v>
      </c>
      <c r="B1226" s="21">
        <v>2273.14</v>
      </c>
      <c r="C1226" s="33">
        <v>7203</v>
      </c>
      <c r="D1226" s="25">
        <v>1096</v>
      </c>
      <c r="E1226" s="25">
        <v>4</v>
      </c>
      <c r="F1226" s="21">
        <v>36786</v>
      </c>
      <c r="G1226" s="25">
        <v>57</v>
      </c>
      <c r="H1226" s="25">
        <v>7</v>
      </c>
      <c r="I1226" s="25">
        <v>5</v>
      </c>
      <c r="J1226" s="92">
        <f t="shared" si="162"/>
        <v>0.152158822712759</v>
      </c>
      <c r="K1226" s="93">
        <f t="shared" si="163"/>
        <v>2.07403284671533</v>
      </c>
      <c r="L1226" s="94">
        <f t="shared" si="164"/>
        <v>16.1829011851448</v>
      </c>
      <c r="M1226" s="92">
        <f t="shared" si="165"/>
        <v>0.00364963503649635</v>
      </c>
      <c r="N1226" s="46">
        <f t="shared" si="166"/>
        <v>9196.5</v>
      </c>
      <c r="O1226" s="46">
        <f t="shared" si="167"/>
        <v>568.285</v>
      </c>
      <c r="P1226" s="93">
        <f t="shared" si="168"/>
        <v>39.879649122807</v>
      </c>
    </row>
    <row r="1227" s="2" customFormat="1" customHeight="1" spans="1:16">
      <c r="A1227" s="82">
        <v>45874</v>
      </c>
      <c r="B1227" s="21">
        <v>2215.15</v>
      </c>
      <c r="C1227" s="33">
        <v>6738</v>
      </c>
      <c r="D1227" s="25">
        <v>954</v>
      </c>
      <c r="E1227" s="25">
        <v>2</v>
      </c>
      <c r="F1227" s="21">
        <v>30238</v>
      </c>
      <c r="G1227" s="25">
        <v>56</v>
      </c>
      <c r="H1227" s="25">
        <v>4</v>
      </c>
      <c r="I1227" s="25">
        <v>3</v>
      </c>
      <c r="J1227" s="92">
        <f t="shared" si="162"/>
        <v>0.141585040071238</v>
      </c>
      <c r="K1227" s="93">
        <f t="shared" si="163"/>
        <v>2.32196016771488</v>
      </c>
      <c r="L1227" s="94">
        <f t="shared" si="164"/>
        <v>13.6505428526285</v>
      </c>
      <c r="M1227" s="92">
        <f t="shared" si="165"/>
        <v>0.00209643605870021</v>
      </c>
      <c r="N1227" s="46">
        <f t="shared" si="166"/>
        <v>15119</v>
      </c>
      <c r="O1227" s="46">
        <f t="shared" si="167"/>
        <v>1107.575</v>
      </c>
      <c r="P1227" s="93">
        <f t="shared" si="168"/>
        <v>39.55625</v>
      </c>
    </row>
    <row r="1228" s="2" customFormat="1" customHeight="1" spans="1:16">
      <c r="A1228" s="82">
        <v>45875</v>
      </c>
      <c r="B1228" s="98">
        <v>2164.37</v>
      </c>
      <c r="C1228" s="99">
        <v>6339</v>
      </c>
      <c r="D1228" s="99">
        <v>928</v>
      </c>
      <c r="E1228" s="99">
        <v>1</v>
      </c>
      <c r="F1228" s="98">
        <v>2422</v>
      </c>
      <c r="G1228" s="99">
        <v>58</v>
      </c>
      <c r="H1228" s="99">
        <v>8</v>
      </c>
      <c r="I1228" s="99">
        <v>2</v>
      </c>
      <c r="J1228" s="92">
        <f t="shared" si="162"/>
        <v>0.146395330493769</v>
      </c>
      <c r="K1228" s="93">
        <f t="shared" si="163"/>
        <v>2.33229525862069</v>
      </c>
      <c r="L1228" s="94">
        <f t="shared" si="164"/>
        <v>1.11903232811395</v>
      </c>
      <c r="M1228" s="92">
        <f t="shared" si="165"/>
        <v>0.00107758620689655</v>
      </c>
      <c r="N1228" s="46">
        <f t="shared" si="166"/>
        <v>2422</v>
      </c>
      <c r="O1228" s="46">
        <f t="shared" si="167"/>
        <v>2164.37</v>
      </c>
      <c r="P1228" s="93">
        <f t="shared" si="168"/>
        <v>37.316724137931</v>
      </c>
    </row>
    <row r="1229" s="2" customFormat="1" spans="1:16">
      <c r="A1229" s="82">
        <v>45876</v>
      </c>
      <c r="B1229" s="98">
        <v>2215.01</v>
      </c>
      <c r="C1229" s="99">
        <v>6556</v>
      </c>
      <c r="D1229" s="99">
        <v>906</v>
      </c>
      <c r="E1229" s="99">
        <v>3</v>
      </c>
      <c r="F1229" s="98">
        <v>33080</v>
      </c>
      <c r="G1229" s="99">
        <v>71</v>
      </c>
      <c r="H1229" s="99">
        <v>4</v>
      </c>
      <c r="I1229" s="99">
        <v>3</v>
      </c>
      <c r="J1229" s="92">
        <f t="shared" si="162"/>
        <v>0.138194020744356</v>
      </c>
      <c r="K1229" s="93">
        <f t="shared" si="163"/>
        <v>2.4448233995585</v>
      </c>
      <c r="L1229" s="94">
        <f t="shared" si="164"/>
        <v>14.9344698218067</v>
      </c>
      <c r="M1229" s="92">
        <f t="shared" si="165"/>
        <v>0.0033112582781457</v>
      </c>
      <c r="N1229" s="46">
        <f t="shared" si="166"/>
        <v>11026.6666666667</v>
      </c>
      <c r="O1229" s="46">
        <f t="shared" si="167"/>
        <v>738.336666666667</v>
      </c>
      <c r="P1229" s="93">
        <f t="shared" si="168"/>
        <v>31.197323943662</v>
      </c>
    </row>
    <row r="1230" s="2" customFormat="1" spans="1:16">
      <c r="A1230" s="82">
        <v>45877</v>
      </c>
      <c r="B1230" s="98">
        <v>2246.91</v>
      </c>
      <c r="C1230" s="99">
        <v>6388</v>
      </c>
      <c r="D1230" s="99">
        <v>884</v>
      </c>
      <c r="E1230" s="99">
        <v>5</v>
      </c>
      <c r="F1230" s="98">
        <v>86798</v>
      </c>
      <c r="G1230" s="99">
        <v>58</v>
      </c>
      <c r="H1230" s="99">
        <v>6</v>
      </c>
      <c r="I1230" s="99">
        <v>3</v>
      </c>
      <c r="J1230" s="92">
        <f t="shared" si="162"/>
        <v>0.138384470882905</v>
      </c>
      <c r="K1230" s="93">
        <f t="shared" si="163"/>
        <v>2.54175339366516</v>
      </c>
      <c r="L1230" s="94">
        <f t="shared" si="164"/>
        <v>38.6299406740813</v>
      </c>
      <c r="M1230" s="92">
        <f t="shared" si="165"/>
        <v>0.00565610859728507</v>
      </c>
      <c r="N1230" s="46">
        <f t="shared" si="166"/>
        <v>17359.6</v>
      </c>
      <c r="O1230" s="46">
        <f t="shared" si="167"/>
        <v>449.382</v>
      </c>
      <c r="P1230" s="93">
        <f t="shared" si="168"/>
        <v>38.7398275862069</v>
      </c>
    </row>
    <row r="1231" s="2" customFormat="1" spans="1:16">
      <c r="A1231" s="82">
        <v>45878</v>
      </c>
      <c r="B1231" s="98">
        <v>1796.31</v>
      </c>
      <c r="C1231" s="99">
        <v>5577</v>
      </c>
      <c r="D1231" s="99">
        <v>655</v>
      </c>
      <c r="E1231" s="99">
        <v>4</v>
      </c>
      <c r="F1231" s="98">
        <v>40455</v>
      </c>
      <c r="G1231" s="99">
        <v>55</v>
      </c>
      <c r="H1231" s="99">
        <v>7</v>
      </c>
      <c r="I1231" s="99">
        <v>6</v>
      </c>
      <c r="J1231" s="92">
        <f t="shared" si="162"/>
        <v>0.117446655908194</v>
      </c>
      <c r="K1231" s="93">
        <f t="shared" si="163"/>
        <v>2.74245801526718</v>
      </c>
      <c r="L1231" s="94">
        <f t="shared" si="164"/>
        <v>22.5211683952102</v>
      </c>
      <c r="M1231" s="92">
        <f t="shared" si="165"/>
        <v>0.00610687022900763</v>
      </c>
      <c r="N1231" s="46">
        <f t="shared" si="166"/>
        <v>10113.75</v>
      </c>
      <c r="O1231" s="46">
        <f t="shared" si="167"/>
        <v>449.0775</v>
      </c>
      <c r="P1231" s="93">
        <f t="shared" si="168"/>
        <v>32.6601818181818</v>
      </c>
    </row>
    <row r="1232" s="2" customFormat="1" spans="1:16">
      <c r="A1232" s="82">
        <v>45879</v>
      </c>
      <c r="B1232" s="98">
        <v>1809.45</v>
      </c>
      <c r="C1232" s="99">
        <v>6968</v>
      </c>
      <c r="D1232" s="99">
        <v>810</v>
      </c>
      <c r="E1232" s="99">
        <v>0</v>
      </c>
      <c r="F1232" s="98">
        <v>0</v>
      </c>
      <c r="G1232" s="99">
        <v>50</v>
      </c>
      <c r="H1232" s="99">
        <v>7</v>
      </c>
      <c r="I1232" s="99">
        <v>2</v>
      </c>
      <c r="J1232" s="92">
        <f t="shared" si="162"/>
        <v>0.116245694603904</v>
      </c>
      <c r="K1232" s="93">
        <f t="shared" si="163"/>
        <v>2.23388888888889</v>
      </c>
      <c r="L1232" s="94">
        <f t="shared" si="164"/>
        <v>0</v>
      </c>
      <c r="M1232" s="92">
        <f t="shared" si="165"/>
        <v>0</v>
      </c>
      <c r="N1232" s="46">
        <f t="shared" si="166"/>
        <v>0</v>
      </c>
      <c r="O1232" s="46">
        <f t="shared" si="167"/>
        <v>0</v>
      </c>
      <c r="P1232" s="93">
        <f t="shared" si="168"/>
        <v>36.189</v>
      </c>
    </row>
    <row r="1233" s="2" customFormat="1" spans="1:16">
      <c r="A1233" s="82">
        <v>45880</v>
      </c>
      <c r="B1233" s="98">
        <v>2165.55</v>
      </c>
      <c r="C1233" s="99">
        <v>6435</v>
      </c>
      <c r="D1233" s="99">
        <v>881</v>
      </c>
      <c r="E1233" s="99">
        <v>6</v>
      </c>
      <c r="F1233" s="98">
        <v>95338</v>
      </c>
      <c r="G1233" s="99">
        <v>67</v>
      </c>
      <c r="H1233" s="99">
        <v>5</v>
      </c>
      <c r="I1233" s="99">
        <v>6</v>
      </c>
      <c r="J1233" s="92">
        <f t="shared" si="162"/>
        <v>0.136907536907537</v>
      </c>
      <c r="K1233" s="93">
        <f t="shared" si="163"/>
        <v>2.45805902383655</v>
      </c>
      <c r="L1233" s="94">
        <f t="shared" si="164"/>
        <v>44.0248435732262</v>
      </c>
      <c r="M1233" s="92">
        <f t="shared" si="165"/>
        <v>0.00681044267877412</v>
      </c>
      <c r="N1233" s="46">
        <f t="shared" si="166"/>
        <v>15889.6666666667</v>
      </c>
      <c r="O1233" s="46">
        <f t="shared" si="167"/>
        <v>360.925</v>
      </c>
      <c r="P1233" s="93">
        <f t="shared" si="168"/>
        <v>32.3216417910448</v>
      </c>
    </row>
    <row r="1234" s="2" customFormat="1" spans="1:16">
      <c r="A1234" s="82">
        <v>45881</v>
      </c>
      <c r="B1234" s="98">
        <v>2220.96</v>
      </c>
      <c r="C1234" s="99">
        <v>6459</v>
      </c>
      <c r="D1234" s="99">
        <v>897</v>
      </c>
      <c r="E1234" s="99">
        <v>2</v>
      </c>
      <c r="F1234" s="98">
        <v>19774</v>
      </c>
      <c r="G1234" s="99">
        <v>55</v>
      </c>
      <c r="H1234" s="99">
        <v>5</v>
      </c>
      <c r="I1234" s="99">
        <v>5</v>
      </c>
      <c r="J1234" s="92">
        <f t="shared" si="162"/>
        <v>0.138875986994891</v>
      </c>
      <c r="K1234" s="93">
        <f t="shared" si="163"/>
        <v>2.47598662207358</v>
      </c>
      <c r="L1234" s="94">
        <f t="shared" si="164"/>
        <v>8.90335710683668</v>
      </c>
      <c r="M1234" s="92">
        <f t="shared" si="165"/>
        <v>0.00222965440356745</v>
      </c>
      <c r="N1234" s="46">
        <f t="shared" si="166"/>
        <v>9887</v>
      </c>
      <c r="O1234" s="46">
        <f t="shared" si="167"/>
        <v>1110.48</v>
      </c>
      <c r="P1234" s="93">
        <f t="shared" si="168"/>
        <v>40.3810909090909</v>
      </c>
    </row>
    <row r="1235" s="2" customFormat="1" spans="1:16">
      <c r="A1235" s="82">
        <v>45882</v>
      </c>
      <c r="B1235" s="98">
        <v>2209.07</v>
      </c>
      <c r="C1235" s="99">
        <v>7066</v>
      </c>
      <c r="D1235" s="99">
        <v>997</v>
      </c>
      <c r="E1235" s="99">
        <v>7</v>
      </c>
      <c r="F1235" s="98">
        <v>104157</v>
      </c>
      <c r="G1235" s="99">
        <v>61</v>
      </c>
      <c r="H1235" s="99">
        <v>7</v>
      </c>
      <c r="I1235" s="99">
        <v>2</v>
      </c>
      <c r="J1235" s="92">
        <f t="shared" si="162"/>
        <v>0.141098216812907</v>
      </c>
      <c r="K1235" s="93">
        <f t="shared" si="163"/>
        <v>2.21571715145436</v>
      </c>
      <c r="L1235" s="94">
        <f t="shared" si="164"/>
        <v>47.1497055321923</v>
      </c>
      <c r="M1235" s="92">
        <f t="shared" si="165"/>
        <v>0.00702106318956871</v>
      </c>
      <c r="N1235" s="46">
        <f t="shared" si="166"/>
        <v>14879.5714285714</v>
      </c>
      <c r="O1235" s="46">
        <f t="shared" si="167"/>
        <v>315.581428571429</v>
      </c>
      <c r="P1235" s="93">
        <f t="shared" si="168"/>
        <v>36.214262295082</v>
      </c>
    </row>
    <row r="1236" s="2" customFormat="1" spans="1:16">
      <c r="A1236" s="82">
        <v>45883</v>
      </c>
      <c r="B1236" s="98">
        <v>2077.17</v>
      </c>
      <c r="C1236" s="99">
        <v>6316</v>
      </c>
      <c r="D1236" s="99">
        <v>904</v>
      </c>
      <c r="E1236" s="99">
        <v>2</v>
      </c>
      <c r="F1236" s="98">
        <v>23004</v>
      </c>
      <c r="G1236" s="99">
        <v>49</v>
      </c>
      <c r="H1236" s="99">
        <v>9</v>
      </c>
      <c r="I1236" s="99">
        <v>2</v>
      </c>
      <c r="J1236" s="92">
        <f t="shared" si="162"/>
        <v>0.143128562381254</v>
      </c>
      <c r="K1236" s="93">
        <f t="shared" si="163"/>
        <v>2.29775442477876</v>
      </c>
      <c r="L1236" s="94">
        <f t="shared" si="164"/>
        <v>11.0746833432025</v>
      </c>
      <c r="M1236" s="92">
        <f t="shared" si="165"/>
        <v>0.00221238938053097</v>
      </c>
      <c r="N1236" s="46">
        <f t="shared" si="166"/>
        <v>11502</v>
      </c>
      <c r="O1236" s="46">
        <f t="shared" si="167"/>
        <v>1038.585</v>
      </c>
      <c r="P1236" s="93">
        <f t="shared" si="168"/>
        <v>42.3912244897959</v>
      </c>
    </row>
    <row r="1237" s="2" customFormat="1" spans="1:16">
      <c r="A1237" s="82">
        <v>45884</v>
      </c>
      <c r="B1237" s="98">
        <v>2079.03</v>
      </c>
      <c r="C1237" s="99">
        <v>7365</v>
      </c>
      <c r="D1237" s="99">
        <v>923</v>
      </c>
      <c r="E1237" s="99">
        <v>0</v>
      </c>
      <c r="F1237" s="98">
        <v>0</v>
      </c>
      <c r="G1237" s="99">
        <v>62</v>
      </c>
      <c r="H1237" s="99">
        <v>0</v>
      </c>
      <c r="I1237" s="99">
        <v>2</v>
      </c>
      <c r="J1237" s="92">
        <f t="shared" si="162"/>
        <v>0.125322471147318</v>
      </c>
      <c r="K1237" s="93">
        <f t="shared" si="163"/>
        <v>2.25247020585049</v>
      </c>
      <c r="L1237" s="94">
        <f t="shared" si="164"/>
        <v>0</v>
      </c>
      <c r="M1237" s="92">
        <f t="shared" si="165"/>
        <v>0</v>
      </c>
      <c r="N1237" s="46">
        <f t="shared" si="166"/>
        <v>0</v>
      </c>
      <c r="O1237" s="46">
        <f t="shared" si="167"/>
        <v>0</v>
      </c>
      <c r="P1237" s="93">
        <f t="shared" si="168"/>
        <v>33.5327419354839</v>
      </c>
    </row>
    <row r="1238" s="2" customFormat="1" spans="1:16">
      <c r="A1238" s="82">
        <v>45885</v>
      </c>
      <c r="B1238" s="98">
        <v>2167.49</v>
      </c>
      <c r="C1238" s="99">
        <v>7862</v>
      </c>
      <c r="D1238" s="100">
        <v>1009</v>
      </c>
      <c r="E1238" s="99">
        <v>2</v>
      </c>
      <c r="F1238" s="98">
        <v>26084</v>
      </c>
      <c r="G1238" s="99">
        <v>53</v>
      </c>
      <c r="H1238" s="99">
        <v>3</v>
      </c>
      <c r="I1238" s="99">
        <v>3</v>
      </c>
      <c r="J1238" s="92">
        <f t="shared" si="162"/>
        <v>0.128338845077588</v>
      </c>
      <c r="K1238" s="93">
        <f t="shared" si="163"/>
        <v>2.14815659068385</v>
      </c>
      <c r="L1238" s="94">
        <f t="shared" si="164"/>
        <v>12.0341962361995</v>
      </c>
      <c r="M1238" s="92">
        <f t="shared" si="165"/>
        <v>0.00198216055500496</v>
      </c>
      <c r="N1238" s="46">
        <f t="shared" si="166"/>
        <v>13042</v>
      </c>
      <c r="O1238" s="46">
        <f t="shared" si="167"/>
        <v>1083.745</v>
      </c>
      <c r="P1238" s="93">
        <f t="shared" si="168"/>
        <v>40.896037735849</v>
      </c>
    </row>
    <row r="1239" s="2" customFormat="1" spans="1:16">
      <c r="A1239" s="82">
        <v>45886</v>
      </c>
      <c r="B1239" s="98">
        <v>2117.03</v>
      </c>
      <c r="C1239" s="99">
        <v>9259</v>
      </c>
      <c r="D1239" s="99">
        <v>1149</v>
      </c>
      <c r="E1239" s="99">
        <v>1</v>
      </c>
      <c r="F1239" s="98">
        <v>12892</v>
      </c>
      <c r="G1239" s="99">
        <v>52</v>
      </c>
      <c r="H1239" s="99">
        <v>6</v>
      </c>
      <c r="I1239" s="99">
        <v>0</v>
      </c>
      <c r="J1239" s="92">
        <f t="shared" si="162"/>
        <v>0.124095474673291</v>
      </c>
      <c r="K1239" s="93">
        <f t="shared" si="163"/>
        <v>1.84249782419495</v>
      </c>
      <c r="L1239" s="94">
        <f t="shared" si="164"/>
        <v>6.0896633491259</v>
      </c>
      <c r="M1239" s="92">
        <f t="shared" si="165"/>
        <v>0.000870322019147084</v>
      </c>
      <c r="N1239" s="46">
        <f t="shared" si="166"/>
        <v>12892</v>
      </c>
      <c r="O1239" s="46">
        <f t="shared" si="167"/>
        <v>2117.03</v>
      </c>
      <c r="P1239" s="93">
        <f t="shared" si="168"/>
        <v>40.7121153846154</v>
      </c>
    </row>
    <row r="1240" s="2" customFormat="1" spans="1:16">
      <c r="A1240" s="82">
        <v>45887</v>
      </c>
      <c r="B1240" s="98">
        <v>2537.23</v>
      </c>
      <c r="C1240" s="99">
        <v>10717</v>
      </c>
      <c r="D1240" s="99">
        <v>1274</v>
      </c>
      <c r="E1240" s="99">
        <v>0</v>
      </c>
      <c r="F1240" s="98">
        <v>0</v>
      </c>
      <c r="G1240" s="99">
        <v>56</v>
      </c>
      <c r="H1240" s="99">
        <v>10</v>
      </c>
      <c r="I1240" s="99">
        <v>0</v>
      </c>
      <c r="J1240" s="101">
        <f t="shared" si="162"/>
        <v>0.118876551273677</v>
      </c>
      <c r="K1240" s="102">
        <f t="shared" si="163"/>
        <v>1.99154631083203</v>
      </c>
      <c r="L1240" s="103">
        <f t="shared" si="164"/>
        <v>0</v>
      </c>
      <c r="M1240" s="92">
        <f t="shared" si="165"/>
        <v>0</v>
      </c>
      <c r="N1240" s="46">
        <f t="shared" si="166"/>
        <v>0</v>
      </c>
      <c r="O1240" s="46">
        <f t="shared" si="167"/>
        <v>0</v>
      </c>
      <c r="P1240" s="93">
        <f t="shared" si="168"/>
        <v>45.3076785714286</v>
      </c>
    </row>
    <row r="1241" s="2" customFormat="1" spans="1:16">
      <c r="A1241" s="82">
        <v>45888</v>
      </c>
      <c r="B1241" s="98">
        <v>2849.48</v>
      </c>
      <c r="C1241" s="99">
        <v>9488</v>
      </c>
      <c r="D1241" s="99">
        <v>1261</v>
      </c>
      <c r="E1241" s="99">
        <v>4</v>
      </c>
      <c r="F1241" s="98">
        <v>38684</v>
      </c>
      <c r="G1241" s="99">
        <v>49</v>
      </c>
      <c r="H1241" s="99">
        <v>4</v>
      </c>
      <c r="I1241" s="99">
        <v>4</v>
      </c>
      <c r="J1241" s="101">
        <f t="shared" si="162"/>
        <v>0.132904721753794</v>
      </c>
      <c r="K1241" s="102">
        <f t="shared" si="163"/>
        <v>2.2596986518636</v>
      </c>
      <c r="L1241" s="104">
        <f t="shared" si="164"/>
        <v>13.5758103232871</v>
      </c>
      <c r="M1241" s="92">
        <f t="shared" si="165"/>
        <v>0.00317208564631245</v>
      </c>
      <c r="N1241" s="46">
        <f t="shared" si="166"/>
        <v>9671</v>
      </c>
      <c r="O1241" s="46">
        <f t="shared" si="167"/>
        <v>712.37</v>
      </c>
      <c r="P1241" s="93">
        <f t="shared" si="168"/>
        <v>58.1526530612245</v>
      </c>
    </row>
    <row r="1242" s="2" customFormat="1" spans="1:16">
      <c r="A1242" s="82">
        <v>45889</v>
      </c>
      <c r="B1242" s="21">
        <v>2868.28</v>
      </c>
      <c r="C1242" s="22">
        <v>9291</v>
      </c>
      <c r="D1242" s="22">
        <v>1295</v>
      </c>
      <c r="E1242" s="25">
        <v>5</v>
      </c>
      <c r="F1242" s="21">
        <v>55299</v>
      </c>
      <c r="G1242" s="25">
        <v>64</v>
      </c>
      <c r="H1242" s="25">
        <v>9</v>
      </c>
      <c r="I1242" s="25">
        <v>3</v>
      </c>
      <c r="J1242" s="23">
        <v>0.139382197825853</v>
      </c>
      <c r="K1242" s="27">
        <v>2.21488803088803</v>
      </c>
      <c r="L1242" s="105">
        <v>19.2794985147893</v>
      </c>
      <c r="M1242" s="92">
        <f t="shared" si="165"/>
        <v>0.00386100386100386</v>
      </c>
      <c r="N1242" s="46">
        <f t="shared" si="166"/>
        <v>11059.8</v>
      </c>
      <c r="O1242" s="46">
        <f t="shared" si="167"/>
        <v>573.656</v>
      </c>
      <c r="P1242" s="93">
        <f t="shared" si="168"/>
        <v>44.816875</v>
      </c>
    </row>
    <row r="1243" s="2" customFormat="1" spans="1:16">
      <c r="A1243" s="82">
        <v>45890</v>
      </c>
      <c r="B1243" s="98">
        <v>2436.64</v>
      </c>
      <c r="C1243" s="99">
        <v>9389</v>
      </c>
      <c r="D1243" s="99">
        <v>1173</v>
      </c>
      <c r="E1243" s="99">
        <v>1</v>
      </c>
      <c r="F1243" s="98">
        <v>14454</v>
      </c>
      <c r="G1243" s="99">
        <v>77</v>
      </c>
      <c r="H1243" s="99">
        <v>4</v>
      </c>
      <c r="I1243" s="99">
        <v>4</v>
      </c>
      <c r="J1243" s="101">
        <f t="shared" ref="J1243:J1306" si="169">D1243/C1243</f>
        <v>0.124933432740441</v>
      </c>
      <c r="K1243" s="102">
        <f t="shared" ref="K1243:K1306" si="170">B1243/D1243</f>
        <v>2.07727195225916</v>
      </c>
      <c r="L1243" s="104">
        <f t="shared" ref="L1243:L1306" si="171">F1243/B1243</f>
        <v>5.9319390636286</v>
      </c>
      <c r="M1243" s="92">
        <f t="shared" si="165"/>
        <v>0.000852514919011083</v>
      </c>
      <c r="N1243" s="46">
        <f t="shared" si="166"/>
        <v>14454</v>
      </c>
      <c r="O1243" s="46">
        <f t="shared" si="167"/>
        <v>2436.64</v>
      </c>
      <c r="P1243" s="93">
        <f t="shared" si="168"/>
        <v>31.6446753246753</v>
      </c>
    </row>
    <row r="1244" s="2" customFormat="1" spans="1:16">
      <c r="A1244" s="82">
        <v>45891</v>
      </c>
      <c r="B1244" s="98">
        <v>2697.22</v>
      </c>
      <c r="C1244" s="99">
        <v>11330</v>
      </c>
      <c r="D1244" s="99">
        <v>1284</v>
      </c>
      <c r="E1244" s="99">
        <v>2</v>
      </c>
      <c r="F1244" s="98">
        <v>58262</v>
      </c>
      <c r="G1244" s="99">
        <v>58</v>
      </c>
      <c r="H1244" s="99">
        <v>4</v>
      </c>
      <c r="I1244" s="99">
        <v>2</v>
      </c>
      <c r="J1244" s="101">
        <f t="shared" si="169"/>
        <v>0.113327449249779</v>
      </c>
      <c r="K1244" s="102">
        <f t="shared" si="170"/>
        <v>2.10063862928349</v>
      </c>
      <c r="L1244" s="104">
        <f t="shared" si="171"/>
        <v>21.6007593003166</v>
      </c>
      <c r="M1244" s="92">
        <f t="shared" si="165"/>
        <v>0.00155763239875389</v>
      </c>
      <c r="N1244" s="46">
        <f t="shared" si="166"/>
        <v>29131</v>
      </c>
      <c r="O1244" s="46">
        <f t="shared" si="167"/>
        <v>1348.61</v>
      </c>
      <c r="P1244" s="93">
        <f t="shared" si="168"/>
        <v>46.5037931034483</v>
      </c>
    </row>
    <row r="1245" s="2" customFormat="1" spans="1:16">
      <c r="A1245" s="82">
        <v>45892</v>
      </c>
      <c r="B1245" s="98">
        <v>2875.73</v>
      </c>
      <c r="C1245" s="99">
        <v>10029</v>
      </c>
      <c r="D1245" s="99">
        <v>1347</v>
      </c>
      <c r="E1245" s="99">
        <v>0</v>
      </c>
      <c r="F1245" s="98">
        <v>0</v>
      </c>
      <c r="G1245" s="99">
        <v>66</v>
      </c>
      <c r="H1245" s="99">
        <v>5</v>
      </c>
      <c r="I1245" s="99">
        <v>3</v>
      </c>
      <c r="J1245" s="101">
        <f t="shared" si="169"/>
        <v>0.134310499551301</v>
      </c>
      <c r="K1245" s="102">
        <f t="shared" si="170"/>
        <v>2.1349146250928</v>
      </c>
      <c r="L1245" s="104">
        <f t="shared" si="171"/>
        <v>0</v>
      </c>
      <c r="M1245" s="92">
        <f t="shared" si="165"/>
        <v>0</v>
      </c>
      <c r="N1245" s="46">
        <f t="shared" si="166"/>
        <v>0</v>
      </c>
      <c r="O1245" s="46">
        <f t="shared" si="167"/>
        <v>0</v>
      </c>
      <c r="P1245" s="93">
        <f t="shared" si="168"/>
        <v>43.5716666666667</v>
      </c>
    </row>
    <row r="1246" s="2" customFormat="1" spans="1:16">
      <c r="A1246" s="82">
        <v>45893</v>
      </c>
      <c r="B1246" s="98">
        <v>2923.7</v>
      </c>
      <c r="C1246" s="99">
        <v>8810</v>
      </c>
      <c r="D1246" s="99">
        <v>1295</v>
      </c>
      <c r="E1246" s="99">
        <v>1</v>
      </c>
      <c r="F1246" s="98">
        <v>22108</v>
      </c>
      <c r="G1246" s="99">
        <v>70</v>
      </c>
      <c r="H1246" s="99">
        <v>5</v>
      </c>
      <c r="I1246" s="99">
        <v>4</v>
      </c>
      <c r="J1246" s="101">
        <f t="shared" si="169"/>
        <v>0.146992054483541</v>
      </c>
      <c r="K1246" s="102">
        <f t="shared" si="170"/>
        <v>2.2576833976834</v>
      </c>
      <c r="L1246" s="104">
        <f t="shared" si="171"/>
        <v>7.56165133221603</v>
      </c>
      <c r="M1246" s="92">
        <f t="shared" si="165"/>
        <v>0.000772200772200772</v>
      </c>
      <c r="N1246" s="46">
        <f t="shared" si="166"/>
        <v>22108</v>
      </c>
      <c r="O1246" s="46">
        <f t="shared" si="167"/>
        <v>2923.7</v>
      </c>
      <c r="P1246" s="93">
        <f t="shared" si="168"/>
        <v>41.7671428571429</v>
      </c>
    </row>
    <row r="1247" s="2" customFormat="1" spans="1:16">
      <c r="A1247" s="82">
        <v>45894</v>
      </c>
      <c r="B1247" s="98">
        <v>2880.83</v>
      </c>
      <c r="C1247" s="99">
        <v>9109</v>
      </c>
      <c r="D1247" s="99">
        <v>1276</v>
      </c>
      <c r="E1247" s="99">
        <v>2</v>
      </c>
      <c r="F1247" s="98">
        <v>20798</v>
      </c>
      <c r="G1247" s="99">
        <v>52</v>
      </c>
      <c r="H1247" s="99">
        <v>9</v>
      </c>
      <c r="I1247" s="99">
        <v>4</v>
      </c>
      <c r="J1247" s="101">
        <f t="shared" si="169"/>
        <v>0.140081238335712</v>
      </c>
      <c r="K1247" s="102">
        <f t="shared" si="170"/>
        <v>2.25770376175549</v>
      </c>
      <c r="L1247" s="104">
        <f t="shared" si="171"/>
        <v>7.2194471732105</v>
      </c>
      <c r="M1247" s="92">
        <f t="shared" si="165"/>
        <v>0.00156739811912226</v>
      </c>
      <c r="N1247" s="46">
        <f t="shared" si="166"/>
        <v>10399</v>
      </c>
      <c r="O1247" s="46">
        <f t="shared" si="167"/>
        <v>1440.415</v>
      </c>
      <c r="P1247" s="93">
        <f t="shared" si="168"/>
        <v>55.4005769230769</v>
      </c>
    </row>
    <row r="1248" s="2" customFormat="1" spans="1:16">
      <c r="A1248" s="106">
        <v>45895</v>
      </c>
      <c r="B1248" s="98">
        <v>2483.76</v>
      </c>
      <c r="C1248" s="99">
        <v>7691</v>
      </c>
      <c r="D1248" s="99">
        <v>1079</v>
      </c>
      <c r="E1248" s="99">
        <v>2</v>
      </c>
      <c r="F1248" s="98">
        <v>34326</v>
      </c>
      <c r="G1248" s="99">
        <v>45</v>
      </c>
      <c r="H1248" s="99">
        <v>3</v>
      </c>
      <c r="I1248" s="99">
        <v>4</v>
      </c>
      <c r="J1248" s="101">
        <f t="shared" si="169"/>
        <v>0.140293849954492</v>
      </c>
      <c r="K1248" s="102">
        <f t="shared" si="170"/>
        <v>2.30190917516219</v>
      </c>
      <c r="L1248" s="104">
        <f t="shared" si="171"/>
        <v>13.8201758624022</v>
      </c>
      <c r="M1248" s="92">
        <f t="shared" si="165"/>
        <v>0.00185356811862836</v>
      </c>
      <c r="N1248" s="46">
        <f t="shared" si="166"/>
        <v>17163</v>
      </c>
      <c r="O1248" s="46">
        <f t="shared" si="167"/>
        <v>1241.88</v>
      </c>
      <c r="P1248" s="93">
        <f t="shared" si="168"/>
        <v>55.1946666666667</v>
      </c>
    </row>
    <row r="1249" s="2" customFormat="1" spans="1:16">
      <c r="A1249" s="106">
        <v>45896</v>
      </c>
      <c r="B1249" s="98">
        <v>2263.33</v>
      </c>
      <c r="C1249" s="99">
        <v>7280</v>
      </c>
      <c r="D1249" s="99">
        <v>982</v>
      </c>
      <c r="E1249" s="99">
        <v>1</v>
      </c>
      <c r="F1249" s="98">
        <v>12474</v>
      </c>
      <c r="G1249" s="99">
        <v>46</v>
      </c>
      <c r="H1249" s="99">
        <v>6</v>
      </c>
      <c r="I1249" s="99">
        <v>2</v>
      </c>
      <c r="J1249" s="101">
        <f t="shared" si="169"/>
        <v>0.13489010989011</v>
      </c>
      <c r="K1249" s="102">
        <f t="shared" si="170"/>
        <v>2.304816700611</v>
      </c>
      <c r="L1249" s="104">
        <f t="shared" si="171"/>
        <v>5.51134832304613</v>
      </c>
      <c r="M1249" s="92">
        <f t="shared" si="165"/>
        <v>0.0010183299389002</v>
      </c>
      <c r="N1249" s="46">
        <f t="shared" si="166"/>
        <v>12474</v>
      </c>
      <c r="O1249" s="46">
        <f t="shared" si="167"/>
        <v>2263.33</v>
      </c>
      <c r="P1249" s="93">
        <f t="shared" si="168"/>
        <v>49.2028260869565</v>
      </c>
    </row>
    <row r="1250" s="2" customFormat="1" spans="1:16">
      <c r="A1250" s="106">
        <v>45897</v>
      </c>
      <c r="B1250" s="98">
        <v>2088.2</v>
      </c>
      <c r="C1250" s="99">
        <v>7070</v>
      </c>
      <c r="D1250" s="99">
        <v>875</v>
      </c>
      <c r="E1250" s="99">
        <v>2</v>
      </c>
      <c r="F1250" s="98">
        <v>18908</v>
      </c>
      <c r="G1250" s="99">
        <v>69</v>
      </c>
      <c r="H1250" s="99">
        <v>6</v>
      </c>
      <c r="I1250" s="99">
        <v>4</v>
      </c>
      <c r="J1250" s="101">
        <f t="shared" si="169"/>
        <v>0.123762376237624</v>
      </c>
      <c r="K1250" s="102">
        <f t="shared" si="170"/>
        <v>2.38651428571429</v>
      </c>
      <c r="L1250" s="104">
        <f t="shared" si="171"/>
        <v>9.05468824825208</v>
      </c>
      <c r="M1250" s="92">
        <f t="shared" si="165"/>
        <v>0.00228571428571429</v>
      </c>
      <c r="N1250" s="46">
        <f t="shared" si="166"/>
        <v>9454</v>
      </c>
      <c r="O1250" s="46">
        <f t="shared" si="167"/>
        <v>1044.1</v>
      </c>
      <c r="P1250" s="93">
        <f t="shared" si="168"/>
        <v>30.263768115942</v>
      </c>
    </row>
    <row r="1251" s="2" customFormat="1" spans="1:16">
      <c r="A1251" s="106">
        <v>45898</v>
      </c>
      <c r="B1251" s="98">
        <v>2745.5</v>
      </c>
      <c r="C1251" s="99">
        <v>8387</v>
      </c>
      <c r="D1251" s="99">
        <v>1021</v>
      </c>
      <c r="E1251" s="99">
        <v>1</v>
      </c>
      <c r="F1251" s="98">
        <v>1</v>
      </c>
      <c r="G1251" s="99">
        <v>57</v>
      </c>
      <c r="H1251" s="99">
        <v>4</v>
      </c>
      <c r="I1251" s="99">
        <v>7</v>
      </c>
      <c r="J1251" s="101">
        <f t="shared" si="169"/>
        <v>0.121736020031</v>
      </c>
      <c r="K1251" s="102">
        <f t="shared" si="170"/>
        <v>2.68903036238981</v>
      </c>
      <c r="L1251" s="104">
        <f t="shared" si="171"/>
        <v>0.000364232380258605</v>
      </c>
      <c r="M1251" s="92">
        <f t="shared" si="165"/>
        <v>0.000979431929480901</v>
      </c>
      <c r="N1251" s="46">
        <f t="shared" si="166"/>
        <v>1</v>
      </c>
      <c r="O1251" s="46">
        <f t="shared" si="167"/>
        <v>2745.5</v>
      </c>
      <c r="P1251" s="93">
        <f t="shared" si="168"/>
        <v>48.1666666666667</v>
      </c>
    </row>
    <row r="1252" s="2" customFormat="1" spans="1:16">
      <c r="A1252" s="106">
        <v>45899</v>
      </c>
      <c r="B1252" s="98">
        <v>2908.03</v>
      </c>
      <c r="C1252" s="99">
        <v>8045</v>
      </c>
      <c r="D1252" s="99">
        <v>1086</v>
      </c>
      <c r="E1252" s="99">
        <v>3</v>
      </c>
      <c r="F1252" s="98">
        <v>33911</v>
      </c>
      <c r="G1252" s="99">
        <v>56</v>
      </c>
      <c r="H1252" s="99">
        <v>8</v>
      </c>
      <c r="I1252" s="99">
        <v>4</v>
      </c>
      <c r="J1252" s="101">
        <f t="shared" si="169"/>
        <v>0.134990677439403</v>
      </c>
      <c r="K1252" s="102">
        <f t="shared" si="170"/>
        <v>2.67774401473297</v>
      </c>
      <c r="L1252" s="104">
        <f t="shared" si="171"/>
        <v>11.6611589288969</v>
      </c>
      <c r="M1252" s="92">
        <f t="shared" si="165"/>
        <v>0.00276243093922652</v>
      </c>
      <c r="N1252" s="46">
        <f t="shared" si="166"/>
        <v>11303.6666666667</v>
      </c>
      <c r="O1252" s="46">
        <f t="shared" si="167"/>
        <v>969.343333333333</v>
      </c>
      <c r="P1252" s="93">
        <f t="shared" si="168"/>
        <v>51.9291071428571</v>
      </c>
    </row>
    <row r="1253" s="2" customFormat="1" spans="1:16">
      <c r="A1253" s="106">
        <v>45900</v>
      </c>
      <c r="B1253" s="98">
        <v>2906.17</v>
      </c>
      <c r="C1253" s="99">
        <v>7307</v>
      </c>
      <c r="D1253" s="99">
        <v>1096</v>
      </c>
      <c r="E1253" s="99">
        <v>2</v>
      </c>
      <c r="F1253" s="98">
        <v>23019</v>
      </c>
      <c r="G1253" s="99">
        <v>72</v>
      </c>
      <c r="H1253" s="99">
        <v>7</v>
      </c>
      <c r="I1253" s="99">
        <v>5</v>
      </c>
      <c r="J1253" s="101">
        <f t="shared" si="169"/>
        <v>0.149993157246476</v>
      </c>
      <c r="K1253" s="102">
        <f t="shared" si="170"/>
        <v>2.65161496350365</v>
      </c>
      <c r="L1253" s="104">
        <f t="shared" si="171"/>
        <v>7.92073416214468</v>
      </c>
      <c r="M1253" s="92">
        <f t="shared" si="165"/>
        <v>0.00182481751824818</v>
      </c>
      <c r="N1253" s="46">
        <f t="shared" si="166"/>
        <v>11509.5</v>
      </c>
      <c r="O1253" s="46">
        <f t="shared" si="167"/>
        <v>1453.085</v>
      </c>
      <c r="P1253" s="93">
        <f t="shared" si="168"/>
        <v>40.3634722222222</v>
      </c>
    </row>
    <row r="1254" s="2" customFormat="1" spans="1:16">
      <c r="A1254" s="106">
        <v>45901</v>
      </c>
      <c r="B1254" s="98">
        <v>2491.22</v>
      </c>
      <c r="C1254" s="99">
        <v>7358</v>
      </c>
      <c r="D1254" s="99">
        <v>1100</v>
      </c>
      <c r="E1254" s="99">
        <v>2</v>
      </c>
      <c r="F1254" s="98">
        <v>21261</v>
      </c>
      <c r="G1254" s="99">
        <v>57</v>
      </c>
      <c r="H1254" s="99">
        <v>4</v>
      </c>
      <c r="I1254" s="99">
        <v>1</v>
      </c>
      <c r="J1254" s="101">
        <f t="shared" si="169"/>
        <v>0.149497145963577</v>
      </c>
      <c r="K1254" s="102">
        <f t="shared" si="170"/>
        <v>2.26474545454545</v>
      </c>
      <c r="L1254" s="104">
        <f t="shared" si="171"/>
        <v>8.53437271698204</v>
      </c>
      <c r="M1254" s="92">
        <f t="shared" ref="M1254:M1317" si="172">E1254/D1254</f>
        <v>0.00181818181818182</v>
      </c>
      <c r="N1254" s="46">
        <f t="shared" ref="N1254:N1317" si="173">IF(E1254=0,0,F1254/E1254)</f>
        <v>10630.5</v>
      </c>
      <c r="O1254" s="46">
        <f t="shared" ref="O1254:O1317" si="174">IF(E1254=0,0,B1254/E1254)</f>
        <v>1245.61</v>
      </c>
      <c r="P1254" s="93">
        <f t="shared" ref="P1254:P1317" si="175">B1254/G1254</f>
        <v>43.7056140350877</v>
      </c>
    </row>
    <row r="1255" s="2" customFormat="1" spans="1:16">
      <c r="A1255" s="106">
        <v>45902</v>
      </c>
      <c r="B1255" s="98">
        <v>2484.52</v>
      </c>
      <c r="C1255" s="99">
        <v>7662</v>
      </c>
      <c r="D1255" s="99">
        <v>1051</v>
      </c>
      <c r="E1255" s="99">
        <v>4</v>
      </c>
      <c r="F1255" s="98">
        <v>89691</v>
      </c>
      <c r="G1255" s="99">
        <v>48</v>
      </c>
      <c r="H1255" s="99">
        <v>7</v>
      </c>
      <c r="I1255" s="99">
        <v>5</v>
      </c>
      <c r="J1255" s="101">
        <f t="shared" si="169"/>
        <v>0.137170451579222</v>
      </c>
      <c r="K1255" s="102">
        <f t="shared" si="170"/>
        <v>2.36395813510942</v>
      </c>
      <c r="L1255" s="104">
        <f t="shared" si="171"/>
        <v>36.0999307713361</v>
      </c>
      <c r="M1255" s="92">
        <f t="shared" si="172"/>
        <v>0.00380589914367269</v>
      </c>
      <c r="N1255" s="46">
        <f t="shared" si="173"/>
        <v>22422.75</v>
      </c>
      <c r="O1255" s="46">
        <f t="shared" si="174"/>
        <v>621.13</v>
      </c>
      <c r="P1255" s="93">
        <f t="shared" si="175"/>
        <v>51.7608333333333</v>
      </c>
    </row>
    <row r="1256" s="2" customFormat="1" spans="1:16">
      <c r="A1256" s="106">
        <v>45903</v>
      </c>
      <c r="B1256" s="98">
        <v>2258.75</v>
      </c>
      <c r="C1256" s="99">
        <v>8593</v>
      </c>
      <c r="D1256" s="99">
        <v>997</v>
      </c>
      <c r="E1256" s="99">
        <v>0</v>
      </c>
      <c r="F1256" s="98">
        <v>0</v>
      </c>
      <c r="G1256" s="99">
        <v>56</v>
      </c>
      <c r="H1256" s="99">
        <v>7</v>
      </c>
      <c r="I1256" s="99">
        <v>4</v>
      </c>
      <c r="J1256" s="101">
        <f t="shared" si="169"/>
        <v>0.116024671244036</v>
      </c>
      <c r="K1256" s="102">
        <f t="shared" si="170"/>
        <v>2.26554663991976</v>
      </c>
      <c r="L1256" s="104">
        <f t="shared" si="171"/>
        <v>0</v>
      </c>
      <c r="M1256" s="92">
        <f t="shared" si="172"/>
        <v>0</v>
      </c>
      <c r="N1256" s="46">
        <f t="shared" si="173"/>
        <v>0</v>
      </c>
      <c r="O1256" s="46">
        <f t="shared" si="174"/>
        <v>0</v>
      </c>
      <c r="P1256" s="93">
        <f t="shared" si="175"/>
        <v>40.3348214285714</v>
      </c>
    </row>
    <row r="1257" s="2" customFormat="1" spans="1:16">
      <c r="A1257" s="106">
        <v>45904</v>
      </c>
      <c r="B1257" s="98">
        <v>2254.02</v>
      </c>
      <c r="C1257" s="99">
        <v>7724</v>
      </c>
      <c r="D1257" s="99">
        <v>913</v>
      </c>
      <c r="E1257" s="99">
        <v>0</v>
      </c>
      <c r="F1257" s="98">
        <v>0</v>
      </c>
      <c r="G1257" s="99">
        <v>38</v>
      </c>
      <c r="H1257" s="99">
        <v>3</v>
      </c>
      <c r="I1257" s="99">
        <v>2</v>
      </c>
      <c r="J1257" s="101">
        <f t="shared" si="169"/>
        <v>0.118203003625065</v>
      </c>
      <c r="K1257" s="102">
        <f t="shared" si="170"/>
        <v>2.46880613362541</v>
      </c>
      <c r="L1257" s="104">
        <f t="shared" si="171"/>
        <v>0</v>
      </c>
      <c r="M1257" s="92">
        <f t="shared" si="172"/>
        <v>0</v>
      </c>
      <c r="N1257" s="46">
        <f t="shared" si="173"/>
        <v>0</v>
      </c>
      <c r="O1257" s="46">
        <f t="shared" si="174"/>
        <v>0</v>
      </c>
      <c r="P1257" s="93">
        <f t="shared" si="175"/>
        <v>59.3163157894737</v>
      </c>
    </row>
    <row r="1258" s="2" customFormat="1" spans="1:16">
      <c r="A1258" s="106">
        <v>45905</v>
      </c>
      <c r="B1258" s="98">
        <v>2201.65</v>
      </c>
      <c r="C1258" s="99">
        <v>8425</v>
      </c>
      <c r="D1258" s="99">
        <v>990</v>
      </c>
      <c r="E1258" s="99">
        <v>1</v>
      </c>
      <c r="F1258" s="98">
        <v>6484</v>
      </c>
      <c r="G1258" s="99">
        <v>37</v>
      </c>
      <c r="H1258" s="99">
        <v>7</v>
      </c>
      <c r="I1258" s="99">
        <v>3</v>
      </c>
      <c r="J1258" s="101">
        <f t="shared" si="169"/>
        <v>0.117507418397626</v>
      </c>
      <c r="K1258" s="102">
        <f t="shared" si="170"/>
        <v>2.22388888888889</v>
      </c>
      <c r="L1258" s="104">
        <f t="shared" si="171"/>
        <v>2.94506392932573</v>
      </c>
      <c r="M1258" s="92">
        <f t="shared" si="172"/>
        <v>0.00101010101010101</v>
      </c>
      <c r="N1258" s="46">
        <f t="shared" si="173"/>
        <v>6484</v>
      </c>
      <c r="O1258" s="46">
        <f t="shared" si="174"/>
        <v>2201.65</v>
      </c>
      <c r="P1258" s="93">
        <f t="shared" si="175"/>
        <v>59.5040540540541</v>
      </c>
    </row>
    <row r="1259" s="2" customFormat="1" spans="1:16">
      <c r="A1259" s="106">
        <v>45906</v>
      </c>
      <c r="B1259" s="98">
        <v>2210.77</v>
      </c>
      <c r="C1259" s="99">
        <v>7102</v>
      </c>
      <c r="D1259" s="99">
        <v>933</v>
      </c>
      <c r="E1259" s="99">
        <v>2</v>
      </c>
      <c r="F1259" s="98">
        <v>32374</v>
      </c>
      <c r="G1259" s="99">
        <v>37</v>
      </c>
      <c r="H1259" s="99">
        <v>8</v>
      </c>
      <c r="I1259" s="99">
        <v>1</v>
      </c>
      <c r="J1259" s="101">
        <f t="shared" si="169"/>
        <v>0.131371444663475</v>
      </c>
      <c r="K1259" s="102">
        <f t="shared" si="170"/>
        <v>2.36952840300107</v>
      </c>
      <c r="L1259" s="104">
        <f t="shared" si="171"/>
        <v>14.6437666514382</v>
      </c>
      <c r="M1259" s="92">
        <f t="shared" si="172"/>
        <v>0.00214362272240086</v>
      </c>
      <c r="N1259" s="46">
        <f t="shared" si="173"/>
        <v>16187</v>
      </c>
      <c r="O1259" s="46">
        <f t="shared" si="174"/>
        <v>1105.385</v>
      </c>
      <c r="P1259" s="93">
        <f t="shared" si="175"/>
        <v>59.7505405405405</v>
      </c>
    </row>
    <row r="1260" s="2" customFormat="1" spans="1:16">
      <c r="A1260" s="106">
        <v>45907</v>
      </c>
      <c r="B1260" s="98">
        <v>2290.56</v>
      </c>
      <c r="C1260" s="99">
        <v>6935</v>
      </c>
      <c r="D1260" s="99">
        <v>951</v>
      </c>
      <c r="E1260" s="99">
        <v>2</v>
      </c>
      <c r="F1260" s="98">
        <v>23476</v>
      </c>
      <c r="G1260" s="99">
        <v>37</v>
      </c>
      <c r="H1260" s="99">
        <v>5</v>
      </c>
      <c r="I1260" s="99">
        <v>2</v>
      </c>
      <c r="J1260" s="101">
        <f t="shared" si="169"/>
        <v>0.137130497476568</v>
      </c>
      <c r="K1260" s="102">
        <f t="shared" si="170"/>
        <v>2.40858044164038</v>
      </c>
      <c r="L1260" s="104">
        <f t="shared" si="171"/>
        <v>10.2490220732048</v>
      </c>
      <c r="M1260" s="92">
        <f t="shared" si="172"/>
        <v>0.00210304942166141</v>
      </c>
      <c r="N1260" s="46">
        <f t="shared" si="173"/>
        <v>11738</v>
      </c>
      <c r="O1260" s="46">
        <f t="shared" si="174"/>
        <v>1145.28</v>
      </c>
      <c r="P1260" s="93">
        <f t="shared" si="175"/>
        <v>61.907027027027</v>
      </c>
    </row>
    <row r="1261" s="2" customFormat="1" spans="1:16">
      <c r="A1261" s="106">
        <v>45908</v>
      </c>
      <c r="B1261" s="98">
        <v>2227.27</v>
      </c>
      <c r="C1261" s="99">
        <v>7548</v>
      </c>
      <c r="D1261" s="99">
        <v>944</v>
      </c>
      <c r="E1261" s="99">
        <v>0</v>
      </c>
      <c r="F1261" s="98">
        <v>0</v>
      </c>
      <c r="G1261" s="99">
        <v>48</v>
      </c>
      <c r="H1261" s="99">
        <v>2</v>
      </c>
      <c r="I1261" s="99">
        <v>6</v>
      </c>
      <c r="J1261" s="101">
        <f t="shared" si="169"/>
        <v>0.125066242713302</v>
      </c>
      <c r="K1261" s="102">
        <f t="shared" si="170"/>
        <v>2.35939618644068</v>
      </c>
      <c r="L1261" s="104">
        <f t="shared" si="171"/>
        <v>0</v>
      </c>
      <c r="M1261" s="92">
        <f t="shared" si="172"/>
        <v>0</v>
      </c>
      <c r="N1261" s="46">
        <f t="shared" si="173"/>
        <v>0</v>
      </c>
      <c r="O1261" s="46">
        <f t="shared" si="174"/>
        <v>0</v>
      </c>
      <c r="P1261" s="93">
        <f t="shared" si="175"/>
        <v>46.4014583333333</v>
      </c>
    </row>
    <row r="1262" s="2" customFormat="1" spans="1:16">
      <c r="A1262" s="106">
        <v>45909</v>
      </c>
      <c r="B1262" s="98">
        <v>2374.05</v>
      </c>
      <c r="C1262" s="99">
        <v>7927</v>
      </c>
      <c r="D1262" s="99">
        <v>1068</v>
      </c>
      <c r="E1262" s="99">
        <v>1</v>
      </c>
      <c r="F1262" s="98">
        <v>7973</v>
      </c>
      <c r="G1262" s="99">
        <v>50</v>
      </c>
      <c r="H1262" s="99">
        <v>7</v>
      </c>
      <c r="I1262" s="99">
        <v>4</v>
      </c>
      <c r="J1262" s="101">
        <f t="shared" si="169"/>
        <v>0.134729405828182</v>
      </c>
      <c r="K1262" s="102">
        <f t="shared" si="170"/>
        <v>2.22289325842697</v>
      </c>
      <c r="L1262" s="104">
        <f t="shared" si="171"/>
        <v>3.35839598997494</v>
      </c>
      <c r="M1262" s="92">
        <f t="shared" si="172"/>
        <v>0.000936329588014981</v>
      </c>
      <c r="N1262" s="46">
        <f t="shared" si="173"/>
        <v>7973</v>
      </c>
      <c r="O1262" s="46">
        <f t="shared" si="174"/>
        <v>2374.05</v>
      </c>
      <c r="P1262" s="93">
        <f t="shared" si="175"/>
        <v>47.481</v>
      </c>
    </row>
    <row r="1263" s="2" customFormat="1" spans="1:16">
      <c r="A1263" s="106">
        <v>45910</v>
      </c>
      <c r="B1263" s="98">
        <v>2293.14</v>
      </c>
      <c r="C1263" s="99">
        <v>8899</v>
      </c>
      <c r="D1263" s="99">
        <v>1112</v>
      </c>
      <c r="E1263" s="99">
        <v>4</v>
      </c>
      <c r="F1263" s="98">
        <v>47942</v>
      </c>
      <c r="G1263" s="99">
        <v>68</v>
      </c>
      <c r="H1263" s="99">
        <v>1</v>
      </c>
      <c r="I1263" s="99">
        <v>2</v>
      </c>
      <c r="J1263" s="101">
        <f t="shared" si="169"/>
        <v>0.124957860433757</v>
      </c>
      <c r="K1263" s="102">
        <f t="shared" si="170"/>
        <v>2.06217625899281</v>
      </c>
      <c r="L1263" s="104">
        <f t="shared" si="171"/>
        <v>20.9067043442616</v>
      </c>
      <c r="M1263" s="92">
        <f t="shared" si="172"/>
        <v>0.00359712230215827</v>
      </c>
      <c r="N1263" s="46">
        <f t="shared" si="173"/>
        <v>11985.5</v>
      </c>
      <c r="O1263" s="46">
        <f t="shared" si="174"/>
        <v>573.285</v>
      </c>
      <c r="P1263" s="93">
        <f t="shared" si="175"/>
        <v>33.7226470588235</v>
      </c>
    </row>
    <row r="1264" s="2" customFormat="1" spans="1:16">
      <c r="A1264" s="106">
        <v>45911</v>
      </c>
      <c r="B1264" s="98">
        <v>1719.8</v>
      </c>
      <c r="C1264" s="99">
        <v>7440</v>
      </c>
      <c r="D1264" s="99">
        <v>924</v>
      </c>
      <c r="E1264" s="99">
        <v>0</v>
      </c>
      <c r="F1264" s="98">
        <v>0</v>
      </c>
      <c r="G1264" s="99">
        <v>46</v>
      </c>
      <c r="H1264" s="99">
        <v>5</v>
      </c>
      <c r="I1264" s="99">
        <v>1</v>
      </c>
      <c r="J1264" s="101">
        <f t="shared" si="169"/>
        <v>0.124193548387097</v>
      </c>
      <c r="K1264" s="102">
        <f t="shared" si="170"/>
        <v>1.86125541125541</v>
      </c>
      <c r="L1264" s="104">
        <f t="shared" si="171"/>
        <v>0</v>
      </c>
      <c r="M1264" s="92">
        <f t="shared" si="172"/>
        <v>0</v>
      </c>
      <c r="N1264" s="46">
        <f t="shared" si="173"/>
        <v>0</v>
      </c>
      <c r="O1264" s="46">
        <f t="shared" si="174"/>
        <v>0</v>
      </c>
      <c r="P1264" s="93">
        <f t="shared" si="175"/>
        <v>37.3869565217391</v>
      </c>
    </row>
    <row r="1265" s="2" customFormat="1" spans="1:16">
      <c r="A1265" s="106">
        <v>45912</v>
      </c>
      <c r="B1265" s="98">
        <v>1506.56</v>
      </c>
      <c r="C1265" s="99">
        <v>8425</v>
      </c>
      <c r="D1265" s="99">
        <v>809</v>
      </c>
      <c r="E1265" s="99">
        <v>3</v>
      </c>
      <c r="F1265" s="98">
        <v>57243</v>
      </c>
      <c r="G1265" s="99">
        <v>31</v>
      </c>
      <c r="H1265" s="99">
        <v>2</v>
      </c>
      <c r="I1265" s="99">
        <v>3</v>
      </c>
      <c r="J1265" s="101">
        <f t="shared" si="169"/>
        <v>0.0960237388724036</v>
      </c>
      <c r="K1265" s="102">
        <f t="shared" si="170"/>
        <v>1.86224969097651</v>
      </c>
      <c r="L1265" s="104">
        <f t="shared" si="171"/>
        <v>37.9958315632965</v>
      </c>
      <c r="M1265" s="92">
        <f t="shared" si="172"/>
        <v>0.00370828182941904</v>
      </c>
      <c r="N1265" s="46">
        <f t="shared" si="173"/>
        <v>19081</v>
      </c>
      <c r="O1265" s="46">
        <f t="shared" si="174"/>
        <v>502.186666666667</v>
      </c>
      <c r="P1265" s="93">
        <f t="shared" si="175"/>
        <v>48.5987096774194</v>
      </c>
    </row>
    <row r="1266" s="2" customFormat="1" spans="1:16">
      <c r="A1266" s="106">
        <v>45913</v>
      </c>
      <c r="B1266" s="98">
        <v>1373.47</v>
      </c>
      <c r="C1266" s="99">
        <v>8890</v>
      </c>
      <c r="D1266" s="99">
        <v>739</v>
      </c>
      <c r="E1266" s="99">
        <v>1</v>
      </c>
      <c r="F1266" s="98">
        <v>11434</v>
      </c>
      <c r="G1266" s="99">
        <v>19</v>
      </c>
      <c r="H1266" s="99">
        <v>1</v>
      </c>
      <c r="I1266" s="99">
        <v>3</v>
      </c>
      <c r="J1266" s="101">
        <f t="shared" si="169"/>
        <v>0.0831271091113611</v>
      </c>
      <c r="K1266" s="102">
        <f t="shared" si="170"/>
        <v>1.85855209742896</v>
      </c>
      <c r="L1266" s="104">
        <f t="shared" si="171"/>
        <v>8.3248997065826</v>
      </c>
      <c r="M1266" s="92">
        <f t="shared" si="172"/>
        <v>0.0013531799729364</v>
      </c>
      <c r="N1266" s="46">
        <f t="shared" si="173"/>
        <v>11434</v>
      </c>
      <c r="O1266" s="46">
        <f t="shared" si="174"/>
        <v>1373.47</v>
      </c>
      <c r="P1266" s="93">
        <f t="shared" si="175"/>
        <v>72.2878947368421</v>
      </c>
    </row>
    <row r="1267" s="2" customFormat="1" spans="1:16">
      <c r="A1267" s="106">
        <v>45914</v>
      </c>
      <c r="B1267" s="98">
        <v>1318.69</v>
      </c>
      <c r="C1267" s="99">
        <v>7239</v>
      </c>
      <c r="D1267" s="99">
        <v>675</v>
      </c>
      <c r="E1267" s="99">
        <v>0</v>
      </c>
      <c r="F1267" s="98">
        <v>0</v>
      </c>
      <c r="G1267" s="99">
        <v>30</v>
      </c>
      <c r="H1267" s="99">
        <v>3</v>
      </c>
      <c r="I1267" s="99">
        <v>3</v>
      </c>
      <c r="J1267" s="101">
        <f t="shared" si="169"/>
        <v>0.0932449233319519</v>
      </c>
      <c r="K1267" s="102">
        <f t="shared" si="170"/>
        <v>1.95361481481481</v>
      </c>
      <c r="L1267" s="104">
        <f t="shared" si="171"/>
        <v>0</v>
      </c>
      <c r="M1267" s="92">
        <f t="shared" si="172"/>
        <v>0</v>
      </c>
      <c r="N1267" s="46">
        <f t="shared" si="173"/>
        <v>0</v>
      </c>
      <c r="O1267" s="46">
        <f t="shared" si="174"/>
        <v>0</v>
      </c>
      <c r="P1267" s="93">
        <f t="shared" si="175"/>
        <v>43.9563333333333</v>
      </c>
    </row>
    <row r="1268" s="2" customFormat="1" spans="1:16">
      <c r="A1268" s="106">
        <v>45915</v>
      </c>
      <c r="B1268" s="98">
        <v>1375.46</v>
      </c>
      <c r="C1268" s="99">
        <v>7577</v>
      </c>
      <c r="D1268" s="99">
        <v>738</v>
      </c>
      <c r="E1268" s="99">
        <v>1</v>
      </c>
      <c r="F1268" s="98">
        <v>10306</v>
      </c>
      <c r="G1268" s="99">
        <v>27</v>
      </c>
      <c r="H1268" s="99">
        <v>5</v>
      </c>
      <c r="I1268" s="99">
        <v>3</v>
      </c>
      <c r="J1268" s="101">
        <f t="shared" si="169"/>
        <v>0.0974000263956711</v>
      </c>
      <c r="K1268" s="102">
        <f t="shared" si="170"/>
        <v>1.86376693766938</v>
      </c>
      <c r="L1268" s="104">
        <f t="shared" si="171"/>
        <v>7.49276605644657</v>
      </c>
      <c r="M1268" s="92">
        <f t="shared" si="172"/>
        <v>0.0013550135501355</v>
      </c>
      <c r="N1268" s="46">
        <f t="shared" si="173"/>
        <v>10306</v>
      </c>
      <c r="O1268" s="46">
        <f t="shared" si="174"/>
        <v>1375.46</v>
      </c>
      <c r="P1268" s="93">
        <f t="shared" si="175"/>
        <v>50.942962962963</v>
      </c>
    </row>
    <row r="1269" s="2" customFormat="1" spans="1:16">
      <c r="A1269" s="106">
        <v>45916</v>
      </c>
      <c r="B1269" s="98">
        <v>1724.7</v>
      </c>
      <c r="C1269" s="99">
        <v>10129</v>
      </c>
      <c r="D1269" s="99">
        <v>1005</v>
      </c>
      <c r="E1269" s="99">
        <v>1</v>
      </c>
      <c r="F1269" s="98">
        <v>6456</v>
      </c>
      <c r="G1269" s="99">
        <v>35</v>
      </c>
      <c r="H1269" s="99">
        <v>1</v>
      </c>
      <c r="I1269" s="99">
        <v>1</v>
      </c>
      <c r="J1269" s="101">
        <f t="shared" si="169"/>
        <v>0.099220061210386</v>
      </c>
      <c r="K1269" s="102">
        <f t="shared" si="170"/>
        <v>1.71611940298507</v>
      </c>
      <c r="L1269" s="104">
        <f t="shared" si="171"/>
        <v>3.74325969733867</v>
      </c>
      <c r="M1269" s="92">
        <f t="shared" si="172"/>
        <v>0.00099502487562189</v>
      </c>
      <c r="N1269" s="46">
        <f t="shared" si="173"/>
        <v>6456</v>
      </c>
      <c r="O1269" s="46">
        <f t="shared" si="174"/>
        <v>1724.7</v>
      </c>
      <c r="P1269" s="93">
        <f t="shared" si="175"/>
        <v>49.2771428571429</v>
      </c>
    </row>
    <row r="1270" s="2" customFormat="1" spans="1:16">
      <c r="A1270" s="106">
        <v>45917</v>
      </c>
      <c r="B1270" s="98">
        <v>1661.54</v>
      </c>
      <c r="C1270" s="99">
        <v>10721</v>
      </c>
      <c r="D1270" s="99">
        <v>992</v>
      </c>
      <c r="E1270" s="99">
        <v>0</v>
      </c>
      <c r="F1270" s="98">
        <v>0</v>
      </c>
      <c r="G1270" s="99">
        <v>36</v>
      </c>
      <c r="H1270" s="99">
        <v>4</v>
      </c>
      <c r="I1270" s="99">
        <v>3</v>
      </c>
      <c r="J1270" s="101">
        <f t="shared" si="169"/>
        <v>0.0925286820259304</v>
      </c>
      <c r="K1270" s="102">
        <f t="shared" si="170"/>
        <v>1.67493951612903</v>
      </c>
      <c r="L1270" s="104">
        <f t="shared" si="171"/>
        <v>0</v>
      </c>
      <c r="M1270" s="92">
        <f t="shared" si="172"/>
        <v>0</v>
      </c>
      <c r="N1270" s="46">
        <f t="shared" si="173"/>
        <v>0</v>
      </c>
      <c r="O1270" s="46">
        <f t="shared" si="174"/>
        <v>0</v>
      </c>
      <c r="P1270" s="93">
        <f t="shared" si="175"/>
        <v>46.1538888888889</v>
      </c>
    </row>
    <row r="1271" s="2" customFormat="1" spans="1:16">
      <c r="A1271" s="106">
        <v>45918</v>
      </c>
      <c r="B1271" s="98">
        <v>1677.54</v>
      </c>
      <c r="C1271" s="99">
        <v>9872</v>
      </c>
      <c r="D1271" s="99">
        <v>894</v>
      </c>
      <c r="E1271" s="99">
        <v>0</v>
      </c>
      <c r="F1271" s="98">
        <v>0</v>
      </c>
      <c r="G1271" s="99">
        <v>22</v>
      </c>
      <c r="H1271" s="99">
        <v>4</v>
      </c>
      <c r="I1271" s="99">
        <v>4</v>
      </c>
      <c r="J1271" s="101">
        <f t="shared" si="169"/>
        <v>0.0905591572123177</v>
      </c>
      <c r="K1271" s="102">
        <f t="shared" si="170"/>
        <v>1.87644295302013</v>
      </c>
      <c r="L1271" s="104">
        <f t="shared" si="171"/>
        <v>0</v>
      </c>
      <c r="M1271" s="92">
        <f t="shared" si="172"/>
        <v>0</v>
      </c>
      <c r="N1271" s="46">
        <f t="shared" si="173"/>
        <v>0</v>
      </c>
      <c r="O1271" s="46">
        <f t="shared" si="174"/>
        <v>0</v>
      </c>
      <c r="P1271" s="93">
        <f t="shared" si="175"/>
        <v>76.2518181818182</v>
      </c>
    </row>
    <row r="1272" s="2" customFormat="1" spans="1:16">
      <c r="A1272" s="106">
        <v>45919</v>
      </c>
      <c r="B1272" s="98">
        <v>1644.21</v>
      </c>
      <c r="C1272" s="99">
        <v>9311</v>
      </c>
      <c r="D1272" s="99">
        <v>765</v>
      </c>
      <c r="E1272" s="99">
        <v>0</v>
      </c>
      <c r="F1272" s="98">
        <v>0</v>
      </c>
      <c r="G1272" s="99">
        <v>30</v>
      </c>
      <c r="H1272" s="99">
        <v>8</v>
      </c>
      <c r="I1272" s="99">
        <v>3</v>
      </c>
      <c r="J1272" s="101">
        <f t="shared" si="169"/>
        <v>0.082160884974761</v>
      </c>
      <c r="K1272" s="102">
        <f t="shared" si="170"/>
        <v>2.14929411764706</v>
      </c>
      <c r="L1272" s="104">
        <f t="shared" si="171"/>
        <v>0</v>
      </c>
      <c r="M1272" s="92">
        <f t="shared" si="172"/>
        <v>0</v>
      </c>
      <c r="N1272" s="46">
        <f t="shared" si="173"/>
        <v>0</v>
      </c>
      <c r="O1272" s="46">
        <f t="shared" si="174"/>
        <v>0</v>
      </c>
      <c r="P1272" s="93">
        <f t="shared" si="175"/>
        <v>54.807</v>
      </c>
    </row>
    <row r="1273" s="2" customFormat="1" spans="1:16">
      <c r="A1273" s="106">
        <v>45920</v>
      </c>
      <c r="B1273" s="98">
        <v>1611.66</v>
      </c>
      <c r="C1273" s="99">
        <v>9073</v>
      </c>
      <c r="D1273" s="99">
        <v>732</v>
      </c>
      <c r="E1273" s="99">
        <v>2</v>
      </c>
      <c r="F1273" s="98">
        <v>22198.5</v>
      </c>
      <c r="G1273" s="99">
        <v>43</v>
      </c>
      <c r="H1273" s="99">
        <v>5</v>
      </c>
      <c r="I1273" s="99">
        <v>4</v>
      </c>
      <c r="J1273" s="101">
        <f t="shared" si="169"/>
        <v>0.0806789375068886</v>
      </c>
      <c r="K1273" s="102">
        <f t="shared" si="170"/>
        <v>2.20172131147541</v>
      </c>
      <c r="L1273" s="104">
        <f t="shared" si="171"/>
        <v>13.7736867577529</v>
      </c>
      <c r="M1273" s="92">
        <f t="shared" si="172"/>
        <v>0.00273224043715847</v>
      </c>
      <c r="N1273" s="46">
        <f t="shared" si="173"/>
        <v>11099.25</v>
      </c>
      <c r="O1273" s="46">
        <f t="shared" si="174"/>
        <v>805.83</v>
      </c>
      <c r="P1273" s="93">
        <f t="shared" si="175"/>
        <v>37.4804651162791</v>
      </c>
    </row>
    <row r="1274" s="2" customFormat="1" spans="1:16">
      <c r="A1274" s="106">
        <v>45921</v>
      </c>
      <c r="B1274" s="98">
        <v>1352.74</v>
      </c>
      <c r="C1274" s="99">
        <v>6482</v>
      </c>
      <c r="D1274" s="99">
        <v>639</v>
      </c>
      <c r="E1274" s="99">
        <v>1</v>
      </c>
      <c r="F1274" s="98">
        <v>14274</v>
      </c>
      <c r="G1274" s="99">
        <v>36</v>
      </c>
      <c r="H1274" s="99">
        <v>2</v>
      </c>
      <c r="I1274" s="99">
        <v>0</v>
      </c>
      <c r="J1274" s="101">
        <f t="shared" si="169"/>
        <v>0.0985806849737735</v>
      </c>
      <c r="K1274" s="102">
        <f t="shared" si="170"/>
        <v>2.11696400625978</v>
      </c>
      <c r="L1274" s="104">
        <f t="shared" si="171"/>
        <v>10.5519168502447</v>
      </c>
      <c r="M1274" s="92">
        <f t="shared" si="172"/>
        <v>0.00156494522691706</v>
      </c>
      <c r="N1274" s="46">
        <f t="shared" si="173"/>
        <v>14274</v>
      </c>
      <c r="O1274" s="46">
        <f t="shared" si="174"/>
        <v>1352.74</v>
      </c>
      <c r="P1274" s="93">
        <f t="shared" si="175"/>
        <v>37.5761111111111</v>
      </c>
    </row>
    <row r="1275" s="2" customFormat="1" spans="1:16">
      <c r="A1275" s="106">
        <v>45922</v>
      </c>
      <c r="B1275" s="98">
        <v>1358.05</v>
      </c>
      <c r="C1275" s="99">
        <v>7825</v>
      </c>
      <c r="D1275" s="99">
        <v>700</v>
      </c>
      <c r="E1275" s="99">
        <v>3</v>
      </c>
      <c r="F1275" s="98">
        <v>41078</v>
      </c>
      <c r="G1275" s="99">
        <v>41</v>
      </c>
      <c r="H1275" s="99">
        <v>4</v>
      </c>
      <c r="I1275" s="99">
        <v>1</v>
      </c>
      <c r="J1275" s="101">
        <f t="shared" si="169"/>
        <v>0.0894568690095847</v>
      </c>
      <c r="K1275" s="102">
        <f t="shared" si="170"/>
        <v>1.94007142857143</v>
      </c>
      <c r="L1275" s="104">
        <f t="shared" si="171"/>
        <v>30.2477817458856</v>
      </c>
      <c r="M1275" s="92">
        <f t="shared" si="172"/>
        <v>0.00428571428571429</v>
      </c>
      <c r="N1275" s="46">
        <f t="shared" si="173"/>
        <v>13692.6666666667</v>
      </c>
      <c r="O1275" s="46">
        <f t="shared" si="174"/>
        <v>452.683333333333</v>
      </c>
      <c r="P1275" s="93">
        <f t="shared" si="175"/>
        <v>33.1231707317073</v>
      </c>
    </row>
    <row r="1276" s="2" customFormat="1" spans="1:16">
      <c r="A1276" s="106">
        <v>45923</v>
      </c>
      <c r="B1276" s="98">
        <v>1296.85</v>
      </c>
      <c r="C1276" s="99">
        <v>7473</v>
      </c>
      <c r="D1276" s="99">
        <v>558</v>
      </c>
      <c r="E1276" s="99">
        <v>1</v>
      </c>
      <c r="F1276" s="98">
        <v>6407</v>
      </c>
      <c r="G1276" s="99">
        <v>22</v>
      </c>
      <c r="H1276" s="99">
        <v>1</v>
      </c>
      <c r="I1276" s="99">
        <v>1</v>
      </c>
      <c r="J1276" s="101">
        <f t="shared" si="169"/>
        <v>0.0746688077077479</v>
      </c>
      <c r="K1276" s="102">
        <f t="shared" si="170"/>
        <v>2.32410394265233</v>
      </c>
      <c r="L1276" s="104">
        <f t="shared" si="171"/>
        <v>4.94043258665227</v>
      </c>
      <c r="M1276" s="92">
        <f t="shared" si="172"/>
        <v>0.0017921146953405</v>
      </c>
      <c r="N1276" s="46">
        <f t="shared" si="173"/>
        <v>6407</v>
      </c>
      <c r="O1276" s="46">
        <f t="shared" si="174"/>
        <v>1296.85</v>
      </c>
      <c r="P1276" s="93">
        <f t="shared" si="175"/>
        <v>58.9477272727273</v>
      </c>
    </row>
    <row r="1277" s="2" customFormat="1" spans="1:16">
      <c r="A1277" s="106">
        <v>45924</v>
      </c>
      <c r="B1277" s="98">
        <v>1641.32</v>
      </c>
      <c r="C1277" s="99">
        <v>7919</v>
      </c>
      <c r="D1277" s="99">
        <v>649</v>
      </c>
      <c r="E1277" s="99">
        <v>3</v>
      </c>
      <c r="F1277" s="98">
        <v>54654</v>
      </c>
      <c r="G1277" s="99">
        <v>41</v>
      </c>
      <c r="H1277" s="99">
        <v>2</v>
      </c>
      <c r="I1277" s="99">
        <v>2</v>
      </c>
      <c r="J1277" s="101">
        <f t="shared" si="169"/>
        <v>0.0819547922717515</v>
      </c>
      <c r="K1277" s="102">
        <f t="shared" si="170"/>
        <v>2.52899845916795</v>
      </c>
      <c r="L1277" s="104">
        <f t="shared" si="171"/>
        <v>33.2988082762654</v>
      </c>
      <c r="M1277" s="92">
        <f t="shared" si="172"/>
        <v>0.00462249614791988</v>
      </c>
      <c r="N1277" s="46">
        <f t="shared" si="173"/>
        <v>18218</v>
      </c>
      <c r="O1277" s="46">
        <f t="shared" si="174"/>
        <v>547.106666666667</v>
      </c>
      <c r="P1277" s="93">
        <f t="shared" si="175"/>
        <v>40.0321951219512</v>
      </c>
    </row>
    <row r="1278" s="2" customFormat="1" spans="1:16">
      <c r="A1278" s="106">
        <v>45925</v>
      </c>
      <c r="B1278" s="98">
        <v>1921.36</v>
      </c>
      <c r="C1278" s="99">
        <v>10483</v>
      </c>
      <c r="D1278" s="99">
        <v>805</v>
      </c>
      <c r="E1278" s="99">
        <v>0</v>
      </c>
      <c r="F1278" s="98">
        <v>0</v>
      </c>
      <c r="G1278" s="99">
        <v>23</v>
      </c>
      <c r="H1278" s="99">
        <v>4</v>
      </c>
      <c r="I1278" s="99">
        <v>1</v>
      </c>
      <c r="J1278" s="101">
        <f t="shared" si="169"/>
        <v>0.0767909949441954</v>
      </c>
      <c r="K1278" s="102">
        <f t="shared" si="170"/>
        <v>2.38678260869565</v>
      </c>
      <c r="L1278" s="104">
        <f t="shared" si="171"/>
        <v>0</v>
      </c>
      <c r="M1278" s="92">
        <f t="shared" si="172"/>
        <v>0</v>
      </c>
      <c r="N1278" s="46">
        <f t="shared" si="173"/>
        <v>0</v>
      </c>
      <c r="O1278" s="46">
        <f t="shared" si="174"/>
        <v>0</v>
      </c>
      <c r="P1278" s="93">
        <f t="shared" si="175"/>
        <v>83.5373913043478</v>
      </c>
    </row>
    <row r="1279" s="2" customFormat="1" spans="1:16">
      <c r="A1279" s="106">
        <v>45926</v>
      </c>
      <c r="B1279" s="98">
        <v>1897.03</v>
      </c>
      <c r="C1279" s="99">
        <v>7462</v>
      </c>
      <c r="D1279" s="99">
        <v>754</v>
      </c>
      <c r="E1279" s="99">
        <v>0</v>
      </c>
      <c r="F1279" s="98">
        <v>0</v>
      </c>
      <c r="G1279" s="99">
        <v>29</v>
      </c>
      <c r="H1279" s="99">
        <v>5</v>
      </c>
      <c r="I1279" s="99">
        <v>1</v>
      </c>
      <c r="J1279" s="101">
        <f t="shared" si="169"/>
        <v>0.101045296167247</v>
      </c>
      <c r="K1279" s="102">
        <f t="shared" si="170"/>
        <v>2.5159549071618</v>
      </c>
      <c r="L1279" s="104">
        <f t="shared" si="171"/>
        <v>0</v>
      </c>
      <c r="M1279" s="92">
        <f t="shared" si="172"/>
        <v>0</v>
      </c>
      <c r="N1279" s="46">
        <f t="shared" si="173"/>
        <v>0</v>
      </c>
      <c r="O1279" s="46">
        <f t="shared" si="174"/>
        <v>0</v>
      </c>
      <c r="P1279" s="93">
        <f t="shared" si="175"/>
        <v>65.4148275862069</v>
      </c>
    </row>
    <row r="1280" s="2" customFormat="1" spans="1:16">
      <c r="A1280" s="106">
        <v>45927</v>
      </c>
      <c r="B1280" s="98">
        <v>2184.53</v>
      </c>
      <c r="C1280" s="99">
        <v>8240</v>
      </c>
      <c r="D1280" s="99">
        <v>825</v>
      </c>
      <c r="E1280" s="99">
        <v>0</v>
      </c>
      <c r="F1280" s="98">
        <v>0</v>
      </c>
      <c r="G1280" s="99">
        <v>36</v>
      </c>
      <c r="H1280" s="99">
        <v>2</v>
      </c>
      <c r="I1280" s="99">
        <v>3</v>
      </c>
      <c r="J1280" s="101">
        <f t="shared" si="169"/>
        <v>0.100121359223301</v>
      </c>
      <c r="K1280" s="102">
        <f t="shared" si="170"/>
        <v>2.64791515151515</v>
      </c>
      <c r="L1280" s="104">
        <f t="shared" si="171"/>
        <v>0</v>
      </c>
      <c r="M1280" s="92">
        <f t="shared" si="172"/>
        <v>0</v>
      </c>
      <c r="N1280" s="46">
        <f t="shared" si="173"/>
        <v>0</v>
      </c>
      <c r="O1280" s="46">
        <f t="shared" si="174"/>
        <v>0</v>
      </c>
      <c r="P1280" s="93">
        <f t="shared" si="175"/>
        <v>60.6813888888889</v>
      </c>
    </row>
    <row r="1281" s="2" customFormat="1" spans="1:16">
      <c r="A1281" s="106">
        <v>45928</v>
      </c>
      <c r="B1281" s="98">
        <v>2092.4</v>
      </c>
      <c r="C1281" s="99">
        <v>7365</v>
      </c>
      <c r="D1281" s="99">
        <v>808</v>
      </c>
      <c r="E1281" s="99">
        <v>2</v>
      </c>
      <c r="F1281" s="98">
        <v>12210</v>
      </c>
      <c r="G1281" s="99">
        <v>39</v>
      </c>
      <c r="H1281" s="99">
        <v>6</v>
      </c>
      <c r="I1281" s="99">
        <v>4</v>
      </c>
      <c r="J1281" s="101">
        <f t="shared" si="169"/>
        <v>0.109708078750849</v>
      </c>
      <c r="K1281" s="102">
        <f t="shared" si="170"/>
        <v>2.58960396039604</v>
      </c>
      <c r="L1281" s="104">
        <f t="shared" si="171"/>
        <v>5.83540432039763</v>
      </c>
      <c r="M1281" s="92">
        <f t="shared" si="172"/>
        <v>0.00247524752475248</v>
      </c>
      <c r="N1281" s="46">
        <f t="shared" si="173"/>
        <v>6105</v>
      </c>
      <c r="O1281" s="46">
        <f t="shared" si="174"/>
        <v>1046.2</v>
      </c>
      <c r="P1281" s="93">
        <f t="shared" si="175"/>
        <v>53.6512820512821</v>
      </c>
    </row>
    <row r="1282" s="2" customFormat="1" spans="1:16">
      <c r="A1282" s="106">
        <v>45929</v>
      </c>
      <c r="B1282" s="98">
        <v>1872.28</v>
      </c>
      <c r="C1282" s="99">
        <v>6941</v>
      </c>
      <c r="D1282" s="99">
        <v>745</v>
      </c>
      <c r="E1282" s="99">
        <v>0</v>
      </c>
      <c r="F1282" s="98">
        <v>0</v>
      </c>
      <c r="G1282" s="99">
        <v>25</v>
      </c>
      <c r="H1282" s="99">
        <v>1</v>
      </c>
      <c r="I1282" s="99">
        <v>2</v>
      </c>
      <c r="J1282" s="101">
        <f t="shared" si="169"/>
        <v>0.107333237285694</v>
      </c>
      <c r="K1282" s="102">
        <f t="shared" si="170"/>
        <v>2.51312751677852</v>
      </c>
      <c r="L1282" s="104">
        <f t="shared" si="171"/>
        <v>0</v>
      </c>
      <c r="M1282" s="92">
        <f t="shared" si="172"/>
        <v>0</v>
      </c>
      <c r="N1282" s="46">
        <f t="shared" si="173"/>
        <v>0</v>
      </c>
      <c r="O1282" s="46">
        <f t="shared" si="174"/>
        <v>0</v>
      </c>
      <c r="P1282" s="93">
        <f t="shared" si="175"/>
        <v>74.8912</v>
      </c>
    </row>
    <row r="1283" s="2" customFormat="1" spans="1:16">
      <c r="A1283" s="106">
        <v>45930</v>
      </c>
      <c r="B1283" s="98">
        <v>1418.25</v>
      </c>
      <c r="C1283" s="99">
        <v>5614</v>
      </c>
      <c r="D1283" s="99">
        <v>612</v>
      </c>
      <c r="E1283" s="99">
        <v>2</v>
      </c>
      <c r="F1283" s="98">
        <v>29792</v>
      </c>
      <c r="G1283" s="99">
        <v>22</v>
      </c>
      <c r="H1283" s="99">
        <v>1</v>
      </c>
      <c r="I1283" s="99">
        <v>4</v>
      </c>
      <c r="J1283" s="101">
        <f t="shared" si="169"/>
        <v>0.109013181332383</v>
      </c>
      <c r="K1283" s="102">
        <f t="shared" si="170"/>
        <v>2.31740196078431</v>
      </c>
      <c r="L1283" s="104">
        <f t="shared" si="171"/>
        <v>21.0061695751807</v>
      </c>
      <c r="M1283" s="92">
        <f t="shared" si="172"/>
        <v>0.00326797385620915</v>
      </c>
      <c r="N1283" s="46">
        <f t="shared" si="173"/>
        <v>14896</v>
      </c>
      <c r="O1283" s="46">
        <f t="shared" si="174"/>
        <v>709.125</v>
      </c>
      <c r="P1283" s="93">
        <f t="shared" si="175"/>
        <v>64.4659090909091</v>
      </c>
    </row>
    <row r="1284" s="2" customFormat="1" spans="1:16">
      <c r="A1284" s="106">
        <v>45931</v>
      </c>
      <c r="B1284" s="98">
        <v>1455.97</v>
      </c>
      <c r="C1284" s="99">
        <v>6136</v>
      </c>
      <c r="D1284" s="99">
        <v>667</v>
      </c>
      <c r="E1284" s="99">
        <v>1</v>
      </c>
      <c r="F1284" s="98">
        <v>1</v>
      </c>
      <c r="G1284" s="99">
        <v>29</v>
      </c>
      <c r="H1284" s="99">
        <v>6</v>
      </c>
      <c r="I1284" s="99">
        <v>3</v>
      </c>
      <c r="J1284" s="101">
        <f t="shared" si="169"/>
        <v>0.108702737940026</v>
      </c>
      <c r="K1284" s="102">
        <f t="shared" si="170"/>
        <v>2.18286356821589</v>
      </c>
      <c r="L1284" s="104">
        <f t="shared" si="171"/>
        <v>0.000686827338475381</v>
      </c>
      <c r="M1284" s="92">
        <f t="shared" si="172"/>
        <v>0.00149925037481259</v>
      </c>
      <c r="N1284" s="46">
        <f t="shared" si="173"/>
        <v>1</v>
      </c>
      <c r="O1284" s="46">
        <f t="shared" si="174"/>
        <v>1455.97</v>
      </c>
      <c r="P1284" s="93">
        <f t="shared" si="175"/>
        <v>50.2058620689655</v>
      </c>
    </row>
    <row r="1285" s="2" customFormat="1" spans="1:16">
      <c r="A1285" s="106">
        <v>45932</v>
      </c>
      <c r="B1285" s="98">
        <v>1421.84</v>
      </c>
      <c r="C1285" s="99">
        <v>5872</v>
      </c>
      <c r="D1285" s="99">
        <v>668</v>
      </c>
      <c r="E1285" s="99">
        <v>3</v>
      </c>
      <c r="F1285" s="98">
        <v>24550</v>
      </c>
      <c r="G1285" s="99">
        <v>38</v>
      </c>
      <c r="H1285" s="99">
        <v>7</v>
      </c>
      <c r="I1285" s="99">
        <v>3</v>
      </c>
      <c r="J1285" s="101">
        <f t="shared" si="169"/>
        <v>0.113760217983651</v>
      </c>
      <c r="K1285" s="102">
        <f t="shared" si="170"/>
        <v>2.12850299401198</v>
      </c>
      <c r="L1285" s="104">
        <f t="shared" si="171"/>
        <v>17.2663590840038</v>
      </c>
      <c r="M1285" s="92">
        <f t="shared" si="172"/>
        <v>0.00449101796407186</v>
      </c>
      <c r="N1285" s="46">
        <f t="shared" si="173"/>
        <v>8183.33333333333</v>
      </c>
      <c r="O1285" s="46">
        <f t="shared" si="174"/>
        <v>473.946666666667</v>
      </c>
      <c r="P1285" s="93">
        <f t="shared" si="175"/>
        <v>37.4168421052632</v>
      </c>
    </row>
    <row r="1286" s="2" customFormat="1" spans="1:16">
      <c r="A1286" s="106">
        <v>45933</v>
      </c>
      <c r="B1286" s="98">
        <v>1849</v>
      </c>
      <c r="C1286" s="99">
        <v>7621</v>
      </c>
      <c r="D1286" s="99">
        <v>826</v>
      </c>
      <c r="E1286" s="99">
        <v>2</v>
      </c>
      <c r="F1286" s="98">
        <v>2</v>
      </c>
      <c r="G1286" s="99">
        <v>57</v>
      </c>
      <c r="H1286" s="99">
        <v>5</v>
      </c>
      <c r="I1286" s="99">
        <v>3</v>
      </c>
      <c r="J1286" s="101">
        <f t="shared" si="169"/>
        <v>0.108384726413856</v>
      </c>
      <c r="K1286" s="102">
        <f t="shared" si="170"/>
        <v>2.23849878934625</v>
      </c>
      <c r="L1286" s="104">
        <f t="shared" si="171"/>
        <v>0.00108166576527853</v>
      </c>
      <c r="M1286" s="92">
        <f t="shared" si="172"/>
        <v>0.00242130750605327</v>
      </c>
      <c r="N1286" s="46">
        <f t="shared" si="173"/>
        <v>1</v>
      </c>
      <c r="O1286" s="46">
        <f t="shared" si="174"/>
        <v>924.5</v>
      </c>
      <c r="P1286" s="93">
        <f t="shared" si="175"/>
        <v>32.4385964912281</v>
      </c>
    </row>
    <row r="1287" s="2" customFormat="1" spans="1:16">
      <c r="A1287" s="106">
        <v>45934</v>
      </c>
      <c r="B1287" s="98">
        <v>1668.49</v>
      </c>
      <c r="C1287" s="99">
        <v>8309</v>
      </c>
      <c r="D1287" s="99">
        <v>814</v>
      </c>
      <c r="E1287" s="99">
        <v>1</v>
      </c>
      <c r="F1287" s="98">
        <v>1</v>
      </c>
      <c r="G1287" s="99">
        <v>40</v>
      </c>
      <c r="H1287" s="99">
        <v>5</v>
      </c>
      <c r="I1287" s="99">
        <v>2</v>
      </c>
      <c r="J1287" s="101">
        <f t="shared" si="169"/>
        <v>0.0979660608978216</v>
      </c>
      <c r="K1287" s="102">
        <f t="shared" si="170"/>
        <v>2.04974201474201</v>
      </c>
      <c r="L1287" s="104">
        <f t="shared" si="171"/>
        <v>0.000599344317316855</v>
      </c>
      <c r="M1287" s="92">
        <f t="shared" si="172"/>
        <v>0.00122850122850123</v>
      </c>
      <c r="N1287" s="46">
        <f t="shared" si="173"/>
        <v>1</v>
      </c>
      <c r="O1287" s="46">
        <f t="shared" si="174"/>
        <v>1668.49</v>
      </c>
      <c r="P1287" s="93">
        <f t="shared" si="175"/>
        <v>41.71225</v>
      </c>
    </row>
    <row r="1288" s="2" customFormat="1" spans="1:16">
      <c r="A1288" s="106">
        <v>45935</v>
      </c>
      <c r="B1288" s="98">
        <v>2164.39</v>
      </c>
      <c r="C1288" s="99">
        <v>10787</v>
      </c>
      <c r="D1288" s="99">
        <v>994</v>
      </c>
      <c r="E1288" s="99">
        <v>2</v>
      </c>
      <c r="F1288" s="98">
        <v>22590</v>
      </c>
      <c r="G1288" s="99">
        <v>52</v>
      </c>
      <c r="H1288" s="99">
        <v>6</v>
      </c>
      <c r="I1288" s="99">
        <v>2</v>
      </c>
      <c r="J1288" s="101">
        <f t="shared" si="169"/>
        <v>0.0921479558728099</v>
      </c>
      <c r="K1288" s="102">
        <f t="shared" si="170"/>
        <v>2.17745472837022</v>
      </c>
      <c r="L1288" s="104">
        <f t="shared" si="171"/>
        <v>10.4371208516025</v>
      </c>
      <c r="M1288" s="92">
        <f t="shared" si="172"/>
        <v>0.00201207243460765</v>
      </c>
      <c r="N1288" s="46">
        <f t="shared" si="173"/>
        <v>11295</v>
      </c>
      <c r="O1288" s="46">
        <f t="shared" si="174"/>
        <v>1082.195</v>
      </c>
      <c r="P1288" s="93">
        <f t="shared" si="175"/>
        <v>41.6228846153846</v>
      </c>
    </row>
    <row r="1289" s="2" customFormat="1" spans="1:16">
      <c r="A1289" s="106">
        <v>45936</v>
      </c>
      <c r="B1289" s="98">
        <v>2481.11</v>
      </c>
      <c r="C1289" s="99">
        <v>9518</v>
      </c>
      <c r="D1289" s="99">
        <v>1058</v>
      </c>
      <c r="E1289" s="99">
        <v>4</v>
      </c>
      <c r="F1289" s="98">
        <v>30695</v>
      </c>
      <c r="G1289" s="99">
        <v>93</v>
      </c>
      <c r="H1289" s="99">
        <v>11</v>
      </c>
      <c r="I1289" s="99">
        <v>4</v>
      </c>
      <c r="J1289" s="101">
        <f t="shared" si="169"/>
        <v>0.11115780626182</v>
      </c>
      <c r="K1289" s="102">
        <f t="shared" si="170"/>
        <v>2.34509451795841</v>
      </c>
      <c r="L1289" s="104">
        <f t="shared" si="171"/>
        <v>12.371478894527</v>
      </c>
      <c r="M1289" s="92">
        <f t="shared" si="172"/>
        <v>0.00378071833648393</v>
      </c>
      <c r="N1289" s="46">
        <f t="shared" si="173"/>
        <v>7673.75</v>
      </c>
      <c r="O1289" s="46">
        <f t="shared" si="174"/>
        <v>620.2775</v>
      </c>
      <c r="P1289" s="93">
        <f t="shared" si="175"/>
        <v>26.6786021505376</v>
      </c>
    </row>
    <row r="1290" s="2" customFormat="1" spans="1:16">
      <c r="A1290" s="106">
        <v>45937</v>
      </c>
      <c r="B1290" s="98">
        <v>2011.36</v>
      </c>
      <c r="C1290" s="99">
        <v>10288</v>
      </c>
      <c r="D1290" s="99">
        <v>1172</v>
      </c>
      <c r="E1290" s="99">
        <v>2</v>
      </c>
      <c r="F1290" s="98">
        <v>14475</v>
      </c>
      <c r="G1290" s="99">
        <v>81</v>
      </c>
      <c r="H1290" s="99">
        <v>7</v>
      </c>
      <c r="I1290" s="99">
        <v>5</v>
      </c>
      <c r="J1290" s="101">
        <f t="shared" si="169"/>
        <v>0.113919129082426</v>
      </c>
      <c r="K1290" s="102">
        <f t="shared" si="170"/>
        <v>1.71617747440273</v>
      </c>
      <c r="L1290" s="104">
        <f t="shared" si="171"/>
        <v>7.19662318033569</v>
      </c>
      <c r="M1290" s="92">
        <f t="shared" si="172"/>
        <v>0.00170648464163823</v>
      </c>
      <c r="N1290" s="46">
        <f t="shared" si="173"/>
        <v>7237.5</v>
      </c>
      <c r="O1290" s="46">
        <f t="shared" si="174"/>
        <v>1005.68</v>
      </c>
      <c r="P1290" s="93">
        <f t="shared" si="175"/>
        <v>24.8316049382716</v>
      </c>
    </row>
    <row r="1291" s="2" customFormat="1" spans="1:16">
      <c r="A1291" s="106">
        <v>45938</v>
      </c>
      <c r="B1291" s="98">
        <v>2455.05</v>
      </c>
      <c r="C1291" s="99">
        <v>9756</v>
      </c>
      <c r="D1291" s="99">
        <v>1234</v>
      </c>
      <c r="E1291" s="99">
        <v>1</v>
      </c>
      <c r="F1291" s="98">
        <v>1</v>
      </c>
      <c r="G1291" s="99">
        <v>93</v>
      </c>
      <c r="H1291" s="99">
        <v>4</v>
      </c>
      <c r="I1291" s="99">
        <v>3</v>
      </c>
      <c r="J1291" s="101">
        <f t="shared" si="169"/>
        <v>0.126486264862649</v>
      </c>
      <c r="K1291" s="102">
        <f t="shared" si="170"/>
        <v>1.9895056726094</v>
      </c>
      <c r="L1291" s="104">
        <f t="shared" si="171"/>
        <v>0.000407323679762123</v>
      </c>
      <c r="M1291" s="92">
        <f t="shared" si="172"/>
        <v>0.000810372771474878</v>
      </c>
      <c r="N1291" s="46">
        <f t="shared" si="173"/>
        <v>1</v>
      </c>
      <c r="O1291" s="46">
        <f t="shared" si="174"/>
        <v>2455.05</v>
      </c>
      <c r="P1291" s="93">
        <f t="shared" si="175"/>
        <v>26.3983870967742</v>
      </c>
    </row>
    <row r="1292" s="2" customFormat="1" spans="1:16">
      <c r="A1292" s="106">
        <v>45939</v>
      </c>
      <c r="B1292" s="98">
        <v>2429.06</v>
      </c>
      <c r="C1292" s="99">
        <v>10231</v>
      </c>
      <c r="D1292" s="99">
        <v>1246</v>
      </c>
      <c r="E1292" s="99">
        <v>0</v>
      </c>
      <c r="F1292" s="98">
        <v>0</v>
      </c>
      <c r="G1292" s="99">
        <v>116</v>
      </c>
      <c r="H1292" s="99">
        <v>7</v>
      </c>
      <c r="I1292" s="99">
        <v>4</v>
      </c>
      <c r="J1292" s="101">
        <f t="shared" si="169"/>
        <v>0.121786726615189</v>
      </c>
      <c r="K1292" s="102">
        <f t="shared" si="170"/>
        <v>1.94948635634029</v>
      </c>
      <c r="L1292" s="104">
        <f t="shared" si="171"/>
        <v>0</v>
      </c>
      <c r="M1292" s="92">
        <f t="shared" si="172"/>
        <v>0</v>
      </c>
      <c r="N1292" s="46">
        <f t="shared" si="173"/>
        <v>0</v>
      </c>
      <c r="O1292" s="46">
        <f t="shared" si="174"/>
        <v>0</v>
      </c>
      <c r="P1292" s="93">
        <f t="shared" si="175"/>
        <v>20.9401724137931</v>
      </c>
    </row>
    <row r="1293" s="2" customFormat="1" spans="1:16">
      <c r="A1293" s="106">
        <v>45940</v>
      </c>
      <c r="B1293" s="98">
        <v>2553.48</v>
      </c>
      <c r="C1293" s="99">
        <v>9089</v>
      </c>
      <c r="D1293" s="99">
        <v>1172</v>
      </c>
      <c r="E1293" s="99">
        <v>0</v>
      </c>
      <c r="F1293" s="98">
        <v>0</v>
      </c>
      <c r="G1293" s="99">
        <v>73</v>
      </c>
      <c r="H1293" s="99">
        <v>13</v>
      </c>
      <c r="I1293" s="99">
        <v>3</v>
      </c>
      <c r="J1293" s="101">
        <f t="shared" si="169"/>
        <v>0.128947078886566</v>
      </c>
      <c r="K1293" s="102">
        <f t="shared" si="170"/>
        <v>2.17873720136519</v>
      </c>
      <c r="L1293" s="104">
        <f t="shared" si="171"/>
        <v>0</v>
      </c>
      <c r="M1293" s="92">
        <f t="shared" si="172"/>
        <v>0</v>
      </c>
      <c r="N1293" s="46">
        <f t="shared" si="173"/>
        <v>0</v>
      </c>
      <c r="O1293" s="46">
        <f t="shared" si="174"/>
        <v>0</v>
      </c>
      <c r="P1293" s="93">
        <f t="shared" si="175"/>
        <v>34.9791780821918</v>
      </c>
    </row>
    <row r="1294" s="2" customFormat="1" spans="1:16">
      <c r="A1294" s="106">
        <v>45941</v>
      </c>
      <c r="B1294" s="98">
        <v>2711.38</v>
      </c>
      <c r="C1294" s="99">
        <v>9166</v>
      </c>
      <c r="D1294" s="99">
        <v>1098</v>
      </c>
      <c r="E1294" s="99">
        <v>1</v>
      </c>
      <c r="F1294" s="98">
        <v>1</v>
      </c>
      <c r="G1294" s="99">
        <v>98</v>
      </c>
      <c r="H1294" s="99">
        <v>9</v>
      </c>
      <c r="I1294" s="99">
        <v>5</v>
      </c>
      <c r="J1294" s="101">
        <f t="shared" si="169"/>
        <v>0.11979053022038</v>
      </c>
      <c r="K1294" s="102">
        <f t="shared" si="170"/>
        <v>2.46938069216758</v>
      </c>
      <c r="L1294" s="104">
        <f t="shared" si="171"/>
        <v>0.000368815879736518</v>
      </c>
      <c r="M1294" s="92">
        <f t="shared" si="172"/>
        <v>0.000910746812386157</v>
      </c>
      <c r="N1294" s="46">
        <f t="shared" si="173"/>
        <v>1</v>
      </c>
      <c r="O1294" s="46">
        <f t="shared" si="174"/>
        <v>2711.38</v>
      </c>
      <c r="P1294" s="93">
        <f t="shared" si="175"/>
        <v>27.6671428571429</v>
      </c>
    </row>
    <row r="1295" s="2" customFormat="1" spans="1:16">
      <c r="A1295" s="106">
        <v>45942</v>
      </c>
      <c r="B1295" s="98">
        <v>2732.42</v>
      </c>
      <c r="C1295" s="99">
        <v>9607</v>
      </c>
      <c r="D1295" s="99">
        <v>1052</v>
      </c>
      <c r="E1295" s="99">
        <v>5</v>
      </c>
      <c r="F1295" s="98">
        <v>29251</v>
      </c>
      <c r="G1295" s="99">
        <v>68</v>
      </c>
      <c r="H1295" s="99">
        <v>12</v>
      </c>
      <c r="I1295" s="99">
        <v>8</v>
      </c>
      <c r="J1295" s="101">
        <f t="shared" si="169"/>
        <v>0.109503487040699</v>
      </c>
      <c r="K1295" s="102">
        <f t="shared" si="170"/>
        <v>2.59735741444867</v>
      </c>
      <c r="L1295" s="104">
        <f t="shared" si="171"/>
        <v>10.7051624567233</v>
      </c>
      <c r="M1295" s="92">
        <f t="shared" si="172"/>
        <v>0.00475285171102662</v>
      </c>
      <c r="N1295" s="46">
        <f t="shared" si="173"/>
        <v>5850.2</v>
      </c>
      <c r="O1295" s="46">
        <f t="shared" si="174"/>
        <v>546.484</v>
      </c>
      <c r="P1295" s="93">
        <f t="shared" si="175"/>
        <v>40.1826470588235</v>
      </c>
    </row>
    <row r="1296" s="2" customFormat="1" spans="1:16">
      <c r="A1296" s="106">
        <v>45943</v>
      </c>
      <c r="B1296" s="98">
        <v>2758.95</v>
      </c>
      <c r="C1296" s="99">
        <v>8675</v>
      </c>
      <c r="D1296" s="99">
        <v>1103</v>
      </c>
      <c r="E1296" s="99">
        <v>2</v>
      </c>
      <c r="F1296" s="98">
        <v>20370</v>
      </c>
      <c r="G1296" s="99">
        <v>109</v>
      </c>
      <c r="H1296" s="99">
        <v>11</v>
      </c>
      <c r="I1296" s="99">
        <v>4</v>
      </c>
      <c r="J1296" s="101">
        <f t="shared" si="169"/>
        <v>0.127146974063401</v>
      </c>
      <c r="K1296" s="102">
        <f t="shared" si="170"/>
        <v>2.50131459655485</v>
      </c>
      <c r="L1296" s="104">
        <f t="shared" si="171"/>
        <v>7.38324362529223</v>
      </c>
      <c r="M1296" s="92">
        <f t="shared" si="172"/>
        <v>0.00181323662737987</v>
      </c>
      <c r="N1296" s="46">
        <f t="shared" si="173"/>
        <v>10185</v>
      </c>
      <c r="O1296" s="46">
        <f t="shared" si="174"/>
        <v>1379.475</v>
      </c>
      <c r="P1296" s="93">
        <f t="shared" si="175"/>
        <v>25.3114678899083</v>
      </c>
    </row>
    <row r="1297" s="2" customFormat="1" spans="1:16">
      <c r="A1297" s="106">
        <v>45944</v>
      </c>
      <c r="B1297" s="98">
        <v>2781.24</v>
      </c>
      <c r="C1297" s="99">
        <v>9179</v>
      </c>
      <c r="D1297" s="99">
        <v>1041</v>
      </c>
      <c r="E1297" s="99">
        <v>1</v>
      </c>
      <c r="F1297" s="98">
        <v>8254</v>
      </c>
      <c r="G1297" s="99">
        <v>118</v>
      </c>
      <c r="H1297" s="99">
        <v>6</v>
      </c>
      <c r="I1297" s="99">
        <v>8</v>
      </c>
      <c r="J1297" s="101">
        <f t="shared" si="169"/>
        <v>0.113411046955006</v>
      </c>
      <c r="K1297" s="102">
        <f t="shared" si="170"/>
        <v>2.67170028818444</v>
      </c>
      <c r="L1297" s="104">
        <f t="shared" si="171"/>
        <v>2.96774100760812</v>
      </c>
      <c r="M1297" s="92">
        <f t="shared" si="172"/>
        <v>0.000960614793467819</v>
      </c>
      <c r="N1297" s="46">
        <f t="shared" si="173"/>
        <v>8254</v>
      </c>
      <c r="O1297" s="46">
        <f t="shared" si="174"/>
        <v>2781.24</v>
      </c>
      <c r="P1297" s="93">
        <f t="shared" si="175"/>
        <v>23.5698305084746</v>
      </c>
    </row>
    <row r="1298" s="2" customFormat="1" spans="1:16">
      <c r="A1298" s="106">
        <v>45945</v>
      </c>
      <c r="B1298" s="98">
        <v>2824.93</v>
      </c>
      <c r="C1298" s="99">
        <v>9927</v>
      </c>
      <c r="D1298" s="99">
        <v>1223</v>
      </c>
      <c r="E1298" s="99">
        <v>2</v>
      </c>
      <c r="F1298" s="98">
        <v>2</v>
      </c>
      <c r="G1298" s="99">
        <v>157</v>
      </c>
      <c r="H1298" s="99">
        <v>15</v>
      </c>
      <c r="I1298" s="99">
        <v>6</v>
      </c>
      <c r="J1298" s="101">
        <f t="shared" si="169"/>
        <v>0.123199355293644</v>
      </c>
      <c r="K1298" s="102">
        <f t="shared" si="170"/>
        <v>2.30983646770237</v>
      </c>
      <c r="L1298" s="104">
        <f t="shared" si="171"/>
        <v>0.000707982144690311</v>
      </c>
      <c r="M1298" s="92">
        <f t="shared" si="172"/>
        <v>0.00163532297628782</v>
      </c>
      <c r="N1298" s="46">
        <f t="shared" si="173"/>
        <v>1</v>
      </c>
      <c r="O1298" s="46">
        <f t="shared" si="174"/>
        <v>1412.465</v>
      </c>
      <c r="P1298" s="93">
        <f t="shared" si="175"/>
        <v>17.9931847133758</v>
      </c>
    </row>
    <row r="1299" s="2" customFormat="1" spans="1:16">
      <c r="A1299" s="106">
        <v>45946</v>
      </c>
      <c r="B1299" s="98">
        <v>2469.83</v>
      </c>
      <c r="C1299" s="99">
        <v>9293</v>
      </c>
      <c r="D1299" s="99">
        <v>1115</v>
      </c>
      <c r="E1299" s="99">
        <v>1</v>
      </c>
      <c r="F1299" s="98">
        <v>36868</v>
      </c>
      <c r="G1299" s="99">
        <v>83</v>
      </c>
      <c r="H1299" s="99">
        <v>7</v>
      </c>
      <c r="I1299" s="99">
        <v>11</v>
      </c>
      <c r="J1299" s="101">
        <f t="shared" si="169"/>
        <v>0.119982782739697</v>
      </c>
      <c r="K1299" s="102">
        <f t="shared" si="170"/>
        <v>2.21509417040359</v>
      </c>
      <c r="L1299" s="104">
        <f t="shared" si="171"/>
        <v>14.9273431774657</v>
      </c>
      <c r="M1299" s="92">
        <f t="shared" si="172"/>
        <v>0.000896860986547085</v>
      </c>
      <c r="N1299" s="46">
        <f t="shared" si="173"/>
        <v>36868</v>
      </c>
      <c r="O1299" s="46">
        <f t="shared" si="174"/>
        <v>2469.83</v>
      </c>
      <c r="P1299" s="93">
        <f t="shared" si="175"/>
        <v>29.7569879518072</v>
      </c>
    </row>
    <row r="1300" s="2" customFormat="1" spans="1:16">
      <c r="A1300" s="106">
        <v>45947</v>
      </c>
      <c r="B1300" s="98">
        <v>2608.84</v>
      </c>
      <c r="C1300" s="100">
        <v>11000</v>
      </c>
      <c r="D1300" s="99">
        <v>1025</v>
      </c>
      <c r="E1300" s="99">
        <v>1</v>
      </c>
      <c r="F1300" s="98">
        <v>1</v>
      </c>
      <c r="G1300" s="99">
        <v>68</v>
      </c>
      <c r="H1300" s="99">
        <v>11</v>
      </c>
      <c r="I1300" s="99">
        <v>4</v>
      </c>
      <c r="J1300" s="101">
        <f t="shared" si="169"/>
        <v>0.0931818181818182</v>
      </c>
      <c r="K1300" s="102">
        <f t="shared" si="170"/>
        <v>2.54520975609756</v>
      </c>
      <c r="L1300" s="104">
        <f t="shared" si="171"/>
        <v>0.000383312123395839</v>
      </c>
      <c r="M1300" s="92">
        <f t="shared" si="172"/>
        <v>0.000975609756097561</v>
      </c>
      <c r="N1300" s="46">
        <f t="shared" si="173"/>
        <v>1</v>
      </c>
      <c r="O1300" s="46">
        <f t="shared" si="174"/>
        <v>2608.84</v>
      </c>
      <c r="P1300" s="93">
        <f t="shared" si="175"/>
        <v>38.3652941176471</v>
      </c>
    </row>
    <row r="1301" s="2" customFormat="1" spans="1:16">
      <c r="A1301" s="106">
        <v>45948</v>
      </c>
      <c r="B1301" s="98">
        <v>2649.44</v>
      </c>
      <c r="C1301" s="99">
        <v>12382</v>
      </c>
      <c r="D1301" s="99">
        <v>935</v>
      </c>
      <c r="E1301" s="99">
        <v>3</v>
      </c>
      <c r="F1301" s="98">
        <v>32318</v>
      </c>
      <c r="G1301" s="99">
        <v>54</v>
      </c>
      <c r="H1301" s="99">
        <v>7</v>
      </c>
      <c r="I1301" s="99">
        <v>5</v>
      </c>
      <c r="J1301" s="101">
        <f t="shared" si="169"/>
        <v>0.0755128412211274</v>
      </c>
      <c r="K1301" s="102">
        <f t="shared" si="170"/>
        <v>2.8336256684492</v>
      </c>
      <c r="L1301" s="104">
        <f t="shared" si="171"/>
        <v>12.1980493991183</v>
      </c>
      <c r="M1301" s="92">
        <f t="shared" si="172"/>
        <v>0.00320855614973262</v>
      </c>
      <c r="N1301" s="46">
        <f t="shared" si="173"/>
        <v>10772.6666666667</v>
      </c>
      <c r="O1301" s="46">
        <f t="shared" si="174"/>
        <v>883.146666666667</v>
      </c>
      <c r="P1301" s="93">
        <f t="shared" si="175"/>
        <v>49.0637037037037</v>
      </c>
    </row>
    <row r="1302" s="2" customFormat="1" spans="1:16">
      <c r="A1302" s="106">
        <v>45949</v>
      </c>
      <c r="B1302" s="98">
        <v>1957.55</v>
      </c>
      <c r="C1302" s="99">
        <v>10266</v>
      </c>
      <c r="D1302" s="99">
        <v>888</v>
      </c>
      <c r="E1302" s="99">
        <v>4</v>
      </c>
      <c r="F1302" s="98">
        <v>48043</v>
      </c>
      <c r="G1302" s="99">
        <v>56</v>
      </c>
      <c r="H1302" s="99">
        <v>2</v>
      </c>
      <c r="I1302" s="99">
        <v>8</v>
      </c>
      <c r="J1302" s="101">
        <f t="shared" si="169"/>
        <v>0.0864991233196961</v>
      </c>
      <c r="K1302" s="102">
        <f t="shared" si="170"/>
        <v>2.2044481981982</v>
      </c>
      <c r="L1302" s="104">
        <f t="shared" si="171"/>
        <v>24.5424127097648</v>
      </c>
      <c r="M1302" s="92">
        <f t="shared" si="172"/>
        <v>0.0045045045045045</v>
      </c>
      <c r="N1302" s="46">
        <f t="shared" si="173"/>
        <v>12010.75</v>
      </c>
      <c r="O1302" s="46">
        <f t="shared" si="174"/>
        <v>489.3875</v>
      </c>
      <c r="P1302" s="93">
        <f t="shared" si="175"/>
        <v>34.95625</v>
      </c>
    </row>
    <row r="1303" s="2" customFormat="1" spans="1:16">
      <c r="A1303" s="106">
        <v>45950</v>
      </c>
      <c r="B1303" s="98">
        <v>2239.54</v>
      </c>
      <c r="C1303" s="99">
        <v>10712</v>
      </c>
      <c r="D1303" s="99">
        <v>965</v>
      </c>
      <c r="E1303" s="99">
        <v>9</v>
      </c>
      <c r="F1303" s="98">
        <v>73878</v>
      </c>
      <c r="G1303" s="99">
        <v>67</v>
      </c>
      <c r="H1303" s="99">
        <v>5</v>
      </c>
      <c r="I1303" s="99">
        <v>9</v>
      </c>
      <c r="J1303" s="101">
        <f t="shared" si="169"/>
        <v>0.0900858849887976</v>
      </c>
      <c r="K1303" s="102">
        <f t="shared" si="170"/>
        <v>2.32076683937824</v>
      </c>
      <c r="L1303" s="104">
        <f t="shared" si="171"/>
        <v>32.9880243264242</v>
      </c>
      <c r="M1303" s="92">
        <f t="shared" si="172"/>
        <v>0.00932642487046632</v>
      </c>
      <c r="N1303" s="46">
        <f t="shared" si="173"/>
        <v>8208.66666666667</v>
      </c>
      <c r="O1303" s="46">
        <f t="shared" si="174"/>
        <v>248.837777777778</v>
      </c>
      <c r="P1303" s="93">
        <f t="shared" si="175"/>
        <v>33.4259701492537</v>
      </c>
    </row>
    <row r="1304" s="2" customFormat="1" spans="1:16">
      <c r="A1304" s="106">
        <v>45951</v>
      </c>
      <c r="B1304" s="98">
        <v>2279.08</v>
      </c>
      <c r="C1304" s="99">
        <v>9052</v>
      </c>
      <c r="D1304" s="99">
        <v>856</v>
      </c>
      <c r="E1304" s="99">
        <v>5</v>
      </c>
      <c r="F1304" s="98">
        <v>29270</v>
      </c>
      <c r="G1304" s="99">
        <v>85</v>
      </c>
      <c r="H1304" s="99">
        <v>4</v>
      </c>
      <c r="I1304" s="99">
        <v>4</v>
      </c>
      <c r="J1304" s="101">
        <f t="shared" si="169"/>
        <v>0.0945647370746796</v>
      </c>
      <c r="K1304" s="102">
        <f t="shared" si="170"/>
        <v>2.66247663551402</v>
      </c>
      <c r="L1304" s="104">
        <f t="shared" si="171"/>
        <v>12.8429015216666</v>
      </c>
      <c r="M1304" s="92">
        <f t="shared" si="172"/>
        <v>0.0058411214953271</v>
      </c>
      <c r="N1304" s="46">
        <f t="shared" si="173"/>
        <v>5854</v>
      </c>
      <c r="O1304" s="46">
        <f t="shared" si="174"/>
        <v>455.816</v>
      </c>
      <c r="P1304" s="93">
        <f t="shared" si="175"/>
        <v>26.8127058823529</v>
      </c>
    </row>
    <row r="1305" s="2" customFormat="1" spans="1:16">
      <c r="A1305" s="106">
        <v>45952</v>
      </c>
      <c r="B1305" s="98">
        <v>2505.97</v>
      </c>
      <c r="C1305" s="99">
        <v>10866</v>
      </c>
      <c r="D1305" s="99">
        <v>896</v>
      </c>
      <c r="E1305" s="99">
        <v>6</v>
      </c>
      <c r="F1305" s="98">
        <v>52785</v>
      </c>
      <c r="G1305" s="99">
        <v>53</v>
      </c>
      <c r="H1305" s="99">
        <v>5</v>
      </c>
      <c r="I1305" s="99">
        <v>3</v>
      </c>
      <c r="J1305" s="101">
        <f t="shared" si="169"/>
        <v>0.0824590465672741</v>
      </c>
      <c r="K1305" s="102">
        <f t="shared" si="170"/>
        <v>2.79684151785714</v>
      </c>
      <c r="L1305" s="104">
        <f t="shared" si="171"/>
        <v>21.0636998846754</v>
      </c>
      <c r="M1305" s="92">
        <f t="shared" si="172"/>
        <v>0.00669642857142857</v>
      </c>
      <c r="N1305" s="46">
        <f t="shared" si="173"/>
        <v>8797.5</v>
      </c>
      <c r="O1305" s="46">
        <f t="shared" si="174"/>
        <v>417.661666666667</v>
      </c>
      <c r="P1305" s="93">
        <f t="shared" si="175"/>
        <v>47.2824528301887</v>
      </c>
    </row>
    <row r="1306" s="2" customFormat="1" spans="1:16">
      <c r="A1306" s="106">
        <v>45953</v>
      </c>
      <c r="B1306" s="98">
        <v>2584.77</v>
      </c>
      <c r="C1306" s="99">
        <v>10182</v>
      </c>
      <c r="D1306" s="99">
        <v>856</v>
      </c>
      <c r="E1306" s="99">
        <v>1</v>
      </c>
      <c r="F1306" s="98">
        <v>1</v>
      </c>
      <c r="G1306" s="99">
        <v>35</v>
      </c>
      <c r="H1306" s="99">
        <v>4</v>
      </c>
      <c r="I1306" s="99">
        <v>4</v>
      </c>
      <c r="J1306" s="101">
        <f t="shared" si="169"/>
        <v>0.0840699273227264</v>
      </c>
      <c r="K1306" s="102">
        <f t="shared" si="170"/>
        <v>3.01959112149533</v>
      </c>
      <c r="L1306" s="104">
        <f t="shared" si="171"/>
        <v>0.00038688161809368</v>
      </c>
      <c r="M1306" s="92">
        <f t="shared" si="172"/>
        <v>0.00116822429906542</v>
      </c>
      <c r="N1306" s="46">
        <f t="shared" si="173"/>
        <v>1</v>
      </c>
      <c r="O1306" s="46">
        <f t="shared" si="174"/>
        <v>2584.77</v>
      </c>
      <c r="P1306" s="93">
        <f t="shared" si="175"/>
        <v>73.8505714285714</v>
      </c>
    </row>
    <row r="1307" s="2" customFormat="1" spans="1:16">
      <c r="A1307" s="106">
        <v>45954</v>
      </c>
      <c r="B1307" s="98">
        <v>2549.52</v>
      </c>
      <c r="C1307" s="99">
        <v>9622</v>
      </c>
      <c r="D1307" s="99">
        <v>814</v>
      </c>
      <c r="E1307" s="99">
        <v>1</v>
      </c>
      <c r="F1307" s="98">
        <v>12720</v>
      </c>
      <c r="G1307" s="99">
        <v>32</v>
      </c>
      <c r="H1307" s="99">
        <v>6</v>
      </c>
      <c r="I1307" s="99">
        <v>2</v>
      </c>
      <c r="J1307" s="101">
        <f t="shared" ref="J1307:J1370" si="176">D1307/C1307</f>
        <v>0.0845977967158595</v>
      </c>
      <c r="K1307" s="102">
        <f t="shared" ref="K1307:K1370" si="177">B1307/D1307</f>
        <v>3.13208845208845</v>
      </c>
      <c r="L1307" s="104">
        <f t="shared" ref="L1307:L1370" si="178">F1307/B1307</f>
        <v>4.98917443283442</v>
      </c>
      <c r="M1307" s="92">
        <f t="shared" si="172"/>
        <v>0.00122850122850123</v>
      </c>
      <c r="N1307" s="46">
        <f t="shared" si="173"/>
        <v>12720</v>
      </c>
      <c r="O1307" s="46">
        <f t="shared" si="174"/>
        <v>2549.52</v>
      </c>
      <c r="P1307" s="93">
        <f t="shared" si="175"/>
        <v>79.6725</v>
      </c>
    </row>
    <row r="1308" s="2" customFormat="1" spans="1:16">
      <c r="A1308" s="106">
        <v>45955</v>
      </c>
      <c r="B1308" s="98">
        <v>2506.89</v>
      </c>
      <c r="C1308" s="99">
        <v>10209</v>
      </c>
      <c r="D1308" s="99">
        <v>771</v>
      </c>
      <c r="E1308" s="99">
        <v>4</v>
      </c>
      <c r="F1308" s="98">
        <v>25975</v>
      </c>
      <c r="G1308" s="99">
        <v>40</v>
      </c>
      <c r="H1308" s="99">
        <v>6</v>
      </c>
      <c r="I1308" s="99">
        <v>0</v>
      </c>
      <c r="J1308" s="101">
        <f t="shared" si="176"/>
        <v>0.0755215985894799</v>
      </c>
      <c r="K1308" s="102">
        <f t="shared" si="177"/>
        <v>3.25147859922179</v>
      </c>
      <c r="L1308" s="104">
        <f t="shared" si="178"/>
        <v>10.3614438607199</v>
      </c>
      <c r="M1308" s="92">
        <f t="shared" si="172"/>
        <v>0.00518806744487678</v>
      </c>
      <c r="N1308" s="46">
        <f t="shared" si="173"/>
        <v>6493.75</v>
      </c>
      <c r="O1308" s="46">
        <f t="shared" si="174"/>
        <v>626.7225</v>
      </c>
      <c r="P1308" s="93">
        <f t="shared" si="175"/>
        <v>62.67225</v>
      </c>
    </row>
    <row r="1309" s="2" customFormat="1" spans="1:16">
      <c r="A1309" s="106">
        <v>45956</v>
      </c>
      <c r="B1309" s="98">
        <v>2332.31</v>
      </c>
      <c r="C1309" s="99">
        <v>8635</v>
      </c>
      <c r="D1309" s="99">
        <v>695</v>
      </c>
      <c r="E1309" s="99">
        <v>7</v>
      </c>
      <c r="F1309" s="98">
        <v>84804</v>
      </c>
      <c r="G1309" s="99">
        <v>42</v>
      </c>
      <c r="H1309" s="99">
        <v>2</v>
      </c>
      <c r="I1309" s="99">
        <v>7</v>
      </c>
      <c r="J1309" s="101">
        <f t="shared" si="176"/>
        <v>0.0804863925883034</v>
      </c>
      <c r="K1309" s="102">
        <f t="shared" si="177"/>
        <v>3.3558417266187</v>
      </c>
      <c r="L1309" s="104">
        <f t="shared" si="178"/>
        <v>36.3605181129438</v>
      </c>
      <c r="M1309" s="92">
        <f t="shared" si="172"/>
        <v>0.0100719424460432</v>
      </c>
      <c r="N1309" s="46">
        <f t="shared" si="173"/>
        <v>12114.8571428571</v>
      </c>
      <c r="O1309" s="46">
        <f t="shared" si="174"/>
        <v>333.187142857143</v>
      </c>
      <c r="P1309" s="93">
        <f t="shared" si="175"/>
        <v>55.5311904761905</v>
      </c>
    </row>
    <row r="1310" s="2" customFormat="1" spans="1:16">
      <c r="A1310" s="106">
        <v>45957</v>
      </c>
      <c r="B1310" s="98">
        <v>2522.8</v>
      </c>
      <c r="C1310" s="99">
        <v>10505</v>
      </c>
      <c r="D1310" s="99">
        <v>786</v>
      </c>
      <c r="E1310" s="99">
        <v>3</v>
      </c>
      <c r="F1310" s="98">
        <v>5200</v>
      </c>
      <c r="G1310" s="99">
        <v>34</v>
      </c>
      <c r="H1310" s="99">
        <v>3</v>
      </c>
      <c r="I1310" s="99">
        <v>3</v>
      </c>
      <c r="J1310" s="101">
        <f t="shared" si="176"/>
        <v>0.0748215135649691</v>
      </c>
      <c r="K1310" s="102">
        <f t="shared" si="177"/>
        <v>3.20966921119593</v>
      </c>
      <c r="L1310" s="104">
        <f t="shared" si="178"/>
        <v>2.06120183922626</v>
      </c>
      <c r="M1310" s="92">
        <f t="shared" si="172"/>
        <v>0.00381679389312977</v>
      </c>
      <c r="N1310" s="46">
        <f t="shared" si="173"/>
        <v>1733.33333333333</v>
      </c>
      <c r="O1310" s="46">
        <f t="shared" si="174"/>
        <v>840.933333333333</v>
      </c>
      <c r="P1310" s="93">
        <f t="shared" si="175"/>
        <v>74.2</v>
      </c>
    </row>
    <row r="1311" s="2" customFormat="1" spans="1:16">
      <c r="A1311" s="106">
        <v>45958</v>
      </c>
      <c r="B1311" s="98">
        <v>2621.66</v>
      </c>
      <c r="C1311" s="99">
        <v>11869</v>
      </c>
      <c r="D1311" s="99">
        <v>840</v>
      </c>
      <c r="E1311" s="99">
        <v>2</v>
      </c>
      <c r="F1311" s="98">
        <v>32755</v>
      </c>
      <c r="G1311" s="99">
        <v>35</v>
      </c>
      <c r="H1311" s="99">
        <v>6</v>
      </c>
      <c r="I1311" s="99">
        <v>5</v>
      </c>
      <c r="J1311" s="101">
        <f t="shared" si="176"/>
        <v>0.0707726008930828</v>
      </c>
      <c r="K1311" s="102">
        <f t="shared" si="177"/>
        <v>3.12102380952381</v>
      </c>
      <c r="L1311" s="104">
        <f t="shared" si="178"/>
        <v>12.4939923559882</v>
      </c>
      <c r="M1311" s="92">
        <f t="shared" si="172"/>
        <v>0.00238095238095238</v>
      </c>
      <c r="N1311" s="46">
        <f t="shared" si="173"/>
        <v>16377.5</v>
      </c>
      <c r="O1311" s="46">
        <f t="shared" si="174"/>
        <v>1310.83</v>
      </c>
      <c r="P1311" s="93">
        <f t="shared" si="175"/>
        <v>74.9045714285714</v>
      </c>
    </row>
    <row r="1312" s="2" customFormat="1" spans="1:16">
      <c r="A1312" s="106">
        <v>45959</v>
      </c>
      <c r="B1312" s="98">
        <v>2673.93</v>
      </c>
      <c r="C1312" s="99">
        <v>10699</v>
      </c>
      <c r="D1312" s="99">
        <v>851</v>
      </c>
      <c r="E1312" s="99">
        <v>1</v>
      </c>
      <c r="F1312" s="98">
        <v>9598</v>
      </c>
      <c r="G1312" s="99">
        <v>28</v>
      </c>
      <c r="H1312" s="99">
        <v>3</v>
      </c>
      <c r="I1312" s="99">
        <v>2</v>
      </c>
      <c r="J1312" s="101">
        <f t="shared" si="176"/>
        <v>0.0795401439386859</v>
      </c>
      <c r="K1312" s="102">
        <f t="shared" si="177"/>
        <v>3.14210340775558</v>
      </c>
      <c r="L1312" s="104">
        <f t="shared" si="178"/>
        <v>3.58947317244655</v>
      </c>
      <c r="M1312" s="92">
        <f t="shared" si="172"/>
        <v>0.00117508813160987</v>
      </c>
      <c r="N1312" s="46">
        <f t="shared" si="173"/>
        <v>9598</v>
      </c>
      <c r="O1312" s="46">
        <f t="shared" si="174"/>
        <v>2673.93</v>
      </c>
      <c r="P1312" s="93">
        <f t="shared" si="175"/>
        <v>95.4975</v>
      </c>
    </row>
    <row r="1313" s="2" customFormat="1" spans="1:16">
      <c r="A1313" s="106">
        <v>45960</v>
      </c>
      <c r="B1313" s="98">
        <v>2541.32</v>
      </c>
      <c r="C1313" s="99">
        <v>11696</v>
      </c>
      <c r="D1313" s="99">
        <v>819</v>
      </c>
      <c r="E1313" s="99">
        <v>5</v>
      </c>
      <c r="F1313" s="98">
        <v>34642</v>
      </c>
      <c r="G1313" s="99">
        <v>41</v>
      </c>
      <c r="H1313" s="99">
        <v>2</v>
      </c>
      <c r="I1313" s="99">
        <v>7</v>
      </c>
      <c r="J1313" s="101">
        <f t="shared" si="176"/>
        <v>0.0700239398084815</v>
      </c>
      <c r="K1313" s="102">
        <f t="shared" si="177"/>
        <v>3.10295482295482</v>
      </c>
      <c r="L1313" s="104">
        <f t="shared" si="178"/>
        <v>13.6314985912833</v>
      </c>
      <c r="M1313" s="92">
        <f t="shared" si="172"/>
        <v>0.0061050061050061</v>
      </c>
      <c r="N1313" s="46">
        <f t="shared" si="173"/>
        <v>6928.4</v>
      </c>
      <c r="O1313" s="46">
        <f t="shared" si="174"/>
        <v>508.264</v>
      </c>
      <c r="P1313" s="93">
        <f t="shared" si="175"/>
        <v>61.9834146341463</v>
      </c>
    </row>
    <row r="1314" s="2" customFormat="1" spans="1:16">
      <c r="A1314" s="106">
        <v>45961</v>
      </c>
      <c r="B1314" s="98">
        <v>2005.23</v>
      </c>
      <c r="C1314" s="99">
        <v>9454</v>
      </c>
      <c r="D1314" s="99">
        <v>645</v>
      </c>
      <c r="E1314" s="99">
        <v>7</v>
      </c>
      <c r="F1314" s="98">
        <v>57818</v>
      </c>
      <c r="G1314" s="99">
        <v>26</v>
      </c>
      <c r="H1314" s="99">
        <v>2</v>
      </c>
      <c r="I1314" s="99">
        <v>5</v>
      </c>
      <c r="J1314" s="101">
        <f t="shared" si="176"/>
        <v>0.0682250899090332</v>
      </c>
      <c r="K1314" s="102">
        <f t="shared" si="177"/>
        <v>3.10888372093023</v>
      </c>
      <c r="L1314" s="104">
        <f t="shared" si="178"/>
        <v>28.8336001356453</v>
      </c>
      <c r="M1314" s="92">
        <f t="shared" si="172"/>
        <v>0.0108527131782946</v>
      </c>
      <c r="N1314" s="46">
        <f t="shared" si="173"/>
        <v>8259.71428571429</v>
      </c>
      <c r="O1314" s="46">
        <f t="shared" si="174"/>
        <v>286.461428571429</v>
      </c>
      <c r="P1314" s="93">
        <f t="shared" si="175"/>
        <v>77.1242307692308</v>
      </c>
    </row>
    <row r="1315" s="2" customFormat="1" spans="1:16">
      <c r="A1315" s="106">
        <v>45962</v>
      </c>
      <c r="B1315" s="98">
        <v>1923.94</v>
      </c>
      <c r="C1315" s="99">
        <v>9132</v>
      </c>
      <c r="D1315" s="99">
        <v>580</v>
      </c>
      <c r="E1315" s="99">
        <v>2</v>
      </c>
      <c r="F1315" s="98">
        <v>19331</v>
      </c>
      <c r="G1315" s="99">
        <v>29</v>
      </c>
      <c r="H1315" s="99">
        <v>5</v>
      </c>
      <c r="I1315" s="99">
        <v>3</v>
      </c>
      <c r="J1315" s="101">
        <f t="shared" si="176"/>
        <v>0.0635129215943933</v>
      </c>
      <c r="K1315" s="102">
        <f t="shared" si="177"/>
        <v>3.31713793103448</v>
      </c>
      <c r="L1315" s="104">
        <f t="shared" si="178"/>
        <v>10.0476106323482</v>
      </c>
      <c r="M1315" s="92">
        <f t="shared" si="172"/>
        <v>0.00344827586206897</v>
      </c>
      <c r="N1315" s="46">
        <f t="shared" si="173"/>
        <v>9665.5</v>
      </c>
      <c r="O1315" s="46">
        <f t="shared" si="174"/>
        <v>961.97</v>
      </c>
      <c r="P1315" s="93">
        <f t="shared" si="175"/>
        <v>66.3427586206897</v>
      </c>
    </row>
    <row r="1316" s="2" customFormat="1" spans="1:16">
      <c r="A1316" s="106">
        <v>45963</v>
      </c>
      <c r="B1316" s="98">
        <v>1919.32</v>
      </c>
      <c r="C1316" s="99">
        <v>9441</v>
      </c>
      <c r="D1316" s="99">
        <v>648</v>
      </c>
      <c r="E1316" s="99">
        <v>0</v>
      </c>
      <c r="F1316" s="98">
        <v>0</v>
      </c>
      <c r="G1316" s="99">
        <v>17</v>
      </c>
      <c r="H1316" s="99">
        <v>2</v>
      </c>
      <c r="I1316" s="99">
        <v>1</v>
      </c>
      <c r="J1316" s="101">
        <f t="shared" si="176"/>
        <v>0.0686367969494757</v>
      </c>
      <c r="K1316" s="102">
        <f t="shared" si="177"/>
        <v>2.96191358024691</v>
      </c>
      <c r="L1316" s="104">
        <f t="shared" si="178"/>
        <v>0</v>
      </c>
      <c r="M1316" s="92">
        <f t="shared" si="172"/>
        <v>0</v>
      </c>
      <c r="N1316" s="46">
        <f t="shared" si="173"/>
        <v>0</v>
      </c>
      <c r="O1316" s="46">
        <f t="shared" si="174"/>
        <v>0</v>
      </c>
      <c r="P1316" s="93">
        <f t="shared" si="175"/>
        <v>112.901176470588</v>
      </c>
    </row>
    <row r="1317" s="2" customFormat="1" spans="1:16">
      <c r="A1317" s="106">
        <v>45964</v>
      </c>
      <c r="B1317" s="98">
        <v>2446.66</v>
      </c>
      <c r="C1317" s="99">
        <v>11916</v>
      </c>
      <c r="D1317" s="99">
        <v>764</v>
      </c>
      <c r="E1317" s="99">
        <v>1</v>
      </c>
      <c r="F1317" s="98">
        <v>17201.01</v>
      </c>
      <c r="G1317" s="99">
        <v>24</v>
      </c>
      <c r="H1317" s="99">
        <v>4</v>
      </c>
      <c r="I1317" s="99">
        <v>2</v>
      </c>
      <c r="J1317" s="101">
        <f t="shared" si="176"/>
        <v>0.0641154749916079</v>
      </c>
      <c r="K1317" s="102">
        <f t="shared" si="177"/>
        <v>3.20243455497382</v>
      </c>
      <c r="L1317" s="104">
        <f t="shared" si="178"/>
        <v>7.03040471499922</v>
      </c>
      <c r="M1317" s="92">
        <f t="shared" si="172"/>
        <v>0.00130890052356021</v>
      </c>
      <c r="N1317" s="46">
        <f t="shared" si="173"/>
        <v>17201.01</v>
      </c>
      <c r="O1317" s="46">
        <f t="shared" si="174"/>
        <v>2446.66</v>
      </c>
      <c r="P1317" s="93">
        <f t="shared" si="175"/>
        <v>101.944166666667</v>
      </c>
    </row>
    <row r="1318" s="2" customFormat="1" spans="1:16">
      <c r="A1318" s="106">
        <v>45965</v>
      </c>
      <c r="B1318" s="98">
        <v>2594.44</v>
      </c>
      <c r="C1318" s="99">
        <v>11647</v>
      </c>
      <c r="D1318" s="99">
        <v>750</v>
      </c>
      <c r="E1318" s="99">
        <v>4</v>
      </c>
      <c r="F1318" s="98">
        <v>32191</v>
      </c>
      <c r="G1318" s="99">
        <v>17</v>
      </c>
      <c r="H1318" s="99">
        <v>3</v>
      </c>
      <c r="I1318" s="99">
        <v>1</v>
      </c>
      <c r="J1318" s="101">
        <f t="shared" si="176"/>
        <v>0.0643942646174981</v>
      </c>
      <c r="K1318" s="102">
        <f t="shared" si="177"/>
        <v>3.45925333333333</v>
      </c>
      <c r="L1318" s="104">
        <f t="shared" si="178"/>
        <v>12.4076872080295</v>
      </c>
      <c r="M1318" s="92">
        <f t="shared" ref="M1318:M1381" si="179">E1318/D1318</f>
        <v>0.00533333333333333</v>
      </c>
      <c r="N1318" s="46">
        <f t="shared" ref="N1318:N1381" si="180">IF(E1318=0,0,F1318/E1318)</f>
        <v>8047.75</v>
      </c>
      <c r="O1318" s="46">
        <f t="shared" ref="O1318:O1381" si="181">IF(E1318=0,0,B1318/E1318)</f>
        <v>648.61</v>
      </c>
      <c r="P1318" s="93">
        <f t="shared" ref="P1318:P1381" si="182">B1318/G1318</f>
        <v>152.614117647059</v>
      </c>
    </row>
    <row r="1319" s="2" customFormat="1" spans="1:16">
      <c r="A1319" s="106">
        <v>45966</v>
      </c>
      <c r="B1319" s="98">
        <v>3429.6</v>
      </c>
      <c r="C1319" s="99">
        <v>12430</v>
      </c>
      <c r="D1319" s="99">
        <v>897</v>
      </c>
      <c r="E1319" s="99">
        <v>6</v>
      </c>
      <c r="F1319" s="98">
        <v>43442</v>
      </c>
      <c r="G1319" s="99">
        <v>25</v>
      </c>
      <c r="H1319" s="99">
        <v>1</v>
      </c>
      <c r="I1319" s="99">
        <v>1</v>
      </c>
      <c r="J1319" s="101">
        <f t="shared" si="176"/>
        <v>0.0721641190667739</v>
      </c>
      <c r="K1319" s="102">
        <f t="shared" si="177"/>
        <v>3.82341137123746</v>
      </c>
      <c r="L1319" s="104">
        <f t="shared" si="178"/>
        <v>12.6667832983438</v>
      </c>
      <c r="M1319" s="92">
        <f t="shared" si="179"/>
        <v>0.00668896321070234</v>
      </c>
      <c r="N1319" s="46">
        <f t="shared" si="180"/>
        <v>7240.33333333333</v>
      </c>
      <c r="O1319" s="46">
        <f t="shared" si="181"/>
        <v>571.6</v>
      </c>
      <c r="P1319" s="93">
        <f t="shared" si="182"/>
        <v>137.184</v>
      </c>
    </row>
    <row r="1320" s="2" customFormat="1" spans="1:16">
      <c r="A1320" s="106">
        <v>45967</v>
      </c>
      <c r="B1320" s="98">
        <v>3574.81</v>
      </c>
      <c r="C1320" s="99">
        <v>13496</v>
      </c>
      <c r="D1320" s="99">
        <v>985</v>
      </c>
      <c r="E1320" s="99">
        <v>1</v>
      </c>
      <c r="F1320" s="98">
        <v>17152</v>
      </c>
      <c r="G1320" s="99">
        <v>33</v>
      </c>
      <c r="H1320" s="99">
        <v>2</v>
      </c>
      <c r="I1320" s="99">
        <v>4</v>
      </c>
      <c r="J1320" s="101">
        <f t="shared" si="176"/>
        <v>0.0729845880260818</v>
      </c>
      <c r="K1320" s="102">
        <f t="shared" si="177"/>
        <v>3.62924873096447</v>
      </c>
      <c r="L1320" s="104">
        <f t="shared" si="178"/>
        <v>4.79801723727974</v>
      </c>
      <c r="M1320" s="92">
        <f t="shared" si="179"/>
        <v>0.00101522842639594</v>
      </c>
      <c r="N1320" s="46">
        <f t="shared" si="180"/>
        <v>17152</v>
      </c>
      <c r="O1320" s="46">
        <f t="shared" si="181"/>
        <v>3574.81</v>
      </c>
      <c r="P1320" s="93">
        <f t="shared" si="182"/>
        <v>108.327575757576</v>
      </c>
    </row>
    <row r="1321" s="2" customFormat="1" spans="1:16">
      <c r="A1321" s="106">
        <v>45968</v>
      </c>
      <c r="B1321" s="98">
        <v>3949.77</v>
      </c>
      <c r="C1321" s="99">
        <v>16321</v>
      </c>
      <c r="D1321" s="99">
        <v>964</v>
      </c>
      <c r="E1321" s="99">
        <v>0</v>
      </c>
      <c r="F1321" s="98">
        <v>0</v>
      </c>
      <c r="G1321" s="99">
        <v>28</v>
      </c>
      <c r="H1321" s="99">
        <v>3</v>
      </c>
      <c r="I1321" s="99">
        <v>2</v>
      </c>
      <c r="J1321" s="101">
        <f t="shared" si="176"/>
        <v>0.059065008271552</v>
      </c>
      <c r="K1321" s="102">
        <f t="shared" si="177"/>
        <v>4.09727178423237</v>
      </c>
      <c r="L1321" s="104">
        <f t="shared" si="178"/>
        <v>0</v>
      </c>
      <c r="M1321" s="92">
        <f t="shared" si="179"/>
        <v>0</v>
      </c>
      <c r="N1321" s="46">
        <f t="shared" si="180"/>
        <v>0</v>
      </c>
      <c r="O1321" s="46">
        <f t="shared" si="181"/>
        <v>0</v>
      </c>
      <c r="P1321" s="93">
        <f t="shared" si="182"/>
        <v>141.063214285714</v>
      </c>
    </row>
    <row r="1322" s="2" customFormat="1" spans="1:16">
      <c r="A1322" s="106">
        <v>45969</v>
      </c>
      <c r="B1322" s="98">
        <v>4133.47</v>
      </c>
      <c r="C1322" s="99">
        <v>15419</v>
      </c>
      <c r="D1322" s="99">
        <v>940</v>
      </c>
      <c r="E1322" s="99">
        <v>6</v>
      </c>
      <c r="F1322" s="98">
        <v>18196</v>
      </c>
      <c r="G1322" s="99">
        <v>31</v>
      </c>
      <c r="H1322" s="99">
        <v>5</v>
      </c>
      <c r="I1322" s="99">
        <v>4</v>
      </c>
      <c r="J1322" s="101">
        <f t="shared" si="176"/>
        <v>0.0609637460276283</v>
      </c>
      <c r="K1322" s="102">
        <f t="shared" si="177"/>
        <v>4.3973085106383</v>
      </c>
      <c r="L1322" s="104">
        <f t="shared" si="178"/>
        <v>4.40211251079601</v>
      </c>
      <c r="M1322" s="92">
        <f t="shared" si="179"/>
        <v>0.00638297872340425</v>
      </c>
      <c r="N1322" s="46">
        <f t="shared" si="180"/>
        <v>3032.66666666667</v>
      </c>
      <c r="O1322" s="46">
        <f t="shared" si="181"/>
        <v>688.911666666667</v>
      </c>
      <c r="P1322" s="93">
        <f t="shared" si="182"/>
        <v>133.337741935484</v>
      </c>
    </row>
    <row r="1323" s="2" customFormat="1" spans="1:16">
      <c r="A1323" s="106">
        <v>45970</v>
      </c>
      <c r="B1323" s="98">
        <v>4172.03</v>
      </c>
      <c r="C1323" s="99">
        <v>13217</v>
      </c>
      <c r="D1323" s="99">
        <v>1014</v>
      </c>
      <c r="E1323" s="99">
        <v>3</v>
      </c>
      <c r="F1323" s="98">
        <v>19087</v>
      </c>
      <c r="G1323" s="99">
        <v>49</v>
      </c>
      <c r="H1323" s="99">
        <v>7</v>
      </c>
      <c r="I1323" s="99">
        <v>3</v>
      </c>
      <c r="J1323" s="101">
        <f t="shared" si="176"/>
        <v>0.0767193765604903</v>
      </c>
      <c r="K1323" s="102">
        <f t="shared" si="177"/>
        <v>4.11442800788955</v>
      </c>
      <c r="L1323" s="104">
        <f t="shared" si="178"/>
        <v>4.57499107149278</v>
      </c>
      <c r="M1323" s="92">
        <f t="shared" si="179"/>
        <v>0.0029585798816568</v>
      </c>
      <c r="N1323" s="46">
        <f t="shared" si="180"/>
        <v>6362.33333333333</v>
      </c>
      <c r="O1323" s="46">
        <f t="shared" si="181"/>
        <v>1390.67666666667</v>
      </c>
      <c r="P1323" s="93">
        <f t="shared" si="182"/>
        <v>85.1434693877551</v>
      </c>
    </row>
    <row r="1324" s="2" customFormat="1" spans="1:16">
      <c r="A1324" s="106">
        <v>45971</v>
      </c>
      <c r="B1324" s="98">
        <v>4054.81</v>
      </c>
      <c r="C1324" s="99">
        <v>13580</v>
      </c>
      <c r="D1324" s="99">
        <v>1049</v>
      </c>
      <c r="E1324" s="99">
        <v>1</v>
      </c>
      <c r="F1324" s="98">
        <v>1</v>
      </c>
      <c r="G1324" s="99">
        <v>40</v>
      </c>
      <c r="H1324" s="99">
        <v>2</v>
      </c>
      <c r="I1324" s="99">
        <v>0</v>
      </c>
      <c r="J1324" s="101">
        <f t="shared" si="176"/>
        <v>0.0772459499263623</v>
      </c>
      <c r="K1324" s="102">
        <f t="shared" si="177"/>
        <v>3.86540514775977</v>
      </c>
      <c r="L1324" s="104">
        <f t="shared" si="178"/>
        <v>0.000246620680130512</v>
      </c>
      <c r="M1324" s="92">
        <f t="shared" si="179"/>
        <v>0.000953288846520496</v>
      </c>
      <c r="N1324" s="46">
        <f t="shared" si="180"/>
        <v>1</v>
      </c>
      <c r="O1324" s="46">
        <f t="shared" si="181"/>
        <v>4054.81</v>
      </c>
      <c r="P1324" s="93">
        <f t="shared" si="182"/>
        <v>101.37025</v>
      </c>
    </row>
    <row r="1325" s="2" customFormat="1" spans="1:16">
      <c r="A1325" s="106">
        <v>45972</v>
      </c>
      <c r="B1325" s="98">
        <v>5049.42</v>
      </c>
      <c r="C1325" s="99">
        <v>12444</v>
      </c>
      <c r="D1325" s="99">
        <v>941</v>
      </c>
      <c r="E1325" s="99">
        <v>6</v>
      </c>
      <c r="F1325" s="98">
        <v>52005</v>
      </c>
      <c r="G1325" s="99">
        <v>38</v>
      </c>
      <c r="H1325" s="99">
        <v>4</v>
      </c>
      <c r="I1325" s="99">
        <v>8</v>
      </c>
      <c r="J1325" s="101">
        <f t="shared" si="176"/>
        <v>0.0756187720990035</v>
      </c>
      <c r="K1325" s="102">
        <f t="shared" si="177"/>
        <v>5.36601487778959</v>
      </c>
      <c r="L1325" s="104">
        <f t="shared" si="178"/>
        <v>10.2992026807039</v>
      </c>
      <c r="M1325" s="92">
        <f t="shared" si="179"/>
        <v>0.00637619553666312</v>
      </c>
      <c r="N1325" s="46">
        <f t="shared" si="180"/>
        <v>8667.5</v>
      </c>
      <c r="O1325" s="46">
        <f t="shared" si="181"/>
        <v>841.57</v>
      </c>
      <c r="P1325" s="93">
        <f t="shared" si="182"/>
        <v>132.879473684211</v>
      </c>
    </row>
    <row r="1326" s="2" customFormat="1" spans="1:16">
      <c r="A1326" s="106">
        <v>45973</v>
      </c>
      <c r="B1326" s="98">
        <v>4937.29</v>
      </c>
      <c r="C1326" s="99">
        <v>14860</v>
      </c>
      <c r="D1326" s="99">
        <v>1073</v>
      </c>
      <c r="E1326" s="99">
        <v>8</v>
      </c>
      <c r="F1326" s="98">
        <v>67895</v>
      </c>
      <c r="G1326" s="99">
        <v>49</v>
      </c>
      <c r="H1326" s="99">
        <v>0</v>
      </c>
      <c r="I1326" s="99">
        <v>6</v>
      </c>
      <c r="J1326" s="101">
        <f t="shared" si="176"/>
        <v>0.072207267833109</v>
      </c>
      <c r="K1326" s="102">
        <f t="shared" si="177"/>
        <v>4.60138863000932</v>
      </c>
      <c r="L1326" s="104">
        <f t="shared" si="178"/>
        <v>13.7514709486378</v>
      </c>
      <c r="M1326" s="92">
        <f t="shared" si="179"/>
        <v>0.00745573159366263</v>
      </c>
      <c r="N1326" s="46">
        <f t="shared" si="180"/>
        <v>8486.875</v>
      </c>
      <c r="O1326" s="46">
        <f t="shared" si="181"/>
        <v>617.16125</v>
      </c>
      <c r="P1326" s="93">
        <f t="shared" si="182"/>
        <v>100.761020408163</v>
      </c>
    </row>
    <row r="1327" s="2" customFormat="1" spans="1:16">
      <c r="A1327" s="106">
        <v>45974</v>
      </c>
      <c r="B1327" s="98">
        <v>4890.78</v>
      </c>
      <c r="C1327" s="99">
        <v>15074</v>
      </c>
      <c r="D1327" s="99">
        <v>1017</v>
      </c>
      <c r="E1327" s="99">
        <v>3</v>
      </c>
      <c r="F1327" s="98">
        <v>25669</v>
      </c>
      <c r="G1327" s="99">
        <v>35</v>
      </c>
      <c r="H1327" s="99">
        <v>2</v>
      </c>
      <c r="I1327" s="99">
        <v>0</v>
      </c>
      <c r="J1327" s="101">
        <f t="shared" si="176"/>
        <v>0.0674671620007961</v>
      </c>
      <c r="K1327" s="102">
        <f t="shared" si="177"/>
        <v>4.80902654867257</v>
      </c>
      <c r="L1327" s="104">
        <f t="shared" si="178"/>
        <v>5.2484470779712</v>
      </c>
      <c r="M1327" s="92">
        <f t="shared" si="179"/>
        <v>0.00294985250737463</v>
      </c>
      <c r="N1327" s="46">
        <f t="shared" si="180"/>
        <v>8556.33333333333</v>
      </c>
      <c r="O1327" s="46">
        <f t="shared" si="181"/>
        <v>1630.26</v>
      </c>
      <c r="P1327" s="93">
        <f t="shared" si="182"/>
        <v>139.736571428571</v>
      </c>
    </row>
    <row r="1328" s="2" customFormat="1" spans="1:16">
      <c r="A1328" s="106">
        <v>45975</v>
      </c>
      <c r="B1328" s="98">
        <v>4590.82</v>
      </c>
      <c r="C1328" s="99">
        <v>13745</v>
      </c>
      <c r="D1328" s="99">
        <v>958</v>
      </c>
      <c r="E1328" s="99">
        <v>3</v>
      </c>
      <c r="F1328" s="98">
        <v>25293</v>
      </c>
      <c r="G1328" s="99">
        <v>34</v>
      </c>
      <c r="H1328" s="99">
        <v>3</v>
      </c>
      <c r="I1328" s="99">
        <v>0</v>
      </c>
      <c r="J1328" s="101">
        <f t="shared" si="176"/>
        <v>0.0696980720261913</v>
      </c>
      <c r="K1328" s="102">
        <f t="shared" si="177"/>
        <v>4.79208768267223</v>
      </c>
      <c r="L1328" s="104">
        <f t="shared" si="178"/>
        <v>5.50947325314432</v>
      </c>
      <c r="M1328" s="92">
        <f t="shared" si="179"/>
        <v>0.00313152400835073</v>
      </c>
      <c r="N1328" s="46">
        <f t="shared" si="180"/>
        <v>8431</v>
      </c>
      <c r="O1328" s="46">
        <f t="shared" si="181"/>
        <v>1530.27333333333</v>
      </c>
      <c r="P1328" s="93">
        <f t="shared" si="182"/>
        <v>135.024117647059</v>
      </c>
    </row>
    <row r="1329" s="2" customFormat="1" spans="1:16">
      <c r="A1329" s="106">
        <v>45976</v>
      </c>
      <c r="B1329" s="98">
        <v>1182.4</v>
      </c>
      <c r="C1329" s="99">
        <v>6361</v>
      </c>
      <c r="D1329" s="99">
        <v>496</v>
      </c>
      <c r="E1329" s="99">
        <v>0</v>
      </c>
      <c r="F1329" s="98">
        <v>0</v>
      </c>
      <c r="G1329" s="99">
        <v>30</v>
      </c>
      <c r="H1329" s="99">
        <v>1</v>
      </c>
      <c r="I1329" s="99">
        <v>4</v>
      </c>
      <c r="J1329" s="101">
        <f t="shared" si="176"/>
        <v>0.0779751611381858</v>
      </c>
      <c r="K1329" s="102">
        <f t="shared" si="177"/>
        <v>2.38387096774194</v>
      </c>
      <c r="L1329" s="104">
        <f t="shared" si="178"/>
        <v>0</v>
      </c>
      <c r="M1329" s="92">
        <f t="shared" si="179"/>
        <v>0</v>
      </c>
      <c r="N1329" s="46">
        <f t="shared" si="180"/>
        <v>0</v>
      </c>
      <c r="O1329" s="46">
        <f t="shared" si="181"/>
        <v>0</v>
      </c>
      <c r="P1329" s="93">
        <f t="shared" si="182"/>
        <v>39.4133333333333</v>
      </c>
    </row>
    <row r="1330" s="2" customFormat="1" spans="1:16">
      <c r="A1330" s="106">
        <v>45977</v>
      </c>
      <c r="B1330" s="98">
        <v>1208.7</v>
      </c>
      <c r="C1330" s="99">
        <v>7019</v>
      </c>
      <c r="D1330" s="99">
        <v>551</v>
      </c>
      <c r="E1330" s="99">
        <v>0</v>
      </c>
      <c r="F1330" s="98">
        <v>0</v>
      </c>
      <c r="G1330" s="99">
        <v>17</v>
      </c>
      <c r="H1330" s="99">
        <v>0</v>
      </c>
      <c r="I1330" s="99">
        <v>2</v>
      </c>
      <c r="J1330" s="101">
        <f t="shared" si="176"/>
        <v>0.0785012109987178</v>
      </c>
      <c r="K1330" s="102">
        <f t="shared" si="177"/>
        <v>2.19364791288566</v>
      </c>
      <c r="L1330" s="104">
        <f t="shared" si="178"/>
        <v>0</v>
      </c>
      <c r="M1330" s="92">
        <f t="shared" si="179"/>
        <v>0</v>
      </c>
      <c r="N1330" s="46">
        <f t="shared" si="180"/>
        <v>0</v>
      </c>
      <c r="O1330" s="46">
        <f t="shared" si="181"/>
        <v>0</v>
      </c>
      <c r="P1330" s="93">
        <f t="shared" si="182"/>
        <v>71.1</v>
      </c>
    </row>
    <row r="1331" s="2" customFormat="1" spans="1:16">
      <c r="A1331" s="106">
        <v>45978</v>
      </c>
      <c r="B1331" s="98">
        <v>1103.41</v>
      </c>
      <c r="C1331" s="99">
        <v>5255</v>
      </c>
      <c r="D1331" s="99">
        <v>478</v>
      </c>
      <c r="E1331" s="99">
        <v>0</v>
      </c>
      <c r="F1331" s="98">
        <v>0</v>
      </c>
      <c r="G1331" s="99">
        <v>13</v>
      </c>
      <c r="H1331" s="99">
        <v>4</v>
      </c>
      <c r="I1331" s="99">
        <v>0</v>
      </c>
      <c r="J1331" s="101">
        <f t="shared" si="176"/>
        <v>0.0909609895337774</v>
      </c>
      <c r="K1331" s="102">
        <f t="shared" si="177"/>
        <v>2.30838912133891</v>
      </c>
      <c r="L1331" s="104">
        <f t="shared" si="178"/>
        <v>0</v>
      </c>
      <c r="M1331" s="92">
        <f t="shared" si="179"/>
        <v>0</v>
      </c>
      <c r="N1331" s="46">
        <f t="shared" si="180"/>
        <v>0</v>
      </c>
      <c r="O1331" s="46">
        <f t="shared" si="181"/>
        <v>0</v>
      </c>
      <c r="P1331" s="93">
        <f t="shared" si="182"/>
        <v>84.8776923076923</v>
      </c>
    </row>
    <row r="1332" s="2" customFormat="1" spans="1:16">
      <c r="A1332" s="106">
        <v>45979</v>
      </c>
      <c r="B1332" s="98">
        <v>1177.55</v>
      </c>
      <c r="C1332" s="99">
        <v>5660</v>
      </c>
      <c r="D1332" s="99">
        <v>515</v>
      </c>
      <c r="E1332" s="99">
        <v>0</v>
      </c>
      <c r="F1332" s="98">
        <v>0</v>
      </c>
      <c r="G1332" s="99">
        <v>30</v>
      </c>
      <c r="H1332" s="99">
        <v>4</v>
      </c>
      <c r="I1332" s="99">
        <v>1</v>
      </c>
      <c r="J1332" s="101">
        <f t="shared" si="176"/>
        <v>0.0909893992932862</v>
      </c>
      <c r="K1332" s="102">
        <f t="shared" si="177"/>
        <v>2.28650485436893</v>
      </c>
      <c r="L1332" s="104">
        <f t="shared" si="178"/>
        <v>0</v>
      </c>
      <c r="M1332" s="92">
        <f t="shared" si="179"/>
        <v>0</v>
      </c>
      <c r="N1332" s="46">
        <f t="shared" si="180"/>
        <v>0</v>
      </c>
      <c r="O1332" s="46">
        <f t="shared" si="181"/>
        <v>0</v>
      </c>
      <c r="P1332" s="93">
        <f t="shared" si="182"/>
        <v>39.2516666666667</v>
      </c>
    </row>
    <row r="1333" s="2" customFormat="1" spans="1:16">
      <c r="A1333" s="106">
        <v>45980</v>
      </c>
      <c r="B1333" s="98">
        <v>1132.69</v>
      </c>
      <c r="C1333" s="99">
        <v>4984</v>
      </c>
      <c r="D1333" s="99">
        <v>480</v>
      </c>
      <c r="E1333" s="99">
        <v>0</v>
      </c>
      <c r="F1333" s="98">
        <v>0</v>
      </c>
      <c r="G1333" s="99">
        <v>9</v>
      </c>
      <c r="H1333" s="99">
        <v>2</v>
      </c>
      <c r="I1333" s="99">
        <v>0</v>
      </c>
      <c r="J1333" s="101">
        <f t="shared" si="176"/>
        <v>0.0963081861958267</v>
      </c>
      <c r="K1333" s="102">
        <f t="shared" si="177"/>
        <v>2.35977083333333</v>
      </c>
      <c r="L1333" s="104">
        <f t="shared" si="178"/>
        <v>0</v>
      </c>
      <c r="M1333" s="92">
        <f t="shared" si="179"/>
        <v>0</v>
      </c>
      <c r="N1333" s="46">
        <f t="shared" si="180"/>
        <v>0</v>
      </c>
      <c r="O1333" s="46">
        <f t="shared" si="181"/>
        <v>0</v>
      </c>
      <c r="P1333" s="93">
        <f t="shared" si="182"/>
        <v>125.854444444444</v>
      </c>
    </row>
    <row r="1334" s="2" customFormat="1" spans="1:16">
      <c r="A1334" s="106">
        <v>45981</v>
      </c>
      <c r="B1334" s="98">
        <v>999.4</v>
      </c>
      <c r="C1334" s="99">
        <v>4921</v>
      </c>
      <c r="D1334" s="99">
        <v>483</v>
      </c>
      <c r="E1334" s="99">
        <v>0</v>
      </c>
      <c r="F1334" s="98">
        <v>0</v>
      </c>
      <c r="G1334" s="99">
        <v>18</v>
      </c>
      <c r="H1334" s="99">
        <v>0</v>
      </c>
      <c r="I1334" s="99">
        <v>3</v>
      </c>
      <c r="J1334" s="101">
        <f t="shared" si="176"/>
        <v>0.0981507823613087</v>
      </c>
      <c r="K1334" s="102">
        <f t="shared" si="177"/>
        <v>2.06915113871636</v>
      </c>
      <c r="L1334" s="104">
        <f t="shared" si="178"/>
        <v>0</v>
      </c>
      <c r="M1334" s="92">
        <f t="shared" si="179"/>
        <v>0</v>
      </c>
      <c r="N1334" s="46">
        <f t="shared" si="180"/>
        <v>0</v>
      </c>
      <c r="O1334" s="46">
        <f t="shared" si="181"/>
        <v>0</v>
      </c>
      <c r="P1334" s="93">
        <f t="shared" si="182"/>
        <v>55.5222222222222</v>
      </c>
    </row>
    <row r="1335" s="2" customFormat="1" spans="1:16">
      <c r="A1335" s="106">
        <v>45982</v>
      </c>
      <c r="B1335" s="98">
        <v>867.41</v>
      </c>
      <c r="C1335" s="99">
        <v>4454</v>
      </c>
      <c r="D1335" s="99">
        <v>460</v>
      </c>
      <c r="E1335" s="99">
        <v>0</v>
      </c>
      <c r="F1335" s="98">
        <v>0</v>
      </c>
      <c r="G1335" s="99">
        <v>20</v>
      </c>
      <c r="H1335" s="99">
        <v>2</v>
      </c>
      <c r="I1335" s="99">
        <v>6</v>
      </c>
      <c r="J1335" s="101">
        <f t="shared" si="176"/>
        <v>0.103277952402335</v>
      </c>
      <c r="K1335" s="102">
        <f t="shared" si="177"/>
        <v>1.88567391304348</v>
      </c>
      <c r="L1335" s="104">
        <f t="shared" si="178"/>
        <v>0</v>
      </c>
      <c r="M1335" s="92">
        <f t="shared" si="179"/>
        <v>0</v>
      </c>
      <c r="N1335" s="46">
        <f t="shared" si="180"/>
        <v>0</v>
      </c>
      <c r="O1335" s="46">
        <f t="shared" si="181"/>
        <v>0</v>
      </c>
      <c r="P1335" s="93">
        <f t="shared" si="182"/>
        <v>43.3705</v>
      </c>
    </row>
    <row r="1336" s="2" customFormat="1" spans="1:16">
      <c r="A1336" s="106">
        <v>45983</v>
      </c>
      <c r="B1336" s="98">
        <v>937.4</v>
      </c>
      <c r="C1336" s="99">
        <v>4576</v>
      </c>
      <c r="D1336" s="99">
        <v>409</v>
      </c>
      <c r="E1336" s="99">
        <v>1</v>
      </c>
      <c r="F1336" s="98">
        <v>12912</v>
      </c>
      <c r="G1336" s="99">
        <v>17</v>
      </c>
      <c r="H1336" s="99">
        <v>0</v>
      </c>
      <c r="I1336" s="99">
        <v>1</v>
      </c>
      <c r="J1336" s="101">
        <f t="shared" si="176"/>
        <v>0.0893793706293706</v>
      </c>
      <c r="K1336" s="102">
        <f t="shared" si="177"/>
        <v>2.2919315403423</v>
      </c>
      <c r="L1336" s="104">
        <f t="shared" si="178"/>
        <v>13.7742692553872</v>
      </c>
      <c r="M1336" s="92">
        <f t="shared" si="179"/>
        <v>0.00244498777506112</v>
      </c>
      <c r="N1336" s="46">
        <f t="shared" si="180"/>
        <v>12912</v>
      </c>
      <c r="O1336" s="46">
        <f t="shared" si="181"/>
        <v>937.4</v>
      </c>
      <c r="P1336" s="93">
        <f t="shared" si="182"/>
        <v>55.1411764705882</v>
      </c>
    </row>
    <row r="1337" s="2" customFormat="1" spans="1:16">
      <c r="A1337" s="106">
        <v>45984</v>
      </c>
      <c r="B1337" s="98">
        <v>961.87</v>
      </c>
      <c r="C1337" s="99">
        <v>4017</v>
      </c>
      <c r="D1337" s="99">
        <v>418</v>
      </c>
      <c r="E1337" s="99">
        <v>0</v>
      </c>
      <c r="F1337" s="98">
        <v>0</v>
      </c>
      <c r="G1337" s="99">
        <v>27</v>
      </c>
      <c r="H1337" s="99">
        <v>4</v>
      </c>
      <c r="I1337" s="99">
        <v>3</v>
      </c>
      <c r="J1337" s="101">
        <f t="shared" si="176"/>
        <v>0.104057754543191</v>
      </c>
      <c r="K1337" s="102">
        <f t="shared" si="177"/>
        <v>2.30112440191388</v>
      </c>
      <c r="L1337" s="104">
        <f t="shared" si="178"/>
        <v>0</v>
      </c>
      <c r="M1337" s="92">
        <f t="shared" si="179"/>
        <v>0</v>
      </c>
      <c r="N1337" s="46">
        <f t="shared" si="180"/>
        <v>0</v>
      </c>
      <c r="O1337" s="46">
        <f t="shared" si="181"/>
        <v>0</v>
      </c>
      <c r="P1337" s="93">
        <f t="shared" si="182"/>
        <v>35.6248148148148</v>
      </c>
    </row>
    <row r="1338" s="2" customFormat="1" spans="1:16">
      <c r="A1338" s="106">
        <v>45985</v>
      </c>
      <c r="B1338" s="98">
        <v>951.07</v>
      </c>
      <c r="C1338" s="99">
        <v>4643</v>
      </c>
      <c r="D1338" s="99">
        <v>476</v>
      </c>
      <c r="E1338" s="99">
        <v>0</v>
      </c>
      <c r="F1338" s="98">
        <v>0</v>
      </c>
      <c r="G1338" s="99">
        <v>17</v>
      </c>
      <c r="H1338" s="99">
        <v>1</v>
      </c>
      <c r="I1338" s="99">
        <v>0</v>
      </c>
      <c r="J1338" s="101">
        <f t="shared" si="176"/>
        <v>0.102519922463924</v>
      </c>
      <c r="K1338" s="102">
        <f t="shared" si="177"/>
        <v>1.9980462184874</v>
      </c>
      <c r="L1338" s="104">
        <f t="shared" si="178"/>
        <v>0</v>
      </c>
      <c r="M1338" s="92">
        <f t="shared" si="179"/>
        <v>0</v>
      </c>
      <c r="N1338" s="46">
        <f t="shared" si="180"/>
        <v>0</v>
      </c>
      <c r="O1338" s="46">
        <f t="shared" si="181"/>
        <v>0</v>
      </c>
      <c r="P1338" s="93">
        <f t="shared" si="182"/>
        <v>55.9452941176471</v>
      </c>
    </row>
    <row r="1339" s="2" customFormat="1" spans="1:16">
      <c r="A1339" s="106">
        <v>45986</v>
      </c>
      <c r="B1339" s="98">
        <v>986.19</v>
      </c>
      <c r="C1339" s="99">
        <v>4281</v>
      </c>
      <c r="D1339" s="99">
        <v>392</v>
      </c>
      <c r="E1339" s="99">
        <v>0</v>
      </c>
      <c r="F1339" s="98">
        <v>0</v>
      </c>
      <c r="G1339" s="99">
        <v>17</v>
      </c>
      <c r="H1339" s="99">
        <v>0</v>
      </c>
      <c r="I1339" s="99">
        <v>1</v>
      </c>
      <c r="J1339" s="101">
        <f t="shared" si="176"/>
        <v>0.0915673907965429</v>
      </c>
      <c r="K1339" s="102">
        <f t="shared" si="177"/>
        <v>2.51579081632653</v>
      </c>
      <c r="L1339" s="104">
        <f t="shared" si="178"/>
        <v>0</v>
      </c>
      <c r="M1339" s="92">
        <f t="shared" si="179"/>
        <v>0</v>
      </c>
      <c r="N1339" s="46">
        <f t="shared" si="180"/>
        <v>0</v>
      </c>
      <c r="O1339" s="46">
        <f t="shared" si="181"/>
        <v>0</v>
      </c>
      <c r="P1339" s="93">
        <f t="shared" si="182"/>
        <v>58.0111764705882</v>
      </c>
    </row>
    <row r="1340" s="2" customFormat="1" spans="1:16">
      <c r="A1340" s="106">
        <v>45987</v>
      </c>
      <c r="B1340" s="98">
        <v>975.71</v>
      </c>
      <c r="C1340" s="99">
        <v>4144</v>
      </c>
      <c r="D1340" s="99">
        <v>429</v>
      </c>
      <c r="E1340" s="99">
        <v>2</v>
      </c>
      <c r="F1340" s="98">
        <v>14786</v>
      </c>
      <c r="G1340" s="99">
        <v>24</v>
      </c>
      <c r="H1340" s="107">
        <v>1</v>
      </c>
      <c r="I1340" s="99">
        <v>1</v>
      </c>
      <c r="J1340" s="101">
        <f t="shared" si="176"/>
        <v>0.103523166023166</v>
      </c>
      <c r="K1340" s="102">
        <f t="shared" si="177"/>
        <v>2.27438228438228</v>
      </c>
      <c r="L1340" s="104">
        <f t="shared" si="178"/>
        <v>15.1540929169528</v>
      </c>
      <c r="M1340" s="92">
        <f t="shared" si="179"/>
        <v>0.00466200466200466</v>
      </c>
      <c r="N1340" s="46">
        <f t="shared" si="180"/>
        <v>7393</v>
      </c>
      <c r="O1340" s="46">
        <f t="shared" si="181"/>
        <v>487.855</v>
      </c>
      <c r="P1340" s="93">
        <f t="shared" si="182"/>
        <v>40.6545833333333</v>
      </c>
    </row>
    <row r="1341" s="2" customFormat="1" spans="1:16">
      <c r="A1341" s="106">
        <v>45988</v>
      </c>
      <c r="B1341" s="98">
        <v>972.43</v>
      </c>
      <c r="C1341" s="99">
        <v>4422</v>
      </c>
      <c r="D1341" s="99">
        <v>391</v>
      </c>
      <c r="E1341" s="99">
        <v>0</v>
      </c>
      <c r="F1341" s="98">
        <v>0</v>
      </c>
      <c r="G1341" s="99">
        <v>17</v>
      </c>
      <c r="H1341" s="99">
        <v>1</v>
      </c>
      <c r="I1341" s="99">
        <v>1</v>
      </c>
      <c r="J1341" s="101">
        <f t="shared" si="176"/>
        <v>0.0884215287200362</v>
      </c>
      <c r="K1341" s="102">
        <f t="shared" si="177"/>
        <v>2.48703324808184</v>
      </c>
      <c r="L1341" s="104">
        <f t="shared" si="178"/>
        <v>0</v>
      </c>
      <c r="M1341" s="92">
        <f t="shared" si="179"/>
        <v>0</v>
      </c>
      <c r="N1341" s="46">
        <f t="shared" si="180"/>
        <v>0</v>
      </c>
      <c r="O1341" s="46">
        <f t="shared" si="181"/>
        <v>0</v>
      </c>
      <c r="P1341" s="93">
        <f t="shared" si="182"/>
        <v>57.2017647058823</v>
      </c>
    </row>
    <row r="1342" s="2" customFormat="1" spans="1:16">
      <c r="A1342" s="106">
        <v>45989</v>
      </c>
      <c r="B1342" s="98">
        <v>967.37</v>
      </c>
      <c r="C1342" s="99">
        <v>4482</v>
      </c>
      <c r="D1342" s="99">
        <v>387</v>
      </c>
      <c r="E1342" s="99">
        <v>0</v>
      </c>
      <c r="F1342" s="98">
        <v>0</v>
      </c>
      <c r="G1342" s="99">
        <v>5</v>
      </c>
      <c r="H1342" s="99">
        <v>2</v>
      </c>
      <c r="I1342" s="99">
        <v>1</v>
      </c>
      <c r="J1342" s="101">
        <f t="shared" si="176"/>
        <v>0.0863453815261044</v>
      </c>
      <c r="K1342" s="102">
        <f t="shared" si="177"/>
        <v>2.49966408268734</v>
      </c>
      <c r="L1342" s="104">
        <f t="shared" si="178"/>
        <v>0</v>
      </c>
      <c r="M1342" s="92">
        <f t="shared" si="179"/>
        <v>0</v>
      </c>
      <c r="N1342" s="46">
        <f t="shared" si="180"/>
        <v>0</v>
      </c>
      <c r="O1342" s="46">
        <f t="shared" si="181"/>
        <v>0</v>
      </c>
      <c r="P1342" s="93">
        <f t="shared" si="182"/>
        <v>193.474</v>
      </c>
    </row>
    <row r="1343" s="2" customFormat="1" spans="1:16">
      <c r="A1343" s="106">
        <v>45990</v>
      </c>
      <c r="B1343" s="98">
        <v>966.45</v>
      </c>
      <c r="C1343" s="99">
        <v>5323</v>
      </c>
      <c r="D1343" s="99">
        <v>370</v>
      </c>
      <c r="E1343" s="99">
        <v>1</v>
      </c>
      <c r="F1343" s="98">
        <v>28761</v>
      </c>
      <c r="G1343" s="99">
        <v>12</v>
      </c>
      <c r="H1343" s="99">
        <v>1</v>
      </c>
      <c r="I1343" s="99">
        <v>1</v>
      </c>
      <c r="J1343" s="101">
        <f t="shared" si="176"/>
        <v>0.0695096749953034</v>
      </c>
      <c r="K1343" s="102">
        <f t="shared" si="177"/>
        <v>2.61202702702703</v>
      </c>
      <c r="L1343" s="104">
        <f t="shared" si="178"/>
        <v>29.7594288374981</v>
      </c>
      <c r="M1343" s="92">
        <f t="shared" si="179"/>
        <v>0.0027027027027027</v>
      </c>
      <c r="N1343" s="46">
        <f t="shared" si="180"/>
        <v>28761</v>
      </c>
      <c r="O1343" s="46">
        <f t="shared" si="181"/>
        <v>966.45</v>
      </c>
      <c r="P1343" s="93">
        <f t="shared" si="182"/>
        <v>80.5375</v>
      </c>
    </row>
    <row r="1344" s="2" customFormat="1" spans="1:16">
      <c r="A1344" s="106">
        <v>45991</v>
      </c>
      <c r="B1344" s="98">
        <v>550</v>
      </c>
      <c r="C1344" s="99">
        <v>2412</v>
      </c>
      <c r="D1344" s="99">
        <v>201</v>
      </c>
      <c r="E1344" s="99">
        <v>3</v>
      </c>
      <c r="F1344" s="98">
        <v>16760</v>
      </c>
      <c r="G1344" s="99">
        <v>7</v>
      </c>
      <c r="H1344" s="99">
        <v>1</v>
      </c>
      <c r="I1344" s="99">
        <v>0</v>
      </c>
      <c r="J1344" s="101">
        <f t="shared" si="176"/>
        <v>0.0833333333333333</v>
      </c>
      <c r="K1344" s="102">
        <f t="shared" si="177"/>
        <v>2.7363184079602</v>
      </c>
      <c r="L1344" s="104">
        <f t="shared" si="178"/>
        <v>30.4727272727273</v>
      </c>
      <c r="M1344" s="92">
        <f t="shared" si="179"/>
        <v>0.0149253731343284</v>
      </c>
      <c r="N1344" s="46">
        <f t="shared" si="180"/>
        <v>5586.66666666667</v>
      </c>
      <c r="O1344" s="46">
        <f t="shared" si="181"/>
        <v>183.333333333333</v>
      </c>
      <c r="P1344" s="93">
        <f t="shared" si="182"/>
        <v>78.5714285714286</v>
      </c>
    </row>
    <row r="1345" s="2" customFormat="1" spans="1:16">
      <c r="A1345" s="106">
        <v>45992</v>
      </c>
      <c r="B1345" s="98">
        <v>550</v>
      </c>
      <c r="C1345" s="99">
        <v>2297</v>
      </c>
      <c r="D1345" s="99">
        <v>240</v>
      </c>
      <c r="E1345" s="99">
        <v>0</v>
      </c>
      <c r="F1345" s="98">
        <v>0</v>
      </c>
      <c r="G1345" s="99">
        <v>9</v>
      </c>
      <c r="H1345" s="99">
        <v>0</v>
      </c>
      <c r="I1345" s="99">
        <v>0</v>
      </c>
      <c r="J1345" s="101">
        <f t="shared" si="176"/>
        <v>0.104484109708315</v>
      </c>
      <c r="K1345" s="102">
        <f t="shared" si="177"/>
        <v>2.29166666666667</v>
      </c>
      <c r="L1345" s="104">
        <f t="shared" si="178"/>
        <v>0</v>
      </c>
      <c r="M1345" s="92">
        <f t="shared" si="179"/>
        <v>0</v>
      </c>
      <c r="N1345" s="46">
        <f t="shared" si="180"/>
        <v>0</v>
      </c>
      <c r="O1345" s="46">
        <f t="shared" si="181"/>
        <v>0</v>
      </c>
      <c r="P1345" s="93">
        <f t="shared" si="182"/>
        <v>61.1111111111111</v>
      </c>
    </row>
    <row r="1346" s="2" customFormat="1" spans="1:16">
      <c r="A1346" s="106">
        <v>45993</v>
      </c>
      <c r="B1346" s="98">
        <v>780.81</v>
      </c>
      <c r="C1346" s="99">
        <v>3252</v>
      </c>
      <c r="D1346" s="99">
        <v>361</v>
      </c>
      <c r="E1346" s="99">
        <v>0</v>
      </c>
      <c r="F1346" s="98">
        <v>0</v>
      </c>
      <c r="G1346" s="99">
        <v>14</v>
      </c>
      <c r="H1346" s="99">
        <v>3</v>
      </c>
      <c r="I1346" s="99">
        <v>1</v>
      </c>
      <c r="J1346" s="101">
        <f t="shared" si="176"/>
        <v>0.111008610086101</v>
      </c>
      <c r="K1346" s="102">
        <f t="shared" si="177"/>
        <v>2.16290858725762</v>
      </c>
      <c r="L1346" s="104">
        <f t="shared" si="178"/>
        <v>0</v>
      </c>
      <c r="M1346" s="92">
        <f t="shared" si="179"/>
        <v>0</v>
      </c>
      <c r="N1346" s="46">
        <f t="shared" si="180"/>
        <v>0</v>
      </c>
      <c r="O1346" s="46">
        <f t="shared" si="181"/>
        <v>0</v>
      </c>
      <c r="P1346" s="93">
        <f t="shared" si="182"/>
        <v>55.7721428571429</v>
      </c>
    </row>
    <row r="1347" s="2" customFormat="1" spans="1:16">
      <c r="A1347" s="106">
        <v>45994</v>
      </c>
      <c r="B1347" s="98">
        <v>1299.94</v>
      </c>
      <c r="C1347" s="99">
        <v>5178</v>
      </c>
      <c r="D1347" s="99">
        <v>460</v>
      </c>
      <c r="E1347" s="99">
        <v>0</v>
      </c>
      <c r="F1347" s="98">
        <v>0</v>
      </c>
      <c r="G1347" s="99">
        <v>6</v>
      </c>
      <c r="H1347" s="99">
        <v>1</v>
      </c>
      <c r="I1347" s="99">
        <v>1</v>
      </c>
      <c r="J1347" s="101">
        <f t="shared" si="176"/>
        <v>0.0888373889532638</v>
      </c>
      <c r="K1347" s="102">
        <f t="shared" si="177"/>
        <v>2.82595652173913</v>
      </c>
      <c r="L1347" s="104">
        <f t="shared" si="178"/>
        <v>0</v>
      </c>
      <c r="M1347" s="92">
        <f t="shared" si="179"/>
        <v>0</v>
      </c>
      <c r="N1347" s="46">
        <f t="shared" si="180"/>
        <v>0</v>
      </c>
      <c r="O1347" s="46">
        <f t="shared" si="181"/>
        <v>0</v>
      </c>
      <c r="P1347" s="93">
        <f t="shared" si="182"/>
        <v>216.656666666667</v>
      </c>
    </row>
    <row r="1348" s="2" customFormat="1" spans="1:16">
      <c r="A1348" s="106">
        <v>45995</v>
      </c>
      <c r="B1348" s="98">
        <v>1367.88</v>
      </c>
      <c r="C1348" s="99">
        <v>5701</v>
      </c>
      <c r="D1348" s="99">
        <v>551</v>
      </c>
      <c r="E1348" s="99">
        <v>0</v>
      </c>
      <c r="F1348" s="98">
        <v>0</v>
      </c>
      <c r="G1348" s="99">
        <v>7</v>
      </c>
      <c r="H1348" s="99">
        <v>6</v>
      </c>
      <c r="I1348" s="99">
        <v>3</v>
      </c>
      <c r="J1348" s="101">
        <f t="shared" si="176"/>
        <v>0.0966497105770917</v>
      </c>
      <c r="K1348" s="102">
        <f t="shared" si="177"/>
        <v>2.48254083484574</v>
      </c>
      <c r="L1348" s="104">
        <f t="shared" si="178"/>
        <v>0</v>
      </c>
      <c r="M1348" s="92">
        <f t="shared" si="179"/>
        <v>0</v>
      </c>
      <c r="N1348" s="46">
        <f t="shared" si="180"/>
        <v>0</v>
      </c>
      <c r="O1348" s="46">
        <f t="shared" si="181"/>
        <v>0</v>
      </c>
      <c r="P1348" s="93">
        <f t="shared" si="182"/>
        <v>195.411428571429</v>
      </c>
    </row>
    <row r="1349" s="2" customFormat="1" spans="1:16">
      <c r="A1349" s="106">
        <v>45996</v>
      </c>
      <c r="B1349" s="98">
        <v>1618.35</v>
      </c>
      <c r="C1349" s="99">
        <v>5202</v>
      </c>
      <c r="D1349" s="99">
        <v>527</v>
      </c>
      <c r="E1349" s="99">
        <v>0</v>
      </c>
      <c r="F1349" s="98">
        <v>0</v>
      </c>
      <c r="G1349" s="99">
        <v>13</v>
      </c>
      <c r="H1349" s="99">
        <v>1</v>
      </c>
      <c r="I1349" s="99">
        <v>1</v>
      </c>
      <c r="J1349" s="101">
        <f t="shared" si="176"/>
        <v>0.101307189542484</v>
      </c>
      <c r="K1349" s="102">
        <f t="shared" si="177"/>
        <v>3.07087286527514</v>
      </c>
      <c r="L1349" s="104">
        <f t="shared" si="178"/>
        <v>0</v>
      </c>
      <c r="M1349" s="92">
        <f t="shared" si="179"/>
        <v>0</v>
      </c>
      <c r="N1349" s="46">
        <f t="shared" si="180"/>
        <v>0</v>
      </c>
      <c r="O1349" s="46">
        <f t="shared" si="181"/>
        <v>0</v>
      </c>
      <c r="P1349" s="93">
        <f t="shared" si="182"/>
        <v>124.488461538462</v>
      </c>
    </row>
    <row r="1350" s="2" customFormat="1" spans="1:16">
      <c r="A1350" s="106">
        <v>45997</v>
      </c>
      <c r="B1350" s="98">
        <v>1626.7</v>
      </c>
      <c r="C1350" s="99">
        <v>4223</v>
      </c>
      <c r="D1350" s="99">
        <v>538</v>
      </c>
      <c r="E1350" s="99">
        <v>0</v>
      </c>
      <c r="F1350" s="98">
        <v>0</v>
      </c>
      <c r="G1350" s="99">
        <v>12</v>
      </c>
      <c r="H1350" s="99">
        <v>4</v>
      </c>
      <c r="I1350" s="99">
        <v>2</v>
      </c>
      <c r="J1350" s="101">
        <f t="shared" si="176"/>
        <v>0.127397584655458</v>
      </c>
      <c r="K1350" s="102">
        <f t="shared" si="177"/>
        <v>3.02360594795539</v>
      </c>
      <c r="L1350" s="104">
        <f t="shared" si="178"/>
        <v>0</v>
      </c>
      <c r="M1350" s="92">
        <f t="shared" si="179"/>
        <v>0</v>
      </c>
      <c r="N1350" s="46">
        <f t="shared" si="180"/>
        <v>0</v>
      </c>
      <c r="O1350" s="46">
        <f t="shared" si="181"/>
        <v>0</v>
      </c>
      <c r="P1350" s="93">
        <f t="shared" si="182"/>
        <v>135.558333333333</v>
      </c>
    </row>
    <row r="1351" s="2" customFormat="1" spans="1:16">
      <c r="A1351" s="106">
        <v>45998</v>
      </c>
      <c r="B1351" s="98">
        <v>1734.36</v>
      </c>
      <c r="C1351" s="99">
        <v>6278</v>
      </c>
      <c r="D1351" s="99">
        <v>585</v>
      </c>
      <c r="E1351" s="99">
        <v>1</v>
      </c>
      <c r="F1351" s="98">
        <v>22948</v>
      </c>
      <c r="G1351" s="99">
        <v>20</v>
      </c>
      <c r="H1351" s="99">
        <v>3</v>
      </c>
      <c r="I1351" s="99">
        <v>2</v>
      </c>
      <c r="J1351" s="101">
        <f t="shared" si="176"/>
        <v>0.0931825422108952</v>
      </c>
      <c r="K1351" s="102">
        <f t="shared" si="177"/>
        <v>2.96471794871795</v>
      </c>
      <c r="L1351" s="104">
        <f t="shared" si="178"/>
        <v>13.2313937129546</v>
      </c>
      <c r="M1351" s="92">
        <f t="shared" si="179"/>
        <v>0.00170940170940171</v>
      </c>
      <c r="N1351" s="46">
        <f t="shared" si="180"/>
        <v>22948</v>
      </c>
      <c r="O1351" s="46">
        <f t="shared" si="181"/>
        <v>1734.36</v>
      </c>
      <c r="P1351" s="93">
        <f t="shared" si="182"/>
        <v>86.718</v>
      </c>
    </row>
    <row r="1352" s="2" customFormat="1" spans="1:16">
      <c r="A1352" s="106">
        <v>45999</v>
      </c>
      <c r="B1352" s="98">
        <v>1730.83</v>
      </c>
      <c r="C1352" s="99">
        <v>6178</v>
      </c>
      <c r="D1352" s="99">
        <v>618</v>
      </c>
      <c r="E1352" s="99">
        <v>0</v>
      </c>
      <c r="F1352" s="98">
        <v>0</v>
      </c>
      <c r="G1352" s="99">
        <v>7</v>
      </c>
      <c r="H1352" s="99">
        <v>0</v>
      </c>
      <c r="I1352" s="99">
        <v>0</v>
      </c>
      <c r="J1352" s="101">
        <f t="shared" si="176"/>
        <v>0.100032372936225</v>
      </c>
      <c r="K1352" s="102">
        <f t="shared" si="177"/>
        <v>2.80069579288026</v>
      </c>
      <c r="L1352" s="104">
        <f t="shared" si="178"/>
        <v>0</v>
      </c>
      <c r="M1352" s="92">
        <f t="shared" si="179"/>
        <v>0</v>
      </c>
      <c r="N1352" s="46">
        <f t="shared" si="180"/>
        <v>0</v>
      </c>
      <c r="O1352" s="46">
        <f t="shared" si="181"/>
        <v>0</v>
      </c>
      <c r="P1352" s="93">
        <f t="shared" si="182"/>
        <v>247.261428571429</v>
      </c>
    </row>
    <row r="1353" s="2" customFormat="1" spans="1:16">
      <c r="A1353" s="106">
        <v>46000</v>
      </c>
      <c r="B1353" s="98">
        <v>2394.15</v>
      </c>
      <c r="C1353" s="99">
        <v>8605</v>
      </c>
      <c r="D1353" s="99">
        <v>689</v>
      </c>
      <c r="E1353" s="99">
        <v>0</v>
      </c>
      <c r="F1353" s="98">
        <v>0</v>
      </c>
      <c r="G1353" s="99">
        <v>16</v>
      </c>
      <c r="H1353" s="99">
        <v>2</v>
      </c>
      <c r="I1353" s="99">
        <v>1</v>
      </c>
      <c r="J1353" s="101">
        <f t="shared" si="176"/>
        <v>0.0800697269029634</v>
      </c>
      <c r="K1353" s="102">
        <f t="shared" si="177"/>
        <v>3.47481857764877</v>
      </c>
      <c r="L1353" s="104">
        <f t="shared" si="178"/>
        <v>0</v>
      </c>
      <c r="M1353" s="92">
        <f t="shared" si="179"/>
        <v>0</v>
      </c>
      <c r="N1353" s="46">
        <f t="shared" si="180"/>
        <v>0</v>
      </c>
      <c r="O1353" s="46">
        <f t="shared" si="181"/>
        <v>0</v>
      </c>
      <c r="P1353" s="93">
        <f t="shared" si="182"/>
        <v>149.634375</v>
      </c>
    </row>
    <row r="1354" s="2" customFormat="1" spans="1:16">
      <c r="A1354" s="106">
        <v>46001</v>
      </c>
      <c r="B1354" s="98">
        <v>2394.47</v>
      </c>
      <c r="C1354" s="99">
        <v>8101</v>
      </c>
      <c r="D1354" s="99">
        <v>742</v>
      </c>
      <c r="E1354" s="99">
        <v>1</v>
      </c>
      <c r="F1354" s="98">
        <v>10656</v>
      </c>
      <c r="G1354" s="99">
        <v>27</v>
      </c>
      <c r="H1354" s="99">
        <v>4</v>
      </c>
      <c r="I1354" s="99">
        <v>2</v>
      </c>
      <c r="J1354" s="101">
        <f t="shared" si="176"/>
        <v>0.091593630415998</v>
      </c>
      <c r="K1354" s="102">
        <f t="shared" si="177"/>
        <v>3.22704851752022</v>
      </c>
      <c r="L1354" s="104">
        <f t="shared" si="178"/>
        <v>4.45025412721813</v>
      </c>
      <c r="M1354" s="92">
        <f t="shared" si="179"/>
        <v>0.00134770889487871</v>
      </c>
      <c r="N1354" s="46">
        <f t="shared" si="180"/>
        <v>10656</v>
      </c>
      <c r="O1354" s="46">
        <f t="shared" si="181"/>
        <v>2394.47</v>
      </c>
      <c r="P1354" s="93">
        <f t="shared" si="182"/>
        <v>88.6840740740741</v>
      </c>
    </row>
    <row r="1355" s="2" customFormat="1" spans="1:16">
      <c r="A1355" s="106">
        <v>46002</v>
      </c>
      <c r="B1355" s="98">
        <v>2403.22</v>
      </c>
      <c r="C1355" s="99">
        <v>8712</v>
      </c>
      <c r="D1355" s="99">
        <v>698</v>
      </c>
      <c r="E1355" s="99">
        <v>0</v>
      </c>
      <c r="F1355" s="98">
        <v>0</v>
      </c>
      <c r="G1355" s="99">
        <v>29</v>
      </c>
      <c r="H1355" s="99">
        <v>5</v>
      </c>
      <c r="I1355" s="99">
        <v>4</v>
      </c>
      <c r="J1355" s="101">
        <f t="shared" si="176"/>
        <v>0.080119375573921</v>
      </c>
      <c r="K1355" s="102">
        <f t="shared" si="177"/>
        <v>3.44300859598854</v>
      </c>
      <c r="L1355" s="104">
        <f t="shared" si="178"/>
        <v>0</v>
      </c>
      <c r="M1355" s="92">
        <f t="shared" si="179"/>
        <v>0</v>
      </c>
      <c r="N1355" s="46">
        <f t="shared" si="180"/>
        <v>0</v>
      </c>
      <c r="O1355" s="46">
        <f t="shared" si="181"/>
        <v>0</v>
      </c>
      <c r="P1355" s="93">
        <f t="shared" si="182"/>
        <v>82.8696551724138</v>
      </c>
    </row>
    <row r="1356" s="2" customFormat="1" spans="1:16">
      <c r="A1356" s="106">
        <v>46003</v>
      </c>
      <c r="B1356" s="98">
        <v>2461.95</v>
      </c>
      <c r="C1356" s="99">
        <v>10767</v>
      </c>
      <c r="D1356" s="99">
        <v>733</v>
      </c>
      <c r="E1356" s="99">
        <v>0</v>
      </c>
      <c r="F1356" s="98">
        <v>0</v>
      </c>
      <c r="G1356" s="99">
        <v>20</v>
      </c>
      <c r="H1356" s="99">
        <v>1</v>
      </c>
      <c r="I1356" s="99">
        <v>2</v>
      </c>
      <c r="J1356" s="101">
        <f t="shared" si="176"/>
        <v>0.0680783876660165</v>
      </c>
      <c r="K1356" s="102">
        <f t="shared" si="177"/>
        <v>3.3587312414734</v>
      </c>
      <c r="L1356" s="104">
        <f t="shared" si="178"/>
        <v>0</v>
      </c>
      <c r="M1356" s="92">
        <f t="shared" si="179"/>
        <v>0</v>
      </c>
      <c r="N1356" s="46">
        <f t="shared" si="180"/>
        <v>0</v>
      </c>
      <c r="O1356" s="46">
        <f t="shared" si="181"/>
        <v>0</v>
      </c>
      <c r="P1356" s="93">
        <f t="shared" si="182"/>
        <v>123.0975</v>
      </c>
    </row>
    <row r="1357" s="2" customFormat="1" spans="1:16">
      <c r="A1357" s="106">
        <v>46004</v>
      </c>
      <c r="B1357" s="98">
        <v>2443.16</v>
      </c>
      <c r="C1357" s="99">
        <v>10444</v>
      </c>
      <c r="D1357" s="99">
        <v>733</v>
      </c>
      <c r="E1357" s="99">
        <v>0</v>
      </c>
      <c r="F1357" s="98">
        <v>0</v>
      </c>
      <c r="G1357" s="99">
        <v>18</v>
      </c>
      <c r="H1357" s="99">
        <v>2</v>
      </c>
      <c r="I1357" s="99">
        <v>0</v>
      </c>
      <c r="J1357" s="101">
        <f t="shared" si="176"/>
        <v>0.0701838376101111</v>
      </c>
      <c r="K1357" s="102">
        <f t="shared" si="177"/>
        <v>3.33309686221009</v>
      </c>
      <c r="L1357" s="104">
        <f t="shared" si="178"/>
        <v>0</v>
      </c>
      <c r="M1357" s="92">
        <f t="shared" si="179"/>
        <v>0</v>
      </c>
      <c r="N1357" s="46">
        <f t="shared" si="180"/>
        <v>0</v>
      </c>
      <c r="O1357" s="46">
        <f t="shared" si="181"/>
        <v>0</v>
      </c>
      <c r="P1357" s="93">
        <f t="shared" si="182"/>
        <v>135.731111111111</v>
      </c>
    </row>
    <row r="1358" s="2" customFormat="1" spans="1:16">
      <c r="A1358" s="106">
        <v>46005</v>
      </c>
      <c r="B1358" s="98">
        <v>2127.98</v>
      </c>
      <c r="C1358" s="99">
        <v>9428</v>
      </c>
      <c r="D1358" s="99">
        <v>702</v>
      </c>
      <c r="E1358" s="99">
        <v>0</v>
      </c>
      <c r="F1358" s="98">
        <v>0</v>
      </c>
      <c r="G1358" s="99">
        <v>7</v>
      </c>
      <c r="H1358" s="99">
        <v>1</v>
      </c>
      <c r="I1358" s="99">
        <v>0</v>
      </c>
      <c r="J1358" s="101">
        <f t="shared" si="176"/>
        <v>0.0744590581247348</v>
      </c>
      <c r="K1358" s="102">
        <f t="shared" si="177"/>
        <v>3.03131054131054</v>
      </c>
      <c r="L1358" s="104">
        <f t="shared" si="178"/>
        <v>0</v>
      </c>
      <c r="M1358" s="92">
        <f t="shared" si="179"/>
        <v>0</v>
      </c>
      <c r="N1358" s="46">
        <f t="shared" si="180"/>
        <v>0</v>
      </c>
      <c r="O1358" s="46">
        <f t="shared" si="181"/>
        <v>0</v>
      </c>
      <c r="P1358" s="93">
        <f t="shared" si="182"/>
        <v>303.997142857143</v>
      </c>
    </row>
    <row r="1359" s="2" customFormat="1" spans="1:16">
      <c r="A1359" s="106">
        <v>46006</v>
      </c>
      <c r="B1359" s="98">
        <v>2023.6</v>
      </c>
      <c r="C1359" s="99">
        <v>8433</v>
      </c>
      <c r="D1359" s="99">
        <v>665</v>
      </c>
      <c r="E1359" s="99">
        <v>0</v>
      </c>
      <c r="F1359" s="98">
        <v>0</v>
      </c>
      <c r="G1359" s="99">
        <v>25</v>
      </c>
      <c r="H1359" s="99">
        <v>2</v>
      </c>
      <c r="I1359" s="99">
        <v>4</v>
      </c>
      <c r="J1359" s="101">
        <f t="shared" si="176"/>
        <v>0.0788568718131151</v>
      </c>
      <c r="K1359" s="102">
        <f t="shared" si="177"/>
        <v>3.04300751879699</v>
      </c>
      <c r="L1359" s="104">
        <f t="shared" si="178"/>
        <v>0</v>
      </c>
      <c r="M1359" s="92">
        <f t="shared" si="179"/>
        <v>0</v>
      </c>
      <c r="N1359" s="46">
        <f t="shared" si="180"/>
        <v>0</v>
      </c>
      <c r="O1359" s="46">
        <f t="shared" si="181"/>
        <v>0</v>
      </c>
      <c r="P1359" s="93">
        <f t="shared" si="182"/>
        <v>80.944</v>
      </c>
    </row>
    <row r="1360" s="2" customFormat="1" spans="1:16">
      <c r="A1360" s="106">
        <v>46007</v>
      </c>
      <c r="B1360" s="98">
        <v>1407.23</v>
      </c>
      <c r="C1360" s="99">
        <v>5805</v>
      </c>
      <c r="D1360" s="99">
        <v>557</v>
      </c>
      <c r="E1360" s="99">
        <v>0</v>
      </c>
      <c r="F1360" s="98">
        <v>0</v>
      </c>
      <c r="G1360" s="99">
        <v>34</v>
      </c>
      <c r="H1360" s="99">
        <v>1</v>
      </c>
      <c r="I1360" s="99">
        <v>2</v>
      </c>
      <c r="J1360" s="101">
        <f t="shared" si="176"/>
        <v>0.0959517657192076</v>
      </c>
      <c r="K1360" s="102">
        <f t="shared" si="177"/>
        <v>2.52644524236984</v>
      </c>
      <c r="L1360" s="104">
        <f t="shared" si="178"/>
        <v>0</v>
      </c>
      <c r="M1360" s="92">
        <f t="shared" si="179"/>
        <v>0</v>
      </c>
      <c r="N1360" s="46">
        <f t="shared" si="180"/>
        <v>0</v>
      </c>
      <c r="O1360" s="46">
        <f t="shared" si="181"/>
        <v>0</v>
      </c>
      <c r="P1360" s="93">
        <f t="shared" si="182"/>
        <v>41.3891176470588</v>
      </c>
    </row>
    <row r="1361" s="2" customFormat="1" spans="1:16">
      <c r="A1361" s="106">
        <v>46008</v>
      </c>
      <c r="B1361" s="98">
        <v>1144.77</v>
      </c>
      <c r="C1361" s="99">
        <v>5869</v>
      </c>
      <c r="D1361" s="99">
        <v>438</v>
      </c>
      <c r="E1361" s="99">
        <v>0</v>
      </c>
      <c r="F1361" s="98">
        <v>0</v>
      </c>
      <c r="G1361" s="99">
        <v>27</v>
      </c>
      <c r="H1361" s="99">
        <v>2</v>
      </c>
      <c r="I1361" s="99">
        <v>0</v>
      </c>
      <c r="J1361" s="101">
        <f t="shared" si="176"/>
        <v>0.0746294087578804</v>
      </c>
      <c r="K1361" s="102">
        <f t="shared" si="177"/>
        <v>2.6136301369863</v>
      </c>
      <c r="L1361" s="104">
        <f t="shared" si="178"/>
        <v>0</v>
      </c>
      <c r="M1361" s="92">
        <f t="shared" si="179"/>
        <v>0</v>
      </c>
      <c r="N1361" s="46">
        <f t="shared" si="180"/>
        <v>0</v>
      </c>
      <c r="O1361" s="46">
        <f t="shared" si="181"/>
        <v>0</v>
      </c>
      <c r="P1361" s="93">
        <f t="shared" si="182"/>
        <v>42.3988888888889</v>
      </c>
    </row>
    <row r="1362" s="2" customFormat="1" spans="1:16">
      <c r="A1362" s="106">
        <v>46009</v>
      </c>
      <c r="B1362" s="98">
        <v>1365.1</v>
      </c>
      <c r="C1362" s="99">
        <v>5772</v>
      </c>
      <c r="D1362" s="99">
        <v>475</v>
      </c>
      <c r="E1362" s="99">
        <v>0</v>
      </c>
      <c r="F1362" s="98">
        <v>0</v>
      </c>
      <c r="G1362" s="99">
        <v>30</v>
      </c>
      <c r="H1362" s="99">
        <v>1</v>
      </c>
      <c r="I1362" s="99">
        <v>1</v>
      </c>
      <c r="J1362" s="101">
        <f t="shared" si="176"/>
        <v>0.0822938322938323</v>
      </c>
      <c r="K1362" s="102">
        <f t="shared" si="177"/>
        <v>2.8738947368421</v>
      </c>
      <c r="L1362" s="104">
        <f t="shared" si="178"/>
        <v>0</v>
      </c>
      <c r="M1362" s="92">
        <f t="shared" si="179"/>
        <v>0</v>
      </c>
      <c r="N1362" s="46">
        <f t="shared" si="180"/>
        <v>0</v>
      </c>
      <c r="O1362" s="46">
        <f t="shared" si="181"/>
        <v>0</v>
      </c>
      <c r="P1362" s="93">
        <f t="shared" si="182"/>
        <v>45.5033333333333</v>
      </c>
    </row>
    <row r="1363" s="2" customFormat="1" spans="1:16">
      <c r="A1363" s="106">
        <v>46010</v>
      </c>
      <c r="B1363" s="98">
        <v>2080.06</v>
      </c>
      <c r="C1363" s="99">
        <v>7570</v>
      </c>
      <c r="D1363" s="99">
        <v>629</v>
      </c>
      <c r="E1363" s="99">
        <v>3</v>
      </c>
      <c r="F1363" s="98">
        <v>17206</v>
      </c>
      <c r="G1363" s="99">
        <v>20</v>
      </c>
      <c r="H1363" s="99">
        <v>2</v>
      </c>
      <c r="I1363" s="99">
        <v>2</v>
      </c>
      <c r="J1363" s="101">
        <f t="shared" si="176"/>
        <v>0.0830911492734478</v>
      </c>
      <c r="K1363" s="102">
        <f t="shared" si="177"/>
        <v>3.30693163751987</v>
      </c>
      <c r="L1363" s="104">
        <f t="shared" si="178"/>
        <v>8.2718767727854</v>
      </c>
      <c r="M1363" s="92">
        <f t="shared" si="179"/>
        <v>0.00476947535771065</v>
      </c>
      <c r="N1363" s="46">
        <f t="shared" si="180"/>
        <v>5735.33333333333</v>
      </c>
      <c r="O1363" s="46">
        <f t="shared" si="181"/>
        <v>693.353333333333</v>
      </c>
      <c r="P1363" s="93">
        <f t="shared" si="182"/>
        <v>104.003</v>
      </c>
    </row>
    <row r="1364" s="2" customFormat="1" spans="1:16">
      <c r="A1364" s="106">
        <v>46011</v>
      </c>
      <c r="B1364" s="98">
        <v>2021.02</v>
      </c>
      <c r="C1364" s="99">
        <v>9276</v>
      </c>
      <c r="D1364" s="99">
        <v>647</v>
      </c>
      <c r="E1364" s="99">
        <v>4</v>
      </c>
      <c r="F1364" s="98">
        <v>35604</v>
      </c>
      <c r="G1364" s="99">
        <v>24</v>
      </c>
      <c r="H1364" s="99">
        <v>4</v>
      </c>
      <c r="I1364" s="99">
        <v>3</v>
      </c>
      <c r="J1364" s="101">
        <f t="shared" si="176"/>
        <v>0.0697498921949116</v>
      </c>
      <c r="K1364" s="102">
        <f t="shared" si="177"/>
        <v>3.12367851622875</v>
      </c>
      <c r="L1364" s="104">
        <f t="shared" si="178"/>
        <v>17.6168469386745</v>
      </c>
      <c r="M1364" s="92">
        <f t="shared" si="179"/>
        <v>0.00618238021638331</v>
      </c>
      <c r="N1364" s="46">
        <f t="shared" si="180"/>
        <v>8901</v>
      </c>
      <c r="O1364" s="46">
        <f t="shared" si="181"/>
        <v>505.255</v>
      </c>
      <c r="P1364" s="93">
        <f t="shared" si="182"/>
        <v>84.2091666666667</v>
      </c>
    </row>
    <row r="1365" s="2" customFormat="1" spans="1:16">
      <c r="A1365" s="106">
        <v>46012</v>
      </c>
      <c r="B1365" s="98">
        <v>2113.63</v>
      </c>
      <c r="C1365" s="99">
        <v>8383</v>
      </c>
      <c r="D1365" s="99">
        <v>595</v>
      </c>
      <c r="E1365" s="99">
        <v>1</v>
      </c>
      <c r="F1365" s="98">
        <v>20654</v>
      </c>
      <c r="G1365" s="99">
        <v>26</v>
      </c>
      <c r="H1365" s="99">
        <v>1</v>
      </c>
      <c r="I1365" s="99">
        <v>2</v>
      </c>
      <c r="J1365" s="101">
        <f t="shared" si="176"/>
        <v>0.0709769772157939</v>
      </c>
      <c r="K1365" s="102">
        <f t="shared" si="177"/>
        <v>3.55231932773109</v>
      </c>
      <c r="L1365" s="104">
        <f t="shared" si="178"/>
        <v>9.77181436675293</v>
      </c>
      <c r="M1365" s="92">
        <f t="shared" si="179"/>
        <v>0.00168067226890756</v>
      </c>
      <c r="N1365" s="46">
        <f t="shared" si="180"/>
        <v>20654</v>
      </c>
      <c r="O1365" s="46">
        <f t="shared" si="181"/>
        <v>2113.63</v>
      </c>
      <c r="P1365" s="93">
        <f t="shared" si="182"/>
        <v>81.2934615384615</v>
      </c>
    </row>
    <row r="1366" s="2" customFormat="1" spans="1:16">
      <c r="A1366" s="106">
        <v>46013</v>
      </c>
      <c r="B1366" s="98">
        <v>1850.74</v>
      </c>
      <c r="C1366" s="99">
        <v>5696</v>
      </c>
      <c r="D1366" s="99">
        <v>483</v>
      </c>
      <c r="E1366" s="99">
        <v>1</v>
      </c>
      <c r="F1366" s="98">
        <v>20814</v>
      </c>
      <c r="G1366" s="99">
        <v>20</v>
      </c>
      <c r="H1366" s="99">
        <v>0</v>
      </c>
      <c r="I1366" s="99">
        <v>0</v>
      </c>
      <c r="J1366" s="101">
        <f t="shared" si="176"/>
        <v>0.0847963483146067</v>
      </c>
      <c r="K1366" s="102">
        <f t="shared" si="177"/>
        <v>3.83175983436853</v>
      </c>
      <c r="L1366" s="104">
        <f t="shared" si="178"/>
        <v>11.2463122858965</v>
      </c>
      <c r="M1366" s="92">
        <f t="shared" si="179"/>
        <v>0.0020703933747412</v>
      </c>
      <c r="N1366" s="46">
        <f t="shared" si="180"/>
        <v>20814</v>
      </c>
      <c r="O1366" s="46">
        <f t="shared" si="181"/>
        <v>1850.74</v>
      </c>
      <c r="P1366" s="93">
        <f t="shared" si="182"/>
        <v>92.537</v>
      </c>
    </row>
    <row r="1367" s="2" customFormat="1" spans="1:16">
      <c r="A1367" s="106">
        <v>46014</v>
      </c>
      <c r="B1367" s="98">
        <v>2053.67</v>
      </c>
      <c r="C1367" s="99">
        <v>6984</v>
      </c>
      <c r="D1367" s="99">
        <v>562</v>
      </c>
      <c r="E1367" s="99">
        <v>0</v>
      </c>
      <c r="F1367" s="98">
        <v>0</v>
      </c>
      <c r="G1367" s="99">
        <v>23</v>
      </c>
      <c r="H1367" s="99">
        <v>2</v>
      </c>
      <c r="I1367" s="99">
        <v>1</v>
      </c>
      <c r="J1367" s="101">
        <f t="shared" si="176"/>
        <v>0.0804696449026346</v>
      </c>
      <c r="K1367" s="102">
        <f t="shared" si="177"/>
        <v>3.65421708185053</v>
      </c>
      <c r="L1367" s="104">
        <f t="shared" si="178"/>
        <v>0</v>
      </c>
      <c r="M1367" s="92">
        <f t="shared" si="179"/>
        <v>0</v>
      </c>
      <c r="N1367" s="46">
        <f t="shared" si="180"/>
        <v>0</v>
      </c>
      <c r="O1367" s="46">
        <f t="shared" si="181"/>
        <v>0</v>
      </c>
      <c r="P1367" s="93">
        <f t="shared" si="182"/>
        <v>89.29</v>
      </c>
    </row>
    <row r="1368" s="2" customFormat="1" spans="1:16">
      <c r="A1368" s="106">
        <v>46015</v>
      </c>
      <c r="B1368" s="98">
        <v>2088.23</v>
      </c>
      <c r="C1368" s="99">
        <v>8010</v>
      </c>
      <c r="D1368" s="99">
        <v>603</v>
      </c>
      <c r="E1368" s="99">
        <v>0</v>
      </c>
      <c r="F1368" s="98">
        <v>0</v>
      </c>
      <c r="G1368" s="99">
        <v>22</v>
      </c>
      <c r="H1368" s="99">
        <v>3</v>
      </c>
      <c r="I1368" s="99">
        <v>0</v>
      </c>
      <c r="J1368" s="101">
        <f t="shared" si="176"/>
        <v>0.0752808988764045</v>
      </c>
      <c r="K1368" s="102">
        <f t="shared" si="177"/>
        <v>3.4630679933665</v>
      </c>
      <c r="L1368" s="104">
        <f t="shared" si="178"/>
        <v>0</v>
      </c>
      <c r="M1368" s="92">
        <f t="shared" si="179"/>
        <v>0</v>
      </c>
      <c r="N1368" s="46">
        <f t="shared" si="180"/>
        <v>0</v>
      </c>
      <c r="O1368" s="46">
        <f t="shared" si="181"/>
        <v>0</v>
      </c>
      <c r="P1368" s="93">
        <f t="shared" si="182"/>
        <v>94.9195454545455</v>
      </c>
    </row>
    <row r="1369" s="2" customFormat="1" spans="1:16">
      <c r="A1369" s="106">
        <v>46016</v>
      </c>
      <c r="B1369" s="98">
        <v>2044.04</v>
      </c>
      <c r="C1369" s="99">
        <v>9675</v>
      </c>
      <c r="D1369" s="99">
        <v>600</v>
      </c>
      <c r="E1369" s="99">
        <v>0</v>
      </c>
      <c r="F1369" s="98">
        <v>0</v>
      </c>
      <c r="G1369" s="99">
        <v>15</v>
      </c>
      <c r="H1369" s="99">
        <v>1</v>
      </c>
      <c r="I1369" s="99">
        <v>0</v>
      </c>
      <c r="J1369" s="101">
        <f t="shared" si="176"/>
        <v>0.062015503875969</v>
      </c>
      <c r="K1369" s="102">
        <f t="shared" si="177"/>
        <v>3.40673333333333</v>
      </c>
      <c r="L1369" s="104">
        <f t="shared" si="178"/>
        <v>0</v>
      </c>
      <c r="M1369" s="92">
        <f t="shared" si="179"/>
        <v>0</v>
      </c>
      <c r="N1369" s="46">
        <f t="shared" si="180"/>
        <v>0</v>
      </c>
      <c r="O1369" s="46">
        <f t="shared" si="181"/>
        <v>0</v>
      </c>
      <c r="P1369" s="93">
        <f t="shared" si="182"/>
        <v>136.269333333333</v>
      </c>
    </row>
    <row r="1370" s="2" customFormat="1" spans="1:16">
      <c r="A1370" s="106">
        <v>46017</v>
      </c>
      <c r="B1370" s="98">
        <v>1760.83</v>
      </c>
      <c r="C1370" s="99">
        <v>10875</v>
      </c>
      <c r="D1370" s="99">
        <v>566</v>
      </c>
      <c r="E1370" s="99">
        <v>0</v>
      </c>
      <c r="F1370" s="98">
        <v>0</v>
      </c>
      <c r="G1370" s="99">
        <v>19</v>
      </c>
      <c r="H1370" s="99">
        <v>4</v>
      </c>
      <c r="I1370" s="99">
        <v>0</v>
      </c>
      <c r="J1370" s="101">
        <f t="shared" si="176"/>
        <v>0.0520459770114943</v>
      </c>
      <c r="K1370" s="102">
        <f t="shared" si="177"/>
        <v>3.11100706713781</v>
      </c>
      <c r="L1370" s="104">
        <f t="shared" si="178"/>
        <v>0</v>
      </c>
      <c r="M1370" s="92">
        <f t="shared" si="179"/>
        <v>0</v>
      </c>
      <c r="N1370" s="46">
        <f t="shared" si="180"/>
        <v>0</v>
      </c>
      <c r="O1370" s="46">
        <f t="shared" si="181"/>
        <v>0</v>
      </c>
      <c r="P1370" s="93">
        <f t="shared" si="182"/>
        <v>92.6752631578947</v>
      </c>
    </row>
    <row r="1371" s="2" customFormat="1" spans="1:16">
      <c r="A1371" s="106">
        <v>46018</v>
      </c>
      <c r="B1371" s="98">
        <v>1733.37</v>
      </c>
      <c r="C1371" s="99">
        <v>11999</v>
      </c>
      <c r="D1371" s="99">
        <v>566</v>
      </c>
      <c r="E1371" s="99">
        <v>0</v>
      </c>
      <c r="F1371" s="98">
        <v>0</v>
      </c>
      <c r="G1371" s="99">
        <v>14</v>
      </c>
      <c r="H1371" s="99">
        <v>5</v>
      </c>
      <c r="I1371" s="99">
        <v>0</v>
      </c>
      <c r="J1371" s="101">
        <f t="shared" ref="J1371:J1434" si="183">D1371/C1371</f>
        <v>0.0471705975497958</v>
      </c>
      <c r="K1371" s="102">
        <f t="shared" ref="K1371:K1434" si="184">B1371/D1371</f>
        <v>3.06249116607774</v>
      </c>
      <c r="L1371" s="104">
        <f t="shared" ref="L1371:L1434" si="185">F1371/B1371</f>
        <v>0</v>
      </c>
      <c r="M1371" s="92">
        <f t="shared" si="179"/>
        <v>0</v>
      </c>
      <c r="N1371" s="46">
        <f t="shared" si="180"/>
        <v>0</v>
      </c>
      <c r="O1371" s="46">
        <f t="shared" si="181"/>
        <v>0</v>
      </c>
      <c r="P1371" s="93">
        <f t="shared" si="182"/>
        <v>123.812142857143</v>
      </c>
    </row>
    <row r="1372" s="2" customFormat="1" spans="1:16">
      <c r="A1372" s="106">
        <v>46019</v>
      </c>
      <c r="B1372" s="98">
        <v>1727.99</v>
      </c>
      <c r="C1372" s="99">
        <v>10014</v>
      </c>
      <c r="D1372" s="99">
        <v>521</v>
      </c>
      <c r="E1372" s="99">
        <v>0</v>
      </c>
      <c r="F1372" s="98">
        <v>0</v>
      </c>
      <c r="G1372" s="99">
        <v>17</v>
      </c>
      <c r="H1372" s="99">
        <v>3</v>
      </c>
      <c r="I1372" s="99">
        <v>0</v>
      </c>
      <c r="J1372" s="101">
        <f t="shared" si="183"/>
        <v>0.0520271619732375</v>
      </c>
      <c r="K1372" s="102">
        <f t="shared" si="184"/>
        <v>3.31667946257198</v>
      </c>
      <c r="L1372" s="104">
        <f t="shared" si="185"/>
        <v>0</v>
      </c>
      <c r="M1372" s="92">
        <f t="shared" si="179"/>
        <v>0</v>
      </c>
      <c r="N1372" s="46">
        <f t="shared" si="180"/>
        <v>0</v>
      </c>
      <c r="O1372" s="46">
        <f t="shared" si="181"/>
        <v>0</v>
      </c>
      <c r="P1372" s="93">
        <f t="shared" si="182"/>
        <v>101.646470588235</v>
      </c>
    </row>
    <row r="1373" s="2" customFormat="1" spans="1:16">
      <c r="A1373" s="106">
        <v>46020</v>
      </c>
      <c r="B1373" s="98">
        <v>1989.61</v>
      </c>
      <c r="C1373" s="99">
        <v>12855</v>
      </c>
      <c r="D1373" s="99">
        <v>625</v>
      </c>
      <c r="E1373" s="99">
        <v>3</v>
      </c>
      <c r="F1373" s="98">
        <v>46092</v>
      </c>
      <c r="G1373" s="99">
        <v>33</v>
      </c>
      <c r="H1373" s="99">
        <v>3</v>
      </c>
      <c r="I1373" s="99">
        <v>0</v>
      </c>
      <c r="J1373" s="101">
        <f t="shared" si="183"/>
        <v>0.0486192143134967</v>
      </c>
      <c r="K1373" s="102">
        <f t="shared" si="184"/>
        <v>3.183376</v>
      </c>
      <c r="L1373" s="104">
        <f t="shared" si="185"/>
        <v>23.1663491840109</v>
      </c>
      <c r="M1373" s="92">
        <f t="shared" si="179"/>
        <v>0.0048</v>
      </c>
      <c r="N1373" s="46">
        <f t="shared" si="180"/>
        <v>15364</v>
      </c>
      <c r="O1373" s="46">
        <f t="shared" si="181"/>
        <v>663.203333333333</v>
      </c>
      <c r="P1373" s="93">
        <f t="shared" si="182"/>
        <v>60.2912121212121</v>
      </c>
    </row>
    <row r="1374" s="2" customFormat="1" spans="1:16">
      <c r="A1374" s="106">
        <v>46021</v>
      </c>
      <c r="B1374" s="98">
        <v>2050.44</v>
      </c>
      <c r="C1374" s="99">
        <v>18061</v>
      </c>
      <c r="D1374" s="99">
        <v>769</v>
      </c>
      <c r="E1374" s="99">
        <v>0</v>
      </c>
      <c r="F1374" s="98">
        <v>0</v>
      </c>
      <c r="G1374" s="99">
        <v>28</v>
      </c>
      <c r="H1374" s="99">
        <v>1</v>
      </c>
      <c r="I1374" s="99">
        <v>3</v>
      </c>
      <c r="J1374" s="101">
        <f t="shared" si="183"/>
        <v>0.0425779303471569</v>
      </c>
      <c r="K1374" s="102">
        <f t="shared" si="184"/>
        <v>2.66637191157347</v>
      </c>
      <c r="L1374" s="104">
        <f t="shared" si="185"/>
        <v>0</v>
      </c>
      <c r="M1374" s="92">
        <f t="shared" si="179"/>
        <v>0</v>
      </c>
      <c r="N1374" s="46">
        <f t="shared" si="180"/>
        <v>0</v>
      </c>
      <c r="O1374" s="46">
        <f t="shared" si="181"/>
        <v>0</v>
      </c>
      <c r="P1374" s="93">
        <f t="shared" si="182"/>
        <v>73.23</v>
      </c>
    </row>
    <row r="1375" s="2" customFormat="1" spans="1:16">
      <c r="A1375" s="106">
        <v>46022</v>
      </c>
      <c r="B1375" s="98">
        <v>2164.12</v>
      </c>
      <c r="C1375" s="99">
        <v>21970</v>
      </c>
      <c r="D1375" s="99">
        <v>788</v>
      </c>
      <c r="E1375" s="99">
        <v>0</v>
      </c>
      <c r="F1375" s="98">
        <v>0</v>
      </c>
      <c r="G1375" s="99">
        <v>29</v>
      </c>
      <c r="H1375" s="99">
        <v>1</v>
      </c>
      <c r="I1375" s="99">
        <v>1</v>
      </c>
      <c r="J1375" s="101">
        <f t="shared" si="183"/>
        <v>0.0358670914883933</v>
      </c>
      <c r="K1375" s="102">
        <f t="shared" si="184"/>
        <v>2.74634517766497</v>
      </c>
      <c r="L1375" s="104">
        <f t="shared" si="185"/>
        <v>0</v>
      </c>
      <c r="M1375" s="92">
        <f t="shared" si="179"/>
        <v>0</v>
      </c>
      <c r="N1375" s="46">
        <f t="shared" si="180"/>
        <v>0</v>
      </c>
      <c r="O1375" s="46">
        <f t="shared" si="181"/>
        <v>0</v>
      </c>
      <c r="P1375" s="93">
        <f t="shared" si="182"/>
        <v>74.6248275862069</v>
      </c>
    </row>
    <row r="1376" s="2" customFormat="1" spans="1:16">
      <c r="A1376" s="106">
        <v>46023</v>
      </c>
      <c r="B1376" s="98">
        <v>2412.05</v>
      </c>
      <c r="C1376" s="99">
        <v>23012</v>
      </c>
      <c r="D1376" s="99">
        <v>834</v>
      </c>
      <c r="E1376" s="99">
        <v>0</v>
      </c>
      <c r="F1376" s="98">
        <v>0</v>
      </c>
      <c r="G1376" s="99">
        <v>22</v>
      </c>
      <c r="H1376" s="99">
        <v>6</v>
      </c>
      <c r="I1376" s="99">
        <v>2</v>
      </c>
      <c r="J1376" s="101">
        <f t="shared" si="183"/>
        <v>0.0362419607161481</v>
      </c>
      <c r="K1376" s="102">
        <f t="shared" si="184"/>
        <v>2.89214628297362</v>
      </c>
      <c r="L1376" s="104">
        <f t="shared" si="185"/>
        <v>0</v>
      </c>
      <c r="M1376" s="92">
        <f t="shared" si="179"/>
        <v>0</v>
      </c>
      <c r="N1376" s="46">
        <f t="shared" si="180"/>
        <v>0</v>
      </c>
      <c r="O1376" s="46">
        <f t="shared" si="181"/>
        <v>0</v>
      </c>
      <c r="P1376" s="93">
        <f t="shared" si="182"/>
        <v>109.638636363636</v>
      </c>
    </row>
    <row r="1377" s="2" customFormat="1" spans="1:16">
      <c r="A1377" s="106">
        <v>46024</v>
      </c>
      <c r="B1377" s="98">
        <v>2601.84</v>
      </c>
      <c r="C1377" s="99">
        <v>18222</v>
      </c>
      <c r="D1377" s="99">
        <v>787</v>
      </c>
      <c r="E1377" s="99">
        <v>3</v>
      </c>
      <c r="F1377" s="98">
        <v>38386</v>
      </c>
      <c r="G1377" s="99">
        <v>23</v>
      </c>
      <c r="H1377" s="99">
        <v>4</v>
      </c>
      <c r="I1377" s="99">
        <v>2</v>
      </c>
      <c r="J1377" s="101">
        <f t="shared" si="183"/>
        <v>0.0431895510920865</v>
      </c>
      <c r="K1377" s="102">
        <f t="shared" si="184"/>
        <v>3.30602287166455</v>
      </c>
      <c r="L1377" s="104">
        <f t="shared" si="185"/>
        <v>14.7534052824155</v>
      </c>
      <c r="M1377" s="92">
        <f t="shared" si="179"/>
        <v>0.00381194409148666</v>
      </c>
      <c r="N1377" s="46">
        <f t="shared" si="180"/>
        <v>12795.3333333333</v>
      </c>
      <c r="O1377" s="46">
        <f t="shared" si="181"/>
        <v>867.28</v>
      </c>
      <c r="P1377" s="93">
        <f t="shared" si="182"/>
        <v>113.12347826087</v>
      </c>
    </row>
    <row r="1378" s="2" customFormat="1" spans="1:16">
      <c r="A1378" s="106">
        <v>46025</v>
      </c>
      <c r="B1378" s="98">
        <v>2638.47</v>
      </c>
      <c r="C1378" s="99">
        <v>16382</v>
      </c>
      <c r="D1378" s="99">
        <v>858</v>
      </c>
      <c r="E1378" s="99">
        <v>3</v>
      </c>
      <c r="F1378" s="98">
        <v>60156</v>
      </c>
      <c r="G1378" s="99">
        <v>34</v>
      </c>
      <c r="H1378" s="99">
        <v>1</v>
      </c>
      <c r="I1378" s="99">
        <v>2</v>
      </c>
      <c r="J1378" s="101">
        <f t="shared" si="183"/>
        <v>0.0523745574410939</v>
      </c>
      <c r="K1378" s="102">
        <f t="shared" si="184"/>
        <v>3.07513986013986</v>
      </c>
      <c r="L1378" s="104">
        <f t="shared" si="185"/>
        <v>22.7995770275955</v>
      </c>
      <c r="M1378" s="92">
        <f t="shared" si="179"/>
        <v>0.0034965034965035</v>
      </c>
      <c r="N1378" s="46">
        <f t="shared" si="180"/>
        <v>20052</v>
      </c>
      <c r="O1378" s="46">
        <f t="shared" si="181"/>
        <v>879.49</v>
      </c>
      <c r="P1378" s="93">
        <f t="shared" si="182"/>
        <v>77.6020588235294</v>
      </c>
    </row>
    <row r="1379" s="2" customFormat="1" spans="1:16">
      <c r="A1379" s="106">
        <v>46026</v>
      </c>
      <c r="B1379" s="98">
        <v>2632.01</v>
      </c>
      <c r="C1379" s="99">
        <v>15662</v>
      </c>
      <c r="D1379" s="99">
        <v>1053</v>
      </c>
      <c r="E1379" s="99">
        <v>2</v>
      </c>
      <c r="F1379" s="98">
        <v>32868</v>
      </c>
      <c r="G1379" s="99">
        <v>39</v>
      </c>
      <c r="H1379" s="99">
        <v>4</v>
      </c>
      <c r="I1379" s="99">
        <v>2</v>
      </c>
      <c r="J1379" s="101">
        <f t="shared" si="183"/>
        <v>0.0672327927467756</v>
      </c>
      <c r="K1379" s="102">
        <f t="shared" si="184"/>
        <v>2.499534662868</v>
      </c>
      <c r="L1379" s="104">
        <f t="shared" si="185"/>
        <v>12.487794499261</v>
      </c>
      <c r="M1379" s="92">
        <f t="shared" si="179"/>
        <v>0.00189933523266857</v>
      </c>
      <c r="N1379" s="46">
        <f t="shared" si="180"/>
        <v>16434</v>
      </c>
      <c r="O1379" s="46">
        <f t="shared" si="181"/>
        <v>1316.005</v>
      </c>
      <c r="P1379" s="93">
        <f t="shared" si="182"/>
        <v>67.4874358974359</v>
      </c>
    </row>
    <row r="1380" s="2" customFormat="1" spans="1:16">
      <c r="A1380" s="106">
        <v>46027</v>
      </c>
      <c r="B1380" s="98">
        <v>2636.07</v>
      </c>
      <c r="C1380" s="99">
        <v>15482</v>
      </c>
      <c r="D1380" s="99">
        <v>825</v>
      </c>
      <c r="E1380" s="99">
        <v>0</v>
      </c>
      <c r="F1380" s="98">
        <v>0</v>
      </c>
      <c r="G1380" s="99">
        <v>33</v>
      </c>
      <c r="H1380" s="99">
        <v>2</v>
      </c>
      <c r="I1380" s="99">
        <v>2</v>
      </c>
      <c r="J1380" s="101">
        <f t="shared" si="183"/>
        <v>0.0532876889290789</v>
      </c>
      <c r="K1380" s="102">
        <f t="shared" si="184"/>
        <v>3.19523636363636</v>
      </c>
      <c r="L1380" s="104">
        <f t="shared" si="185"/>
        <v>0</v>
      </c>
      <c r="M1380" s="92">
        <f t="shared" si="179"/>
        <v>0</v>
      </c>
      <c r="N1380" s="46">
        <f t="shared" si="180"/>
        <v>0</v>
      </c>
      <c r="O1380" s="46">
        <f t="shared" si="181"/>
        <v>0</v>
      </c>
      <c r="P1380" s="93">
        <f t="shared" si="182"/>
        <v>79.8809090909091</v>
      </c>
    </row>
    <row r="1381" s="2" customFormat="1" spans="1:16">
      <c r="A1381" s="106">
        <v>46028</v>
      </c>
      <c r="B1381" s="98">
        <v>2000.97</v>
      </c>
      <c r="C1381" s="99">
        <v>8948</v>
      </c>
      <c r="D1381" s="99">
        <v>550</v>
      </c>
      <c r="E1381" s="99">
        <v>1</v>
      </c>
      <c r="F1381" s="98">
        <v>6130</v>
      </c>
      <c r="G1381" s="99">
        <v>19</v>
      </c>
      <c r="H1381" s="99">
        <v>6</v>
      </c>
      <c r="I1381" s="99">
        <v>1</v>
      </c>
      <c r="J1381" s="101">
        <f t="shared" si="183"/>
        <v>0.0614662494412159</v>
      </c>
      <c r="K1381" s="102">
        <f t="shared" si="184"/>
        <v>3.63812727272727</v>
      </c>
      <c r="L1381" s="104">
        <f t="shared" si="185"/>
        <v>3.06351419561513</v>
      </c>
      <c r="M1381" s="92">
        <f t="shared" si="179"/>
        <v>0.00181818181818182</v>
      </c>
      <c r="N1381" s="46">
        <f t="shared" si="180"/>
        <v>6130</v>
      </c>
      <c r="O1381" s="46">
        <f t="shared" si="181"/>
        <v>2000.97</v>
      </c>
      <c r="P1381" s="93">
        <f t="shared" si="182"/>
        <v>105.314210526316</v>
      </c>
    </row>
    <row r="1382" s="2" customFormat="1" spans="1:16">
      <c r="A1382" s="106">
        <v>46029</v>
      </c>
      <c r="B1382" s="98">
        <v>2000.16</v>
      </c>
      <c r="C1382" s="99">
        <v>2216</v>
      </c>
      <c r="D1382" s="99">
        <v>335</v>
      </c>
      <c r="E1382" s="99">
        <v>0</v>
      </c>
      <c r="F1382" s="98">
        <v>0</v>
      </c>
      <c r="G1382" s="99">
        <v>22</v>
      </c>
      <c r="H1382" s="99">
        <v>2</v>
      </c>
      <c r="I1382" s="99">
        <v>1</v>
      </c>
      <c r="J1382" s="101">
        <f t="shared" si="183"/>
        <v>0.151173285198556</v>
      </c>
      <c r="K1382" s="102">
        <f t="shared" si="184"/>
        <v>5.97062686567164</v>
      </c>
      <c r="L1382" s="104">
        <f t="shared" si="185"/>
        <v>0</v>
      </c>
      <c r="M1382" s="92">
        <f t="shared" ref="M1382:M1445" si="186">E1382/D1382</f>
        <v>0</v>
      </c>
      <c r="N1382" s="46">
        <f t="shared" ref="N1382:N1445" si="187">IF(E1382=0,0,F1382/E1382)</f>
        <v>0</v>
      </c>
      <c r="O1382" s="46">
        <f t="shared" ref="O1382:O1445" si="188">IF(E1382=0,0,B1382/E1382)</f>
        <v>0</v>
      </c>
      <c r="P1382" s="93">
        <f t="shared" ref="P1382:P1445" si="189">B1382/G1382</f>
        <v>90.9163636363636</v>
      </c>
    </row>
    <row r="1383" s="2" customFormat="1" spans="1:16">
      <c r="A1383" s="106">
        <v>46030</v>
      </c>
      <c r="B1383" s="98">
        <v>2016.12</v>
      </c>
      <c r="C1383" s="99">
        <v>3006</v>
      </c>
      <c r="D1383" s="99">
        <v>332</v>
      </c>
      <c r="E1383" s="99">
        <v>0</v>
      </c>
      <c r="F1383" s="98">
        <v>0</v>
      </c>
      <c r="G1383" s="99">
        <v>20</v>
      </c>
      <c r="H1383" s="99">
        <v>3</v>
      </c>
      <c r="I1383" s="99">
        <v>2</v>
      </c>
      <c r="J1383" s="101">
        <f t="shared" si="183"/>
        <v>0.110445775116434</v>
      </c>
      <c r="K1383" s="102">
        <f t="shared" si="184"/>
        <v>6.07265060240964</v>
      </c>
      <c r="L1383" s="104">
        <f t="shared" si="185"/>
        <v>0</v>
      </c>
      <c r="M1383" s="92">
        <f t="shared" si="186"/>
        <v>0</v>
      </c>
      <c r="N1383" s="46">
        <f t="shared" si="187"/>
        <v>0</v>
      </c>
      <c r="O1383" s="46">
        <f t="shared" si="188"/>
        <v>0</v>
      </c>
      <c r="P1383" s="93">
        <f t="shared" si="189"/>
        <v>100.806</v>
      </c>
    </row>
    <row r="1384" s="2" customFormat="1" spans="1:16">
      <c r="A1384" s="106">
        <v>46031</v>
      </c>
      <c r="B1384" s="98">
        <v>1979.29</v>
      </c>
      <c r="C1384" s="99">
        <v>4620</v>
      </c>
      <c r="D1384" s="99">
        <v>358</v>
      </c>
      <c r="E1384" s="99">
        <v>1</v>
      </c>
      <c r="F1384" s="98">
        <v>10304</v>
      </c>
      <c r="G1384" s="99">
        <v>28</v>
      </c>
      <c r="H1384" s="99">
        <v>4</v>
      </c>
      <c r="I1384" s="99">
        <v>1</v>
      </c>
      <c r="J1384" s="101">
        <f t="shared" si="183"/>
        <v>0.0774891774891775</v>
      </c>
      <c r="K1384" s="102">
        <f t="shared" si="184"/>
        <v>5.52874301675978</v>
      </c>
      <c r="L1384" s="104">
        <f t="shared" si="185"/>
        <v>5.20590716873222</v>
      </c>
      <c r="M1384" s="92">
        <f t="shared" si="186"/>
        <v>0.00279329608938547</v>
      </c>
      <c r="N1384" s="46">
        <f t="shared" si="187"/>
        <v>10304</v>
      </c>
      <c r="O1384" s="46">
        <f t="shared" si="188"/>
        <v>1979.29</v>
      </c>
      <c r="P1384" s="93">
        <f t="shared" si="189"/>
        <v>70.6889285714286</v>
      </c>
    </row>
    <row r="1385" s="2" customFormat="1" spans="1:16">
      <c r="A1385" s="106">
        <v>46032</v>
      </c>
      <c r="B1385" s="98">
        <v>2008.57</v>
      </c>
      <c r="C1385" s="99">
        <v>2877</v>
      </c>
      <c r="D1385" s="99">
        <v>316</v>
      </c>
      <c r="E1385" s="99">
        <v>0</v>
      </c>
      <c r="F1385" s="98">
        <v>0</v>
      </c>
      <c r="G1385" s="99">
        <v>22</v>
      </c>
      <c r="H1385" s="99">
        <v>2</v>
      </c>
      <c r="I1385" s="99">
        <v>0</v>
      </c>
      <c r="J1385" s="101">
        <f t="shared" si="183"/>
        <v>0.109836635384081</v>
      </c>
      <c r="K1385" s="102">
        <f t="shared" si="184"/>
        <v>6.35623417721519</v>
      </c>
      <c r="L1385" s="104">
        <f t="shared" si="185"/>
        <v>0</v>
      </c>
      <c r="M1385" s="92">
        <f t="shared" si="186"/>
        <v>0</v>
      </c>
      <c r="N1385" s="46">
        <f t="shared" si="187"/>
        <v>0</v>
      </c>
      <c r="O1385" s="46">
        <f t="shared" si="188"/>
        <v>0</v>
      </c>
      <c r="P1385" s="93">
        <f t="shared" si="189"/>
        <v>91.2986363636364</v>
      </c>
    </row>
    <row r="1386" s="2" customFormat="1" spans="1:16">
      <c r="A1386" s="106">
        <v>46033</v>
      </c>
      <c r="B1386" s="98">
        <v>2026.72</v>
      </c>
      <c r="C1386" s="99">
        <v>2026.72</v>
      </c>
      <c r="D1386" s="99">
        <v>372</v>
      </c>
      <c r="E1386" s="99">
        <v>0</v>
      </c>
      <c r="F1386" s="98">
        <v>0</v>
      </c>
      <c r="G1386" s="99">
        <v>20</v>
      </c>
      <c r="H1386" s="99">
        <v>1</v>
      </c>
      <c r="I1386" s="99">
        <v>3</v>
      </c>
      <c r="J1386" s="101">
        <f t="shared" si="183"/>
        <v>0.183547801373648</v>
      </c>
      <c r="K1386" s="102">
        <f t="shared" si="184"/>
        <v>5.44817204301075</v>
      </c>
      <c r="L1386" s="104">
        <f t="shared" si="185"/>
        <v>0</v>
      </c>
      <c r="M1386" s="92">
        <f t="shared" si="186"/>
        <v>0</v>
      </c>
      <c r="N1386" s="46">
        <f t="shared" si="187"/>
        <v>0</v>
      </c>
      <c r="O1386" s="46">
        <f t="shared" si="188"/>
        <v>0</v>
      </c>
      <c r="P1386" s="93">
        <f t="shared" si="189"/>
        <v>101.336</v>
      </c>
    </row>
    <row r="1387" s="2" customFormat="1" spans="1:16">
      <c r="A1387" s="106">
        <v>46034</v>
      </c>
      <c r="B1387" s="98">
        <v>2003.3</v>
      </c>
      <c r="C1387" s="99">
        <v>2283</v>
      </c>
      <c r="D1387" s="99">
        <v>371</v>
      </c>
      <c r="E1387" s="99">
        <v>0</v>
      </c>
      <c r="F1387" s="98">
        <v>0</v>
      </c>
      <c r="G1387" s="99">
        <v>18</v>
      </c>
      <c r="H1387" s="99">
        <v>2</v>
      </c>
      <c r="I1387" s="99">
        <v>1</v>
      </c>
      <c r="J1387" s="101">
        <f t="shared" si="183"/>
        <v>0.162505475251862</v>
      </c>
      <c r="K1387" s="102">
        <f t="shared" si="184"/>
        <v>5.39973045822102</v>
      </c>
      <c r="L1387" s="104">
        <f t="shared" si="185"/>
        <v>0</v>
      </c>
      <c r="M1387" s="92">
        <f t="shared" si="186"/>
        <v>0</v>
      </c>
      <c r="N1387" s="46">
        <f t="shared" si="187"/>
        <v>0</v>
      </c>
      <c r="O1387" s="46">
        <f t="shared" si="188"/>
        <v>0</v>
      </c>
      <c r="P1387" s="93">
        <f t="shared" si="189"/>
        <v>111.294444444444</v>
      </c>
    </row>
    <row r="1388" s="2" customFormat="1" spans="1:16">
      <c r="A1388" s="106">
        <v>46035</v>
      </c>
      <c r="B1388" s="98">
        <v>1991.36</v>
      </c>
      <c r="C1388" s="99">
        <v>3515</v>
      </c>
      <c r="D1388" s="99">
        <v>405</v>
      </c>
      <c r="E1388" s="99">
        <v>2</v>
      </c>
      <c r="F1388" s="98">
        <v>71311</v>
      </c>
      <c r="G1388" s="99">
        <v>36</v>
      </c>
      <c r="H1388" s="99">
        <v>4</v>
      </c>
      <c r="I1388" s="99">
        <v>0</v>
      </c>
      <c r="J1388" s="101">
        <f t="shared" si="183"/>
        <v>0.115220483641536</v>
      </c>
      <c r="K1388" s="102">
        <f t="shared" si="184"/>
        <v>4.91693827160494</v>
      </c>
      <c r="L1388" s="104">
        <f t="shared" si="185"/>
        <v>35.8102000642777</v>
      </c>
      <c r="M1388" s="92">
        <f t="shared" si="186"/>
        <v>0.00493827160493827</v>
      </c>
      <c r="N1388" s="46">
        <f t="shared" si="187"/>
        <v>35655.5</v>
      </c>
      <c r="O1388" s="46">
        <f t="shared" si="188"/>
        <v>995.68</v>
      </c>
      <c r="P1388" s="93">
        <f t="shared" si="189"/>
        <v>55.3155555555556</v>
      </c>
    </row>
    <row r="1389" s="2" customFormat="1" spans="1:16">
      <c r="A1389" s="106">
        <v>46036</v>
      </c>
      <c r="B1389" s="98">
        <v>1966.4</v>
      </c>
      <c r="C1389" s="99">
        <v>3351</v>
      </c>
      <c r="D1389" s="99">
        <v>396</v>
      </c>
      <c r="E1389" s="99">
        <v>0</v>
      </c>
      <c r="F1389" s="98">
        <v>0</v>
      </c>
      <c r="G1389" s="99">
        <v>21</v>
      </c>
      <c r="H1389" s="99">
        <v>3</v>
      </c>
      <c r="I1389" s="99">
        <v>1</v>
      </c>
      <c r="J1389" s="101">
        <f t="shared" si="183"/>
        <v>0.118173679498657</v>
      </c>
      <c r="K1389" s="102">
        <f t="shared" si="184"/>
        <v>4.96565656565657</v>
      </c>
      <c r="L1389" s="104">
        <f t="shared" si="185"/>
        <v>0</v>
      </c>
      <c r="M1389" s="92">
        <f t="shared" si="186"/>
        <v>0</v>
      </c>
      <c r="N1389" s="46">
        <f t="shared" si="187"/>
        <v>0</v>
      </c>
      <c r="O1389" s="46">
        <f t="shared" si="188"/>
        <v>0</v>
      </c>
      <c r="P1389" s="93">
        <f t="shared" si="189"/>
        <v>93.6380952380952</v>
      </c>
    </row>
    <row r="1390" s="2" customFormat="1" spans="1:16">
      <c r="A1390" s="106">
        <v>46037</v>
      </c>
      <c r="B1390" s="98">
        <v>1776.21</v>
      </c>
      <c r="C1390" s="99">
        <v>3017</v>
      </c>
      <c r="D1390" s="100">
        <v>356</v>
      </c>
      <c r="E1390" s="99">
        <v>0</v>
      </c>
      <c r="F1390" s="98">
        <v>0</v>
      </c>
      <c r="G1390" s="99">
        <v>13</v>
      </c>
      <c r="H1390" s="99">
        <v>2</v>
      </c>
      <c r="I1390" s="99">
        <v>1</v>
      </c>
      <c r="J1390" s="101">
        <f t="shared" si="183"/>
        <v>0.117998011269473</v>
      </c>
      <c r="K1390" s="102">
        <f t="shared" si="184"/>
        <v>4.98935393258427</v>
      </c>
      <c r="L1390" s="104">
        <f t="shared" si="185"/>
        <v>0</v>
      </c>
      <c r="M1390" s="92">
        <f t="shared" si="186"/>
        <v>0</v>
      </c>
      <c r="N1390" s="46">
        <f t="shared" si="187"/>
        <v>0</v>
      </c>
      <c r="O1390" s="46">
        <f t="shared" si="188"/>
        <v>0</v>
      </c>
      <c r="P1390" s="93">
        <f t="shared" si="189"/>
        <v>136.631538461538</v>
      </c>
    </row>
    <row r="1391" s="2" customFormat="1" spans="1:16">
      <c r="A1391" s="106">
        <v>46038</v>
      </c>
      <c r="B1391" s="98">
        <v>1741.49</v>
      </c>
      <c r="C1391" s="99">
        <v>3014</v>
      </c>
      <c r="D1391" s="99">
        <v>368</v>
      </c>
      <c r="E1391" s="99">
        <v>0</v>
      </c>
      <c r="F1391" s="98">
        <v>0</v>
      </c>
      <c r="G1391" s="99">
        <v>18</v>
      </c>
      <c r="H1391" s="99">
        <v>0</v>
      </c>
      <c r="I1391" s="99">
        <v>1</v>
      </c>
      <c r="J1391" s="101">
        <f t="shared" si="183"/>
        <v>0.122096881220969</v>
      </c>
      <c r="K1391" s="102">
        <f t="shared" si="184"/>
        <v>4.7323097826087</v>
      </c>
      <c r="L1391" s="104">
        <f t="shared" si="185"/>
        <v>0</v>
      </c>
      <c r="M1391" s="92">
        <f t="shared" si="186"/>
        <v>0</v>
      </c>
      <c r="N1391" s="46">
        <f t="shared" si="187"/>
        <v>0</v>
      </c>
      <c r="O1391" s="46">
        <f t="shared" si="188"/>
        <v>0</v>
      </c>
      <c r="P1391" s="93">
        <f t="shared" si="189"/>
        <v>96.7494444444444</v>
      </c>
    </row>
    <row r="1392" s="2" customFormat="1" spans="1:16">
      <c r="A1392" s="106">
        <v>46039</v>
      </c>
      <c r="B1392" s="98">
        <v>2101.26</v>
      </c>
      <c r="C1392" s="99">
        <v>3470</v>
      </c>
      <c r="D1392" s="99">
        <v>420</v>
      </c>
      <c r="E1392" s="99">
        <v>1</v>
      </c>
      <c r="F1392" s="98">
        <v>3217</v>
      </c>
      <c r="G1392" s="99">
        <v>17</v>
      </c>
      <c r="H1392" s="99">
        <v>2</v>
      </c>
      <c r="I1392" s="99">
        <v>1</v>
      </c>
      <c r="J1392" s="101">
        <f t="shared" si="183"/>
        <v>0.121037463976945</v>
      </c>
      <c r="K1392" s="102">
        <f t="shared" si="184"/>
        <v>5.003</v>
      </c>
      <c r="L1392" s="104">
        <f t="shared" si="185"/>
        <v>1.53098617020264</v>
      </c>
      <c r="M1392" s="92">
        <f t="shared" si="186"/>
        <v>0.00238095238095238</v>
      </c>
      <c r="N1392" s="46">
        <f t="shared" si="187"/>
        <v>3217</v>
      </c>
      <c r="O1392" s="46">
        <f t="shared" si="188"/>
        <v>2101.26</v>
      </c>
      <c r="P1392" s="93">
        <f t="shared" si="189"/>
        <v>123.603529411765</v>
      </c>
    </row>
    <row r="1393" s="2" customFormat="1" spans="1:16">
      <c r="A1393" s="106">
        <v>46040</v>
      </c>
      <c r="B1393" s="98">
        <v>1920.89</v>
      </c>
      <c r="C1393" s="99">
        <v>3325</v>
      </c>
      <c r="D1393" s="99">
        <v>447</v>
      </c>
      <c r="E1393" s="99">
        <v>2</v>
      </c>
      <c r="F1393" s="98">
        <v>18704</v>
      </c>
      <c r="G1393" s="99">
        <v>19</v>
      </c>
      <c r="H1393" s="99">
        <v>2</v>
      </c>
      <c r="I1393" s="99">
        <v>0</v>
      </c>
      <c r="J1393" s="101">
        <f t="shared" si="183"/>
        <v>0.134436090225564</v>
      </c>
      <c r="K1393" s="102">
        <f t="shared" si="184"/>
        <v>4.29729306487696</v>
      </c>
      <c r="L1393" s="104">
        <f t="shared" si="185"/>
        <v>9.73715309049451</v>
      </c>
      <c r="M1393" s="92">
        <f t="shared" si="186"/>
        <v>0.00447427293064877</v>
      </c>
      <c r="N1393" s="46">
        <f t="shared" si="187"/>
        <v>9352</v>
      </c>
      <c r="O1393" s="46">
        <f t="shared" si="188"/>
        <v>960.445</v>
      </c>
      <c r="P1393" s="93">
        <f t="shared" si="189"/>
        <v>101.099473684211</v>
      </c>
    </row>
    <row r="1394" s="2" customFormat="1" spans="1:16">
      <c r="A1394" s="106">
        <v>46041</v>
      </c>
      <c r="B1394" s="98">
        <v>2011.04</v>
      </c>
      <c r="C1394" s="99">
        <v>3539</v>
      </c>
      <c r="D1394" s="99">
        <v>402</v>
      </c>
      <c r="E1394" s="99">
        <v>0</v>
      </c>
      <c r="F1394" s="98">
        <v>0</v>
      </c>
      <c r="G1394" s="99">
        <v>17</v>
      </c>
      <c r="H1394" s="99">
        <v>1</v>
      </c>
      <c r="I1394" s="99">
        <v>3</v>
      </c>
      <c r="J1394" s="101">
        <f t="shared" si="183"/>
        <v>0.113591410002826</v>
      </c>
      <c r="K1394" s="102">
        <f t="shared" si="184"/>
        <v>5.00258706467662</v>
      </c>
      <c r="L1394" s="104">
        <f t="shared" si="185"/>
        <v>0</v>
      </c>
      <c r="M1394" s="92">
        <f t="shared" si="186"/>
        <v>0</v>
      </c>
      <c r="N1394" s="46">
        <f t="shared" si="187"/>
        <v>0</v>
      </c>
      <c r="O1394" s="46">
        <f t="shared" si="188"/>
        <v>0</v>
      </c>
      <c r="P1394" s="93">
        <f t="shared" si="189"/>
        <v>118.296470588235</v>
      </c>
    </row>
    <row r="1395" s="2" customFormat="1" spans="1:16">
      <c r="A1395" s="106">
        <v>46042</v>
      </c>
      <c r="B1395" s="98">
        <v>2346.99</v>
      </c>
      <c r="C1395" s="99">
        <v>5165</v>
      </c>
      <c r="D1395" s="99">
        <v>538</v>
      </c>
      <c r="E1395" s="99">
        <v>0</v>
      </c>
      <c r="F1395" s="98">
        <v>0</v>
      </c>
      <c r="G1395" s="99">
        <v>29</v>
      </c>
      <c r="H1395" s="99">
        <v>8</v>
      </c>
      <c r="I1395" s="99">
        <v>1</v>
      </c>
      <c r="J1395" s="101">
        <f t="shared" si="183"/>
        <v>0.104162633107454</v>
      </c>
      <c r="K1395" s="102">
        <f t="shared" si="184"/>
        <v>4.36243494423792</v>
      </c>
      <c r="L1395" s="104">
        <f t="shared" si="185"/>
        <v>0</v>
      </c>
      <c r="M1395" s="92">
        <f t="shared" si="186"/>
        <v>0</v>
      </c>
      <c r="N1395" s="46">
        <f t="shared" si="187"/>
        <v>0</v>
      </c>
      <c r="O1395" s="46">
        <f t="shared" si="188"/>
        <v>0</v>
      </c>
      <c r="P1395" s="93">
        <f t="shared" si="189"/>
        <v>80.9306896551724</v>
      </c>
    </row>
    <row r="1396" s="2" customFormat="1" spans="1:16">
      <c r="A1396" s="106">
        <v>46043</v>
      </c>
      <c r="B1396" s="98">
        <v>2418.76</v>
      </c>
      <c r="C1396" s="99">
        <v>4970</v>
      </c>
      <c r="D1396" s="99">
        <v>569</v>
      </c>
      <c r="E1396" s="99">
        <v>0</v>
      </c>
      <c r="F1396" s="98">
        <v>0</v>
      </c>
      <c r="G1396" s="99">
        <v>35</v>
      </c>
      <c r="H1396" s="99">
        <v>4</v>
      </c>
      <c r="I1396" s="99">
        <v>0</v>
      </c>
      <c r="J1396" s="101">
        <f t="shared" si="183"/>
        <v>0.114486921529175</v>
      </c>
      <c r="K1396" s="102">
        <f t="shared" si="184"/>
        <v>4.25089630931459</v>
      </c>
      <c r="L1396" s="104">
        <f t="shared" si="185"/>
        <v>0</v>
      </c>
      <c r="M1396" s="92">
        <f t="shared" si="186"/>
        <v>0</v>
      </c>
      <c r="N1396" s="46">
        <f t="shared" si="187"/>
        <v>0</v>
      </c>
      <c r="O1396" s="46">
        <f t="shared" si="188"/>
        <v>0</v>
      </c>
      <c r="P1396" s="93">
        <f t="shared" si="189"/>
        <v>69.1074285714286</v>
      </c>
    </row>
    <row r="1397" s="2" customFormat="1" spans="1:16">
      <c r="A1397" s="106">
        <v>46044</v>
      </c>
      <c r="B1397" s="98">
        <v>2595.62</v>
      </c>
      <c r="C1397" s="99">
        <v>4390</v>
      </c>
      <c r="D1397" s="99">
        <v>526</v>
      </c>
      <c r="E1397" s="99">
        <v>1</v>
      </c>
      <c r="F1397" s="98">
        <v>16122</v>
      </c>
      <c r="G1397" s="99">
        <v>20</v>
      </c>
      <c r="H1397" s="99">
        <v>5</v>
      </c>
      <c r="I1397" s="99">
        <v>3</v>
      </c>
      <c r="J1397" s="101">
        <f t="shared" si="183"/>
        <v>0.119817767653759</v>
      </c>
      <c r="K1397" s="102">
        <f t="shared" si="184"/>
        <v>4.93463878326996</v>
      </c>
      <c r="L1397" s="104">
        <f t="shared" si="185"/>
        <v>6.2112327690494</v>
      </c>
      <c r="M1397" s="92">
        <f t="shared" si="186"/>
        <v>0.00190114068441065</v>
      </c>
      <c r="N1397" s="46">
        <f t="shared" si="187"/>
        <v>16122</v>
      </c>
      <c r="O1397" s="46">
        <f t="shared" si="188"/>
        <v>2595.62</v>
      </c>
      <c r="P1397" s="93">
        <f t="shared" si="189"/>
        <v>129.781</v>
      </c>
    </row>
    <row r="1398" s="2" customFormat="1" spans="1:16">
      <c r="A1398" s="106">
        <v>46045</v>
      </c>
      <c r="B1398" s="98">
        <v>2547.76</v>
      </c>
      <c r="C1398" s="99">
        <v>3516</v>
      </c>
      <c r="D1398" s="99">
        <v>568</v>
      </c>
      <c r="E1398" s="99">
        <v>0</v>
      </c>
      <c r="F1398" s="98">
        <v>0</v>
      </c>
      <c r="G1398" s="99">
        <v>34</v>
      </c>
      <c r="H1398" s="99">
        <v>1</v>
      </c>
      <c r="I1398" s="99">
        <v>2</v>
      </c>
      <c r="J1398" s="101">
        <f t="shared" si="183"/>
        <v>0.161547212741752</v>
      </c>
      <c r="K1398" s="102">
        <f t="shared" si="184"/>
        <v>4.48549295774648</v>
      </c>
      <c r="L1398" s="104">
        <f t="shared" si="185"/>
        <v>0</v>
      </c>
      <c r="M1398" s="92">
        <f t="shared" si="186"/>
        <v>0</v>
      </c>
      <c r="N1398" s="46">
        <f t="shared" si="187"/>
        <v>0</v>
      </c>
      <c r="O1398" s="46">
        <f t="shared" si="188"/>
        <v>0</v>
      </c>
      <c r="P1398" s="93">
        <f t="shared" si="189"/>
        <v>74.9341176470588</v>
      </c>
    </row>
    <row r="1399" s="2" customFormat="1" spans="1:16">
      <c r="A1399" s="106">
        <v>46046</v>
      </c>
      <c r="B1399" s="98">
        <v>2554.81</v>
      </c>
      <c r="C1399" s="99">
        <v>4000</v>
      </c>
      <c r="D1399" s="99">
        <v>535</v>
      </c>
      <c r="E1399" s="99">
        <v>0</v>
      </c>
      <c r="F1399" s="98">
        <v>0</v>
      </c>
      <c r="G1399" s="99">
        <v>32</v>
      </c>
      <c r="H1399" s="99">
        <v>4</v>
      </c>
      <c r="I1399" s="99">
        <v>5</v>
      </c>
      <c r="J1399" s="101">
        <f t="shared" si="183"/>
        <v>0.13375</v>
      </c>
      <c r="K1399" s="102">
        <f t="shared" si="184"/>
        <v>4.77534579439252</v>
      </c>
      <c r="L1399" s="104">
        <f t="shared" si="185"/>
        <v>0</v>
      </c>
      <c r="M1399" s="92">
        <f t="shared" si="186"/>
        <v>0</v>
      </c>
      <c r="N1399" s="46">
        <f t="shared" si="187"/>
        <v>0</v>
      </c>
      <c r="O1399" s="46">
        <f t="shared" si="188"/>
        <v>0</v>
      </c>
      <c r="P1399" s="93">
        <f t="shared" si="189"/>
        <v>79.8378125</v>
      </c>
    </row>
    <row r="1400" s="2" customFormat="1" spans="1:16">
      <c r="A1400" s="106">
        <v>46047</v>
      </c>
      <c r="B1400" s="98">
        <v>2558.48</v>
      </c>
      <c r="C1400" s="99">
        <v>4904</v>
      </c>
      <c r="D1400" s="99">
        <v>636</v>
      </c>
      <c r="E1400" s="99">
        <v>1</v>
      </c>
      <c r="F1400" s="98">
        <v>11354</v>
      </c>
      <c r="G1400" s="99">
        <v>41</v>
      </c>
      <c r="H1400" s="99">
        <v>2</v>
      </c>
      <c r="I1400" s="99">
        <v>4</v>
      </c>
      <c r="J1400" s="101">
        <f t="shared" si="183"/>
        <v>0.129690048939641</v>
      </c>
      <c r="K1400" s="102">
        <f t="shared" si="184"/>
        <v>4.02276729559748</v>
      </c>
      <c r="L1400" s="104">
        <f t="shared" si="185"/>
        <v>4.43779118851818</v>
      </c>
      <c r="M1400" s="92">
        <f t="shared" si="186"/>
        <v>0.00157232704402516</v>
      </c>
      <c r="N1400" s="46">
        <f t="shared" si="187"/>
        <v>11354</v>
      </c>
      <c r="O1400" s="46">
        <f t="shared" si="188"/>
        <v>2558.48</v>
      </c>
      <c r="P1400" s="93">
        <f t="shared" si="189"/>
        <v>62.4019512195122</v>
      </c>
    </row>
    <row r="1401" s="2" customFormat="1" spans="1:16">
      <c r="A1401" s="106">
        <v>46048</v>
      </c>
      <c r="B1401" s="98">
        <v>2424.39</v>
      </c>
      <c r="C1401" s="99">
        <v>3929</v>
      </c>
      <c r="D1401" s="99">
        <v>487</v>
      </c>
      <c r="E1401" s="99">
        <v>0</v>
      </c>
      <c r="F1401" s="98">
        <v>0</v>
      </c>
      <c r="G1401" s="99">
        <v>25</v>
      </c>
      <c r="H1401" s="99">
        <v>0</v>
      </c>
      <c r="I1401" s="99">
        <v>0</v>
      </c>
      <c r="J1401" s="101">
        <f t="shared" si="183"/>
        <v>0.12395011453296</v>
      </c>
      <c r="K1401" s="102">
        <f t="shared" si="184"/>
        <v>4.9782135523614</v>
      </c>
      <c r="L1401" s="104">
        <f t="shared" si="185"/>
        <v>0</v>
      </c>
      <c r="M1401" s="92">
        <f t="shared" si="186"/>
        <v>0</v>
      </c>
      <c r="N1401" s="46">
        <f t="shared" si="187"/>
        <v>0</v>
      </c>
      <c r="O1401" s="46">
        <f t="shared" si="188"/>
        <v>0</v>
      </c>
      <c r="P1401" s="93">
        <f t="shared" si="189"/>
        <v>96.9756</v>
      </c>
    </row>
    <row r="1402" s="2" customFormat="1" spans="1:16">
      <c r="A1402" s="106">
        <v>46049</v>
      </c>
      <c r="B1402" s="98">
        <v>2368.67</v>
      </c>
      <c r="C1402" s="99">
        <v>7144</v>
      </c>
      <c r="D1402" s="99">
        <v>593</v>
      </c>
      <c r="E1402" s="99">
        <v>1</v>
      </c>
      <c r="F1402" s="98">
        <v>8146</v>
      </c>
      <c r="G1402" s="99">
        <v>23</v>
      </c>
      <c r="H1402" s="99">
        <v>2</v>
      </c>
      <c r="I1402" s="99">
        <v>3</v>
      </c>
      <c r="J1402" s="101">
        <f t="shared" si="183"/>
        <v>0.083006718924972</v>
      </c>
      <c r="K1402" s="102">
        <f t="shared" si="184"/>
        <v>3.9943844856661</v>
      </c>
      <c r="L1402" s="104">
        <f t="shared" si="185"/>
        <v>3.4390607387268</v>
      </c>
      <c r="M1402" s="92">
        <f t="shared" si="186"/>
        <v>0.00168634064080944</v>
      </c>
      <c r="N1402" s="46">
        <f t="shared" si="187"/>
        <v>8146</v>
      </c>
      <c r="O1402" s="46">
        <f t="shared" si="188"/>
        <v>2368.67</v>
      </c>
      <c r="P1402" s="93">
        <f t="shared" si="189"/>
        <v>102.985652173913</v>
      </c>
    </row>
    <row r="1403" s="2" customFormat="1" spans="1:16">
      <c r="A1403" s="106">
        <v>46050</v>
      </c>
      <c r="B1403" s="98">
        <v>2049.86</v>
      </c>
      <c r="C1403" s="99">
        <v>6127</v>
      </c>
      <c r="D1403" s="99">
        <v>599</v>
      </c>
      <c r="E1403" s="99">
        <v>0</v>
      </c>
      <c r="F1403" s="98">
        <v>0</v>
      </c>
      <c r="G1403" s="99">
        <v>15</v>
      </c>
      <c r="H1403" s="99">
        <v>1</v>
      </c>
      <c r="I1403" s="99">
        <v>6</v>
      </c>
      <c r="J1403" s="101">
        <f t="shared" si="183"/>
        <v>0.0977639954300637</v>
      </c>
      <c r="K1403" s="102">
        <f t="shared" si="184"/>
        <v>3.42213689482471</v>
      </c>
      <c r="L1403" s="104">
        <f t="shared" si="185"/>
        <v>0</v>
      </c>
      <c r="M1403" s="92">
        <f t="shared" si="186"/>
        <v>0</v>
      </c>
      <c r="N1403" s="46">
        <f t="shared" si="187"/>
        <v>0</v>
      </c>
      <c r="O1403" s="46">
        <f t="shared" si="188"/>
        <v>0</v>
      </c>
      <c r="P1403" s="93">
        <f t="shared" si="189"/>
        <v>136.657333333333</v>
      </c>
    </row>
    <row r="1404" s="2" customFormat="1" spans="1:16">
      <c r="A1404" s="106">
        <v>46051</v>
      </c>
      <c r="B1404" s="98">
        <v>1860.03</v>
      </c>
      <c r="C1404" s="99">
        <v>5650</v>
      </c>
      <c r="D1404" s="99">
        <v>547</v>
      </c>
      <c r="E1404" s="99">
        <v>0</v>
      </c>
      <c r="F1404" s="98">
        <v>0</v>
      </c>
      <c r="G1404" s="99">
        <v>24</v>
      </c>
      <c r="H1404" s="99">
        <v>1</v>
      </c>
      <c r="I1404" s="99">
        <v>2</v>
      </c>
      <c r="J1404" s="101">
        <f t="shared" si="183"/>
        <v>0.0968141592920354</v>
      </c>
      <c r="K1404" s="102">
        <f t="shared" si="184"/>
        <v>3.40042047531993</v>
      </c>
      <c r="L1404" s="104">
        <f t="shared" si="185"/>
        <v>0</v>
      </c>
      <c r="M1404" s="92">
        <f t="shared" si="186"/>
        <v>0</v>
      </c>
      <c r="N1404" s="46">
        <f t="shared" si="187"/>
        <v>0</v>
      </c>
      <c r="O1404" s="46">
        <f t="shared" si="188"/>
        <v>0</v>
      </c>
      <c r="P1404" s="93">
        <f t="shared" si="189"/>
        <v>77.50125</v>
      </c>
    </row>
    <row r="1405" s="2" customFormat="1" spans="1:16">
      <c r="A1405" s="106">
        <v>46052</v>
      </c>
      <c r="B1405" s="98">
        <v>1830.03</v>
      </c>
      <c r="C1405" s="99">
        <v>6901</v>
      </c>
      <c r="D1405" s="99">
        <v>638</v>
      </c>
      <c r="E1405" s="99">
        <v>1</v>
      </c>
      <c r="F1405" s="98">
        <v>15332</v>
      </c>
      <c r="G1405" s="99">
        <v>19</v>
      </c>
      <c r="H1405" s="99">
        <v>4</v>
      </c>
      <c r="I1405" s="99">
        <v>2</v>
      </c>
      <c r="J1405" s="101">
        <f t="shared" si="183"/>
        <v>0.092450369511665</v>
      </c>
      <c r="K1405" s="102">
        <f t="shared" si="184"/>
        <v>2.8683855799373</v>
      </c>
      <c r="L1405" s="104">
        <f t="shared" si="185"/>
        <v>8.37800473216286</v>
      </c>
      <c r="M1405" s="92">
        <f t="shared" si="186"/>
        <v>0.00156739811912226</v>
      </c>
      <c r="N1405" s="46">
        <f t="shared" si="187"/>
        <v>15332</v>
      </c>
      <c r="O1405" s="46">
        <f t="shared" si="188"/>
        <v>1830.03</v>
      </c>
      <c r="P1405" s="93">
        <f t="shared" si="189"/>
        <v>96.3173684210526</v>
      </c>
    </row>
    <row r="1406" s="2" customFormat="1" spans="1:16">
      <c r="A1406" s="106">
        <v>46053</v>
      </c>
      <c r="B1406" s="98">
        <v>1650.87</v>
      </c>
      <c r="C1406" s="99">
        <v>6257</v>
      </c>
      <c r="D1406" s="99">
        <v>574</v>
      </c>
      <c r="E1406" s="99">
        <v>0</v>
      </c>
      <c r="F1406" s="98">
        <v>0</v>
      </c>
      <c r="G1406" s="99">
        <v>7</v>
      </c>
      <c r="H1406" s="99">
        <v>2</v>
      </c>
      <c r="I1406" s="99">
        <v>2</v>
      </c>
      <c r="J1406" s="101">
        <f t="shared" si="183"/>
        <v>0.0917372542752118</v>
      </c>
      <c r="K1406" s="102">
        <f t="shared" si="184"/>
        <v>2.87608013937282</v>
      </c>
      <c r="L1406" s="104">
        <f t="shared" si="185"/>
        <v>0</v>
      </c>
      <c r="M1406" s="92">
        <f t="shared" si="186"/>
        <v>0</v>
      </c>
      <c r="N1406" s="46">
        <f t="shared" si="187"/>
        <v>0</v>
      </c>
      <c r="O1406" s="46">
        <f t="shared" si="188"/>
        <v>0</v>
      </c>
      <c r="P1406" s="93">
        <f t="shared" si="189"/>
        <v>235.838571428571</v>
      </c>
    </row>
    <row r="1407" s="2" customFormat="1" spans="1:16">
      <c r="A1407" s="106">
        <v>46054</v>
      </c>
      <c r="B1407" s="98">
        <v>1700.97</v>
      </c>
      <c r="C1407" s="99">
        <v>5029</v>
      </c>
      <c r="D1407" s="99">
        <v>560</v>
      </c>
      <c r="E1407" s="99">
        <v>0</v>
      </c>
      <c r="F1407" s="98">
        <v>0</v>
      </c>
      <c r="G1407" s="99">
        <v>20</v>
      </c>
      <c r="H1407" s="99">
        <v>5</v>
      </c>
      <c r="I1407" s="99">
        <v>1</v>
      </c>
      <c r="J1407" s="101">
        <f t="shared" si="183"/>
        <v>0.11135414595347</v>
      </c>
      <c r="K1407" s="102">
        <f t="shared" si="184"/>
        <v>3.03744642857143</v>
      </c>
      <c r="L1407" s="104">
        <f t="shared" si="185"/>
        <v>0</v>
      </c>
      <c r="M1407" s="92">
        <f t="shared" si="186"/>
        <v>0</v>
      </c>
      <c r="N1407" s="46">
        <f t="shared" si="187"/>
        <v>0</v>
      </c>
      <c r="O1407" s="46">
        <f t="shared" si="188"/>
        <v>0</v>
      </c>
      <c r="P1407" s="93">
        <f t="shared" si="189"/>
        <v>85.0485</v>
      </c>
    </row>
    <row r="1408" s="2" customFormat="1" spans="1:16">
      <c r="A1408" s="106">
        <v>46055</v>
      </c>
      <c r="B1408" s="98">
        <v>1741.53</v>
      </c>
      <c r="C1408" s="99">
        <v>5668</v>
      </c>
      <c r="D1408" s="99">
        <v>567</v>
      </c>
      <c r="E1408" s="99">
        <v>0</v>
      </c>
      <c r="F1408" s="98">
        <v>0</v>
      </c>
      <c r="G1408" s="99">
        <v>18</v>
      </c>
      <c r="H1408" s="99">
        <v>2</v>
      </c>
      <c r="I1408" s="99">
        <v>2</v>
      </c>
      <c r="J1408" s="101">
        <f t="shared" si="183"/>
        <v>0.100035285815102</v>
      </c>
      <c r="K1408" s="102">
        <f t="shared" si="184"/>
        <v>3.07148148148148</v>
      </c>
      <c r="L1408" s="104">
        <f t="shared" si="185"/>
        <v>0</v>
      </c>
      <c r="M1408" s="92">
        <f t="shared" si="186"/>
        <v>0</v>
      </c>
      <c r="N1408" s="46">
        <f t="shared" si="187"/>
        <v>0</v>
      </c>
      <c r="O1408" s="46">
        <f t="shared" si="188"/>
        <v>0</v>
      </c>
      <c r="P1408" s="93">
        <f t="shared" si="189"/>
        <v>96.7516666666667</v>
      </c>
    </row>
    <row r="1409" s="2" customFormat="1" spans="1:16">
      <c r="A1409" s="106">
        <v>46056</v>
      </c>
      <c r="B1409" s="98">
        <v>1856.59</v>
      </c>
      <c r="C1409" s="99">
        <v>5274</v>
      </c>
      <c r="D1409" s="99">
        <v>580</v>
      </c>
      <c r="E1409" s="99">
        <v>1</v>
      </c>
      <c r="F1409" s="98">
        <v>9944</v>
      </c>
      <c r="G1409" s="99">
        <v>22</v>
      </c>
      <c r="H1409" s="99">
        <v>2</v>
      </c>
      <c r="I1409" s="99">
        <v>4</v>
      </c>
      <c r="J1409" s="101">
        <f t="shared" si="183"/>
        <v>0.109973454683352</v>
      </c>
      <c r="K1409" s="102">
        <f t="shared" si="184"/>
        <v>3.20101724137931</v>
      </c>
      <c r="L1409" s="104">
        <f t="shared" si="185"/>
        <v>5.35605599513086</v>
      </c>
      <c r="M1409" s="92">
        <f t="shared" si="186"/>
        <v>0.00172413793103448</v>
      </c>
      <c r="N1409" s="46">
        <f t="shared" si="187"/>
        <v>9944</v>
      </c>
      <c r="O1409" s="46">
        <f t="shared" si="188"/>
        <v>1856.59</v>
      </c>
      <c r="P1409" s="93">
        <f t="shared" si="189"/>
        <v>84.3904545454545</v>
      </c>
    </row>
    <row r="1410" s="2" customFormat="1" spans="1:16">
      <c r="A1410" s="106">
        <v>46057</v>
      </c>
      <c r="B1410" s="98">
        <v>1929.02</v>
      </c>
      <c r="C1410" s="99">
        <v>5850</v>
      </c>
      <c r="D1410" s="99">
        <v>592</v>
      </c>
      <c r="E1410" s="99">
        <v>0</v>
      </c>
      <c r="F1410" s="98">
        <v>0</v>
      </c>
      <c r="G1410" s="99">
        <v>27</v>
      </c>
      <c r="H1410" s="99">
        <v>5</v>
      </c>
      <c r="I1410" s="99">
        <v>2</v>
      </c>
      <c r="J1410" s="101">
        <f t="shared" si="183"/>
        <v>0.101196581196581</v>
      </c>
      <c r="K1410" s="102">
        <f t="shared" si="184"/>
        <v>3.25847972972973</v>
      </c>
      <c r="L1410" s="104">
        <f t="shared" si="185"/>
        <v>0</v>
      </c>
      <c r="M1410" s="92">
        <f t="shared" si="186"/>
        <v>0</v>
      </c>
      <c r="N1410" s="46">
        <f t="shared" si="187"/>
        <v>0</v>
      </c>
      <c r="O1410" s="46">
        <f t="shared" si="188"/>
        <v>0</v>
      </c>
      <c r="P1410" s="93">
        <f t="shared" si="189"/>
        <v>71.4451851851852</v>
      </c>
    </row>
    <row r="1411" s="2" customFormat="1" spans="1:16">
      <c r="A1411" s="106">
        <v>46058</v>
      </c>
      <c r="B1411" s="98">
        <v>2034.75</v>
      </c>
      <c r="C1411" s="99">
        <v>6463</v>
      </c>
      <c r="D1411" s="99">
        <v>619</v>
      </c>
      <c r="E1411" s="99">
        <v>0</v>
      </c>
      <c r="F1411" s="98">
        <v>0</v>
      </c>
      <c r="G1411" s="99">
        <v>40</v>
      </c>
      <c r="H1411" s="99">
        <v>1</v>
      </c>
      <c r="I1411" s="99">
        <v>2</v>
      </c>
      <c r="J1411" s="101">
        <f t="shared" si="183"/>
        <v>0.0957759554386508</v>
      </c>
      <c r="K1411" s="102">
        <f t="shared" si="184"/>
        <v>3.28715670436187</v>
      </c>
      <c r="L1411" s="104">
        <f t="shared" si="185"/>
        <v>0</v>
      </c>
      <c r="M1411" s="92">
        <f t="shared" si="186"/>
        <v>0</v>
      </c>
      <c r="N1411" s="46">
        <f t="shared" si="187"/>
        <v>0</v>
      </c>
      <c r="O1411" s="46">
        <f t="shared" si="188"/>
        <v>0</v>
      </c>
      <c r="P1411" s="93">
        <f t="shared" si="189"/>
        <v>50.86875</v>
      </c>
    </row>
    <row r="1412" s="2" customFormat="1" spans="1:16">
      <c r="A1412" s="106">
        <v>46059</v>
      </c>
      <c r="B1412" s="98">
        <v>2777.01</v>
      </c>
      <c r="C1412" s="99">
        <v>7549</v>
      </c>
      <c r="D1412" s="99">
        <v>745</v>
      </c>
      <c r="E1412" s="99">
        <v>1</v>
      </c>
      <c r="F1412" s="98">
        <v>9594</v>
      </c>
      <c r="G1412" s="99">
        <v>32</v>
      </c>
      <c r="H1412" s="99">
        <v>5</v>
      </c>
      <c r="I1412" s="99">
        <v>2</v>
      </c>
      <c r="J1412" s="101">
        <f t="shared" si="183"/>
        <v>0.0986885680222546</v>
      </c>
      <c r="K1412" s="102">
        <f t="shared" si="184"/>
        <v>3.72753020134228</v>
      </c>
      <c r="L1412" s="104">
        <f t="shared" si="185"/>
        <v>3.45479490531183</v>
      </c>
      <c r="M1412" s="92">
        <f t="shared" si="186"/>
        <v>0.00134228187919463</v>
      </c>
      <c r="N1412" s="46">
        <f t="shared" si="187"/>
        <v>9594</v>
      </c>
      <c r="O1412" s="46">
        <f t="shared" si="188"/>
        <v>2777.01</v>
      </c>
      <c r="P1412" s="93">
        <f t="shared" si="189"/>
        <v>86.7815625</v>
      </c>
    </row>
    <row r="1413" s="2" customFormat="1" spans="1:16">
      <c r="A1413" s="106">
        <v>46060</v>
      </c>
      <c r="B1413" s="98">
        <v>1991.94</v>
      </c>
      <c r="C1413" s="99">
        <v>5794</v>
      </c>
      <c r="D1413" s="99">
        <v>700</v>
      </c>
      <c r="E1413" s="99">
        <v>0</v>
      </c>
      <c r="F1413" s="98">
        <v>0</v>
      </c>
      <c r="G1413" s="99">
        <v>15</v>
      </c>
      <c r="H1413" s="99">
        <v>4</v>
      </c>
      <c r="I1413" s="99">
        <v>1</v>
      </c>
      <c r="J1413" s="101">
        <f t="shared" si="183"/>
        <v>0.120814635830169</v>
      </c>
      <c r="K1413" s="102">
        <f t="shared" si="184"/>
        <v>2.84562857142857</v>
      </c>
      <c r="L1413" s="104">
        <f t="shared" si="185"/>
        <v>0</v>
      </c>
      <c r="M1413" s="92">
        <f t="shared" si="186"/>
        <v>0</v>
      </c>
      <c r="N1413" s="46">
        <f t="shared" si="187"/>
        <v>0</v>
      </c>
      <c r="O1413" s="46">
        <f t="shared" si="188"/>
        <v>0</v>
      </c>
      <c r="P1413" s="93">
        <f t="shared" si="189"/>
        <v>132.796</v>
      </c>
    </row>
    <row r="1414" s="2" customFormat="1" spans="1:16">
      <c r="A1414" s="106">
        <v>46061</v>
      </c>
      <c r="B1414" s="98">
        <v>2372.71</v>
      </c>
      <c r="C1414" s="99">
        <v>6615</v>
      </c>
      <c r="D1414" s="99">
        <v>826</v>
      </c>
      <c r="E1414" s="99">
        <v>0</v>
      </c>
      <c r="F1414" s="98">
        <v>0</v>
      </c>
      <c r="G1414" s="99">
        <v>22</v>
      </c>
      <c r="H1414" s="99">
        <v>5</v>
      </c>
      <c r="I1414" s="99">
        <v>3</v>
      </c>
      <c r="J1414" s="101">
        <f t="shared" si="183"/>
        <v>0.124867724867725</v>
      </c>
      <c r="K1414" s="102">
        <f t="shared" si="184"/>
        <v>2.87253026634383</v>
      </c>
      <c r="L1414" s="104">
        <f t="shared" si="185"/>
        <v>0</v>
      </c>
      <c r="M1414" s="92">
        <f t="shared" si="186"/>
        <v>0</v>
      </c>
      <c r="N1414" s="46">
        <f t="shared" si="187"/>
        <v>0</v>
      </c>
      <c r="O1414" s="46">
        <f t="shared" si="188"/>
        <v>0</v>
      </c>
      <c r="P1414" s="93">
        <f t="shared" si="189"/>
        <v>107.850454545455</v>
      </c>
    </row>
    <row r="1415" s="2" customFormat="1" spans="1:16">
      <c r="A1415" s="106">
        <v>46062</v>
      </c>
      <c r="B1415" s="98">
        <v>2205.94</v>
      </c>
      <c r="C1415" s="108">
        <v>7337</v>
      </c>
      <c r="D1415" s="108">
        <v>822</v>
      </c>
      <c r="E1415" s="108">
        <v>0</v>
      </c>
      <c r="F1415" s="98">
        <v>0</v>
      </c>
      <c r="G1415" s="108">
        <v>25</v>
      </c>
      <c r="H1415" s="108">
        <v>5</v>
      </c>
      <c r="I1415" s="108">
        <v>2</v>
      </c>
      <c r="J1415" s="101">
        <f t="shared" si="183"/>
        <v>0.112034891645087</v>
      </c>
      <c r="K1415" s="109">
        <f t="shared" si="184"/>
        <v>2.68362530413625</v>
      </c>
      <c r="L1415" s="110">
        <f t="shared" si="185"/>
        <v>0</v>
      </c>
      <c r="M1415" s="92">
        <f t="shared" si="186"/>
        <v>0</v>
      </c>
      <c r="N1415" s="46">
        <f t="shared" si="187"/>
        <v>0</v>
      </c>
      <c r="O1415" s="46">
        <f t="shared" si="188"/>
        <v>0</v>
      </c>
      <c r="P1415" s="93">
        <f t="shared" si="189"/>
        <v>88.2376</v>
      </c>
    </row>
    <row r="1416" s="2" customFormat="1" spans="1:16">
      <c r="A1416" s="106">
        <v>46063</v>
      </c>
      <c r="B1416" s="98">
        <v>1146.68</v>
      </c>
      <c r="C1416" s="99">
        <v>4154</v>
      </c>
      <c r="D1416" s="99">
        <v>478</v>
      </c>
      <c r="E1416" s="99">
        <v>2</v>
      </c>
      <c r="F1416" s="98">
        <v>21424</v>
      </c>
      <c r="G1416" s="99">
        <v>26</v>
      </c>
      <c r="H1416" s="99">
        <v>0</v>
      </c>
      <c r="I1416" s="99">
        <v>1</v>
      </c>
      <c r="J1416" s="101">
        <f t="shared" si="183"/>
        <v>0.115069812229177</v>
      </c>
      <c r="K1416" s="102">
        <f t="shared" si="184"/>
        <v>2.39891213389121</v>
      </c>
      <c r="L1416" s="104">
        <f t="shared" si="185"/>
        <v>18.6835036801898</v>
      </c>
      <c r="M1416" s="92">
        <f t="shared" si="186"/>
        <v>0.00418410041841004</v>
      </c>
      <c r="N1416" s="46">
        <f t="shared" si="187"/>
        <v>10712</v>
      </c>
      <c r="O1416" s="46">
        <f t="shared" si="188"/>
        <v>573.34</v>
      </c>
      <c r="P1416" s="93">
        <f t="shared" si="189"/>
        <v>44.1030769230769</v>
      </c>
    </row>
    <row r="1417" s="2" customFormat="1" spans="1:16">
      <c r="A1417" s="106">
        <v>46064</v>
      </c>
      <c r="B1417" s="98">
        <v>987.47</v>
      </c>
      <c r="C1417" s="99">
        <v>4791</v>
      </c>
      <c r="D1417" s="99">
        <v>503</v>
      </c>
      <c r="E1417" s="99">
        <v>0</v>
      </c>
      <c r="F1417" s="98">
        <v>0</v>
      </c>
      <c r="G1417" s="99">
        <v>22</v>
      </c>
      <c r="H1417" s="99">
        <v>1</v>
      </c>
      <c r="I1417" s="99">
        <v>0</v>
      </c>
      <c r="J1417" s="101">
        <f t="shared" si="183"/>
        <v>0.104988520141933</v>
      </c>
      <c r="K1417" s="102">
        <f t="shared" si="184"/>
        <v>1.96316103379722</v>
      </c>
      <c r="L1417" s="104">
        <f t="shared" si="185"/>
        <v>0</v>
      </c>
      <c r="M1417" s="92">
        <f t="shared" si="186"/>
        <v>0</v>
      </c>
      <c r="N1417" s="46">
        <f t="shared" si="187"/>
        <v>0</v>
      </c>
      <c r="O1417" s="46">
        <f t="shared" si="188"/>
        <v>0</v>
      </c>
      <c r="P1417" s="93">
        <f t="shared" si="189"/>
        <v>44.885</v>
      </c>
    </row>
    <row r="1418" s="2" customFormat="1" spans="1:16">
      <c r="A1418" s="106">
        <v>46065</v>
      </c>
      <c r="B1418" s="98">
        <v>966.44</v>
      </c>
      <c r="C1418" s="99">
        <v>5947</v>
      </c>
      <c r="D1418" s="99">
        <v>478</v>
      </c>
      <c r="E1418" s="99">
        <v>0</v>
      </c>
      <c r="F1418" s="98">
        <v>0</v>
      </c>
      <c r="G1418" s="99">
        <v>10</v>
      </c>
      <c r="H1418" s="99">
        <v>0</v>
      </c>
      <c r="I1418" s="99">
        <v>3</v>
      </c>
      <c r="J1418" s="101">
        <f t="shared" si="183"/>
        <v>0.080376660501093</v>
      </c>
      <c r="K1418" s="102">
        <f t="shared" si="184"/>
        <v>2.0218410041841</v>
      </c>
      <c r="L1418" s="104">
        <f t="shared" si="185"/>
        <v>0</v>
      </c>
      <c r="M1418" s="92">
        <f t="shared" si="186"/>
        <v>0</v>
      </c>
      <c r="N1418" s="46">
        <f t="shared" si="187"/>
        <v>0</v>
      </c>
      <c r="O1418" s="46">
        <f t="shared" si="188"/>
        <v>0</v>
      </c>
      <c r="P1418" s="93">
        <f t="shared" si="189"/>
        <v>96.644</v>
      </c>
    </row>
    <row r="1419" s="2" customFormat="1" spans="1:16">
      <c r="A1419" s="106">
        <v>46066</v>
      </c>
      <c r="B1419" s="98">
        <v>826.31</v>
      </c>
      <c r="C1419" s="99">
        <v>4601</v>
      </c>
      <c r="D1419" s="99">
        <v>413</v>
      </c>
      <c r="E1419" s="99">
        <v>2</v>
      </c>
      <c r="F1419" s="98">
        <v>38458</v>
      </c>
      <c r="G1419" s="99">
        <v>17</v>
      </c>
      <c r="H1419" s="99">
        <v>1</v>
      </c>
      <c r="I1419" s="99">
        <v>1</v>
      </c>
      <c r="J1419" s="101">
        <f t="shared" si="183"/>
        <v>0.0897630949793523</v>
      </c>
      <c r="K1419" s="102">
        <f t="shared" si="184"/>
        <v>2.00075060532688</v>
      </c>
      <c r="L1419" s="104">
        <f t="shared" si="185"/>
        <v>46.5418547518486</v>
      </c>
      <c r="M1419" s="92">
        <f t="shared" si="186"/>
        <v>0.00484261501210654</v>
      </c>
      <c r="N1419" s="46">
        <f t="shared" si="187"/>
        <v>19229</v>
      </c>
      <c r="O1419" s="46">
        <f t="shared" si="188"/>
        <v>413.155</v>
      </c>
      <c r="P1419" s="93">
        <f t="shared" si="189"/>
        <v>48.6064705882353</v>
      </c>
    </row>
    <row r="1420" s="2" customFormat="1" spans="1:16">
      <c r="A1420" s="106">
        <v>46067</v>
      </c>
      <c r="B1420" s="98">
        <v>897.96</v>
      </c>
      <c r="C1420" s="99">
        <v>5179</v>
      </c>
      <c r="D1420" s="99">
        <v>463</v>
      </c>
      <c r="E1420" s="99">
        <v>0</v>
      </c>
      <c r="F1420" s="98">
        <v>0</v>
      </c>
      <c r="G1420" s="99">
        <v>19</v>
      </c>
      <c r="H1420" s="99">
        <v>1</v>
      </c>
      <c r="I1420" s="99">
        <v>0</v>
      </c>
      <c r="J1420" s="101">
        <f t="shared" si="183"/>
        <v>0.0893994979725816</v>
      </c>
      <c r="K1420" s="102">
        <f t="shared" si="184"/>
        <v>1.93943844492441</v>
      </c>
      <c r="L1420" s="104">
        <f t="shared" si="185"/>
        <v>0</v>
      </c>
      <c r="M1420" s="92">
        <f t="shared" si="186"/>
        <v>0</v>
      </c>
      <c r="N1420" s="46">
        <f t="shared" si="187"/>
        <v>0</v>
      </c>
      <c r="O1420" s="46">
        <f t="shared" si="188"/>
        <v>0</v>
      </c>
      <c r="P1420" s="93">
        <f t="shared" si="189"/>
        <v>47.2610526315789</v>
      </c>
    </row>
    <row r="1421" s="2" customFormat="1" spans="1:16">
      <c r="A1421" s="106">
        <v>46068</v>
      </c>
      <c r="B1421" s="98">
        <v>887.13</v>
      </c>
      <c r="C1421" s="99">
        <v>6848</v>
      </c>
      <c r="D1421" s="99">
        <v>524</v>
      </c>
      <c r="E1421" s="99">
        <v>0</v>
      </c>
      <c r="F1421" s="98">
        <v>0</v>
      </c>
      <c r="G1421" s="99">
        <v>8</v>
      </c>
      <c r="H1421" s="99">
        <v>3</v>
      </c>
      <c r="I1421" s="99">
        <v>0</v>
      </c>
      <c r="J1421" s="101">
        <f t="shared" si="183"/>
        <v>0.076518691588785</v>
      </c>
      <c r="K1421" s="102">
        <f t="shared" si="184"/>
        <v>1.69299618320611</v>
      </c>
      <c r="L1421" s="104">
        <f t="shared" si="185"/>
        <v>0</v>
      </c>
      <c r="M1421" s="92">
        <f t="shared" si="186"/>
        <v>0</v>
      </c>
      <c r="N1421" s="46">
        <f t="shared" si="187"/>
        <v>0</v>
      </c>
      <c r="O1421" s="46">
        <f t="shared" si="188"/>
        <v>0</v>
      </c>
      <c r="P1421" s="93">
        <f t="shared" si="189"/>
        <v>110.89125</v>
      </c>
    </row>
    <row r="1422" s="2" customFormat="1" spans="1:16">
      <c r="A1422" s="106">
        <v>46069</v>
      </c>
      <c r="B1422" s="98">
        <v>946.91</v>
      </c>
      <c r="C1422" s="99">
        <v>8876</v>
      </c>
      <c r="D1422" s="99">
        <v>600</v>
      </c>
      <c r="E1422" s="99">
        <v>0</v>
      </c>
      <c r="F1422" s="98">
        <v>0</v>
      </c>
      <c r="G1422" s="99">
        <v>22</v>
      </c>
      <c r="H1422" s="99">
        <v>3</v>
      </c>
      <c r="I1422" s="99">
        <v>2</v>
      </c>
      <c r="J1422" s="101">
        <f t="shared" si="183"/>
        <v>0.067598017124831</v>
      </c>
      <c r="K1422" s="102">
        <f t="shared" si="184"/>
        <v>1.57818333333333</v>
      </c>
      <c r="L1422" s="104">
        <f t="shared" si="185"/>
        <v>0</v>
      </c>
      <c r="M1422" s="92">
        <f t="shared" si="186"/>
        <v>0</v>
      </c>
      <c r="N1422" s="46">
        <f t="shared" si="187"/>
        <v>0</v>
      </c>
      <c r="O1422" s="46">
        <f t="shared" si="188"/>
        <v>0</v>
      </c>
      <c r="P1422" s="93">
        <f t="shared" si="189"/>
        <v>43.0413636363636</v>
      </c>
    </row>
    <row r="1423" s="2" customFormat="1" spans="1:16">
      <c r="A1423" s="106">
        <v>46070</v>
      </c>
      <c r="B1423" s="98">
        <v>902.96</v>
      </c>
      <c r="C1423" s="99">
        <v>6638</v>
      </c>
      <c r="D1423" s="99">
        <v>633</v>
      </c>
      <c r="E1423" s="99">
        <v>0</v>
      </c>
      <c r="F1423" s="98">
        <v>0</v>
      </c>
      <c r="G1423" s="99">
        <v>25</v>
      </c>
      <c r="H1423" s="99">
        <v>1</v>
      </c>
      <c r="I1423" s="99">
        <v>1</v>
      </c>
      <c r="J1423" s="101">
        <f t="shared" si="183"/>
        <v>0.0953600482072914</v>
      </c>
      <c r="K1423" s="102">
        <f t="shared" si="184"/>
        <v>1.42647709320695</v>
      </c>
      <c r="L1423" s="104">
        <f t="shared" si="185"/>
        <v>0</v>
      </c>
      <c r="M1423" s="92">
        <f t="shared" si="186"/>
        <v>0</v>
      </c>
      <c r="N1423" s="46">
        <f t="shared" si="187"/>
        <v>0</v>
      </c>
      <c r="O1423" s="46">
        <f t="shared" si="188"/>
        <v>0</v>
      </c>
      <c r="P1423" s="93">
        <f t="shared" si="189"/>
        <v>36.1184</v>
      </c>
    </row>
    <row r="1424" s="2" customFormat="1" spans="1:16">
      <c r="A1424" s="106">
        <v>46071</v>
      </c>
      <c r="B1424" s="98">
        <v>902.72</v>
      </c>
      <c r="C1424" s="99">
        <v>6565</v>
      </c>
      <c r="D1424" s="99">
        <v>640</v>
      </c>
      <c r="E1424" s="99">
        <v>1</v>
      </c>
      <c r="F1424" s="98">
        <v>12952</v>
      </c>
      <c r="G1424" s="99">
        <v>37</v>
      </c>
      <c r="H1424" s="99">
        <v>5</v>
      </c>
      <c r="I1424" s="99">
        <v>2</v>
      </c>
      <c r="J1424" s="101">
        <f t="shared" si="183"/>
        <v>0.0974866717440975</v>
      </c>
      <c r="K1424" s="102">
        <f t="shared" si="184"/>
        <v>1.4105</v>
      </c>
      <c r="L1424" s="104">
        <f t="shared" si="185"/>
        <v>14.3477490251684</v>
      </c>
      <c r="M1424" s="92">
        <f t="shared" si="186"/>
        <v>0.0015625</v>
      </c>
      <c r="N1424" s="46">
        <f t="shared" si="187"/>
        <v>12952</v>
      </c>
      <c r="O1424" s="46">
        <f t="shared" si="188"/>
        <v>902.72</v>
      </c>
      <c r="P1424" s="93">
        <f t="shared" si="189"/>
        <v>24.3978378378378</v>
      </c>
    </row>
    <row r="1425" s="2" customFormat="1" spans="1:16">
      <c r="A1425" s="106">
        <v>46072</v>
      </c>
      <c r="B1425" s="98">
        <v>1028.23</v>
      </c>
      <c r="C1425" s="99">
        <v>9309</v>
      </c>
      <c r="D1425" s="99">
        <v>771</v>
      </c>
      <c r="E1425" s="99">
        <v>0</v>
      </c>
      <c r="F1425" s="98">
        <v>0</v>
      </c>
      <c r="G1425" s="99">
        <v>17</v>
      </c>
      <c r="H1425" s="99">
        <v>4</v>
      </c>
      <c r="I1425" s="99">
        <v>2</v>
      </c>
      <c r="J1425" s="101">
        <f t="shared" si="183"/>
        <v>0.0828230744440864</v>
      </c>
      <c r="K1425" s="102">
        <f t="shared" si="184"/>
        <v>1.33363164721141</v>
      </c>
      <c r="L1425" s="104">
        <f t="shared" si="185"/>
        <v>0</v>
      </c>
      <c r="M1425" s="92">
        <f t="shared" si="186"/>
        <v>0</v>
      </c>
      <c r="N1425" s="46">
        <f t="shared" si="187"/>
        <v>0</v>
      </c>
      <c r="O1425" s="46">
        <f t="shared" si="188"/>
        <v>0</v>
      </c>
      <c r="P1425" s="93">
        <f t="shared" si="189"/>
        <v>60.4841176470588</v>
      </c>
    </row>
    <row r="1426" s="2" customFormat="1" spans="1:16">
      <c r="A1426" s="106">
        <v>46073</v>
      </c>
      <c r="B1426" s="98">
        <v>940.46</v>
      </c>
      <c r="C1426" s="99">
        <v>11058</v>
      </c>
      <c r="D1426" s="99">
        <v>789</v>
      </c>
      <c r="E1426" s="99">
        <v>1</v>
      </c>
      <c r="F1426" s="98">
        <v>30492</v>
      </c>
      <c r="G1426" s="99">
        <v>27</v>
      </c>
      <c r="H1426" s="99">
        <v>4</v>
      </c>
      <c r="I1426" s="99">
        <v>3</v>
      </c>
      <c r="J1426" s="101">
        <f t="shared" si="183"/>
        <v>0.0713510580575149</v>
      </c>
      <c r="K1426" s="102">
        <f t="shared" si="184"/>
        <v>1.19196451204056</v>
      </c>
      <c r="L1426" s="104">
        <f t="shared" si="185"/>
        <v>32.4224315760373</v>
      </c>
      <c r="M1426" s="92">
        <f t="shared" si="186"/>
        <v>0.00126742712294043</v>
      </c>
      <c r="N1426" s="46">
        <f t="shared" si="187"/>
        <v>30492</v>
      </c>
      <c r="O1426" s="46">
        <f t="shared" si="188"/>
        <v>940.46</v>
      </c>
      <c r="P1426" s="93">
        <f t="shared" si="189"/>
        <v>34.8318518518519</v>
      </c>
    </row>
    <row r="1427" s="2" customFormat="1" spans="1:16">
      <c r="A1427" s="106">
        <v>46074</v>
      </c>
      <c r="B1427" s="98">
        <v>1014</v>
      </c>
      <c r="C1427" s="99">
        <v>8456</v>
      </c>
      <c r="D1427" s="99">
        <v>633</v>
      </c>
      <c r="E1427" s="99">
        <v>0</v>
      </c>
      <c r="F1427" s="98">
        <v>0</v>
      </c>
      <c r="G1427" s="99">
        <v>37</v>
      </c>
      <c r="H1427" s="99">
        <v>1</v>
      </c>
      <c r="I1427" s="99">
        <v>4</v>
      </c>
      <c r="J1427" s="101">
        <f t="shared" si="183"/>
        <v>0.0748580889309366</v>
      </c>
      <c r="K1427" s="102">
        <f t="shared" si="184"/>
        <v>1.60189573459716</v>
      </c>
      <c r="L1427" s="104">
        <f t="shared" si="185"/>
        <v>0</v>
      </c>
      <c r="M1427" s="92">
        <f t="shared" si="186"/>
        <v>0</v>
      </c>
      <c r="N1427" s="46">
        <f t="shared" si="187"/>
        <v>0</v>
      </c>
      <c r="O1427" s="46">
        <f t="shared" si="188"/>
        <v>0</v>
      </c>
      <c r="P1427" s="93">
        <f t="shared" si="189"/>
        <v>27.4054054054054</v>
      </c>
    </row>
    <row r="1428" s="2" customFormat="1" spans="1:16">
      <c r="A1428" s="106">
        <v>46075</v>
      </c>
      <c r="B1428" s="98">
        <v>835.13</v>
      </c>
      <c r="C1428" s="99">
        <v>7729</v>
      </c>
      <c r="D1428" s="99">
        <v>677</v>
      </c>
      <c r="E1428" s="99">
        <v>2</v>
      </c>
      <c r="F1428" s="98">
        <v>19876</v>
      </c>
      <c r="G1428" s="99">
        <v>26</v>
      </c>
      <c r="H1428" s="99">
        <v>3</v>
      </c>
      <c r="I1428" s="99">
        <v>4</v>
      </c>
      <c r="J1428" s="101">
        <f t="shared" si="183"/>
        <v>0.0875921852762324</v>
      </c>
      <c r="K1428" s="102">
        <f t="shared" si="184"/>
        <v>1.23357459379616</v>
      </c>
      <c r="L1428" s="104">
        <f t="shared" si="185"/>
        <v>23.7998874426736</v>
      </c>
      <c r="M1428" s="92">
        <f t="shared" si="186"/>
        <v>0.00295420974889217</v>
      </c>
      <c r="N1428" s="46">
        <f t="shared" si="187"/>
        <v>9938</v>
      </c>
      <c r="O1428" s="46">
        <f t="shared" si="188"/>
        <v>417.565</v>
      </c>
      <c r="P1428" s="93">
        <f t="shared" si="189"/>
        <v>32.1203846153846</v>
      </c>
    </row>
    <row r="1429" s="2" customFormat="1" spans="1:16">
      <c r="A1429" s="106">
        <v>46076</v>
      </c>
      <c r="B1429" s="98">
        <v>1010.8</v>
      </c>
      <c r="C1429" s="99">
        <v>7968</v>
      </c>
      <c r="D1429" s="99">
        <v>777</v>
      </c>
      <c r="E1429" s="99">
        <v>1</v>
      </c>
      <c r="F1429" s="98">
        <v>8516</v>
      </c>
      <c r="G1429" s="99">
        <v>26</v>
      </c>
      <c r="H1429" s="99">
        <v>10</v>
      </c>
      <c r="I1429" s="99">
        <v>3</v>
      </c>
      <c r="J1429" s="101">
        <f t="shared" si="183"/>
        <v>0.0975150602409639</v>
      </c>
      <c r="K1429" s="102">
        <f t="shared" si="184"/>
        <v>1.3009009009009</v>
      </c>
      <c r="L1429" s="104">
        <f t="shared" si="185"/>
        <v>8.42500989315394</v>
      </c>
      <c r="M1429" s="92">
        <f t="shared" si="186"/>
        <v>0.00128700128700129</v>
      </c>
      <c r="N1429" s="46">
        <f t="shared" si="187"/>
        <v>8516</v>
      </c>
      <c r="O1429" s="46">
        <f t="shared" si="188"/>
        <v>1010.8</v>
      </c>
      <c r="P1429" s="93">
        <f t="shared" si="189"/>
        <v>38.8769230769231</v>
      </c>
    </row>
    <row r="1430" s="2" customFormat="1" spans="1:16">
      <c r="A1430" s="106">
        <v>46077</v>
      </c>
      <c r="B1430" s="98">
        <v>948.53</v>
      </c>
      <c r="C1430" s="99">
        <v>5513</v>
      </c>
      <c r="D1430" s="99">
        <v>510</v>
      </c>
      <c r="E1430" s="99">
        <v>2</v>
      </c>
      <c r="F1430" s="98">
        <v>40908</v>
      </c>
      <c r="G1430" s="99">
        <v>32</v>
      </c>
      <c r="H1430" s="99">
        <v>0</v>
      </c>
      <c r="I1430" s="99">
        <v>4</v>
      </c>
      <c r="J1430" s="101">
        <f t="shared" si="183"/>
        <v>0.0925086159985489</v>
      </c>
      <c r="K1430" s="102">
        <f t="shared" si="184"/>
        <v>1.85986274509804</v>
      </c>
      <c r="L1430" s="104">
        <f t="shared" si="185"/>
        <v>43.1277872075738</v>
      </c>
      <c r="M1430" s="92">
        <f t="shared" si="186"/>
        <v>0.00392156862745098</v>
      </c>
      <c r="N1430" s="46">
        <f t="shared" si="187"/>
        <v>20454</v>
      </c>
      <c r="O1430" s="46">
        <f t="shared" si="188"/>
        <v>474.265</v>
      </c>
      <c r="P1430" s="93">
        <f t="shared" si="189"/>
        <v>29.6415625</v>
      </c>
    </row>
    <row r="1431" s="2" customFormat="1" spans="1:16">
      <c r="A1431" s="106">
        <v>46078</v>
      </c>
      <c r="B1431" s="98">
        <v>1205.75</v>
      </c>
      <c r="C1431" s="99">
        <v>5037</v>
      </c>
      <c r="D1431" s="99">
        <v>675</v>
      </c>
      <c r="E1431" s="99">
        <v>1</v>
      </c>
      <c r="F1431" s="98">
        <v>9486</v>
      </c>
      <c r="G1431" s="99">
        <v>48</v>
      </c>
      <c r="H1431" s="99">
        <v>3</v>
      </c>
      <c r="I1431" s="99">
        <v>6</v>
      </c>
      <c r="J1431" s="101">
        <f t="shared" si="183"/>
        <v>0.134008338296605</v>
      </c>
      <c r="K1431" s="102">
        <f t="shared" si="184"/>
        <v>1.7862962962963</v>
      </c>
      <c r="L1431" s="104">
        <f t="shared" si="185"/>
        <v>7.86730250881194</v>
      </c>
      <c r="M1431" s="92">
        <f t="shared" si="186"/>
        <v>0.00148148148148148</v>
      </c>
      <c r="N1431" s="46">
        <f t="shared" si="187"/>
        <v>9486</v>
      </c>
      <c r="O1431" s="46">
        <f t="shared" si="188"/>
        <v>1205.75</v>
      </c>
      <c r="P1431" s="93">
        <f t="shared" si="189"/>
        <v>25.1197916666667</v>
      </c>
    </row>
    <row r="1432" s="2" customFormat="1" spans="1:16">
      <c r="A1432" s="106">
        <v>46079</v>
      </c>
      <c r="B1432" s="98">
        <v>1204.78</v>
      </c>
      <c r="C1432" s="99">
        <v>6086</v>
      </c>
      <c r="D1432" s="99">
        <v>687</v>
      </c>
      <c r="E1432" s="99">
        <v>1</v>
      </c>
      <c r="F1432" s="98">
        <v>14896</v>
      </c>
      <c r="G1432" s="99">
        <v>51</v>
      </c>
      <c r="H1432" s="99">
        <v>4</v>
      </c>
      <c r="I1432" s="99">
        <v>3</v>
      </c>
      <c r="J1432" s="101">
        <f t="shared" si="183"/>
        <v>0.112882024318107</v>
      </c>
      <c r="K1432" s="102">
        <f t="shared" si="184"/>
        <v>1.7536826783115</v>
      </c>
      <c r="L1432" s="104">
        <f t="shared" si="185"/>
        <v>12.3640830691081</v>
      </c>
      <c r="M1432" s="92">
        <f t="shared" si="186"/>
        <v>0.00145560407569141</v>
      </c>
      <c r="N1432" s="46">
        <f t="shared" si="187"/>
        <v>14896</v>
      </c>
      <c r="O1432" s="46">
        <f t="shared" si="188"/>
        <v>1204.78</v>
      </c>
      <c r="P1432" s="93">
        <f t="shared" si="189"/>
        <v>23.623137254902</v>
      </c>
    </row>
    <row r="1433" s="2" customFormat="1" spans="1:16">
      <c r="A1433" s="106">
        <v>46080</v>
      </c>
      <c r="B1433" s="98">
        <v>1322.32</v>
      </c>
      <c r="C1433" s="99">
        <v>5428</v>
      </c>
      <c r="D1433" s="99">
        <v>617</v>
      </c>
      <c r="E1433" s="99">
        <v>0</v>
      </c>
      <c r="F1433" s="98">
        <v>0</v>
      </c>
      <c r="G1433" s="99">
        <v>33</v>
      </c>
      <c r="H1433" s="99">
        <v>4</v>
      </c>
      <c r="I1433" s="99">
        <v>1</v>
      </c>
      <c r="J1433" s="101">
        <f t="shared" si="183"/>
        <v>0.113669859985262</v>
      </c>
      <c r="K1433" s="102">
        <f t="shared" si="184"/>
        <v>2.14314424635332</v>
      </c>
      <c r="L1433" s="104">
        <f t="shared" si="185"/>
        <v>0</v>
      </c>
      <c r="M1433" s="92">
        <f t="shared" si="186"/>
        <v>0</v>
      </c>
      <c r="N1433" s="46">
        <f t="shared" si="187"/>
        <v>0</v>
      </c>
      <c r="O1433" s="46">
        <f t="shared" si="188"/>
        <v>0</v>
      </c>
      <c r="P1433" s="93">
        <f t="shared" si="189"/>
        <v>40.070303030303</v>
      </c>
    </row>
    <row r="1434" s="2" customFormat="1" spans="1:16">
      <c r="A1434" s="106">
        <v>46081</v>
      </c>
      <c r="B1434" s="98">
        <v>1426.89</v>
      </c>
      <c r="C1434" s="99">
        <v>4410</v>
      </c>
      <c r="D1434" s="99">
        <v>525</v>
      </c>
      <c r="E1434" s="99">
        <v>0</v>
      </c>
      <c r="F1434" s="98">
        <v>0</v>
      </c>
      <c r="G1434" s="99">
        <v>33</v>
      </c>
      <c r="H1434" s="99">
        <v>5</v>
      </c>
      <c r="I1434" s="99">
        <v>5</v>
      </c>
      <c r="J1434" s="101">
        <f t="shared" si="183"/>
        <v>0.119047619047619</v>
      </c>
      <c r="K1434" s="102">
        <f t="shared" si="184"/>
        <v>2.71788571428571</v>
      </c>
      <c r="L1434" s="104">
        <f t="shared" si="185"/>
        <v>0</v>
      </c>
      <c r="M1434" s="92">
        <f t="shared" si="186"/>
        <v>0</v>
      </c>
      <c r="N1434" s="46">
        <f t="shared" si="187"/>
        <v>0</v>
      </c>
      <c r="O1434" s="46">
        <f t="shared" si="188"/>
        <v>0</v>
      </c>
      <c r="P1434" s="93">
        <f t="shared" si="189"/>
        <v>43.2390909090909</v>
      </c>
    </row>
    <row r="1435" s="2" customFormat="1" spans="1:16">
      <c r="A1435" s="106">
        <v>46082</v>
      </c>
      <c r="B1435" s="98">
        <v>1319.28</v>
      </c>
      <c r="C1435" s="99">
        <v>5033</v>
      </c>
      <c r="D1435" s="99">
        <v>550</v>
      </c>
      <c r="E1435" s="99">
        <v>1</v>
      </c>
      <c r="F1435" s="98">
        <v>13294</v>
      </c>
      <c r="G1435" s="99">
        <v>40</v>
      </c>
      <c r="H1435" s="99">
        <v>3</v>
      </c>
      <c r="I1435" s="99">
        <v>1</v>
      </c>
      <c r="J1435" s="101">
        <f t="shared" ref="J1435:J1479" si="190">D1435/C1435</f>
        <v>0.109278760182794</v>
      </c>
      <c r="K1435" s="102">
        <f t="shared" ref="K1435:K1479" si="191">B1435/D1435</f>
        <v>2.39869090909091</v>
      </c>
      <c r="L1435" s="104">
        <f t="shared" ref="L1435:L1479" si="192">F1435/B1435</f>
        <v>10.0767085076709</v>
      </c>
      <c r="M1435" s="92">
        <f t="shared" si="186"/>
        <v>0.00181818181818182</v>
      </c>
      <c r="N1435" s="46">
        <f t="shared" si="187"/>
        <v>13294</v>
      </c>
      <c r="O1435" s="46">
        <f t="shared" si="188"/>
        <v>1319.28</v>
      </c>
      <c r="P1435" s="93">
        <f t="shared" si="189"/>
        <v>32.982</v>
      </c>
    </row>
    <row r="1436" s="2" customFormat="1" spans="1:16">
      <c r="A1436" s="106">
        <v>46083</v>
      </c>
      <c r="B1436" s="98">
        <v>1291.35</v>
      </c>
      <c r="C1436" s="99">
        <v>3597</v>
      </c>
      <c r="D1436" s="99">
        <v>461</v>
      </c>
      <c r="E1436" s="99">
        <v>1</v>
      </c>
      <c r="F1436" s="98">
        <v>9398</v>
      </c>
      <c r="G1436" s="99">
        <v>52</v>
      </c>
      <c r="H1436" s="99">
        <v>3</v>
      </c>
      <c r="I1436" s="99">
        <v>0</v>
      </c>
      <c r="J1436" s="101">
        <f t="shared" si="190"/>
        <v>0.128162357520156</v>
      </c>
      <c r="K1436" s="102">
        <f t="shared" si="191"/>
        <v>2.80119305856833</v>
      </c>
      <c r="L1436" s="104">
        <f t="shared" si="192"/>
        <v>7.27765516707322</v>
      </c>
      <c r="M1436" s="92">
        <f t="shared" si="186"/>
        <v>0.00216919739696312</v>
      </c>
      <c r="N1436" s="46">
        <f t="shared" si="187"/>
        <v>9398</v>
      </c>
      <c r="O1436" s="46">
        <f t="shared" si="188"/>
        <v>1291.35</v>
      </c>
      <c r="P1436" s="93">
        <f t="shared" si="189"/>
        <v>24.8336538461538</v>
      </c>
    </row>
    <row r="1437" s="2" customFormat="1" spans="1:16">
      <c r="A1437" s="106">
        <v>46084</v>
      </c>
      <c r="B1437" s="98">
        <v>1275.43</v>
      </c>
      <c r="C1437" s="99">
        <v>3459</v>
      </c>
      <c r="D1437" s="99">
        <v>429</v>
      </c>
      <c r="E1437" s="99">
        <v>0</v>
      </c>
      <c r="F1437" s="98">
        <v>0</v>
      </c>
      <c r="G1437" s="99">
        <v>30</v>
      </c>
      <c r="H1437" s="99">
        <v>6</v>
      </c>
      <c r="I1437" s="99">
        <v>1</v>
      </c>
      <c r="J1437" s="101">
        <f t="shared" si="190"/>
        <v>0.124024284475282</v>
      </c>
      <c r="K1437" s="102">
        <f t="shared" si="191"/>
        <v>2.9730303030303</v>
      </c>
      <c r="L1437" s="104">
        <f t="shared" si="192"/>
        <v>0</v>
      </c>
      <c r="M1437" s="92">
        <f t="shared" si="186"/>
        <v>0</v>
      </c>
      <c r="N1437" s="46">
        <f t="shared" si="187"/>
        <v>0</v>
      </c>
      <c r="O1437" s="46">
        <f t="shared" si="188"/>
        <v>0</v>
      </c>
      <c r="P1437" s="93">
        <f t="shared" si="189"/>
        <v>42.5143333333333</v>
      </c>
    </row>
    <row r="1438" s="2" customFormat="1" spans="1:16">
      <c r="A1438" s="106">
        <v>46085</v>
      </c>
      <c r="B1438" s="98">
        <v>2157.48</v>
      </c>
      <c r="C1438" s="99">
        <v>5027</v>
      </c>
      <c r="D1438" s="99">
        <v>483</v>
      </c>
      <c r="E1438" s="99">
        <v>3</v>
      </c>
      <c r="F1438" s="98">
        <v>36620</v>
      </c>
      <c r="G1438" s="99">
        <v>35</v>
      </c>
      <c r="H1438" s="99">
        <v>3</v>
      </c>
      <c r="I1438" s="99">
        <v>3</v>
      </c>
      <c r="J1438" s="101">
        <f t="shared" si="190"/>
        <v>0.096081161726676</v>
      </c>
      <c r="K1438" s="102">
        <f t="shared" si="191"/>
        <v>4.46683229813665</v>
      </c>
      <c r="L1438" s="104">
        <f t="shared" si="192"/>
        <v>16.9735061275191</v>
      </c>
      <c r="M1438" s="92">
        <f t="shared" si="186"/>
        <v>0.0062111801242236</v>
      </c>
      <c r="N1438" s="46">
        <f t="shared" si="187"/>
        <v>12206.6666666667</v>
      </c>
      <c r="O1438" s="46">
        <f t="shared" si="188"/>
        <v>719.16</v>
      </c>
      <c r="P1438" s="93">
        <f t="shared" si="189"/>
        <v>61.6422857142857</v>
      </c>
    </row>
    <row r="1439" s="2" customFormat="1" spans="1:16">
      <c r="A1439" s="106">
        <v>46086</v>
      </c>
      <c r="B1439" s="98">
        <v>2639.44</v>
      </c>
      <c r="C1439" s="99">
        <v>5460</v>
      </c>
      <c r="D1439" s="99">
        <v>555</v>
      </c>
      <c r="E1439" s="99">
        <v>2</v>
      </c>
      <c r="F1439" s="98">
        <v>17192</v>
      </c>
      <c r="G1439" s="99">
        <v>35</v>
      </c>
      <c r="H1439" s="99">
        <v>5</v>
      </c>
      <c r="I1439" s="99">
        <v>1</v>
      </c>
      <c r="J1439" s="101">
        <f t="shared" si="190"/>
        <v>0.101648351648352</v>
      </c>
      <c r="K1439" s="102">
        <f t="shared" si="191"/>
        <v>4.75574774774775</v>
      </c>
      <c r="L1439" s="104">
        <f t="shared" si="192"/>
        <v>6.51350286424393</v>
      </c>
      <c r="M1439" s="92">
        <f t="shared" si="186"/>
        <v>0.0036036036036036</v>
      </c>
      <c r="N1439" s="46">
        <f t="shared" si="187"/>
        <v>8596</v>
      </c>
      <c r="O1439" s="46">
        <f t="shared" si="188"/>
        <v>1319.72</v>
      </c>
      <c r="P1439" s="93">
        <f t="shared" si="189"/>
        <v>75.4125714285714</v>
      </c>
    </row>
    <row r="1440" s="2" customFormat="1" spans="1:16">
      <c r="A1440" s="106">
        <v>46087</v>
      </c>
      <c r="B1440" s="98">
        <v>2367.76</v>
      </c>
      <c r="C1440" s="99">
        <v>5459</v>
      </c>
      <c r="D1440" s="99">
        <v>543</v>
      </c>
      <c r="E1440" s="99">
        <v>1</v>
      </c>
      <c r="F1440" s="98">
        <v>8816</v>
      </c>
      <c r="G1440" s="99">
        <v>19</v>
      </c>
      <c r="H1440" s="99">
        <v>3</v>
      </c>
      <c r="I1440" s="99">
        <v>2</v>
      </c>
      <c r="J1440" s="101">
        <f t="shared" si="190"/>
        <v>0.099468767173475</v>
      </c>
      <c r="K1440" s="102">
        <f t="shared" si="191"/>
        <v>4.36051565377532</v>
      </c>
      <c r="L1440" s="104">
        <f t="shared" si="192"/>
        <v>3.72335033956144</v>
      </c>
      <c r="M1440" s="92">
        <f t="shared" si="186"/>
        <v>0.00184162062615101</v>
      </c>
      <c r="N1440" s="46">
        <f t="shared" si="187"/>
        <v>8816</v>
      </c>
      <c r="O1440" s="46">
        <f t="shared" si="188"/>
        <v>2367.76</v>
      </c>
      <c r="P1440" s="93">
        <f t="shared" si="189"/>
        <v>124.618947368421</v>
      </c>
    </row>
    <row r="1441" s="2" customFormat="1" spans="1:16">
      <c r="A1441" s="106">
        <v>46088</v>
      </c>
      <c r="B1441" s="98">
        <v>2205.82</v>
      </c>
      <c r="C1441" s="99">
        <v>5774</v>
      </c>
      <c r="D1441" s="99">
        <v>518</v>
      </c>
      <c r="E1441" s="99">
        <v>0</v>
      </c>
      <c r="F1441" s="98">
        <v>0</v>
      </c>
      <c r="G1441" s="99">
        <v>15</v>
      </c>
      <c r="H1441" s="99">
        <v>2</v>
      </c>
      <c r="I1441" s="99">
        <v>3</v>
      </c>
      <c r="J1441" s="101">
        <f t="shared" si="190"/>
        <v>0.0897125043297541</v>
      </c>
      <c r="K1441" s="102">
        <f t="shared" si="191"/>
        <v>4.25833976833977</v>
      </c>
      <c r="L1441" s="104">
        <f t="shared" si="192"/>
        <v>0</v>
      </c>
      <c r="M1441" s="92">
        <f t="shared" si="186"/>
        <v>0</v>
      </c>
      <c r="N1441" s="46">
        <f t="shared" si="187"/>
        <v>0</v>
      </c>
      <c r="O1441" s="46">
        <f t="shared" si="188"/>
        <v>0</v>
      </c>
      <c r="P1441" s="93">
        <f t="shared" si="189"/>
        <v>147.054666666667</v>
      </c>
    </row>
    <row r="1442" s="2" customFormat="1" spans="1:16">
      <c r="A1442" s="106">
        <v>46089</v>
      </c>
      <c r="B1442" s="98">
        <v>2869.55</v>
      </c>
      <c r="C1442" s="99">
        <v>5823</v>
      </c>
      <c r="D1442" s="99">
        <v>604</v>
      </c>
      <c r="E1442" s="99">
        <v>1</v>
      </c>
      <c r="F1442" s="98">
        <v>9585</v>
      </c>
      <c r="G1442" s="99">
        <v>35</v>
      </c>
      <c r="H1442" s="99">
        <v>1</v>
      </c>
      <c r="I1442" s="99">
        <v>1</v>
      </c>
      <c r="J1442" s="101">
        <f t="shared" si="190"/>
        <v>0.103726601408209</v>
      </c>
      <c r="K1442" s="102">
        <f t="shared" si="191"/>
        <v>4.75091059602649</v>
      </c>
      <c r="L1442" s="104">
        <f t="shared" si="192"/>
        <v>3.34024498614765</v>
      </c>
      <c r="M1442" s="92">
        <f t="shared" si="186"/>
        <v>0.00165562913907285</v>
      </c>
      <c r="N1442" s="46">
        <f t="shared" si="187"/>
        <v>9585</v>
      </c>
      <c r="O1442" s="46">
        <f t="shared" si="188"/>
        <v>2869.55</v>
      </c>
      <c r="P1442" s="93">
        <f t="shared" si="189"/>
        <v>81.9871428571429</v>
      </c>
    </row>
    <row r="1443" s="2" customFormat="1" spans="1:16">
      <c r="A1443" s="106">
        <v>46090</v>
      </c>
      <c r="B1443" s="98">
        <v>2730.04</v>
      </c>
      <c r="C1443" s="99">
        <v>5761</v>
      </c>
      <c r="D1443" s="99">
        <v>678</v>
      </c>
      <c r="E1443" s="99">
        <v>0</v>
      </c>
      <c r="F1443" s="98">
        <v>0</v>
      </c>
      <c r="G1443" s="99">
        <v>26</v>
      </c>
      <c r="H1443" s="99">
        <v>4</v>
      </c>
      <c r="I1443" s="99">
        <v>1</v>
      </c>
      <c r="J1443" s="101">
        <f t="shared" si="190"/>
        <v>0.117687901406006</v>
      </c>
      <c r="K1443" s="102">
        <f t="shared" si="191"/>
        <v>4.02660766961652</v>
      </c>
      <c r="L1443" s="104">
        <f t="shared" si="192"/>
        <v>0</v>
      </c>
      <c r="M1443" s="92">
        <f t="shared" si="186"/>
        <v>0</v>
      </c>
      <c r="N1443" s="46">
        <f t="shared" si="187"/>
        <v>0</v>
      </c>
      <c r="O1443" s="46">
        <f t="shared" si="188"/>
        <v>0</v>
      </c>
      <c r="P1443" s="93">
        <f t="shared" si="189"/>
        <v>105.001538461538</v>
      </c>
    </row>
    <row r="1444" s="2" customFormat="1" spans="1:16">
      <c r="A1444" s="106">
        <v>46091</v>
      </c>
      <c r="B1444" s="98">
        <v>2500.51</v>
      </c>
      <c r="C1444" s="99">
        <v>5392</v>
      </c>
      <c r="D1444" s="99">
        <v>609</v>
      </c>
      <c r="E1444" s="99">
        <v>1</v>
      </c>
      <c r="F1444" s="98">
        <v>34466</v>
      </c>
      <c r="G1444" s="99">
        <v>23</v>
      </c>
      <c r="H1444" s="99">
        <v>1</v>
      </c>
      <c r="I1444" s="99">
        <v>1</v>
      </c>
      <c r="J1444" s="101">
        <f t="shared" si="190"/>
        <v>0.112945103857567</v>
      </c>
      <c r="K1444" s="102">
        <f t="shared" si="191"/>
        <v>4.10592775041051</v>
      </c>
      <c r="L1444" s="104">
        <f t="shared" si="192"/>
        <v>13.7835881480178</v>
      </c>
      <c r="M1444" s="92">
        <f t="shared" si="186"/>
        <v>0.00164203612479475</v>
      </c>
      <c r="N1444" s="46">
        <f t="shared" si="187"/>
        <v>34466</v>
      </c>
      <c r="O1444" s="46">
        <f t="shared" si="188"/>
        <v>2500.51</v>
      </c>
      <c r="P1444" s="93">
        <f t="shared" si="189"/>
        <v>108.717826086957</v>
      </c>
    </row>
    <row r="1445" s="2" customFormat="1" spans="1:16">
      <c r="A1445" s="106">
        <v>46092</v>
      </c>
      <c r="B1445" s="98">
        <v>2427.8</v>
      </c>
      <c r="C1445" s="99">
        <v>6543</v>
      </c>
      <c r="D1445" s="99">
        <v>645</v>
      </c>
      <c r="E1445" s="99">
        <v>1</v>
      </c>
      <c r="F1445" s="98">
        <v>7973</v>
      </c>
      <c r="G1445" s="99">
        <v>20</v>
      </c>
      <c r="H1445" s="99">
        <v>4</v>
      </c>
      <c r="I1445" s="99">
        <v>1</v>
      </c>
      <c r="J1445" s="101">
        <f t="shared" si="190"/>
        <v>0.098578633654287</v>
      </c>
      <c r="K1445" s="102">
        <f t="shared" si="191"/>
        <v>3.76403100775194</v>
      </c>
      <c r="L1445" s="104">
        <f t="shared" si="192"/>
        <v>3.28404316665294</v>
      </c>
      <c r="M1445" s="92">
        <f t="shared" si="186"/>
        <v>0.00155038759689922</v>
      </c>
      <c r="N1445" s="46">
        <f t="shared" si="187"/>
        <v>7973</v>
      </c>
      <c r="O1445" s="46">
        <f t="shared" si="188"/>
        <v>2427.8</v>
      </c>
      <c r="P1445" s="93">
        <f t="shared" si="189"/>
        <v>121.39</v>
      </c>
    </row>
    <row r="1446" s="2" customFormat="1" spans="1:16">
      <c r="A1446" s="106">
        <v>46093</v>
      </c>
      <c r="B1446" s="98">
        <v>2861.66</v>
      </c>
      <c r="C1446" s="99">
        <v>7386</v>
      </c>
      <c r="D1446" s="99">
        <v>753</v>
      </c>
      <c r="E1446" s="99">
        <v>0</v>
      </c>
      <c r="F1446" s="98">
        <v>0</v>
      </c>
      <c r="G1446" s="99">
        <v>24</v>
      </c>
      <c r="H1446" s="99">
        <v>5</v>
      </c>
      <c r="I1446" s="99">
        <v>1</v>
      </c>
      <c r="J1446" s="101">
        <f t="shared" si="190"/>
        <v>0.101949634443542</v>
      </c>
      <c r="K1446" s="102">
        <f t="shared" si="191"/>
        <v>3.80034528552457</v>
      </c>
      <c r="L1446" s="104">
        <f t="shared" si="192"/>
        <v>0</v>
      </c>
      <c r="M1446" s="92">
        <f t="shared" ref="M1446:M1479" si="193">E1446/D1446</f>
        <v>0</v>
      </c>
      <c r="N1446" s="46">
        <f t="shared" ref="N1446:N1479" si="194">IF(E1446=0,0,F1446/E1446)</f>
        <v>0</v>
      </c>
      <c r="O1446" s="46">
        <f t="shared" ref="O1446:O1479" si="195">IF(E1446=0,0,B1446/E1446)</f>
        <v>0</v>
      </c>
      <c r="P1446" s="93">
        <f t="shared" ref="P1446:P1479" si="196">B1446/G1446</f>
        <v>119.235833333333</v>
      </c>
    </row>
    <row r="1447" s="2" customFormat="1" spans="1:16">
      <c r="A1447" s="106">
        <v>46094</v>
      </c>
      <c r="B1447" s="98">
        <v>2894.66</v>
      </c>
      <c r="C1447" s="99">
        <v>8579</v>
      </c>
      <c r="D1447" s="99">
        <v>670</v>
      </c>
      <c r="E1447" s="99">
        <v>0</v>
      </c>
      <c r="F1447" s="98">
        <v>0</v>
      </c>
      <c r="G1447" s="99">
        <v>18</v>
      </c>
      <c r="H1447" s="99">
        <v>2</v>
      </c>
      <c r="I1447" s="99">
        <v>1</v>
      </c>
      <c r="J1447" s="101">
        <f t="shared" si="190"/>
        <v>0.0780976803823289</v>
      </c>
      <c r="K1447" s="102">
        <f t="shared" si="191"/>
        <v>4.32038805970149</v>
      </c>
      <c r="L1447" s="104">
        <f t="shared" si="192"/>
        <v>0</v>
      </c>
      <c r="M1447" s="92">
        <f t="shared" si="193"/>
        <v>0</v>
      </c>
      <c r="N1447" s="46">
        <f t="shared" si="194"/>
        <v>0</v>
      </c>
      <c r="O1447" s="46">
        <f t="shared" si="195"/>
        <v>0</v>
      </c>
      <c r="P1447" s="93">
        <f t="shared" si="196"/>
        <v>160.814444444444</v>
      </c>
    </row>
    <row r="1448" s="2" customFormat="1" spans="1:16">
      <c r="A1448" s="106">
        <v>46095</v>
      </c>
      <c r="B1448" s="98">
        <v>2482.67</v>
      </c>
      <c r="C1448" s="99">
        <v>8391</v>
      </c>
      <c r="D1448" s="99">
        <v>614</v>
      </c>
      <c r="E1448" s="99">
        <v>0</v>
      </c>
      <c r="F1448" s="98">
        <v>0</v>
      </c>
      <c r="G1448" s="99">
        <v>28</v>
      </c>
      <c r="H1448" s="99">
        <v>2</v>
      </c>
      <c r="I1448" s="99">
        <v>2</v>
      </c>
      <c r="J1448" s="101">
        <f t="shared" si="190"/>
        <v>0.0731736384221189</v>
      </c>
      <c r="K1448" s="102">
        <f t="shared" si="191"/>
        <v>4.04343648208469</v>
      </c>
      <c r="L1448" s="104">
        <f t="shared" si="192"/>
        <v>0</v>
      </c>
      <c r="M1448" s="92">
        <f t="shared" si="193"/>
        <v>0</v>
      </c>
      <c r="N1448" s="46">
        <f t="shared" si="194"/>
        <v>0</v>
      </c>
      <c r="O1448" s="46">
        <f t="shared" si="195"/>
        <v>0</v>
      </c>
      <c r="P1448" s="93">
        <f t="shared" si="196"/>
        <v>88.6667857142857</v>
      </c>
    </row>
    <row r="1449" s="2" customFormat="1" spans="1:16">
      <c r="A1449" s="106">
        <v>46096</v>
      </c>
      <c r="B1449" s="98">
        <v>702.02</v>
      </c>
      <c r="C1449" s="99">
        <v>3162</v>
      </c>
      <c r="D1449" s="99">
        <v>357</v>
      </c>
      <c r="E1449" s="99">
        <v>1</v>
      </c>
      <c r="F1449" s="98">
        <v>9746</v>
      </c>
      <c r="G1449" s="99">
        <v>23</v>
      </c>
      <c r="H1449" s="99">
        <v>1</v>
      </c>
      <c r="I1449" s="99">
        <v>5</v>
      </c>
      <c r="J1449" s="101">
        <f t="shared" si="190"/>
        <v>0.112903225806452</v>
      </c>
      <c r="K1449" s="102">
        <f t="shared" si="191"/>
        <v>1.96644257703081</v>
      </c>
      <c r="L1449" s="104">
        <f t="shared" si="192"/>
        <v>13.8827953619555</v>
      </c>
      <c r="M1449" s="92">
        <f t="shared" si="193"/>
        <v>0.00280112044817927</v>
      </c>
      <c r="N1449" s="46">
        <f t="shared" si="194"/>
        <v>9746</v>
      </c>
      <c r="O1449" s="46">
        <f t="shared" si="195"/>
        <v>702.02</v>
      </c>
      <c r="P1449" s="93">
        <f t="shared" si="196"/>
        <v>30.5226086956522</v>
      </c>
    </row>
    <row r="1450" s="2" customFormat="1" spans="1:16">
      <c r="A1450" s="106">
        <v>46097</v>
      </c>
      <c r="B1450" s="98">
        <v>408.27</v>
      </c>
      <c r="C1450" s="99">
        <v>2001</v>
      </c>
      <c r="D1450" s="99">
        <v>220</v>
      </c>
      <c r="E1450" s="99">
        <v>1</v>
      </c>
      <c r="F1450" s="98">
        <v>8244</v>
      </c>
      <c r="G1450" s="99">
        <v>27</v>
      </c>
      <c r="H1450" s="99">
        <v>2</v>
      </c>
      <c r="I1450" s="99">
        <v>1</v>
      </c>
      <c r="J1450" s="101">
        <f t="shared" si="190"/>
        <v>0.109945027486257</v>
      </c>
      <c r="K1450" s="102">
        <f t="shared" si="191"/>
        <v>1.85577272727273</v>
      </c>
      <c r="L1450" s="104">
        <f t="shared" si="192"/>
        <v>20.1925196561099</v>
      </c>
      <c r="M1450" s="92">
        <f t="shared" si="193"/>
        <v>0.00454545454545455</v>
      </c>
      <c r="N1450" s="46">
        <f t="shared" si="194"/>
        <v>8244</v>
      </c>
      <c r="O1450" s="46">
        <f t="shared" si="195"/>
        <v>408.27</v>
      </c>
      <c r="P1450" s="93">
        <f t="shared" si="196"/>
        <v>15.1211111111111</v>
      </c>
    </row>
    <row r="1451" s="2" customFormat="1" spans="1:16">
      <c r="A1451" s="106">
        <v>46098</v>
      </c>
      <c r="B1451" s="98">
        <v>2649.65</v>
      </c>
      <c r="C1451" s="99">
        <v>5431</v>
      </c>
      <c r="D1451" s="99">
        <v>588</v>
      </c>
      <c r="E1451" s="99">
        <v>0</v>
      </c>
      <c r="F1451" s="98">
        <v>0</v>
      </c>
      <c r="G1451" s="99">
        <v>34</v>
      </c>
      <c r="H1451" s="99">
        <v>0</v>
      </c>
      <c r="I1451" s="99">
        <v>5</v>
      </c>
      <c r="J1451" s="101">
        <f t="shared" si="190"/>
        <v>0.108267354078439</v>
      </c>
      <c r="K1451" s="102">
        <f t="shared" si="191"/>
        <v>4.5062074829932</v>
      </c>
      <c r="L1451" s="104">
        <f t="shared" si="192"/>
        <v>0</v>
      </c>
      <c r="M1451" s="92">
        <f t="shared" si="193"/>
        <v>0</v>
      </c>
      <c r="N1451" s="46">
        <f t="shared" si="194"/>
        <v>0</v>
      </c>
      <c r="O1451" s="46">
        <f t="shared" si="195"/>
        <v>0</v>
      </c>
      <c r="P1451" s="93">
        <f t="shared" si="196"/>
        <v>77.9308823529412</v>
      </c>
    </row>
    <row r="1452" s="2" customFormat="1" spans="1:16">
      <c r="A1452" s="106">
        <v>46099</v>
      </c>
      <c r="B1452" s="98">
        <v>2334.7</v>
      </c>
      <c r="C1452" s="99">
        <v>5277</v>
      </c>
      <c r="D1452" s="99">
        <v>500</v>
      </c>
      <c r="E1452" s="99">
        <v>2</v>
      </c>
      <c r="F1452" s="98">
        <v>20930</v>
      </c>
      <c r="G1452" s="99">
        <v>18</v>
      </c>
      <c r="H1452" s="99">
        <v>0</v>
      </c>
      <c r="I1452" s="99">
        <v>3</v>
      </c>
      <c r="J1452" s="101">
        <f t="shared" si="190"/>
        <v>0.0947508053818457</v>
      </c>
      <c r="K1452" s="102">
        <f t="shared" si="191"/>
        <v>4.6694</v>
      </c>
      <c r="L1452" s="104">
        <f t="shared" si="192"/>
        <v>8.96474921831499</v>
      </c>
      <c r="M1452" s="92">
        <f t="shared" si="193"/>
        <v>0.004</v>
      </c>
      <c r="N1452" s="46">
        <f t="shared" si="194"/>
        <v>10465</v>
      </c>
      <c r="O1452" s="46">
        <f t="shared" si="195"/>
        <v>1167.35</v>
      </c>
      <c r="P1452" s="93">
        <f t="shared" si="196"/>
        <v>129.705555555556</v>
      </c>
    </row>
    <row r="1453" s="2" customFormat="1" spans="1:16">
      <c r="A1453" s="106">
        <v>46100</v>
      </c>
      <c r="B1453" s="98">
        <v>2132.84</v>
      </c>
      <c r="C1453" s="99">
        <v>6404</v>
      </c>
      <c r="D1453" s="99">
        <v>503</v>
      </c>
      <c r="E1453" s="99">
        <v>1</v>
      </c>
      <c r="F1453" s="98">
        <v>7596</v>
      </c>
      <c r="G1453" s="99">
        <v>23</v>
      </c>
      <c r="H1453" s="99">
        <v>2</v>
      </c>
      <c r="I1453" s="99">
        <v>1</v>
      </c>
      <c r="J1453" s="101">
        <f t="shared" si="190"/>
        <v>0.0785446595877577</v>
      </c>
      <c r="K1453" s="102">
        <f t="shared" si="191"/>
        <v>4.24023856858847</v>
      </c>
      <c r="L1453" s="104">
        <f t="shared" si="192"/>
        <v>3.56144858498528</v>
      </c>
      <c r="M1453" s="92">
        <f t="shared" si="193"/>
        <v>0.00198807157057654</v>
      </c>
      <c r="N1453" s="46">
        <f t="shared" si="194"/>
        <v>7596</v>
      </c>
      <c r="O1453" s="46">
        <f t="shared" si="195"/>
        <v>2132.84</v>
      </c>
      <c r="P1453" s="93">
        <f t="shared" si="196"/>
        <v>92.7321739130435</v>
      </c>
    </row>
    <row r="1454" s="2" customFormat="1" spans="1:16">
      <c r="A1454" s="106">
        <v>46101</v>
      </c>
      <c r="B1454" s="98">
        <v>2426.11</v>
      </c>
      <c r="C1454" s="99">
        <v>6976</v>
      </c>
      <c r="D1454" s="99">
        <v>299</v>
      </c>
      <c r="E1454" s="99">
        <v>0</v>
      </c>
      <c r="F1454" s="98">
        <v>0</v>
      </c>
      <c r="G1454" s="99">
        <v>60</v>
      </c>
      <c r="H1454" s="99">
        <v>8</v>
      </c>
      <c r="I1454" s="99">
        <v>7</v>
      </c>
      <c r="J1454" s="101">
        <f t="shared" si="190"/>
        <v>0.0428612385321101</v>
      </c>
      <c r="K1454" s="102">
        <f t="shared" si="191"/>
        <v>8.11408026755853</v>
      </c>
      <c r="L1454" s="104">
        <f t="shared" si="192"/>
        <v>0</v>
      </c>
      <c r="M1454" s="92">
        <f t="shared" si="193"/>
        <v>0</v>
      </c>
      <c r="N1454" s="46">
        <f t="shared" si="194"/>
        <v>0</v>
      </c>
      <c r="O1454" s="46">
        <f t="shared" si="195"/>
        <v>0</v>
      </c>
      <c r="P1454" s="93">
        <f t="shared" si="196"/>
        <v>40.4351666666667</v>
      </c>
    </row>
    <row r="1455" s="2" customFormat="1" spans="1:16">
      <c r="A1455" s="106">
        <v>46102</v>
      </c>
      <c r="B1455" s="98">
        <v>1542.91</v>
      </c>
      <c r="C1455" s="99">
        <v>8407</v>
      </c>
      <c r="D1455" s="99">
        <v>475</v>
      </c>
      <c r="E1455" s="99">
        <v>0</v>
      </c>
      <c r="F1455" s="98">
        <v>0</v>
      </c>
      <c r="G1455" s="99">
        <v>11</v>
      </c>
      <c r="H1455" s="99">
        <v>2</v>
      </c>
      <c r="I1455" s="99">
        <v>1</v>
      </c>
      <c r="J1455" s="101">
        <f t="shared" si="190"/>
        <v>0.0565005352682289</v>
      </c>
      <c r="K1455" s="102">
        <f t="shared" si="191"/>
        <v>3.24823157894737</v>
      </c>
      <c r="L1455" s="104">
        <f t="shared" si="192"/>
        <v>0</v>
      </c>
      <c r="M1455" s="92">
        <f t="shared" si="193"/>
        <v>0</v>
      </c>
      <c r="N1455" s="46">
        <f t="shared" si="194"/>
        <v>0</v>
      </c>
      <c r="O1455" s="46">
        <f t="shared" si="195"/>
        <v>0</v>
      </c>
      <c r="P1455" s="93">
        <f t="shared" si="196"/>
        <v>140.264545454545</v>
      </c>
    </row>
    <row r="1456" s="2" customFormat="1" spans="1:16">
      <c r="A1456" s="106">
        <v>46103</v>
      </c>
      <c r="B1456" s="98">
        <v>1570.87</v>
      </c>
      <c r="C1456" s="99">
        <v>8964</v>
      </c>
      <c r="D1456" s="99">
        <v>551</v>
      </c>
      <c r="E1456" s="99">
        <v>0</v>
      </c>
      <c r="F1456" s="98">
        <v>0</v>
      </c>
      <c r="G1456" s="99">
        <v>17</v>
      </c>
      <c r="H1456" s="99">
        <v>3</v>
      </c>
      <c r="I1456" s="99">
        <v>3</v>
      </c>
      <c r="J1456" s="101">
        <f t="shared" si="190"/>
        <v>0.0614680946006247</v>
      </c>
      <c r="K1456" s="102">
        <f t="shared" si="191"/>
        <v>2.85094373865699</v>
      </c>
      <c r="L1456" s="104">
        <f t="shared" si="192"/>
        <v>0</v>
      </c>
      <c r="M1456" s="92">
        <f t="shared" si="193"/>
        <v>0</v>
      </c>
      <c r="N1456" s="46">
        <f t="shared" si="194"/>
        <v>0</v>
      </c>
      <c r="O1456" s="46">
        <f t="shared" si="195"/>
        <v>0</v>
      </c>
      <c r="P1456" s="93">
        <f t="shared" si="196"/>
        <v>92.4041176470588</v>
      </c>
    </row>
    <row r="1457" s="2" customFormat="1" spans="1:16">
      <c r="A1457" s="106">
        <v>46104</v>
      </c>
      <c r="B1457" s="98">
        <v>1608.19</v>
      </c>
      <c r="C1457" s="99">
        <v>6949</v>
      </c>
      <c r="D1457" s="99">
        <v>573</v>
      </c>
      <c r="E1457" s="99">
        <v>1</v>
      </c>
      <c r="F1457" s="98">
        <v>9458</v>
      </c>
      <c r="G1457" s="99">
        <v>29</v>
      </c>
      <c r="H1457" s="99">
        <v>2</v>
      </c>
      <c r="I1457" s="99">
        <v>0</v>
      </c>
      <c r="J1457" s="101">
        <f t="shared" si="190"/>
        <v>0.0824579076126061</v>
      </c>
      <c r="K1457" s="102">
        <f t="shared" si="191"/>
        <v>2.80661431064572</v>
      </c>
      <c r="L1457" s="104">
        <f t="shared" si="192"/>
        <v>5.8811458845037</v>
      </c>
      <c r="M1457" s="92">
        <f t="shared" si="193"/>
        <v>0.00174520069808028</v>
      </c>
      <c r="N1457" s="46">
        <f t="shared" si="194"/>
        <v>9458</v>
      </c>
      <c r="O1457" s="46">
        <f t="shared" si="195"/>
        <v>1608.19</v>
      </c>
      <c r="P1457" s="93">
        <f t="shared" si="196"/>
        <v>55.4548275862069</v>
      </c>
    </row>
    <row r="1458" s="2" customFormat="1" spans="1:16">
      <c r="A1458" s="106">
        <v>46105</v>
      </c>
      <c r="B1458" s="98">
        <v>1547.14</v>
      </c>
      <c r="C1458" s="99">
        <v>8586</v>
      </c>
      <c r="D1458" s="99">
        <v>463</v>
      </c>
      <c r="E1458" s="99">
        <v>1</v>
      </c>
      <c r="F1458" s="98">
        <v>16032</v>
      </c>
      <c r="G1458" s="99">
        <v>31</v>
      </c>
      <c r="H1458" s="99">
        <v>4</v>
      </c>
      <c r="I1458" s="99">
        <v>4</v>
      </c>
      <c r="J1458" s="101">
        <f t="shared" si="190"/>
        <v>0.0539249941765665</v>
      </c>
      <c r="K1458" s="102">
        <f t="shared" si="191"/>
        <v>3.34155507559395</v>
      </c>
      <c r="L1458" s="104">
        <f t="shared" si="192"/>
        <v>10.3623460061791</v>
      </c>
      <c r="M1458" s="92">
        <f t="shared" si="193"/>
        <v>0.00215982721382289</v>
      </c>
      <c r="N1458" s="46">
        <f t="shared" si="194"/>
        <v>16032</v>
      </c>
      <c r="O1458" s="46">
        <f t="shared" si="195"/>
        <v>1547.14</v>
      </c>
      <c r="P1458" s="93">
        <f t="shared" si="196"/>
        <v>49.9077419354839</v>
      </c>
    </row>
    <row r="1459" s="2" customFormat="1" spans="1:16">
      <c r="A1459" s="106">
        <v>46106</v>
      </c>
      <c r="B1459" s="98">
        <v>1338.86</v>
      </c>
      <c r="C1459" s="99">
        <v>9441</v>
      </c>
      <c r="D1459" s="99">
        <v>479</v>
      </c>
      <c r="E1459" s="99">
        <v>1</v>
      </c>
      <c r="F1459" s="98">
        <v>11596</v>
      </c>
      <c r="G1459" s="99">
        <v>34</v>
      </c>
      <c r="H1459" s="99">
        <v>2</v>
      </c>
      <c r="I1459" s="99">
        <v>1</v>
      </c>
      <c r="J1459" s="101">
        <f t="shared" si="190"/>
        <v>0.0507361508314797</v>
      </c>
      <c r="K1459" s="102">
        <f t="shared" si="191"/>
        <v>2.79511482254697</v>
      </c>
      <c r="L1459" s="104">
        <f t="shared" si="192"/>
        <v>8.66109974157119</v>
      </c>
      <c r="M1459" s="92">
        <f t="shared" si="193"/>
        <v>0.00208768267223382</v>
      </c>
      <c r="N1459" s="46">
        <f t="shared" si="194"/>
        <v>11596</v>
      </c>
      <c r="O1459" s="46">
        <f t="shared" si="195"/>
        <v>1338.86</v>
      </c>
      <c r="P1459" s="93">
        <f t="shared" si="196"/>
        <v>39.3782352941176</v>
      </c>
    </row>
    <row r="1460" s="2" customFormat="1" spans="1:16">
      <c r="A1460" s="106">
        <v>46107</v>
      </c>
      <c r="B1460" s="98">
        <v>1265.54</v>
      </c>
      <c r="C1460" s="99">
        <v>7868</v>
      </c>
      <c r="D1460" s="99">
        <v>484</v>
      </c>
      <c r="E1460" s="99">
        <v>0</v>
      </c>
      <c r="F1460" s="98">
        <v>0</v>
      </c>
      <c r="G1460" s="99">
        <v>14</v>
      </c>
      <c r="H1460" s="99">
        <v>1</v>
      </c>
      <c r="I1460" s="99">
        <v>1</v>
      </c>
      <c r="J1460" s="101">
        <f t="shared" si="190"/>
        <v>0.061514997458058</v>
      </c>
      <c r="K1460" s="102">
        <f t="shared" si="191"/>
        <v>2.6147520661157</v>
      </c>
      <c r="L1460" s="104">
        <f t="shared" si="192"/>
        <v>0</v>
      </c>
      <c r="M1460" s="92">
        <f t="shared" si="193"/>
        <v>0</v>
      </c>
      <c r="N1460" s="46">
        <f t="shared" si="194"/>
        <v>0</v>
      </c>
      <c r="O1460" s="46">
        <f t="shared" si="195"/>
        <v>0</v>
      </c>
      <c r="P1460" s="93">
        <f t="shared" si="196"/>
        <v>90.3957142857143</v>
      </c>
    </row>
    <row r="1461" s="2" customFormat="1" spans="1:16">
      <c r="A1461" s="106">
        <v>46108</v>
      </c>
      <c r="B1461" s="98">
        <v>1327.21</v>
      </c>
      <c r="C1461" s="99">
        <v>5626</v>
      </c>
      <c r="D1461" s="99">
        <v>452</v>
      </c>
      <c r="E1461" s="99">
        <v>0</v>
      </c>
      <c r="F1461" s="98">
        <v>0</v>
      </c>
      <c r="G1461" s="99">
        <v>12</v>
      </c>
      <c r="H1461" s="99">
        <v>1</v>
      </c>
      <c r="I1461" s="99">
        <v>0</v>
      </c>
      <c r="J1461" s="101">
        <f t="shared" si="190"/>
        <v>0.0803412726626378</v>
      </c>
      <c r="K1461" s="102">
        <f t="shared" si="191"/>
        <v>2.93630530973451</v>
      </c>
      <c r="L1461" s="104">
        <f t="shared" si="192"/>
        <v>0</v>
      </c>
      <c r="M1461" s="92">
        <f t="shared" si="193"/>
        <v>0</v>
      </c>
      <c r="N1461" s="46">
        <f t="shared" si="194"/>
        <v>0</v>
      </c>
      <c r="O1461" s="46">
        <f t="shared" si="195"/>
        <v>0</v>
      </c>
      <c r="P1461" s="93">
        <f t="shared" si="196"/>
        <v>110.600833333333</v>
      </c>
    </row>
    <row r="1462" s="2" customFormat="1" spans="1:16">
      <c r="A1462" s="106">
        <v>46109</v>
      </c>
      <c r="B1462" s="98">
        <v>1403.28</v>
      </c>
      <c r="C1462" s="99">
        <v>6384</v>
      </c>
      <c r="D1462" s="99">
        <v>435</v>
      </c>
      <c r="E1462" s="99">
        <v>0</v>
      </c>
      <c r="F1462" s="98">
        <v>0</v>
      </c>
      <c r="G1462" s="99">
        <v>13</v>
      </c>
      <c r="H1462" s="99">
        <v>1</v>
      </c>
      <c r="I1462" s="99">
        <v>0</v>
      </c>
      <c r="J1462" s="101">
        <f t="shared" si="190"/>
        <v>0.0681390977443609</v>
      </c>
      <c r="K1462" s="102">
        <f t="shared" si="191"/>
        <v>3.22593103448276</v>
      </c>
      <c r="L1462" s="104">
        <f t="shared" si="192"/>
        <v>0</v>
      </c>
      <c r="M1462" s="92">
        <f t="shared" si="193"/>
        <v>0</v>
      </c>
      <c r="N1462" s="46">
        <f t="shared" si="194"/>
        <v>0</v>
      </c>
      <c r="O1462" s="46">
        <f t="shared" si="195"/>
        <v>0</v>
      </c>
      <c r="P1462" s="93">
        <f t="shared" si="196"/>
        <v>107.944615384615</v>
      </c>
    </row>
    <row r="1463" s="2" customFormat="1" spans="1:16">
      <c r="A1463" s="106">
        <v>46110</v>
      </c>
      <c r="B1463" s="98">
        <v>1433.14</v>
      </c>
      <c r="C1463" s="99">
        <v>5886</v>
      </c>
      <c r="D1463" s="99">
        <v>477</v>
      </c>
      <c r="E1463" s="99">
        <v>0</v>
      </c>
      <c r="F1463" s="98">
        <v>0</v>
      </c>
      <c r="G1463" s="99">
        <v>13</v>
      </c>
      <c r="H1463" s="99">
        <v>0</v>
      </c>
      <c r="I1463" s="99">
        <v>1</v>
      </c>
      <c r="J1463" s="101">
        <f t="shared" si="190"/>
        <v>0.081039755351682</v>
      </c>
      <c r="K1463" s="102">
        <f t="shared" si="191"/>
        <v>3.00448637316562</v>
      </c>
      <c r="L1463" s="104">
        <f t="shared" si="192"/>
        <v>0</v>
      </c>
      <c r="M1463" s="92">
        <f t="shared" si="193"/>
        <v>0</v>
      </c>
      <c r="N1463" s="46">
        <f t="shared" si="194"/>
        <v>0</v>
      </c>
      <c r="O1463" s="46">
        <f t="shared" si="195"/>
        <v>0</v>
      </c>
      <c r="P1463" s="93">
        <f t="shared" si="196"/>
        <v>110.241538461538</v>
      </c>
    </row>
    <row r="1464" s="2" customFormat="1" spans="1:16">
      <c r="A1464" s="106">
        <v>46111</v>
      </c>
      <c r="B1464" s="98">
        <v>1454.66</v>
      </c>
      <c r="C1464" s="99">
        <v>7485</v>
      </c>
      <c r="D1464" s="99">
        <v>549</v>
      </c>
      <c r="E1464" s="99">
        <v>0</v>
      </c>
      <c r="F1464" s="98">
        <v>0</v>
      </c>
      <c r="G1464" s="99">
        <v>26</v>
      </c>
      <c r="H1464" s="99">
        <v>0</v>
      </c>
      <c r="I1464" s="99">
        <v>2</v>
      </c>
      <c r="J1464" s="101">
        <f t="shared" si="190"/>
        <v>0.0733466933867735</v>
      </c>
      <c r="K1464" s="102">
        <f t="shared" si="191"/>
        <v>2.64965391621129</v>
      </c>
      <c r="L1464" s="104">
        <f t="shared" si="192"/>
        <v>0</v>
      </c>
      <c r="M1464" s="92">
        <f t="shared" si="193"/>
        <v>0</v>
      </c>
      <c r="N1464" s="46">
        <f t="shared" si="194"/>
        <v>0</v>
      </c>
      <c r="O1464" s="46">
        <f t="shared" si="195"/>
        <v>0</v>
      </c>
      <c r="P1464" s="93">
        <f t="shared" si="196"/>
        <v>55.9484615384615</v>
      </c>
    </row>
    <row r="1465" s="2" customFormat="1" spans="1:16">
      <c r="A1465" s="106">
        <v>46112</v>
      </c>
      <c r="B1465" s="98">
        <v>1233.34</v>
      </c>
      <c r="C1465" s="99">
        <v>8428</v>
      </c>
      <c r="D1465" s="99">
        <v>521</v>
      </c>
      <c r="E1465" s="99">
        <v>2</v>
      </c>
      <c r="F1465" s="98">
        <v>30401</v>
      </c>
      <c r="G1465" s="99">
        <v>14</v>
      </c>
      <c r="H1465" s="99">
        <v>0</v>
      </c>
      <c r="I1465" s="99">
        <v>3</v>
      </c>
      <c r="J1465" s="101">
        <f t="shared" si="190"/>
        <v>0.0618177503559563</v>
      </c>
      <c r="K1465" s="102">
        <f t="shared" si="191"/>
        <v>2.36725527831094</v>
      </c>
      <c r="L1465" s="104">
        <f t="shared" si="192"/>
        <v>24.6493262198583</v>
      </c>
      <c r="M1465" s="92">
        <f t="shared" si="193"/>
        <v>0.00383877159309021</v>
      </c>
      <c r="N1465" s="46">
        <f t="shared" si="194"/>
        <v>15200.5</v>
      </c>
      <c r="O1465" s="46">
        <f t="shared" si="195"/>
        <v>616.67</v>
      </c>
      <c r="P1465" s="93">
        <f t="shared" si="196"/>
        <v>88.0957142857143</v>
      </c>
    </row>
    <row r="1466" s="2" customFormat="1" spans="1:16">
      <c r="A1466" s="106">
        <v>46113</v>
      </c>
      <c r="B1466" s="98">
        <v>1359.2</v>
      </c>
      <c r="C1466" s="99">
        <v>12861</v>
      </c>
      <c r="D1466" s="99">
        <v>574</v>
      </c>
      <c r="E1466" s="99">
        <v>0</v>
      </c>
      <c r="F1466" s="98">
        <v>0</v>
      </c>
      <c r="G1466" s="99">
        <v>15</v>
      </c>
      <c r="H1466" s="99">
        <v>4</v>
      </c>
      <c r="I1466" s="99">
        <v>1</v>
      </c>
      <c r="J1466" s="101">
        <f t="shared" si="190"/>
        <v>0.0446310551279061</v>
      </c>
      <c r="K1466" s="102">
        <f t="shared" si="191"/>
        <v>2.36794425087108</v>
      </c>
      <c r="L1466" s="104">
        <f t="shared" si="192"/>
        <v>0</v>
      </c>
      <c r="M1466" s="92">
        <f t="shared" si="193"/>
        <v>0</v>
      </c>
      <c r="N1466" s="46">
        <f t="shared" si="194"/>
        <v>0</v>
      </c>
      <c r="O1466" s="46">
        <f t="shared" si="195"/>
        <v>0</v>
      </c>
      <c r="P1466" s="93">
        <f t="shared" si="196"/>
        <v>90.6133333333333</v>
      </c>
    </row>
    <row r="1467" s="2" customFormat="1" spans="1:16">
      <c r="A1467" s="106">
        <v>46114</v>
      </c>
      <c r="B1467" s="98">
        <v>1491.3</v>
      </c>
      <c r="C1467" s="99">
        <v>13961</v>
      </c>
      <c r="D1467" s="99">
        <v>714</v>
      </c>
      <c r="E1467" s="99">
        <v>0</v>
      </c>
      <c r="F1467" s="98">
        <v>0</v>
      </c>
      <c r="G1467" s="99">
        <v>21</v>
      </c>
      <c r="H1467" s="99">
        <v>1</v>
      </c>
      <c r="I1467" s="99">
        <v>0</v>
      </c>
      <c r="J1467" s="101">
        <f t="shared" si="190"/>
        <v>0.0511424683045627</v>
      </c>
      <c r="K1467" s="102">
        <f t="shared" si="191"/>
        <v>2.08865546218487</v>
      </c>
      <c r="L1467" s="104">
        <f t="shared" si="192"/>
        <v>0</v>
      </c>
      <c r="M1467" s="92">
        <f t="shared" si="193"/>
        <v>0</v>
      </c>
      <c r="N1467" s="46">
        <f t="shared" si="194"/>
        <v>0</v>
      </c>
      <c r="O1467" s="46">
        <f t="shared" si="195"/>
        <v>0</v>
      </c>
      <c r="P1467" s="93">
        <f t="shared" si="196"/>
        <v>71.0142857142857</v>
      </c>
    </row>
    <row r="1468" s="2" customFormat="1" spans="1:16">
      <c r="A1468" s="106">
        <v>46115</v>
      </c>
      <c r="B1468" s="98">
        <v>1499.17</v>
      </c>
      <c r="C1468" s="99">
        <v>12304</v>
      </c>
      <c r="D1468" s="99">
        <v>697</v>
      </c>
      <c r="E1468" s="99">
        <v>4</v>
      </c>
      <c r="F1468" s="98">
        <v>25380</v>
      </c>
      <c r="G1468" s="99">
        <v>32</v>
      </c>
      <c r="H1468" s="99">
        <v>2</v>
      </c>
      <c r="I1468" s="99">
        <v>1</v>
      </c>
      <c r="J1468" s="101">
        <f t="shared" si="190"/>
        <v>0.056648244473342</v>
      </c>
      <c r="K1468" s="102">
        <f t="shared" si="191"/>
        <v>2.15088952654232</v>
      </c>
      <c r="L1468" s="104">
        <f t="shared" si="192"/>
        <v>16.9293675833961</v>
      </c>
      <c r="M1468" s="92">
        <f t="shared" si="193"/>
        <v>0.00573888091822095</v>
      </c>
      <c r="N1468" s="46">
        <f t="shared" si="194"/>
        <v>6345</v>
      </c>
      <c r="O1468" s="46">
        <f t="shared" si="195"/>
        <v>374.7925</v>
      </c>
      <c r="P1468" s="93">
        <f t="shared" si="196"/>
        <v>46.8490625</v>
      </c>
    </row>
    <row r="1469" s="2" customFormat="1" spans="1:16">
      <c r="A1469" s="106">
        <v>46116</v>
      </c>
      <c r="B1469" s="98">
        <v>1499.31</v>
      </c>
      <c r="C1469" s="99">
        <v>12860</v>
      </c>
      <c r="D1469" s="99">
        <v>637</v>
      </c>
      <c r="E1469" s="99">
        <v>0</v>
      </c>
      <c r="F1469" s="98">
        <v>0</v>
      </c>
      <c r="G1469" s="99">
        <v>22</v>
      </c>
      <c r="H1469" s="99">
        <v>4</v>
      </c>
      <c r="I1469" s="99">
        <v>0</v>
      </c>
      <c r="J1469" s="101">
        <f t="shared" si="190"/>
        <v>0.0495334370139969</v>
      </c>
      <c r="K1469" s="102">
        <f t="shared" si="191"/>
        <v>2.35370486656201</v>
      </c>
      <c r="L1469" s="104">
        <f t="shared" si="192"/>
        <v>0</v>
      </c>
      <c r="M1469" s="92">
        <f t="shared" si="193"/>
        <v>0</v>
      </c>
      <c r="N1469" s="46">
        <f t="shared" si="194"/>
        <v>0</v>
      </c>
      <c r="O1469" s="46">
        <f t="shared" si="195"/>
        <v>0</v>
      </c>
      <c r="P1469" s="93">
        <f t="shared" si="196"/>
        <v>68.1504545454545</v>
      </c>
    </row>
    <row r="1470" s="2" customFormat="1" spans="1:16">
      <c r="A1470" s="106">
        <v>46117</v>
      </c>
      <c r="B1470" s="98">
        <v>1508.43</v>
      </c>
      <c r="C1470" s="99">
        <v>14696</v>
      </c>
      <c r="D1470" s="99">
        <v>669</v>
      </c>
      <c r="E1470" s="99">
        <v>0</v>
      </c>
      <c r="F1470" s="98">
        <v>0</v>
      </c>
      <c r="G1470" s="99">
        <v>18</v>
      </c>
      <c r="H1470" s="99">
        <v>1</v>
      </c>
      <c r="I1470" s="99">
        <v>3</v>
      </c>
      <c r="J1470" s="101">
        <f t="shared" si="190"/>
        <v>0.0455225911812738</v>
      </c>
      <c r="K1470" s="102">
        <f t="shared" si="191"/>
        <v>2.2547533632287</v>
      </c>
      <c r="L1470" s="104">
        <f t="shared" si="192"/>
        <v>0</v>
      </c>
      <c r="M1470" s="92">
        <f t="shared" si="193"/>
        <v>0</v>
      </c>
      <c r="N1470" s="46">
        <f t="shared" si="194"/>
        <v>0</v>
      </c>
      <c r="O1470" s="46">
        <f t="shared" si="195"/>
        <v>0</v>
      </c>
      <c r="P1470" s="93">
        <f t="shared" si="196"/>
        <v>83.8016666666667</v>
      </c>
    </row>
    <row r="1471" s="2" customFormat="1" spans="1:16">
      <c r="A1471" s="106">
        <v>46118</v>
      </c>
      <c r="B1471" s="98">
        <v>1493.58</v>
      </c>
      <c r="C1471" s="99">
        <v>14197</v>
      </c>
      <c r="D1471" s="99">
        <v>662</v>
      </c>
      <c r="E1471" s="99">
        <v>0</v>
      </c>
      <c r="F1471" s="98">
        <v>0</v>
      </c>
      <c r="G1471" s="99">
        <v>14</v>
      </c>
      <c r="H1471" s="99">
        <v>1</v>
      </c>
      <c r="I1471" s="99">
        <v>2</v>
      </c>
      <c r="J1471" s="101">
        <f t="shared" si="190"/>
        <v>0.0466295696273861</v>
      </c>
      <c r="K1471" s="102">
        <f t="shared" si="191"/>
        <v>2.25616314199396</v>
      </c>
      <c r="L1471" s="104">
        <f t="shared" si="192"/>
        <v>0</v>
      </c>
      <c r="M1471" s="92">
        <f t="shared" si="193"/>
        <v>0</v>
      </c>
      <c r="N1471" s="46">
        <f t="shared" si="194"/>
        <v>0</v>
      </c>
      <c r="O1471" s="46">
        <f t="shared" si="195"/>
        <v>0</v>
      </c>
      <c r="P1471" s="93">
        <f t="shared" si="196"/>
        <v>106.684285714286</v>
      </c>
    </row>
    <row r="1472" s="2" customFormat="1" spans="1:16">
      <c r="A1472" s="106">
        <v>46119</v>
      </c>
      <c r="B1472" s="98">
        <v>954.89</v>
      </c>
      <c r="C1472" s="99">
        <v>8850</v>
      </c>
      <c r="D1472" s="99">
        <v>452</v>
      </c>
      <c r="E1472" s="99">
        <v>2</v>
      </c>
      <c r="F1472" s="98">
        <v>9232</v>
      </c>
      <c r="G1472" s="99">
        <v>25</v>
      </c>
      <c r="H1472" s="99">
        <v>2</v>
      </c>
      <c r="I1472" s="99">
        <v>0</v>
      </c>
      <c r="J1472" s="101">
        <f t="shared" si="190"/>
        <v>0.0510734463276836</v>
      </c>
      <c r="K1472" s="102">
        <f t="shared" si="191"/>
        <v>2.11258849557522</v>
      </c>
      <c r="L1472" s="104">
        <f t="shared" si="192"/>
        <v>9.66812931332405</v>
      </c>
      <c r="M1472" s="92">
        <f t="shared" si="193"/>
        <v>0.00442477876106195</v>
      </c>
      <c r="N1472" s="46">
        <f t="shared" si="194"/>
        <v>4616</v>
      </c>
      <c r="O1472" s="46">
        <f t="shared" si="195"/>
        <v>477.445</v>
      </c>
      <c r="P1472" s="93">
        <f t="shared" si="196"/>
        <v>38.1956</v>
      </c>
    </row>
    <row r="1473" s="2" customFormat="1" spans="1:16">
      <c r="A1473" s="106">
        <v>46120</v>
      </c>
      <c r="B1473" s="98">
        <v>951.74</v>
      </c>
      <c r="C1473" s="99">
        <v>8733</v>
      </c>
      <c r="D1473" s="99">
        <v>473</v>
      </c>
      <c r="E1473" s="99">
        <v>0</v>
      </c>
      <c r="F1473" s="98">
        <v>0</v>
      </c>
      <c r="G1473" s="99">
        <v>19</v>
      </c>
      <c r="H1473" s="99">
        <v>1</v>
      </c>
      <c r="I1473" s="99">
        <v>1</v>
      </c>
      <c r="J1473" s="101">
        <f t="shared" si="190"/>
        <v>0.0541623726096416</v>
      </c>
      <c r="K1473" s="102">
        <f t="shared" si="191"/>
        <v>2.01213530655391</v>
      </c>
      <c r="L1473" s="104">
        <f t="shared" si="192"/>
        <v>0</v>
      </c>
      <c r="M1473" s="92">
        <f t="shared" si="193"/>
        <v>0</v>
      </c>
      <c r="N1473" s="46">
        <f t="shared" si="194"/>
        <v>0</v>
      </c>
      <c r="O1473" s="46">
        <f t="shared" si="195"/>
        <v>0</v>
      </c>
      <c r="P1473" s="93">
        <f t="shared" si="196"/>
        <v>50.0915789473684</v>
      </c>
    </row>
    <row r="1474" s="2" customFormat="1" spans="1:16">
      <c r="A1474" s="106">
        <v>46121</v>
      </c>
      <c r="B1474" s="98">
        <v>950.62</v>
      </c>
      <c r="C1474" s="99">
        <v>10379</v>
      </c>
      <c r="D1474" s="99">
        <v>545</v>
      </c>
      <c r="E1474" s="99">
        <v>0</v>
      </c>
      <c r="F1474" s="98">
        <v>0</v>
      </c>
      <c r="G1474" s="99">
        <v>20</v>
      </c>
      <c r="H1474" s="99">
        <v>3</v>
      </c>
      <c r="I1474" s="99">
        <v>1</v>
      </c>
      <c r="J1474" s="101">
        <f t="shared" si="190"/>
        <v>0.0525098757105694</v>
      </c>
      <c r="K1474" s="102">
        <f t="shared" si="191"/>
        <v>1.74425688073394</v>
      </c>
      <c r="L1474" s="104">
        <f t="shared" si="192"/>
        <v>0</v>
      </c>
      <c r="M1474" s="92">
        <f t="shared" si="193"/>
        <v>0</v>
      </c>
      <c r="N1474" s="46">
        <f t="shared" si="194"/>
        <v>0</v>
      </c>
      <c r="O1474" s="46">
        <f t="shared" si="195"/>
        <v>0</v>
      </c>
      <c r="P1474" s="93">
        <f t="shared" si="196"/>
        <v>47.531</v>
      </c>
    </row>
    <row r="1475" s="2" customFormat="1" spans="1:16">
      <c r="A1475" s="106">
        <v>46122</v>
      </c>
      <c r="B1475" s="98">
        <v>983.47</v>
      </c>
      <c r="C1475" s="99">
        <v>12978</v>
      </c>
      <c r="D1475" s="99">
        <v>566</v>
      </c>
      <c r="E1475" s="99">
        <v>1</v>
      </c>
      <c r="F1475" s="98">
        <v>8684</v>
      </c>
      <c r="G1475" s="99">
        <v>15</v>
      </c>
      <c r="H1475" s="99">
        <v>0</v>
      </c>
      <c r="I1475" s="99">
        <v>1</v>
      </c>
      <c r="J1475" s="101">
        <f t="shared" si="190"/>
        <v>0.0436122669132378</v>
      </c>
      <c r="K1475" s="102">
        <f t="shared" si="191"/>
        <v>1.73757950530035</v>
      </c>
      <c r="L1475" s="104">
        <f t="shared" si="192"/>
        <v>8.82995922600588</v>
      </c>
      <c r="M1475" s="92">
        <f t="shared" si="193"/>
        <v>0.00176678445229682</v>
      </c>
      <c r="N1475" s="46">
        <f t="shared" si="194"/>
        <v>8684</v>
      </c>
      <c r="O1475" s="46">
        <f t="shared" si="195"/>
        <v>983.47</v>
      </c>
      <c r="P1475" s="93">
        <f t="shared" si="196"/>
        <v>65.5646666666667</v>
      </c>
    </row>
    <row r="1476" s="2" customFormat="1" spans="1:16">
      <c r="A1476" s="106">
        <v>46123</v>
      </c>
      <c r="B1476" s="98">
        <v>1028.58</v>
      </c>
      <c r="C1476" s="99">
        <v>12540</v>
      </c>
      <c r="D1476" s="99">
        <v>520</v>
      </c>
      <c r="E1476" s="99">
        <v>1</v>
      </c>
      <c r="F1476" s="98">
        <v>9431.01</v>
      </c>
      <c r="G1476" s="99">
        <v>29</v>
      </c>
      <c r="H1476" s="99">
        <v>2</v>
      </c>
      <c r="I1476" s="99">
        <v>1</v>
      </c>
      <c r="J1476" s="101">
        <f t="shared" si="190"/>
        <v>0.0414673046251994</v>
      </c>
      <c r="K1476" s="102">
        <f t="shared" si="191"/>
        <v>1.97803846153846</v>
      </c>
      <c r="L1476" s="104">
        <f t="shared" si="192"/>
        <v>9.1689610919909</v>
      </c>
      <c r="M1476" s="92">
        <f t="shared" si="193"/>
        <v>0.00192307692307692</v>
      </c>
      <c r="N1476" s="46">
        <f t="shared" si="194"/>
        <v>9431.01</v>
      </c>
      <c r="O1476" s="46">
        <f t="shared" si="195"/>
        <v>1028.58</v>
      </c>
      <c r="P1476" s="93">
        <f t="shared" si="196"/>
        <v>35.468275862069</v>
      </c>
    </row>
    <row r="1477" s="2" customFormat="1" spans="1:16">
      <c r="A1477" s="106">
        <v>46124</v>
      </c>
      <c r="B1477" s="98">
        <v>1047.94</v>
      </c>
      <c r="C1477" s="99">
        <v>10172</v>
      </c>
      <c r="D1477" s="99">
        <v>550</v>
      </c>
      <c r="E1477" s="99">
        <v>0</v>
      </c>
      <c r="F1477" s="98">
        <v>0</v>
      </c>
      <c r="G1477" s="99">
        <v>17</v>
      </c>
      <c r="H1477" s="99">
        <v>2</v>
      </c>
      <c r="I1477" s="99">
        <v>1</v>
      </c>
      <c r="J1477" s="101">
        <f t="shared" si="190"/>
        <v>0.0540699960676366</v>
      </c>
      <c r="K1477" s="102">
        <f t="shared" si="191"/>
        <v>1.90534545454545</v>
      </c>
      <c r="L1477" s="104">
        <f t="shared" si="192"/>
        <v>0</v>
      </c>
      <c r="M1477" s="92">
        <f t="shared" si="193"/>
        <v>0</v>
      </c>
      <c r="N1477" s="46">
        <f t="shared" si="194"/>
        <v>0</v>
      </c>
      <c r="O1477" s="46">
        <f t="shared" si="195"/>
        <v>0</v>
      </c>
      <c r="P1477" s="93">
        <f t="shared" si="196"/>
        <v>61.6435294117647</v>
      </c>
    </row>
    <row r="1478" s="2" customFormat="1" spans="1:16">
      <c r="A1478" s="106">
        <v>46125</v>
      </c>
      <c r="B1478" s="98">
        <v>1007.9</v>
      </c>
      <c r="C1478" s="99">
        <v>8128</v>
      </c>
      <c r="D1478" s="99">
        <v>468</v>
      </c>
      <c r="E1478" s="99">
        <v>0</v>
      </c>
      <c r="F1478" s="98">
        <v>0</v>
      </c>
      <c r="G1478" s="99">
        <v>12</v>
      </c>
      <c r="H1478" s="99">
        <v>0</v>
      </c>
      <c r="I1478" s="99">
        <v>2</v>
      </c>
      <c r="J1478" s="101">
        <f t="shared" si="190"/>
        <v>0.0575787401574803</v>
      </c>
      <c r="K1478" s="102">
        <f t="shared" si="191"/>
        <v>2.15363247863248</v>
      </c>
      <c r="L1478" s="104">
        <f t="shared" si="192"/>
        <v>0</v>
      </c>
      <c r="M1478" s="92">
        <f t="shared" si="193"/>
        <v>0</v>
      </c>
      <c r="N1478" s="46">
        <f t="shared" si="194"/>
        <v>0</v>
      </c>
      <c r="O1478" s="46">
        <f t="shared" si="195"/>
        <v>0</v>
      </c>
      <c r="P1478" s="93">
        <f t="shared" si="196"/>
        <v>83.9916666666667</v>
      </c>
    </row>
    <row r="1479" s="2" customFormat="1" spans="1:16">
      <c r="A1479" s="106">
        <v>46126</v>
      </c>
      <c r="B1479" s="98">
        <v>1179.72</v>
      </c>
      <c r="C1479" s="99">
        <v>7682</v>
      </c>
      <c r="D1479" s="99">
        <v>579</v>
      </c>
      <c r="E1479" s="99">
        <v>1</v>
      </c>
      <c r="F1479" s="98">
        <v>7592</v>
      </c>
      <c r="G1479" s="99">
        <v>33</v>
      </c>
      <c r="H1479" s="99">
        <v>0</v>
      </c>
      <c r="I1479" s="99">
        <v>0</v>
      </c>
      <c r="J1479" s="101">
        <f t="shared" si="190"/>
        <v>0.0753709971361625</v>
      </c>
      <c r="K1479" s="102">
        <f t="shared" si="191"/>
        <v>2.03751295336788</v>
      </c>
      <c r="L1479" s="104">
        <f t="shared" si="192"/>
        <v>6.43542535516902</v>
      </c>
      <c r="M1479" s="92">
        <f t="shared" si="193"/>
        <v>0.00172711571675302</v>
      </c>
      <c r="N1479" s="46">
        <f t="shared" si="194"/>
        <v>7592</v>
      </c>
      <c r="O1479" s="46">
        <f t="shared" si="195"/>
        <v>1179.72</v>
      </c>
      <c r="P1479" s="93">
        <f t="shared" si="196"/>
        <v>35.7490909090909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直通车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ZouYuchang</dc:creator>
  <cp:lastModifiedBy>Kon·Kwok</cp:lastModifiedBy>
  <dcterms:created xsi:type="dcterms:W3CDTF">2026-04-18T14:27:00Z</dcterms:created>
  <dcterms:modified xsi:type="dcterms:W3CDTF">2026-04-18T14:42:06Z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67A0D0797A174D468E38EC274C74BE4E_11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