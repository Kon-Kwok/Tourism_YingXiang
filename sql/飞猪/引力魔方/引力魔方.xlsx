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Height="18390"/>
  </bookViews>
  <sheets>
    <sheet name="引力魔方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<sst xmlns="http://schemas.openxmlformats.org/spreadsheetml/2006/main" count="435" uniqueCount="15">
  <si>
    <t>Date
时间</t>
  </si>
  <si>
    <t>Cost
花费</t>
  </si>
  <si>
    <t>IMP
展示</t>
  </si>
  <si>
    <t>Click
点击</t>
  </si>
  <si>
    <t>Order
订单</t>
  </si>
  <si>
    <t>Sales
销量</t>
  </si>
  <si>
    <t>ShoppingCart
加入购物车</t>
  </si>
  <si>
    <t>Bookmark-Product
宝贝收藏</t>
  </si>
  <si>
    <t>Bookmark-Store
店铺收藏</t>
  </si>
  <si>
    <t>CTR
点击率</t>
  </si>
  <si>
    <t>CPC
点击成本</t>
  </si>
  <si>
    <t>CPM
拉新成本</t>
  </si>
  <si>
    <t>ROI
投资回报率</t>
  </si>
  <si>
    <t>CVR
点击转化率</t>
  </si>
  <si>
    <t>-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</si>
</sst>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14">
    <numFmt numFmtId="7" formatCode="&quot;￥&quot;#,##0.00;&quot;￥&quot;\-#,##0.00"/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#,##0_ "/>
    <numFmt numFmtId="177" formatCode="_ \¥* #,##0.00_ ;_ \¥* \-#,##0.00_ ;_ \¥* &quot;-&quot;??_ ;_ @_ "/>
    <numFmt numFmtId="178" formatCode="\¥#,##0.00_);[Red]&quot;(¥&quot;#,##0.00\)"/>
    <numFmt numFmtId="179" formatCode="\¥#,##0.00;[Red]\¥\-#,##0.00"/>
    <numFmt numFmtId="180" formatCode="\¥#,##0_);[Red]&quot;(¥&quot;#,##0\)"/>
    <numFmt numFmtId="181" formatCode="0.00_);[Red]\(0.00\)"/>
    <numFmt numFmtId="182" formatCode="0.00_ "/>
    <numFmt numFmtId="183" formatCode="0_ "/>
    <numFmt numFmtId="184" formatCode="0_);[Red]\(0\)"/>
  </numFmts>
  <fonts count="27">
    <font>
      <sz val="11"/>
      <color theme="1"/>
      <name val="宋体"/>
      <charset val="134"/>
      <scheme val="minor"/>
    </font>
    <font>
      <sz val="10"/>
      <color theme="1"/>
      <name val="微软雅黑"/>
      <charset val="134"/>
    </font>
    <font>
      <b/>
      <sz val="10"/>
      <color theme="0" tint="-0.0499893185216834"/>
      <name val="微软雅黑"/>
      <charset val="134"/>
    </font>
    <font>
      <sz val="11"/>
      <name val="宋体"/>
      <charset val="134"/>
      <scheme val="minor"/>
    </font>
    <font>
      <sz val="10"/>
      <color theme="1"/>
      <name val="等线"/>
      <charset val="134"/>
    </font>
    <font>
      <sz val="11"/>
      <color theme="1"/>
      <name val="等线"/>
      <charset val="134"/>
    </font>
    <font>
      <sz val="11"/>
      <color theme="1"/>
      <name val="宋体"/>
      <charset val="134"/>
    </font>
    <font>
      <sz val="11"/>
      <color rgb="FF000000"/>
      <name val="等线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4" tint="-0.249977111117893"/>
        <bgColor rgb="FFE2F0D9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3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auto="1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theme="4" tint="0.399975585192419"/>
      </bottom>
      <diagonal/>
    </border>
    <border>
      <left style="thin">
        <color auto="1"/>
      </left>
      <right style="thin">
        <color rgb="FF000000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rgb="FF000000"/>
      </right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0" fillId="4" borderId="28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29" applyNumberFormat="0" applyFill="0" applyAlignment="0" applyProtection="0">
      <alignment vertical="center"/>
    </xf>
    <xf numFmtId="0" fontId="14" fillId="0" borderId="29" applyNumberFormat="0" applyFill="0" applyAlignment="0" applyProtection="0">
      <alignment vertical="center"/>
    </xf>
    <xf numFmtId="0" fontId="15" fillId="0" borderId="30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5" borderId="31" applyNumberFormat="0" applyAlignment="0" applyProtection="0">
      <alignment vertical="center"/>
    </xf>
    <xf numFmtId="0" fontId="17" fillId="6" borderId="32" applyNumberFormat="0" applyAlignment="0" applyProtection="0">
      <alignment vertical="center"/>
    </xf>
    <xf numFmtId="0" fontId="18" fillId="6" borderId="31" applyNumberFormat="0" applyAlignment="0" applyProtection="0">
      <alignment vertical="center"/>
    </xf>
    <xf numFmtId="0" fontId="19" fillId="7" borderId="33" applyNumberFormat="0" applyAlignment="0" applyProtection="0">
      <alignment vertical="center"/>
    </xf>
    <xf numFmtId="0" fontId="20" fillId="0" borderId="34" applyNumberFormat="0" applyFill="0" applyAlignment="0" applyProtection="0">
      <alignment vertical="center"/>
    </xf>
    <xf numFmtId="0" fontId="21" fillId="0" borderId="35" applyNumberFormat="0" applyFill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0" fillId="0" borderId="0"/>
  </cellStyleXfs>
  <cellXfs count="222">
    <xf numFmtId="0" fontId="0" fillId="0" borderId="0" xfId="0">
      <alignment vertical="center"/>
    </xf>
    <xf numFmtId="0" fontId="1" fillId="0" borderId="0" xfId="0" applyFont="1" applyFill="1" applyAlignment="1">
      <alignment horizontal="center"/>
    </xf>
    <xf numFmtId="0" fontId="0" fillId="0" borderId="0" xfId="0" applyFill="1" applyAlignment="1">
      <alignment vertical="center"/>
    </xf>
    <xf numFmtId="0" fontId="0" fillId="0" borderId="0" xfId="0" applyFill="1" applyAlignment="1">
      <alignment horizontal="center" vertical="center"/>
    </xf>
    <xf numFmtId="7" fontId="0" fillId="0" borderId="0" xfId="2" applyNumberFormat="1" applyFont="1" applyAlignment="1">
      <alignment horizontal="center" vertical="center"/>
    </xf>
    <xf numFmtId="38" fontId="0" fillId="0" borderId="0" xfId="0" applyNumberFormat="1" applyFill="1" applyAlignment="1">
      <alignment horizontal="center" vertical="center"/>
    </xf>
    <xf numFmtId="176" fontId="0" fillId="0" borderId="0" xfId="0" applyNumberFormat="1" applyFill="1" applyAlignment="1">
      <alignment horizontal="center" vertical="center"/>
    </xf>
    <xf numFmtId="177" fontId="0" fillId="0" borderId="0" xfId="2" applyNumberFormat="1" applyFont="1" applyAlignment="1">
      <alignment horizontal="center" vertical="center"/>
    </xf>
    <xf numFmtId="10" fontId="0" fillId="0" borderId="0" xfId="3" applyNumberFormat="1" applyFont="1" applyAlignment="1">
      <alignment horizontal="center" vertical="center"/>
    </xf>
    <xf numFmtId="178" fontId="0" fillId="0" borderId="0" xfId="0" applyNumberFormat="1" applyFill="1" applyAlignment="1">
      <alignment horizontal="center" vertical="center"/>
    </xf>
    <xf numFmtId="179" fontId="0" fillId="0" borderId="0" xfId="0" applyNumberFormat="1" applyFill="1" applyAlignment="1">
      <alignment horizontal="center" vertical="center"/>
    </xf>
    <xf numFmtId="10" fontId="0" fillId="0" borderId="0" xfId="0" applyNumberFormat="1" applyFill="1" applyAlignment="1">
      <alignment horizontal="center" vertical="center"/>
    </xf>
    <xf numFmtId="180" fontId="2" fillId="2" borderId="1" xfId="0" applyNumberFormat="1" applyFont="1" applyFill="1" applyBorder="1" applyAlignment="1">
      <alignment horizontal="center" vertical="center" wrapText="1"/>
    </xf>
    <xf numFmtId="7" fontId="2" fillId="2" borderId="1" xfId="2" applyNumberFormat="1" applyFont="1" applyFill="1" applyBorder="1" applyAlignment="1">
      <alignment horizontal="center" vertical="center" wrapText="1"/>
    </xf>
    <xf numFmtId="38" fontId="2" fillId="2" borderId="1" xfId="0" applyNumberFormat="1" applyFont="1" applyFill="1" applyBorder="1" applyAlignment="1">
      <alignment horizontal="center" vertical="center" wrapText="1"/>
    </xf>
    <xf numFmtId="176" fontId="2" fillId="2" borderId="1" xfId="0" applyNumberFormat="1" applyFont="1" applyFill="1" applyBorder="1" applyAlignment="1">
      <alignment horizontal="center" vertical="center" wrapText="1"/>
    </xf>
    <xf numFmtId="177" fontId="2" fillId="2" borderId="1" xfId="2" applyNumberFormat="1" applyFont="1" applyFill="1" applyBorder="1" applyAlignment="1">
      <alignment horizontal="center" vertical="center" wrapText="1"/>
    </xf>
    <xf numFmtId="10" fontId="2" fillId="2" borderId="1" xfId="3" applyNumberFormat="1" applyFont="1" applyFill="1" applyBorder="1" applyAlignment="1">
      <alignment horizontal="center" vertical="center" wrapText="1"/>
    </xf>
    <xf numFmtId="178" fontId="2" fillId="2" borderId="1" xfId="0" applyNumberFormat="1" applyFont="1" applyFill="1" applyBorder="1" applyAlignment="1">
      <alignment horizontal="center" vertical="center" wrapText="1"/>
    </xf>
    <xf numFmtId="179" fontId="2" fillId="2" borderId="1" xfId="0" applyNumberFormat="1" applyFont="1" applyFill="1" applyBorder="1" applyAlignment="1">
      <alignment horizontal="center" vertical="center" wrapText="1"/>
    </xf>
    <xf numFmtId="10" fontId="2" fillId="2" borderId="1" xfId="0" applyNumberFormat="1" applyFont="1" applyFill="1" applyBorder="1" applyAlignment="1">
      <alignment horizontal="center" vertical="center" wrapText="1"/>
    </xf>
    <xf numFmtId="14" fontId="0" fillId="0" borderId="1" xfId="0" applyNumberFormat="1" applyFill="1" applyBorder="1" applyAlignment="1">
      <alignment horizontal="center" vertical="center"/>
    </xf>
    <xf numFmtId="7" fontId="0" fillId="0" borderId="1" xfId="2" applyNumberFormat="1" applyFont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176" fontId="0" fillId="0" borderId="1" xfId="0" applyNumberFormat="1" applyFill="1" applyBorder="1" applyAlignment="1">
      <alignment horizontal="center" vertical="center"/>
    </xf>
    <xf numFmtId="177" fontId="0" fillId="0" borderId="1" xfId="2" applyNumberFormat="1" applyFont="1" applyBorder="1" applyAlignment="1">
      <alignment horizontal="center" vertical="center"/>
    </xf>
    <xf numFmtId="10" fontId="0" fillId="0" borderId="1" xfId="3" applyNumberFormat="1" applyFont="1" applyBorder="1" applyAlignment="1">
      <alignment horizontal="center" vertical="center"/>
    </xf>
    <xf numFmtId="178" fontId="0" fillId="0" borderId="1" xfId="0" applyNumberFormat="1" applyFill="1" applyBorder="1" applyAlignment="1">
      <alignment horizontal="center" vertical="center"/>
    </xf>
    <xf numFmtId="3" fontId="0" fillId="0" borderId="1" xfId="0" applyNumberFormat="1" applyFill="1" applyBorder="1" applyAlignment="1">
      <alignment horizontal="center" vertical="center"/>
    </xf>
    <xf numFmtId="38" fontId="0" fillId="0" borderId="1" xfId="0" applyNumberFormat="1" applyFill="1" applyBorder="1" applyAlignment="1">
      <alignment horizontal="center" vertical="center"/>
    </xf>
    <xf numFmtId="179" fontId="0" fillId="0" borderId="1" xfId="0" applyNumberFormat="1" applyFill="1" applyBorder="1" applyAlignment="1">
      <alignment horizontal="center" vertical="center"/>
    </xf>
    <xf numFmtId="10" fontId="0" fillId="0" borderId="1" xfId="0" applyNumberFormat="1" applyFill="1" applyBorder="1" applyAlignment="1">
      <alignment horizontal="center" vertical="center"/>
    </xf>
    <xf numFmtId="176" fontId="0" fillId="0" borderId="1" xfId="2" applyNumberFormat="1" applyFont="1" applyBorder="1" applyAlignment="1">
      <alignment horizontal="center" vertical="center"/>
    </xf>
    <xf numFmtId="10" fontId="0" fillId="0" borderId="1" xfId="2" applyNumberFormat="1" applyFont="1" applyBorder="1" applyAlignment="1">
      <alignment horizontal="center" vertical="center"/>
    </xf>
    <xf numFmtId="181" fontId="0" fillId="0" borderId="1" xfId="2" applyNumberFormat="1" applyFont="1" applyBorder="1" applyAlignment="1">
      <alignment horizontal="center" vertical="center"/>
    </xf>
    <xf numFmtId="7" fontId="0" fillId="0" borderId="1" xfId="2" applyNumberFormat="1" applyFont="1" applyFill="1" applyBorder="1" applyAlignment="1">
      <alignment horizontal="center" vertical="center"/>
    </xf>
    <xf numFmtId="10" fontId="0" fillId="0" borderId="1" xfId="3" applyNumberFormat="1" applyFont="1" applyFill="1" applyBorder="1" applyAlignment="1">
      <alignment horizontal="center" vertical="center"/>
    </xf>
    <xf numFmtId="182" fontId="0" fillId="0" borderId="1" xfId="0" applyNumberFormat="1" applyFill="1" applyBorder="1" applyAlignment="1">
      <alignment horizontal="center" vertical="center"/>
    </xf>
    <xf numFmtId="7" fontId="0" fillId="0" borderId="1" xfId="49" applyNumberFormat="1" applyFill="1" applyBorder="1" applyAlignment="1">
      <alignment horizontal="center" vertical="center"/>
    </xf>
    <xf numFmtId="0" fontId="0" fillId="0" borderId="1" xfId="49" applyFill="1" applyBorder="1" applyAlignment="1">
      <alignment horizontal="center" vertical="center"/>
    </xf>
    <xf numFmtId="176" fontId="0" fillId="0" borderId="1" xfId="49" applyNumberFormat="1" applyFill="1" applyBorder="1" applyAlignment="1">
      <alignment horizontal="center" vertical="center"/>
    </xf>
    <xf numFmtId="3" fontId="0" fillId="0" borderId="1" xfId="0" applyNumberFormat="1" applyFill="1" applyBorder="1" applyAlignment="1">
      <alignment horizontal="center" vertical="center" wrapText="1"/>
    </xf>
    <xf numFmtId="176" fontId="0" fillId="0" borderId="1" xfId="0" applyNumberFormat="1" applyFill="1" applyBorder="1" applyAlignment="1">
      <alignment horizontal="center" vertical="center" wrapText="1"/>
    </xf>
    <xf numFmtId="7" fontId="0" fillId="0" borderId="0" xfId="2" applyNumberFormat="1" applyFont="1" applyFill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14" fontId="0" fillId="0" borderId="3" xfId="0" applyNumberFormat="1" applyFill="1" applyBorder="1" applyAlignment="1">
      <alignment horizontal="center" vertical="center"/>
    </xf>
    <xf numFmtId="7" fontId="0" fillId="0" borderId="3" xfId="49" applyNumberFormat="1" applyFill="1" applyBorder="1" applyAlignment="1">
      <alignment horizontal="center" vertical="center"/>
    </xf>
    <xf numFmtId="3" fontId="0" fillId="0" borderId="3" xfId="0" applyNumberFormat="1" applyFill="1" applyBorder="1" applyAlignment="1">
      <alignment horizontal="center" vertical="center" wrapText="1"/>
    </xf>
    <xf numFmtId="176" fontId="0" fillId="0" borderId="3" xfId="0" applyNumberFormat="1" applyFill="1" applyBorder="1" applyAlignment="1">
      <alignment horizontal="center" vertical="center" wrapText="1"/>
    </xf>
    <xf numFmtId="7" fontId="0" fillId="0" borderId="3" xfId="2" applyNumberFormat="1" applyFont="1" applyFill="1" applyBorder="1" applyAlignment="1">
      <alignment horizontal="center" vertical="center"/>
    </xf>
    <xf numFmtId="0" fontId="0" fillId="0" borderId="3" xfId="0" applyFill="1" applyBorder="1" applyAlignment="1">
      <alignment horizontal="center" vertical="center"/>
    </xf>
    <xf numFmtId="7" fontId="0" fillId="0" borderId="4" xfId="2" applyNumberFormat="1" applyFont="1" applyFill="1" applyBorder="1" applyAlignment="1">
      <alignment horizontal="center" vertical="center"/>
    </xf>
    <xf numFmtId="183" fontId="0" fillId="0" borderId="1" xfId="0" applyNumberFormat="1" applyFill="1" applyBorder="1" applyAlignment="1">
      <alignment horizontal="center" vertical="center" wrapText="1"/>
    </xf>
    <xf numFmtId="7" fontId="0" fillId="0" borderId="5" xfId="49" applyNumberFormat="1" applyFill="1" applyBorder="1" applyAlignment="1">
      <alignment horizontal="center" vertical="center"/>
    </xf>
    <xf numFmtId="7" fontId="0" fillId="0" borderId="6" xfId="0" applyNumberFormat="1" applyFill="1" applyBorder="1" applyAlignment="1">
      <alignment horizontal="distributed" vertical="center" wrapText="1"/>
    </xf>
    <xf numFmtId="3" fontId="0" fillId="0" borderId="6" xfId="0" applyNumberFormat="1" applyFill="1" applyBorder="1" applyAlignment="1">
      <alignment horizontal="center" vertical="center" wrapText="1"/>
    </xf>
    <xf numFmtId="176" fontId="0" fillId="0" borderId="6" xfId="0" applyNumberFormat="1" applyFill="1" applyBorder="1" applyAlignment="1">
      <alignment horizontal="center" vertical="center" wrapText="1"/>
    </xf>
    <xf numFmtId="0" fontId="0" fillId="0" borderId="6" xfId="0" applyFill="1" applyBorder="1" applyAlignment="1">
      <alignment horizontal="center" vertical="center"/>
    </xf>
    <xf numFmtId="7" fontId="0" fillId="0" borderId="6" xfId="2" applyNumberFormat="1" applyFont="1" applyFill="1" applyBorder="1" applyAlignment="1">
      <alignment horizontal="center" vertical="center"/>
    </xf>
    <xf numFmtId="7" fontId="3" fillId="0" borderId="3" xfId="49" applyNumberFormat="1" applyFont="1" applyFill="1" applyBorder="1" applyAlignment="1">
      <alignment horizontal="center" vertical="center"/>
    </xf>
    <xf numFmtId="3" fontId="3" fillId="0" borderId="3" xfId="0" applyNumberFormat="1" applyFont="1" applyFill="1" applyBorder="1" applyAlignment="1">
      <alignment horizontal="center" vertical="center" wrapText="1"/>
    </xf>
    <xf numFmtId="176" fontId="3" fillId="0" borderId="3" xfId="0" applyNumberFormat="1" applyFont="1" applyFill="1" applyBorder="1" applyAlignment="1">
      <alignment horizontal="center" vertical="center" wrapText="1"/>
    </xf>
    <xf numFmtId="3" fontId="0" fillId="0" borderId="1" xfId="49" applyNumberFormat="1" applyFill="1" applyBorder="1" applyAlignment="1">
      <alignment horizontal="center" vertical="center"/>
    </xf>
    <xf numFmtId="183" fontId="0" fillId="0" borderId="1" xfId="2" applyNumberFormat="1" applyFont="1" applyFill="1" applyBorder="1" applyAlignment="1">
      <alignment horizontal="center" vertical="center"/>
    </xf>
    <xf numFmtId="7" fontId="4" fillId="0" borderId="1" xfId="0" applyNumberFormat="1" applyFont="1" applyFill="1" applyBorder="1" applyAlignment="1">
      <alignment horizontal="center"/>
    </xf>
    <xf numFmtId="0" fontId="4" fillId="0" borderId="1" xfId="0" applyFont="1" applyFill="1" applyBorder="1" applyAlignment="1">
      <alignment horizontal="center"/>
    </xf>
    <xf numFmtId="176" fontId="4" fillId="0" borderId="1" xfId="0" applyNumberFormat="1" applyFont="1" applyFill="1" applyBorder="1" applyAlignment="1">
      <alignment horizontal="center"/>
    </xf>
    <xf numFmtId="7" fontId="4" fillId="0" borderId="1" xfId="0" applyNumberFormat="1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176" fontId="4" fillId="0" borderId="1" xfId="0" applyNumberFormat="1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/>
    </xf>
    <xf numFmtId="176" fontId="5" fillId="0" borderId="1" xfId="0" applyNumberFormat="1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center"/>
    </xf>
    <xf numFmtId="176" fontId="5" fillId="0" borderId="1" xfId="0" applyNumberFormat="1" applyFont="1" applyFill="1" applyBorder="1" applyAlignment="1">
      <alignment horizontal="center"/>
    </xf>
    <xf numFmtId="7" fontId="4" fillId="0" borderId="3" xfId="0" applyNumberFormat="1" applyFont="1" applyFill="1" applyBorder="1" applyAlignment="1">
      <alignment horizontal="center"/>
    </xf>
    <xf numFmtId="0" fontId="5" fillId="0" borderId="3" xfId="0" applyFont="1" applyFill="1" applyBorder="1" applyAlignment="1">
      <alignment horizontal="center"/>
    </xf>
    <xf numFmtId="176" fontId="5" fillId="0" borderId="3" xfId="0" applyNumberFormat="1" applyFont="1" applyFill="1" applyBorder="1" applyAlignment="1">
      <alignment horizontal="center"/>
    </xf>
    <xf numFmtId="7" fontId="0" fillId="0" borderId="2" xfId="0" applyNumberFormat="1" applyFill="1" applyBorder="1" applyAlignment="1">
      <alignment horizontal="distributed" vertical="center" wrapText="1"/>
    </xf>
    <xf numFmtId="3" fontId="0" fillId="0" borderId="2" xfId="0" applyNumberFormat="1" applyFill="1" applyBorder="1" applyAlignment="1">
      <alignment horizontal="center" vertical="center" wrapText="1"/>
    </xf>
    <xf numFmtId="176" fontId="0" fillId="0" borderId="2" xfId="0" applyNumberFormat="1" applyFill="1" applyBorder="1" applyAlignment="1">
      <alignment horizontal="center" vertical="center" wrapText="1"/>
    </xf>
    <xf numFmtId="7" fontId="0" fillId="0" borderId="2" xfId="2" applyNumberFormat="1" applyFont="1" applyFill="1" applyBorder="1" applyAlignment="1">
      <alignment horizontal="center" vertical="center"/>
    </xf>
    <xf numFmtId="7" fontId="0" fillId="0" borderId="1" xfId="0" applyNumberFormat="1" applyFill="1" applyBorder="1" applyAlignment="1">
      <alignment horizontal="center" vertical="center" wrapText="1"/>
    </xf>
    <xf numFmtId="7" fontId="5" fillId="0" borderId="1" xfId="49" applyNumberFormat="1" applyFont="1" applyFill="1" applyBorder="1" applyAlignment="1">
      <alignment horizontal="center" vertical="center"/>
    </xf>
    <xf numFmtId="3" fontId="5" fillId="0" borderId="1" xfId="49" applyNumberFormat="1" applyFont="1" applyFill="1" applyBorder="1" applyAlignment="1">
      <alignment horizontal="center" vertical="center"/>
    </xf>
    <xf numFmtId="176" fontId="5" fillId="0" borderId="1" xfId="49" applyNumberFormat="1" applyFont="1" applyFill="1" applyBorder="1" applyAlignment="1">
      <alignment horizontal="center" vertical="center"/>
    </xf>
    <xf numFmtId="0" fontId="5" fillId="0" borderId="1" xfId="49" applyFont="1" applyFill="1" applyBorder="1" applyAlignment="1">
      <alignment horizontal="center" vertical="center"/>
    </xf>
    <xf numFmtId="14" fontId="5" fillId="0" borderId="1" xfId="0" applyNumberFormat="1" applyFont="1" applyFill="1" applyBorder="1" applyAlignment="1">
      <alignment horizontal="center" vertical="center"/>
    </xf>
    <xf numFmtId="7" fontId="5" fillId="0" borderId="1" xfId="2" applyNumberFormat="1" applyFont="1" applyFill="1" applyBorder="1" applyAlignment="1">
      <alignment horizontal="center" vertical="center"/>
    </xf>
    <xf numFmtId="10" fontId="5" fillId="0" borderId="1" xfId="3" applyNumberFormat="1" applyFont="1" applyFill="1" applyBorder="1" applyAlignment="1">
      <alignment horizontal="center" vertical="center"/>
    </xf>
    <xf numFmtId="178" fontId="5" fillId="0" borderId="1" xfId="0" applyNumberFormat="1" applyFont="1" applyFill="1" applyBorder="1" applyAlignment="1">
      <alignment horizontal="center" vertical="center"/>
    </xf>
    <xf numFmtId="182" fontId="5" fillId="0" borderId="1" xfId="0" applyNumberFormat="1" applyFont="1" applyFill="1" applyBorder="1" applyAlignment="1">
      <alignment horizontal="center" vertical="center"/>
    </xf>
    <xf numFmtId="10" fontId="5" fillId="0" borderId="1" xfId="0" applyNumberFormat="1" applyFont="1" applyFill="1" applyBorder="1" applyAlignment="1">
      <alignment horizontal="center" vertical="center"/>
    </xf>
    <xf numFmtId="7" fontId="5" fillId="0" borderId="4" xfId="0" applyNumberFormat="1" applyFont="1" applyFill="1" applyBorder="1" applyAlignment="1">
      <alignment horizontal="center" vertical="center" wrapText="1"/>
    </xf>
    <xf numFmtId="3" fontId="5" fillId="0" borderId="1" xfId="0" applyNumberFormat="1" applyFont="1" applyFill="1" applyBorder="1" applyAlignment="1">
      <alignment horizontal="center" vertical="center" wrapText="1"/>
    </xf>
    <xf numFmtId="176" fontId="5" fillId="0" borderId="1" xfId="0" applyNumberFormat="1" applyFont="1" applyFill="1" applyBorder="1" applyAlignment="1">
      <alignment horizontal="center" vertical="center" wrapText="1"/>
    </xf>
    <xf numFmtId="7" fontId="5" fillId="0" borderId="1" xfId="0" applyNumberFormat="1" applyFont="1" applyFill="1" applyBorder="1" applyAlignment="1">
      <alignment horizontal="center"/>
    </xf>
    <xf numFmtId="3" fontId="5" fillId="0" borderId="1" xfId="0" applyNumberFormat="1" applyFont="1" applyFill="1" applyBorder="1" applyAlignment="1">
      <alignment horizontal="center"/>
    </xf>
    <xf numFmtId="14" fontId="5" fillId="0" borderId="3" xfId="0" applyNumberFormat="1" applyFont="1" applyFill="1" applyBorder="1" applyAlignment="1">
      <alignment horizontal="center" vertical="center"/>
    </xf>
    <xf numFmtId="7" fontId="5" fillId="0" borderId="3" xfId="0" applyNumberFormat="1" applyFont="1" applyFill="1" applyBorder="1" applyAlignment="1">
      <alignment horizontal="center"/>
    </xf>
    <xf numFmtId="10" fontId="5" fillId="0" borderId="3" xfId="3" applyNumberFormat="1" applyFont="1" applyFill="1" applyBorder="1" applyAlignment="1">
      <alignment horizontal="center" vertical="center"/>
    </xf>
    <xf numFmtId="178" fontId="5" fillId="0" borderId="3" xfId="0" applyNumberFormat="1" applyFont="1" applyFill="1" applyBorder="1" applyAlignment="1">
      <alignment horizontal="center" vertical="center"/>
    </xf>
    <xf numFmtId="14" fontId="5" fillId="0" borderId="7" xfId="0" applyNumberFormat="1" applyFont="1" applyFill="1" applyBorder="1" applyAlignment="1">
      <alignment horizontal="center" vertical="center"/>
    </xf>
    <xf numFmtId="7" fontId="0" fillId="0" borderId="7" xfId="2" applyNumberFormat="1" applyFont="1" applyFill="1" applyBorder="1" applyAlignment="1">
      <alignment horizontal="center" vertical="center"/>
    </xf>
    <xf numFmtId="38" fontId="0" fillId="0" borderId="7" xfId="0" applyNumberFormat="1" applyFill="1" applyBorder="1" applyAlignment="1">
      <alignment horizontal="center" vertical="center"/>
    </xf>
    <xf numFmtId="176" fontId="0" fillId="0" borderId="7" xfId="0" applyNumberFormat="1" applyFill="1" applyBorder="1" applyAlignment="1">
      <alignment horizontal="center" vertical="center"/>
    </xf>
    <xf numFmtId="0" fontId="0" fillId="0" borderId="7" xfId="0" applyFill="1" applyBorder="1" applyAlignment="1">
      <alignment horizontal="center" vertical="center"/>
    </xf>
    <xf numFmtId="177" fontId="0" fillId="0" borderId="7" xfId="2" applyNumberFormat="1" applyFont="1" applyFill="1" applyBorder="1" applyAlignment="1">
      <alignment horizontal="center" vertical="center"/>
    </xf>
    <xf numFmtId="10" fontId="5" fillId="0" borderId="7" xfId="3" applyNumberFormat="1" applyFont="1" applyFill="1" applyBorder="1" applyAlignment="1">
      <alignment horizontal="center" vertical="center"/>
    </xf>
    <xf numFmtId="178" fontId="5" fillId="0" borderId="7" xfId="0" applyNumberFormat="1" applyFont="1" applyFill="1" applyBorder="1" applyAlignment="1">
      <alignment horizontal="center" vertical="center"/>
    </xf>
    <xf numFmtId="182" fontId="5" fillId="0" borderId="4" xfId="0" applyNumberFormat="1" applyFont="1" applyFill="1" applyBorder="1" applyAlignment="1">
      <alignment horizontal="center" vertical="center"/>
    </xf>
    <xf numFmtId="14" fontId="5" fillId="0" borderId="6" xfId="0" applyNumberFormat="1" applyFont="1" applyFill="1" applyBorder="1" applyAlignment="1">
      <alignment horizontal="center" vertical="center"/>
    </xf>
    <xf numFmtId="38" fontId="0" fillId="0" borderId="6" xfId="0" applyNumberFormat="1" applyFill="1" applyBorder="1" applyAlignment="1">
      <alignment horizontal="center" vertical="center"/>
    </xf>
    <xf numFmtId="176" fontId="0" fillId="0" borderId="6" xfId="0" applyNumberFormat="1" applyFill="1" applyBorder="1" applyAlignment="1">
      <alignment horizontal="center" vertical="center"/>
    </xf>
    <xf numFmtId="177" fontId="0" fillId="0" borderId="6" xfId="2" applyNumberFormat="1" applyFont="1" applyFill="1" applyBorder="1" applyAlignment="1">
      <alignment horizontal="center" vertical="center"/>
    </xf>
    <xf numFmtId="10" fontId="5" fillId="0" borderId="6" xfId="3" applyNumberFormat="1" applyFont="1" applyFill="1" applyBorder="1" applyAlignment="1">
      <alignment horizontal="center" vertical="center"/>
    </xf>
    <xf numFmtId="178" fontId="5" fillId="0" borderId="6" xfId="0" applyNumberFormat="1" applyFont="1" applyFill="1" applyBorder="1" applyAlignment="1">
      <alignment horizontal="center" vertical="center"/>
    </xf>
    <xf numFmtId="182" fontId="5" fillId="0" borderId="5" xfId="0" applyNumberFormat="1" applyFont="1" applyFill="1" applyBorder="1" applyAlignment="1">
      <alignment horizontal="center" vertical="center"/>
    </xf>
    <xf numFmtId="10" fontId="5" fillId="0" borderId="3" xfId="0" applyNumberFormat="1" applyFont="1" applyFill="1" applyBorder="1" applyAlignment="1">
      <alignment horizontal="center" vertical="center"/>
    </xf>
    <xf numFmtId="7" fontId="5" fillId="0" borderId="7" xfId="0" applyNumberFormat="1" applyFont="1" applyFill="1" applyBorder="1" applyAlignment="1">
      <alignment horizontal="center"/>
    </xf>
    <xf numFmtId="176" fontId="5" fillId="0" borderId="7" xfId="0" applyNumberFormat="1" applyFont="1" applyFill="1" applyBorder="1" applyAlignment="1">
      <alignment horizontal="center"/>
    </xf>
    <xf numFmtId="0" fontId="5" fillId="0" borderId="7" xfId="0" applyFont="1" applyFill="1" applyBorder="1" applyAlignment="1">
      <alignment horizontal="center"/>
    </xf>
    <xf numFmtId="177" fontId="5" fillId="0" borderId="7" xfId="2" applyNumberFormat="1" applyFont="1" applyFill="1" applyBorder="1" applyAlignment="1">
      <alignment horizontal="center" vertical="center"/>
    </xf>
    <xf numFmtId="0" fontId="5" fillId="0" borderId="7" xfId="0" applyFont="1" applyFill="1" applyBorder="1" applyAlignment="1">
      <alignment horizontal="center" vertical="center"/>
    </xf>
    <xf numFmtId="182" fontId="5" fillId="0" borderId="7" xfId="0" applyNumberFormat="1" applyFont="1" applyFill="1" applyBorder="1" applyAlignment="1">
      <alignment horizontal="center" vertical="center"/>
    </xf>
    <xf numFmtId="10" fontId="5" fillId="0" borderId="7" xfId="0" applyNumberFormat="1" applyFont="1" applyFill="1" applyBorder="1" applyAlignment="1">
      <alignment horizontal="center" vertical="center"/>
    </xf>
    <xf numFmtId="183" fontId="5" fillId="0" borderId="7" xfId="0" applyNumberFormat="1" applyFont="1" applyFill="1" applyBorder="1" applyAlignment="1">
      <alignment horizontal="center"/>
    </xf>
    <xf numFmtId="177" fontId="0" fillId="0" borderId="8" xfId="2" applyNumberFormat="1" applyFont="1" applyFill="1" applyBorder="1" applyAlignment="1">
      <alignment horizontal="center" vertical="center"/>
    </xf>
    <xf numFmtId="177" fontId="0" fillId="0" borderId="9" xfId="2" applyNumberFormat="1" applyFont="1" applyFill="1" applyBorder="1" applyAlignment="1">
      <alignment horizontal="center" vertical="center"/>
    </xf>
    <xf numFmtId="7" fontId="5" fillId="0" borderId="10" xfId="2" applyNumberFormat="1" applyFont="1" applyFill="1" applyBorder="1" applyAlignment="1">
      <alignment horizontal="center" vertical="center"/>
    </xf>
    <xf numFmtId="3" fontId="5" fillId="0" borderId="10" xfId="0" applyNumberFormat="1" applyFont="1" applyFill="1" applyBorder="1" applyAlignment="1">
      <alignment horizontal="center" vertical="center" wrapText="1"/>
    </xf>
    <xf numFmtId="176" fontId="5" fillId="0" borderId="10" xfId="0" applyNumberFormat="1" applyFont="1" applyFill="1" applyBorder="1" applyAlignment="1">
      <alignment horizontal="center" vertical="center" wrapText="1"/>
    </xf>
    <xf numFmtId="0" fontId="0" fillId="0" borderId="11" xfId="0" applyFill="1" applyBorder="1" applyAlignment="1">
      <alignment horizontal="center" vertical="center"/>
    </xf>
    <xf numFmtId="177" fontId="0" fillId="0" borderId="11" xfId="2" applyNumberFormat="1" applyFont="1" applyFill="1" applyBorder="1" applyAlignment="1">
      <alignment horizontal="center" vertical="center"/>
    </xf>
    <xf numFmtId="7" fontId="6" fillId="0" borderId="7" xfId="2" applyNumberFormat="1" applyFont="1" applyFill="1" applyBorder="1" applyAlignment="1">
      <alignment horizontal="center" vertical="center"/>
    </xf>
    <xf numFmtId="3" fontId="0" fillId="0" borderId="7" xfId="0" applyNumberFormat="1" applyFill="1" applyBorder="1" applyAlignment="1">
      <alignment horizontal="center" vertical="center" wrapText="1"/>
    </xf>
    <xf numFmtId="176" fontId="0" fillId="0" borderId="7" xfId="0" applyNumberFormat="1" applyFill="1" applyBorder="1" applyAlignment="1">
      <alignment horizontal="center" vertical="center" wrapText="1"/>
    </xf>
    <xf numFmtId="7" fontId="0" fillId="0" borderId="7" xfId="49" applyNumberFormat="1" applyFill="1" applyBorder="1" applyAlignment="1">
      <alignment horizontal="center" vertical="center"/>
    </xf>
    <xf numFmtId="3" fontId="0" fillId="0" borderId="7" xfId="49" applyNumberFormat="1" applyFill="1" applyBorder="1" applyAlignment="1">
      <alignment horizontal="center" vertical="center"/>
    </xf>
    <xf numFmtId="176" fontId="0" fillId="0" borderId="7" xfId="49" applyNumberFormat="1" applyFill="1" applyBorder="1" applyAlignment="1">
      <alignment horizontal="center" vertical="center"/>
    </xf>
    <xf numFmtId="7" fontId="0" fillId="0" borderId="12" xfId="0" applyNumberFormat="1" applyFill="1" applyBorder="1" applyAlignment="1">
      <alignment horizontal="center" vertical="center" wrapText="1"/>
    </xf>
    <xf numFmtId="3" fontId="0" fillId="0" borderId="12" xfId="0" applyNumberFormat="1" applyFill="1" applyBorder="1" applyAlignment="1">
      <alignment horizontal="center" vertical="center" wrapText="1"/>
    </xf>
    <xf numFmtId="176" fontId="0" fillId="0" borderId="12" xfId="0" applyNumberFormat="1" applyFill="1" applyBorder="1" applyAlignment="1">
      <alignment horizontal="center" vertical="center" wrapText="1"/>
    </xf>
    <xf numFmtId="0" fontId="0" fillId="0" borderId="13" xfId="0" applyFill="1" applyBorder="1" applyAlignment="1">
      <alignment horizontal="center" vertical="center"/>
    </xf>
    <xf numFmtId="177" fontId="0" fillId="0" borderId="12" xfId="2" applyNumberFormat="1" applyFont="1" applyFill="1" applyBorder="1" applyAlignment="1">
      <alignment horizontal="center" vertical="center"/>
    </xf>
    <xf numFmtId="0" fontId="0" fillId="0" borderId="12" xfId="0" applyFill="1" applyBorder="1" applyAlignment="1">
      <alignment horizontal="center" vertical="center"/>
    </xf>
    <xf numFmtId="10" fontId="5" fillId="0" borderId="14" xfId="3" applyNumberFormat="1" applyFont="1" applyFill="1" applyBorder="1" applyAlignment="1">
      <alignment horizontal="center" vertical="center"/>
    </xf>
    <xf numFmtId="7" fontId="0" fillId="0" borderId="15" xfId="0" applyNumberFormat="1" applyFill="1" applyBorder="1" applyAlignment="1">
      <alignment horizontal="center" vertical="center" wrapText="1"/>
    </xf>
    <xf numFmtId="3" fontId="0" fillId="0" borderId="15" xfId="0" applyNumberFormat="1" applyFill="1" applyBorder="1" applyAlignment="1">
      <alignment horizontal="center" vertical="center" wrapText="1"/>
    </xf>
    <xf numFmtId="176" fontId="0" fillId="0" borderId="15" xfId="0" applyNumberFormat="1" applyFill="1" applyBorder="1" applyAlignment="1">
      <alignment horizontal="center" vertical="center" wrapText="1"/>
    </xf>
    <xf numFmtId="0" fontId="0" fillId="0" borderId="16" xfId="0" applyFill="1" applyBorder="1" applyAlignment="1">
      <alignment horizontal="center" vertical="center"/>
    </xf>
    <xf numFmtId="177" fontId="0" fillId="0" borderId="15" xfId="2" applyNumberFormat="1" applyFont="1" applyFill="1" applyBorder="1" applyAlignment="1">
      <alignment horizontal="center" vertical="center"/>
    </xf>
    <xf numFmtId="0" fontId="0" fillId="0" borderId="15" xfId="0" applyFill="1" applyBorder="1" applyAlignment="1">
      <alignment horizontal="center" vertical="center"/>
    </xf>
    <xf numFmtId="10" fontId="5" fillId="0" borderId="17" xfId="3" applyNumberFormat="1" applyFont="1" applyFill="1" applyBorder="1" applyAlignment="1">
      <alignment horizontal="center" vertical="center"/>
    </xf>
    <xf numFmtId="182" fontId="5" fillId="0" borderId="6" xfId="0" applyNumberFormat="1" applyFont="1" applyFill="1" applyBorder="1" applyAlignment="1">
      <alignment horizontal="center" vertical="center"/>
    </xf>
    <xf numFmtId="10" fontId="5" fillId="0" borderId="6" xfId="0" applyNumberFormat="1" applyFont="1" applyFill="1" applyBorder="1" applyAlignment="1">
      <alignment horizontal="center" vertical="center"/>
    </xf>
    <xf numFmtId="7" fontId="0" fillId="0" borderId="9" xfId="2" applyNumberFormat="1" applyFont="1" applyFill="1" applyBorder="1" applyAlignment="1">
      <alignment horizontal="center" vertical="center"/>
    </xf>
    <xf numFmtId="38" fontId="0" fillId="0" borderId="11" xfId="0" applyNumberFormat="1" applyFill="1" applyBorder="1" applyAlignment="1">
      <alignment horizontal="center" vertical="center"/>
    </xf>
    <xf numFmtId="176" fontId="0" fillId="0" borderId="11" xfId="0" applyNumberFormat="1" applyFill="1" applyBorder="1" applyAlignment="1">
      <alignment horizontal="center" vertical="center"/>
    </xf>
    <xf numFmtId="0" fontId="0" fillId="0" borderId="18" xfId="0" applyFill="1" applyBorder="1" applyAlignment="1">
      <alignment horizontal="center" vertical="center"/>
    </xf>
    <xf numFmtId="7" fontId="0" fillId="0" borderId="19" xfId="2" applyNumberFormat="1" applyFont="1" applyFill="1" applyBorder="1" applyAlignment="1">
      <alignment horizontal="center" vertical="center"/>
    </xf>
    <xf numFmtId="7" fontId="0" fillId="0" borderId="7" xfId="0" applyNumberFormat="1" applyFill="1" applyBorder="1" applyAlignment="1">
      <alignment horizontal="center" vertical="center" wrapText="1"/>
    </xf>
    <xf numFmtId="7" fontId="0" fillId="0" borderId="20" xfId="0" applyNumberFormat="1" applyFill="1" applyBorder="1" applyAlignment="1">
      <alignment horizontal="center" vertical="center" wrapText="1"/>
    </xf>
    <xf numFmtId="3" fontId="0" fillId="0" borderId="11" xfId="0" applyNumberFormat="1" applyFill="1" applyBorder="1" applyAlignment="1">
      <alignment horizontal="center" vertical="center" wrapText="1"/>
    </xf>
    <xf numFmtId="176" fontId="0" fillId="0" borderId="11" xfId="0" applyNumberFormat="1" applyFill="1" applyBorder="1" applyAlignment="1">
      <alignment horizontal="center" vertical="center" wrapText="1"/>
    </xf>
    <xf numFmtId="7" fontId="0" fillId="0" borderId="14" xfId="2" applyNumberFormat="1" applyFont="1" applyFill="1" applyBorder="1" applyAlignment="1">
      <alignment horizontal="center" vertical="center"/>
    </xf>
    <xf numFmtId="7" fontId="0" fillId="0" borderId="20" xfId="2" applyNumberFormat="1" applyFont="1" applyBorder="1" applyAlignment="1">
      <alignment horizontal="center" vertical="center"/>
    </xf>
    <xf numFmtId="177" fontId="0" fillId="0" borderId="11" xfId="2" applyNumberFormat="1" applyFont="1" applyBorder="1" applyAlignment="1">
      <alignment horizontal="center" vertical="center"/>
    </xf>
    <xf numFmtId="10" fontId="5" fillId="0" borderId="7" xfId="3" applyNumberFormat="1" applyFont="1" applyBorder="1" applyAlignment="1">
      <alignment horizontal="center" vertical="center"/>
    </xf>
    <xf numFmtId="7" fontId="0" fillId="0" borderId="14" xfId="2" applyNumberFormat="1" applyFont="1" applyBorder="1" applyAlignment="1">
      <alignment horizontal="center" vertical="center"/>
    </xf>
    <xf numFmtId="177" fontId="0" fillId="0" borderId="7" xfId="2" applyNumberFormat="1" applyFont="1" applyBorder="1" applyAlignment="1">
      <alignment horizontal="center" vertical="center"/>
    </xf>
    <xf numFmtId="0" fontId="0" fillId="0" borderId="21" xfId="0" applyFill="1" applyBorder="1" applyAlignment="1">
      <alignment horizontal="center" vertical="center"/>
    </xf>
    <xf numFmtId="7" fontId="0" fillId="0" borderId="7" xfId="2" applyNumberFormat="1" applyFont="1" applyBorder="1" applyAlignment="1">
      <alignment horizontal="center" vertical="center"/>
    </xf>
    <xf numFmtId="177" fontId="0" fillId="0" borderId="6" xfId="2" applyNumberFormat="1" applyFont="1" applyBorder="1" applyAlignment="1">
      <alignment horizontal="center" vertical="center"/>
    </xf>
    <xf numFmtId="7" fontId="5" fillId="3" borderId="1" xfId="0" applyNumberFormat="1" applyFont="1" applyFill="1" applyBorder="1" applyAlignment="1">
      <alignment horizontal="center" vertical="center" wrapText="1"/>
    </xf>
    <xf numFmtId="3" fontId="5" fillId="3" borderId="1" xfId="0" applyNumberFormat="1" applyFont="1" applyFill="1" applyBorder="1" applyAlignment="1">
      <alignment horizontal="center" vertical="center" wrapText="1"/>
    </xf>
    <xf numFmtId="176" fontId="5" fillId="3" borderId="1" xfId="0" applyNumberFormat="1" applyFont="1" applyFill="1" applyBorder="1" applyAlignment="1">
      <alignment horizontal="center" vertical="center" wrapText="1"/>
    </xf>
    <xf numFmtId="0" fontId="0" fillId="0" borderId="20" xfId="0" applyFill="1" applyBorder="1" applyAlignment="1">
      <alignment horizontal="center" vertical="center"/>
    </xf>
    <xf numFmtId="7" fontId="5" fillId="3" borderId="3" xfId="0" applyNumberFormat="1" applyFont="1" applyFill="1" applyBorder="1" applyAlignment="1">
      <alignment horizontal="center" vertical="center" wrapText="1"/>
    </xf>
    <xf numFmtId="3" fontId="5" fillId="3" borderId="3" xfId="0" applyNumberFormat="1" applyFont="1" applyFill="1" applyBorder="1" applyAlignment="1">
      <alignment horizontal="center" vertical="center" wrapText="1"/>
    </xf>
    <xf numFmtId="0" fontId="0" fillId="0" borderId="14" xfId="0" applyFill="1" applyBorder="1" applyAlignment="1">
      <alignment horizontal="center" vertical="center"/>
    </xf>
    <xf numFmtId="176" fontId="5" fillId="3" borderId="3" xfId="0" applyNumberFormat="1" applyFont="1" applyFill="1" applyBorder="1" applyAlignment="1">
      <alignment horizontal="center" vertical="center" wrapText="1"/>
    </xf>
    <xf numFmtId="177" fontId="0" fillId="0" borderId="3" xfId="2" applyNumberFormat="1" applyFont="1" applyBorder="1" applyAlignment="1">
      <alignment horizontal="center" vertical="center"/>
    </xf>
    <xf numFmtId="0" fontId="0" fillId="0" borderId="17" xfId="0" applyFill="1" applyBorder="1" applyAlignment="1">
      <alignment horizontal="center" vertical="center"/>
    </xf>
    <xf numFmtId="0" fontId="0" fillId="0" borderId="22" xfId="0" applyFill="1" applyBorder="1" applyAlignment="1">
      <alignment horizontal="center" vertical="center"/>
    </xf>
    <xf numFmtId="10" fontId="5" fillId="0" borderId="6" xfId="3" applyNumberFormat="1" applyFont="1" applyBorder="1" applyAlignment="1">
      <alignment horizontal="center" vertical="center"/>
    </xf>
    <xf numFmtId="0" fontId="0" fillId="0" borderId="23" xfId="0" applyFill="1" applyBorder="1" applyAlignment="1">
      <alignment horizontal="center" vertical="center"/>
    </xf>
    <xf numFmtId="177" fontId="0" fillId="0" borderId="23" xfId="2" applyNumberFormat="1" applyFont="1" applyBorder="1" applyAlignment="1">
      <alignment horizontal="center" vertical="center"/>
    </xf>
    <xf numFmtId="7" fontId="0" fillId="0" borderId="17" xfId="2" applyNumberFormat="1" applyFont="1" applyBorder="1" applyAlignment="1">
      <alignment horizontal="center" vertical="center"/>
    </xf>
    <xf numFmtId="14" fontId="5" fillId="0" borderId="21" xfId="0" applyNumberFormat="1" applyFont="1" applyFill="1" applyBorder="1" applyAlignment="1">
      <alignment horizontal="center" vertical="center"/>
    </xf>
    <xf numFmtId="10" fontId="5" fillId="0" borderId="1" xfId="3" applyNumberFormat="1" applyFont="1" applyBorder="1" applyAlignment="1">
      <alignment horizontal="center" vertical="center"/>
    </xf>
    <xf numFmtId="14" fontId="5" fillId="0" borderId="22" xfId="0" applyNumberFormat="1" applyFont="1" applyFill="1" applyBorder="1" applyAlignment="1">
      <alignment horizontal="center" vertical="center"/>
    </xf>
    <xf numFmtId="7" fontId="0" fillId="0" borderId="3" xfId="2" applyNumberFormat="1" applyFont="1" applyBorder="1" applyAlignment="1">
      <alignment horizontal="center" vertical="center"/>
    </xf>
    <xf numFmtId="38" fontId="0" fillId="0" borderId="3" xfId="0" applyNumberFormat="1" applyFill="1" applyBorder="1" applyAlignment="1">
      <alignment horizontal="center" vertical="center"/>
    </xf>
    <xf numFmtId="176" fontId="0" fillId="0" borderId="3" xfId="0" applyNumberFormat="1" applyFill="1" applyBorder="1" applyAlignment="1">
      <alignment horizontal="center" vertical="center"/>
    </xf>
    <xf numFmtId="10" fontId="5" fillId="0" borderId="3" xfId="3" applyNumberFormat="1" applyFont="1" applyBorder="1" applyAlignment="1">
      <alignment horizontal="center" vertical="center"/>
    </xf>
    <xf numFmtId="182" fontId="5" fillId="0" borderId="3" xfId="0" applyNumberFormat="1" applyFont="1" applyFill="1" applyBorder="1" applyAlignment="1">
      <alignment horizontal="center" vertical="center"/>
    </xf>
    <xf numFmtId="14" fontId="5" fillId="0" borderId="24" xfId="0" applyNumberFormat="1" applyFont="1" applyFill="1" applyBorder="1" applyAlignment="1">
      <alignment horizontal="center" vertical="center"/>
    </xf>
    <xf numFmtId="10" fontId="5" fillId="0" borderId="4" xfId="3" applyNumberFormat="1" applyFont="1" applyBorder="1" applyAlignment="1">
      <alignment horizontal="center" vertical="center"/>
    </xf>
    <xf numFmtId="14" fontId="5" fillId="0" borderId="18" xfId="0" applyNumberFormat="1" applyFont="1" applyFill="1" applyBorder="1" applyAlignment="1">
      <alignment horizontal="center" vertical="center"/>
    </xf>
    <xf numFmtId="7" fontId="0" fillId="0" borderId="1" xfId="0" applyNumberFormat="1" applyFill="1" applyBorder="1" applyAlignment="1">
      <alignment horizontal="center" vertical="center"/>
    </xf>
    <xf numFmtId="0" fontId="0" fillId="0" borderId="25" xfId="0" applyFill="1" applyBorder="1" applyAlignment="1">
      <alignment horizontal="center" vertical="center"/>
    </xf>
    <xf numFmtId="184" fontId="0" fillId="0" borderId="0" xfId="0" applyNumberFormat="1" applyFill="1" applyAlignment="1">
      <alignment horizontal="right" vertical="center"/>
    </xf>
    <xf numFmtId="10" fontId="0" fillId="0" borderId="0" xfId="3" applyNumberFormat="1">
      <alignment vertical="center"/>
    </xf>
    <xf numFmtId="7" fontId="7" fillId="0" borderId="1" xfId="2" applyNumberFormat="1" applyFont="1" applyFill="1" applyBorder="1" applyAlignment="1" applyProtection="1">
      <alignment horizontal="center" vertical="center"/>
    </xf>
    <xf numFmtId="38" fontId="7" fillId="0" borderId="1" xfId="0" applyNumberFormat="1" applyFont="1" applyFill="1" applyBorder="1" applyAlignment="1">
      <alignment horizontal="center" vertical="center"/>
    </xf>
    <xf numFmtId="0" fontId="7" fillId="0" borderId="1" xfId="0" applyFont="1" applyFill="1" applyBorder="1" applyAlignment="1">
      <alignment horizontal="center" vertical="center"/>
    </xf>
    <xf numFmtId="177" fontId="7" fillId="0" borderId="1" xfId="2" applyNumberFormat="1" applyFont="1" applyFill="1" applyBorder="1" applyAlignment="1" applyProtection="1">
      <alignment horizontal="center" vertical="center"/>
    </xf>
    <xf numFmtId="10" fontId="7" fillId="0" borderId="1" xfId="3" applyNumberFormat="1" applyFont="1" applyFill="1" applyBorder="1" applyAlignment="1" applyProtection="1">
      <alignment horizontal="center" vertical="center"/>
    </xf>
    <xf numFmtId="178" fontId="7" fillId="0" borderId="1" xfId="0" applyNumberFormat="1" applyFont="1" applyFill="1" applyBorder="1" applyAlignment="1">
      <alignment horizontal="center" vertical="center"/>
    </xf>
    <xf numFmtId="179" fontId="7" fillId="0" borderId="1" xfId="0" applyNumberFormat="1" applyFont="1" applyFill="1" applyBorder="1" applyAlignment="1">
      <alignment horizontal="center" vertical="center"/>
    </xf>
    <xf numFmtId="182" fontId="7" fillId="0" borderId="1" xfId="0" applyNumberFormat="1" applyFont="1" applyFill="1" applyBorder="1" applyAlignment="1">
      <alignment horizontal="center" vertical="center"/>
    </xf>
    <xf numFmtId="14" fontId="7" fillId="0" borderId="1" xfId="0" applyNumberFormat="1" applyFont="1" applyFill="1" applyBorder="1" applyAlignment="1">
      <alignment horizontal="center" vertical="center"/>
    </xf>
    <xf numFmtId="179" fontId="7" fillId="0" borderId="26" xfId="0" applyNumberFormat="1" applyFont="1" applyFill="1" applyBorder="1" applyAlignment="1">
      <alignment horizontal="center" vertical="center"/>
    </xf>
    <xf numFmtId="182" fontId="7" fillId="0" borderId="6" xfId="0" applyNumberFormat="1" applyFont="1" applyFill="1" applyBorder="1" applyAlignment="1">
      <alignment horizontal="center" vertical="center"/>
    </xf>
    <xf numFmtId="14" fontId="7" fillId="0" borderId="3" xfId="0" applyNumberFormat="1" applyFont="1" applyFill="1" applyBorder="1" applyAlignment="1">
      <alignment horizontal="center" vertical="center"/>
    </xf>
    <xf numFmtId="7" fontId="7" fillId="0" borderId="3" xfId="2" applyNumberFormat="1" applyFont="1" applyFill="1" applyBorder="1" applyAlignment="1" applyProtection="1">
      <alignment horizontal="center" vertical="center"/>
    </xf>
    <xf numFmtId="38" fontId="7" fillId="0" borderId="3" xfId="0" applyNumberFormat="1" applyFont="1" applyFill="1" applyBorder="1" applyAlignment="1">
      <alignment horizontal="center" vertical="center"/>
    </xf>
    <xf numFmtId="0" fontId="7" fillId="0" borderId="3" xfId="0" applyFont="1" applyFill="1" applyBorder="1" applyAlignment="1">
      <alignment horizontal="center" vertical="center"/>
    </xf>
    <xf numFmtId="177" fontId="7" fillId="0" borderId="3" xfId="2" applyNumberFormat="1" applyFont="1" applyFill="1" applyBorder="1" applyAlignment="1" applyProtection="1">
      <alignment horizontal="center" vertical="center"/>
    </xf>
    <xf numFmtId="10" fontId="7" fillId="0" borderId="3" xfId="3" applyNumberFormat="1" applyFont="1" applyFill="1" applyBorder="1" applyAlignment="1" applyProtection="1">
      <alignment horizontal="center" vertical="center"/>
    </xf>
    <xf numFmtId="178" fontId="7" fillId="0" borderId="3" xfId="0" applyNumberFormat="1" applyFont="1" applyFill="1" applyBorder="1" applyAlignment="1">
      <alignment horizontal="center" vertical="center"/>
    </xf>
    <xf numFmtId="179" fontId="7" fillId="0" borderId="27" xfId="0" applyNumberFormat="1" applyFont="1" applyFill="1" applyBorder="1" applyAlignment="1">
      <alignment horizontal="center"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 2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Q1378"/>
  <sheetViews>
    <sheetView tabSelected="1" zoomScale="115" zoomScaleNormal="115" topLeftCell="XEB1" workbookViewId="0">
      <selection activeCell="XEV298" sqref="XEV298:XEV299"/>
    </sheetView>
  </sheetViews>
  <sheetFormatPr defaultColWidth="9" defaultRowHeight="14"/>
  <cols>
    <col min="1" max="1" width="12.8818181818182" style="3" customWidth="1"/>
    <col min="2" max="2" width="12.8818181818182" style="4" customWidth="1"/>
    <col min="3" max="3" width="12.8818181818182" style="5" customWidth="1"/>
    <col min="4" max="4" width="12.8818181818182" style="6" customWidth="1"/>
    <col min="5" max="5" width="12.8818181818182" style="3" customWidth="1"/>
    <col min="6" max="6" width="12.8818181818182" style="7" customWidth="1"/>
    <col min="7" max="9" width="12.8818181818182" style="3" customWidth="1"/>
    <col min="10" max="10" width="12.8818181818182" style="8" customWidth="1"/>
    <col min="11" max="11" width="12.8818181818182" style="9" customWidth="1"/>
    <col min="12" max="12" width="12.8818181818182" style="10" customWidth="1"/>
    <col min="13" max="13" width="12.8818181818182" style="3" customWidth="1"/>
    <col min="14" max="14" width="12.8818181818182" style="11" customWidth="1"/>
    <col min="15" max="16384" width="9" style="2"/>
  </cols>
  <sheetData>
    <row r="1" s="1" customFormat="1" ht="60" customHeight="1" spans="1:14">
      <c r="A1" s="12" t="s">
        <v>0</v>
      </c>
      <c r="B1" s="13" t="s">
        <v>1</v>
      </c>
      <c r="C1" s="14" t="s">
        <v>2</v>
      </c>
      <c r="D1" s="15" t="s">
        <v>3</v>
      </c>
      <c r="E1" s="12" t="s">
        <v>4</v>
      </c>
      <c r="F1" s="16" t="s">
        <v>5</v>
      </c>
      <c r="G1" s="12" t="s">
        <v>6</v>
      </c>
      <c r="H1" s="12" t="s">
        <v>7</v>
      </c>
      <c r="I1" s="12" t="s">
        <v>8</v>
      </c>
      <c r="J1" s="17" t="s">
        <v>9</v>
      </c>
      <c r="K1" s="18" t="s">
        <v>10</v>
      </c>
      <c r="L1" s="19" t="s">
        <v>11</v>
      </c>
      <c r="M1" s="12" t="s">
        <v>12</v>
      </c>
      <c r="N1" s="20" t="s">
        <v>13</v>
      </c>
    </row>
    <row r="2" s="2" customFormat="1" ht="15.6" hidden="1" customHeight="1" spans="1:14">
      <c r="A2" s="21">
        <v>44197</v>
      </c>
      <c r="B2" s="22">
        <v>850.4</v>
      </c>
      <c r="C2" s="23">
        <v>136427</v>
      </c>
      <c r="D2" s="24">
        <v>583</v>
      </c>
      <c r="E2" s="23">
        <v>0</v>
      </c>
      <c r="F2" s="25">
        <v>0</v>
      </c>
      <c r="G2" s="23">
        <v>1</v>
      </c>
      <c r="H2" s="23">
        <v>1</v>
      </c>
      <c r="I2" s="23">
        <v>0</v>
      </c>
      <c r="J2" s="26">
        <v>0.0043</v>
      </c>
      <c r="K2" s="27">
        <f t="shared" ref="K2:K9" si="0">B2/D2</f>
        <v>1.45866209262436</v>
      </c>
      <c r="L2" s="23" t="s">
        <v>14</v>
      </c>
      <c r="M2" s="23">
        <v>0</v>
      </c>
      <c r="N2" s="23">
        <v>0</v>
      </c>
    </row>
    <row r="3" s="2" customFormat="1" ht="14.4" hidden="1" customHeight="1" spans="1:14">
      <c r="A3" s="21">
        <v>44198</v>
      </c>
      <c r="B3" s="22">
        <v>922.78</v>
      </c>
      <c r="C3" s="23">
        <v>127728</v>
      </c>
      <c r="D3" s="24">
        <v>644</v>
      </c>
      <c r="E3" s="23">
        <v>0</v>
      </c>
      <c r="F3" s="25">
        <v>0</v>
      </c>
      <c r="G3" s="23">
        <v>0</v>
      </c>
      <c r="H3" s="23">
        <v>0</v>
      </c>
      <c r="I3" s="23">
        <v>0</v>
      </c>
      <c r="J3" s="26">
        <v>0.005</v>
      </c>
      <c r="K3" s="27">
        <f t="shared" si="0"/>
        <v>1.43288819875776</v>
      </c>
      <c r="L3" s="23" t="s">
        <v>14</v>
      </c>
      <c r="M3" s="23">
        <v>0</v>
      </c>
      <c r="N3" s="23">
        <v>0</v>
      </c>
    </row>
    <row r="4" s="2" customFormat="1" ht="13.2" hidden="1" customHeight="1" spans="1:14">
      <c r="A4" s="21">
        <v>44199</v>
      </c>
      <c r="B4" s="22">
        <v>1013.45</v>
      </c>
      <c r="C4" s="23">
        <v>139328</v>
      </c>
      <c r="D4" s="24">
        <v>595</v>
      </c>
      <c r="E4" s="23">
        <v>0</v>
      </c>
      <c r="F4" s="25">
        <v>0</v>
      </c>
      <c r="G4" s="23">
        <v>3</v>
      </c>
      <c r="H4" s="23">
        <v>1</v>
      </c>
      <c r="I4" s="23">
        <v>0</v>
      </c>
      <c r="J4" s="26">
        <v>0.0043</v>
      </c>
      <c r="K4" s="27">
        <f t="shared" si="0"/>
        <v>1.70327731092437</v>
      </c>
      <c r="L4" s="23" t="s">
        <v>14</v>
      </c>
      <c r="M4" s="23">
        <v>0</v>
      </c>
      <c r="N4" s="23">
        <v>0</v>
      </c>
    </row>
    <row r="5" s="2" customFormat="1" ht="14.4" hidden="1" customHeight="1" spans="1:14">
      <c r="A5" s="21">
        <v>44200</v>
      </c>
      <c r="B5" s="22">
        <v>1005.2</v>
      </c>
      <c r="C5" s="23">
        <v>155198</v>
      </c>
      <c r="D5" s="24">
        <v>621</v>
      </c>
      <c r="E5" s="23">
        <v>0</v>
      </c>
      <c r="F5" s="25">
        <v>0</v>
      </c>
      <c r="G5" s="23">
        <v>8</v>
      </c>
      <c r="H5" s="23">
        <v>2</v>
      </c>
      <c r="I5" s="23">
        <v>1</v>
      </c>
      <c r="J5" s="26">
        <v>0.004</v>
      </c>
      <c r="K5" s="27">
        <f t="shared" si="0"/>
        <v>1.61867954911433</v>
      </c>
      <c r="L5" s="23" t="s">
        <v>14</v>
      </c>
      <c r="M5" s="23">
        <v>0</v>
      </c>
      <c r="N5" s="23">
        <v>0</v>
      </c>
    </row>
    <row r="6" s="2" customFormat="1" ht="16.2" hidden="1" customHeight="1" spans="1:14">
      <c r="A6" s="21">
        <v>44201</v>
      </c>
      <c r="B6" s="22">
        <v>1003.85</v>
      </c>
      <c r="C6" s="23">
        <v>150251</v>
      </c>
      <c r="D6" s="24">
        <v>619</v>
      </c>
      <c r="E6" s="23">
        <v>0</v>
      </c>
      <c r="F6" s="25">
        <v>0</v>
      </c>
      <c r="G6" s="23">
        <v>4</v>
      </c>
      <c r="H6" s="23">
        <v>3</v>
      </c>
      <c r="I6" s="23">
        <v>3</v>
      </c>
      <c r="J6" s="26">
        <v>0.0041</v>
      </c>
      <c r="K6" s="27">
        <f t="shared" si="0"/>
        <v>1.62172859450727</v>
      </c>
      <c r="L6" s="23" t="s">
        <v>14</v>
      </c>
      <c r="M6" s="23">
        <v>0</v>
      </c>
      <c r="N6" s="23">
        <v>0</v>
      </c>
    </row>
    <row r="7" s="2" customFormat="1" ht="17.4" hidden="1" customHeight="1" spans="1:14">
      <c r="A7" s="21">
        <v>44202</v>
      </c>
      <c r="B7" s="22">
        <v>1004.94</v>
      </c>
      <c r="C7" s="28">
        <v>143562</v>
      </c>
      <c r="D7" s="24">
        <v>626</v>
      </c>
      <c r="E7" s="23">
        <v>0</v>
      </c>
      <c r="F7" s="25">
        <v>0</v>
      </c>
      <c r="G7" s="23">
        <v>2</v>
      </c>
      <c r="H7" s="23">
        <v>1</v>
      </c>
      <c r="I7" s="23">
        <v>0</v>
      </c>
      <c r="J7" s="26">
        <v>0.0044</v>
      </c>
      <c r="K7" s="27">
        <f t="shared" si="0"/>
        <v>1.60533546325879</v>
      </c>
      <c r="L7" s="23" t="s">
        <v>14</v>
      </c>
      <c r="M7" s="23">
        <v>0</v>
      </c>
      <c r="N7" s="23">
        <v>0</v>
      </c>
    </row>
    <row r="8" s="2" customFormat="1" ht="15.6" hidden="1" customHeight="1" spans="1:14">
      <c r="A8" s="21">
        <v>44203</v>
      </c>
      <c r="B8" s="22">
        <v>1008.31</v>
      </c>
      <c r="C8" s="28">
        <v>141273</v>
      </c>
      <c r="D8" s="24">
        <v>604</v>
      </c>
      <c r="E8" s="23">
        <v>0</v>
      </c>
      <c r="F8" s="25">
        <v>0</v>
      </c>
      <c r="G8" s="23">
        <v>3</v>
      </c>
      <c r="H8" s="23">
        <v>3</v>
      </c>
      <c r="I8" s="23">
        <v>0</v>
      </c>
      <c r="J8" s="26">
        <v>0.0043</v>
      </c>
      <c r="K8" s="27">
        <f t="shared" si="0"/>
        <v>1.66938741721854</v>
      </c>
      <c r="L8" s="23" t="s">
        <v>14</v>
      </c>
      <c r="M8" s="23">
        <v>0</v>
      </c>
      <c r="N8" s="23">
        <v>0</v>
      </c>
    </row>
    <row r="9" s="2" customFormat="1" ht="18" hidden="1" customHeight="1" spans="1:14">
      <c r="A9" s="21">
        <v>44204</v>
      </c>
      <c r="B9" s="22">
        <v>234.07</v>
      </c>
      <c r="C9" s="28">
        <v>31295</v>
      </c>
      <c r="D9" s="24">
        <v>85</v>
      </c>
      <c r="E9" s="23">
        <v>0</v>
      </c>
      <c r="F9" s="25">
        <v>0</v>
      </c>
      <c r="G9" s="23">
        <v>1</v>
      </c>
      <c r="H9" s="23">
        <v>1</v>
      </c>
      <c r="I9" s="23">
        <v>0</v>
      </c>
      <c r="J9" s="26">
        <v>0.0027</v>
      </c>
      <c r="K9" s="27">
        <f t="shared" si="0"/>
        <v>2.75376470588235</v>
      </c>
      <c r="L9" s="23" t="s">
        <v>14</v>
      </c>
      <c r="M9" s="23">
        <v>0</v>
      </c>
      <c r="N9" s="23">
        <v>0</v>
      </c>
    </row>
    <row r="10" s="2" customFormat="1" ht="17.4" hidden="1" customHeight="1" spans="1:14">
      <c r="A10" s="21">
        <v>44205</v>
      </c>
      <c r="B10" s="22">
        <v>0</v>
      </c>
      <c r="C10" s="23">
        <v>0</v>
      </c>
      <c r="D10" s="24">
        <v>0</v>
      </c>
      <c r="E10" s="23">
        <v>0</v>
      </c>
      <c r="F10" s="25">
        <v>0</v>
      </c>
      <c r="G10" s="23">
        <v>0</v>
      </c>
      <c r="H10" s="23">
        <v>0</v>
      </c>
      <c r="I10" s="23">
        <v>0</v>
      </c>
      <c r="J10" s="26">
        <v>0</v>
      </c>
      <c r="K10" s="27">
        <v>0</v>
      </c>
      <c r="L10" s="23" t="s">
        <v>14</v>
      </c>
      <c r="M10" s="23">
        <v>0</v>
      </c>
      <c r="N10" s="23">
        <v>0</v>
      </c>
    </row>
    <row r="11" s="2" customFormat="1" ht="17.4" hidden="1" customHeight="1" spans="1:14">
      <c r="A11" s="21">
        <v>44206</v>
      </c>
      <c r="B11" s="22">
        <v>0</v>
      </c>
      <c r="C11" s="23">
        <v>0</v>
      </c>
      <c r="D11" s="24">
        <v>0</v>
      </c>
      <c r="E11" s="23">
        <v>0</v>
      </c>
      <c r="F11" s="25">
        <v>0</v>
      </c>
      <c r="G11" s="23">
        <v>0</v>
      </c>
      <c r="H11" s="23">
        <v>0</v>
      </c>
      <c r="I11" s="23">
        <v>0</v>
      </c>
      <c r="J11" s="26">
        <v>0</v>
      </c>
      <c r="K11" s="27">
        <v>0</v>
      </c>
      <c r="L11" s="23" t="s">
        <v>14</v>
      </c>
      <c r="M11" s="23">
        <v>0</v>
      </c>
      <c r="N11" s="23">
        <v>0</v>
      </c>
    </row>
    <row r="12" s="2" customFormat="1" ht="18" hidden="1" customHeight="1" spans="1:14">
      <c r="A12" s="21">
        <v>44207</v>
      </c>
      <c r="B12" s="22">
        <v>0</v>
      </c>
      <c r="C12" s="23">
        <v>0</v>
      </c>
      <c r="D12" s="24">
        <v>0</v>
      </c>
      <c r="E12" s="23">
        <v>0</v>
      </c>
      <c r="F12" s="25">
        <v>0</v>
      </c>
      <c r="G12" s="23">
        <v>0</v>
      </c>
      <c r="H12" s="23">
        <v>0</v>
      </c>
      <c r="I12" s="23">
        <v>0</v>
      </c>
      <c r="J12" s="26">
        <v>0</v>
      </c>
      <c r="K12" s="27">
        <v>0</v>
      </c>
      <c r="L12" s="23" t="s">
        <v>14</v>
      </c>
      <c r="M12" s="23">
        <v>0</v>
      </c>
      <c r="N12" s="23">
        <v>0</v>
      </c>
    </row>
    <row r="13" s="2" customFormat="1" ht="18.6" hidden="1" customHeight="1" spans="1:14">
      <c r="A13" s="21">
        <v>44208</v>
      </c>
      <c r="B13" s="22">
        <v>0</v>
      </c>
      <c r="C13" s="23">
        <v>0</v>
      </c>
      <c r="D13" s="24">
        <v>0</v>
      </c>
      <c r="E13" s="23">
        <v>0</v>
      </c>
      <c r="F13" s="25">
        <v>0</v>
      </c>
      <c r="G13" s="23">
        <v>0</v>
      </c>
      <c r="H13" s="23">
        <v>0</v>
      </c>
      <c r="I13" s="23">
        <v>0</v>
      </c>
      <c r="J13" s="26">
        <v>0</v>
      </c>
      <c r="K13" s="27">
        <v>0</v>
      </c>
      <c r="L13" s="23" t="s">
        <v>14</v>
      </c>
      <c r="M13" s="23">
        <v>0</v>
      </c>
      <c r="N13" s="23">
        <v>0</v>
      </c>
    </row>
    <row r="14" s="2" customFormat="1" ht="18" hidden="1" customHeight="1" spans="1:14">
      <c r="A14" s="21">
        <v>44209</v>
      </c>
      <c r="B14" s="22">
        <v>0</v>
      </c>
      <c r="C14" s="23">
        <v>0</v>
      </c>
      <c r="D14" s="24">
        <v>0</v>
      </c>
      <c r="E14" s="23">
        <v>0</v>
      </c>
      <c r="F14" s="25">
        <v>0</v>
      </c>
      <c r="G14" s="23">
        <v>0</v>
      </c>
      <c r="H14" s="23">
        <v>0</v>
      </c>
      <c r="I14" s="23">
        <v>0</v>
      </c>
      <c r="J14" s="26">
        <v>0</v>
      </c>
      <c r="K14" s="27">
        <v>0</v>
      </c>
      <c r="L14" s="23" t="s">
        <v>14</v>
      </c>
      <c r="M14" s="23">
        <v>0</v>
      </c>
      <c r="N14" s="23">
        <v>0</v>
      </c>
    </row>
    <row r="15" s="2" customFormat="1" ht="17.4" hidden="1" customHeight="1" spans="1:14">
      <c r="A15" s="21">
        <v>44210</v>
      </c>
      <c r="B15" s="22">
        <v>0</v>
      </c>
      <c r="C15" s="23">
        <v>0</v>
      </c>
      <c r="D15" s="24">
        <v>0</v>
      </c>
      <c r="E15" s="23">
        <v>0</v>
      </c>
      <c r="F15" s="25">
        <v>0</v>
      </c>
      <c r="G15" s="23">
        <v>0</v>
      </c>
      <c r="H15" s="23">
        <v>0</v>
      </c>
      <c r="I15" s="23">
        <v>0</v>
      </c>
      <c r="J15" s="26">
        <v>0</v>
      </c>
      <c r="K15" s="27">
        <v>0</v>
      </c>
      <c r="L15" s="23" t="s">
        <v>14</v>
      </c>
      <c r="M15" s="23">
        <v>0</v>
      </c>
      <c r="N15" s="23">
        <v>0</v>
      </c>
    </row>
    <row r="16" s="2" customFormat="1" ht="16.8" hidden="1" customHeight="1" spans="1:14">
      <c r="A16" s="21">
        <v>44211</v>
      </c>
      <c r="B16" s="22">
        <v>0</v>
      </c>
      <c r="C16" s="23">
        <v>0</v>
      </c>
      <c r="D16" s="24">
        <v>0</v>
      </c>
      <c r="E16" s="23">
        <v>0</v>
      </c>
      <c r="F16" s="25">
        <v>0</v>
      </c>
      <c r="G16" s="23">
        <v>0</v>
      </c>
      <c r="H16" s="23">
        <v>0</v>
      </c>
      <c r="I16" s="23">
        <v>0</v>
      </c>
      <c r="J16" s="26">
        <v>0</v>
      </c>
      <c r="K16" s="27">
        <v>0</v>
      </c>
      <c r="L16" s="23" t="s">
        <v>14</v>
      </c>
      <c r="M16" s="23">
        <v>0</v>
      </c>
      <c r="N16" s="23">
        <v>0</v>
      </c>
    </row>
    <row r="17" s="2" customFormat="1" ht="18" hidden="1" customHeight="1" spans="1:14">
      <c r="A17" s="21">
        <v>44212</v>
      </c>
      <c r="B17" s="22">
        <v>0</v>
      </c>
      <c r="C17" s="23">
        <v>0</v>
      </c>
      <c r="D17" s="24">
        <v>0</v>
      </c>
      <c r="E17" s="23">
        <v>0</v>
      </c>
      <c r="F17" s="25">
        <v>0</v>
      </c>
      <c r="G17" s="23">
        <v>0</v>
      </c>
      <c r="H17" s="23">
        <v>0</v>
      </c>
      <c r="I17" s="23">
        <v>0</v>
      </c>
      <c r="J17" s="26">
        <v>0</v>
      </c>
      <c r="K17" s="27">
        <v>0</v>
      </c>
      <c r="L17" s="23" t="s">
        <v>14</v>
      </c>
      <c r="M17" s="23">
        <v>0</v>
      </c>
      <c r="N17" s="23">
        <v>0</v>
      </c>
    </row>
    <row r="18" s="2" customFormat="1" ht="15" hidden="1" customHeight="1" spans="1:14">
      <c r="A18" s="21">
        <v>44213</v>
      </c>
      <c r="B18" s="22">
        <v>0</v>
      </c>
      <c r="C18" s="23">
        <v>0</v>
      </c>
      <c r="D18" s="24">
        <v>0</v>
      </c>
      <c r="E18" s="23">
        <v>0</v>
      </c>
      <c r="F18" s="25">
        <v>0</v>
      </c>
      <c r="G18" s="23">
        <v>0</v>
      </c>
      <c r="H18" s="23">
        <v>0</v>
      </c>
      <c r="I18" s="23">
        <v>0</v>
      </c>
      <c r="J18" s="26">
        <v>0</v>
      </c>
      <c r="K18" s="27">
        <v>0</v>
      </c>
      <c r="L18" s="23" t="s">
        <v>14</v>
      </c>
      <c r="M18" s="23">
        <v>0</v>
      </c>
      <c r="N18" s="23">
        <v>0</v>
      </c>
    </row>
    <row r="19" s="2" customFormat="1" ht="15" hidden="1" customHeight="1" spans="1:14">
      <c r="A19" s="21">
        <v>44214</v>
      </c>
      <c r="B19" s="22">
        <v>0</v>
      </c>
      <c r="C19" s="29">
        <v>0</v>
      </c>
      <c r="D19" s="24">
        <v>0</v>
      </c>
      <c r="E19" s="23">
        <v>0</v>
      </c>
      <c r="F19" s="25">
        <v>0</v>
      </c>
      <c r="G19" s="23">
        <v>0</v>
      </c>
      <c r="H19" s="23">
        <v>0</v>
      </c>
      <c r="I19" s="23">
        <v>0</v>
      </c>
      <c r="J19" s="26">
        <v>0</v>
      </c>
      <c r="K19" s="27">
        <v>0</v>
      </c>
      <c r="L19" s="30" t="s">
        <v>14</v>
      </c>
      <c r="M19" s="23">
        <v>0</v>
      </c>
      <c r="N19" s="31">
        <v>0</v>
      </c>
    </row>
    <row r="20" s="2" customFormat="1" ht="16.2" hidden="1" customHeight="1" spans="1:14">
      <c r="A20" s="21">
        <v>44215</v>
      </c>
      <c r="B20" s="22">
        <v>0</v>
      </c>
      <c r="C20" s="29">
        <v>0</v>
      </c>
      <c r="D20" s="24">
        <v>0</v>
      </c>
      <c r="E20" s="23">
        <v>0</v>
      </c>
      <c r="F20" s="25">
        <v>0</v>
      </c>
      <c r="G20" s="23">
        <v>0</v>
      </c>
      <c r="H20" s="23">
        <v>0</v>
      </c>
      <c r="I20" s="23">
        <v>0</v>
      </c>
      <c r="J20" s="26">
        <v>0</v>
      </c>
      <c r="K20" s="27">
        <v>0</v>
      </c>
      <c r="L20" s="30" t="s">
        <v>14</v>
      </c>
      <c r="M20" s="23">
        <v>0</v>
      </c>
      <c r="N20" s="31">
        <v>0</v>
      </c>
    </row>
    <row r="21" s="2" customFormat="1" ht="14.4" hidden="1" customHeight="1" spans="1:14">
      <c r="A21" s="21">
        <v>44216</v>
      </c>
      <c r="B21" s="22">
        <v>0</v>
      </c>
      <c r="C21" s="29">
        <v>0</v>
      </c>
      <c r="D21" s="24">
        <v>0</v>
      </c>
      <c r="E21" s="23">
        <v>0</v>
      </c>
      <c r="F21" s="25">
        <v>0</v>
      </c>
      <c r="G21" s="23">
        <v>0</v>
      </c>
      <c r="H21" s="23">
        <v>0</v>
      </c>
      <c r="I21" s="23">
        <v>0</v>
      </c>
      <c r="J21" s="26">
        <v>0</v>
      </c>
      <c r="K21" s="27">
        <v>0</v>
      </c>
      <c r="L21" s="30" t="s">
        <v>14</v>
      </c>
      <c r="M21" s="23">
        <v>0</v>
      </c>
      <c r="N21" s="31">
        <v>0</v>
      </c>
    </row>
    <row r="22" s="2" customFormat="1" ht="16.2" hidden="1" customHeight="1" spans="1:14">
      <c r="A22" s="21">
        <v>44217</v>
      </c>
      <c r="B22" s="22">
        <v>0</v>
      </c>
      <c r="C22" s="29">
        <v>0</v>
      </c>
      <c r="D22" s="24">
        <v>0</v>
      </c>
      <c r="E22" s="23">
        <v>0</v>
      </c>
      <c r="F22" s="25">
        <v>0</v>
      </c>
      <c r="G22" s="23">
        <v>0</v>
      </c>
      <c r="H22" s="23">
        <v>0</v>
      </c>
      <c r="I22" s="23">
        <v>0</v>
      </c>
      <c r="J22" s="26">
        <v>0</v>
      </c>
      <c r="K22" s="27">
        <v>0</v>
      </c>
      <c r="L22" s="30" t="s">
        <v>14</v>
      </c>
      <c r="M22" s="23">
        <v>0</v>
      </c>
      <c r="N22" s="31">
        <v>0</v>
      </c>
    </row>
    <row r="23" s="2" customFormat="1" ht="14.4" hidden="1" customHeight="1" spans="1:14">
      <c r="A23" s="21">
        <v>44218</v>
      </c>
      <c r="B23" s="22">
        <v>0</v>
      </c>
      <c r="C23" s="29">
        <v>0</v>
      </c>
      <c r="D23" s="24">
        <v>0</v>
      </c>
      <c r="E23" s="23">
        <v>0</v>
      </c>
      <c r="F23" s="25">
        <v>0</v>
      </c>
      <c r="G23" s="23">
        <v>0</v>
      </c>
      <c r="H23" s="23">
        <v>0</v>
      </c>
      <c r="I23" s="23">
        <v>0</v>
      </c>
      <c r="J23" s="26">
        <v>0</v>
      </c>
      <c r="K23" s="27">
        <v>0</v>
      </c>
      <c r="L23" s="30" t="s">
        <v>14</v>
      </c>
      <c r="M23" s="23">
        <v>0</v>
      </c>
      <c r="N23" s="31">
        <v>0</v>
      </c>
    </row>
    <row r="24" s="2" customFormat="1" ht="14.4" hidden="1" customHeight="1" spans="1:14">
      <c r="A24" s="21">
        <v>44219</v>
      </c>
      <c r="B24" s="22">
        <v>0</v>
      </c>
      <c r="C24" s="29">
        <v>0</v>
      </c>
      <c r="D24" s="24">
        <v>0</v>
      </c>
      <c r="E24" s="23">
        <v>0</v>
      </c>
      <c r="F24" s="25">
        <v>0</v>
      </c>
      <c r="G24" s="23">
        <v>0</v>
      </c>
      <c r="H24" s="23">
        <v>0</v>
      </c>
      <c r="I24" s="23">
        <v>0</v>
      </c>
      <c r="J24" s="26">
        <v>0</v>
      </c>
      <c r="K24" s="27">
        <v>0</v>
      </c>
      <c r="L24" s="30" t="s">
        <v>14</v>
      </c>
      <c r="M24" s="23">
        <v>0</v>
      </c>
      <c r="N24" s="31">
        <v>0</v>
      </c>
    </row>
    <row r="25" s="2" customFormat="1" ht="13.8" hidden="1" customHeight="1" spans="1:14">
      <c r="A25" s="21">
        <v>44220</v>
      </c>
      <c r="B25" s="22">
        <v>0</v>
      </c>
      <c r="C25" s="29">
        <v>0</v>
      </c>
      <c r="D25" s="24">
        <v>0</v>
      </c>
      <c r="E25" s="23">
        <v>0</v>
      </c>
      <c r="F25" s="25">
        <v>0</v>
      </c>
      <c r="G25" s="23">
        <v>0</v>
      </c>
      <c r="H25" s="23">
        <v>0</v>
      </c>
      <c r="I25" s="23">
        <v>0</v>
      </c>
      <c r="J25" s="26">
        <v>0</v>
      </c>
      <c r="K25" s="27">
        <v>0</v>
      </c>
      <c r="L25" s="30" t="s">
        <v>14</v>
      </c>
      <c r="M25" s="23">
        <v>0</v>
      </c>
      <c r="N25" s="31">
        <v>0</v>
      </c>
    </row>
    <row r="26" s="2" customFormat="1" ht="15" hidden="1" customHeight="1" spans="1:14">
      <c r="A26" s="21">
        <v>44221</v>
      </c>
      <c r="B26" s="22">
        <v>0</v>
      </c>
      <c r="C26" s="29">
        <v>0</v>
      </c>
      <c r="D26" s="24">
        <v>0</v>
      </c>
      <c r="E26" s="23">
        <v>0</v>
      </c>
      <c r="F26" s="25">
        <v>0</v>
      </c>
      <c r="G26" s="23">
        <v>0</v>
      </c>
      <c r="H26" s="23">
        <v>0</v>
      </c>
      <c r="I26" s="23">
        <v>0</v>
      </c>
      <c r="J26" s="26">
        <v>0</v>
      </c>
      <c r="K26" s="27">
        <v>0</v>
      </c>
      <c r="L26" s="30" t="s">
        <v>14</v>
      </c>
      <c r="M26" s="23">
        <v>0</v>
      </c>
      <c r="N26" s="23">
        <v>0</v>
      </c>
    </row>
    <row r="27" s="2" customFormat="1" ht="17.4" hidden="1" customHeight="1" spans="1:14">
      <c r="A27" s="21">
        <v>44222</v>
      </c>
      <c r="B27" s="22">
        <v>0</v>
      </c>
      <c r="C27" s="29">
        <v>0</v>
      </c>
      <c r="D27" s="24">
        <v>0</v>
      </c>
      <c r="E27" s="23">
        <v>0</v>
      </c>
      <c r="F27" s="25">
        <v>0</v>
      </c>
      <c r="G27" s="23">
        <v>0</v>
      </c>
      <c r="H27" s="23">
        <v>0</v>
      </c>
      <c r="I27" s="23">
        <v>0</v>
      </c>
      <c r="J27" s="26">
        <v>0</v>
      </c>
      <c r="K27" s="27">
        <v>0</v>
      </c>
      <c r="L27" s="30" t="s">
        <v>14</v>
      </c>
      <c r="M27" s="23">
        <v>0</v>
      </c>
      <c r="N27" s="23">
        <v>0</v>
      </c>
    </row>
    <row r="28" s="2" customFormat="1" ht="15" hidden="1" customHeight="1" spans="1:14">
      <c r="A28" s="21">
        <v>44223</v>
      </c>
      <c r="B28" s="22">
        <v>0</v>
      </c>
      <c r="C28" s="29">
        <v>0</v>
      </c>
      <c r="D28" s="24">
        <v>0</v>
      </c>
      <c r="E28" s="23">
        <v>0</v>
      </c>
      <c r="F28" s="25">
        <v>0</v>
      </c>
      <c r="G28" s="23">
        <v>0</v>
      </c>
      <c r="H28" s="23">
        <v>0</v>
      </c>
      <c r="I28" s="23">
        <v>0</v>
      </c>
      <c r="J28" s="26">
        <v>0</v>
      </c>
      <c r="K28" s="27">
        <v>0</v>
      </c>
      <c r="L28" s="30" t="s">
        <v>14</v>
      </c>
      <c r="M28" s="23">
        <v>0</v>
      </c>
      <c r="N28" s="23">
        <v>0</v>
      </c>
    </row>
    <row r="29" s="2" customFormat="1" ht="15.6" hidden="1" customHeight="1" spans="1:14">
      <c r="A29" s="21">
        <v>44224</v>
      </c>
      <c r="B29" s="22">
        <v>0</v>
      </c>
      <c r="C29" s="29">
        <v>0</v>
      </c>
      <c r="D29" s="24">
        <v>0</v>
      </c>
      <c r="E29" s="23">
        <v>0</v>
      </c>
      <c r="F29" s="25">
        <v>0</v>
      </c>
      <c r="G29" s="23">
        <v>0</v>
      </c>
      <c r="H29" s="23">
        <v>0</v>
      </c>
      <c r="I29" s="23">
        <v>0</v>
      </c>
      <c r="J29" s="26">
        <v>0</v>
      </c>
      <c r="K29" s="27">
        <v>0</v>
      </c>
      <c r="L29" s="30" t="s">
        <v>14</v>
      </c>
      <c r="M29" s="23">
        <v>0</v>
      </c>
      <c r="N29" s="23">
        <v>0</v>
      </c>
    </row>
    <row r="30" s="2" customFormat="1" ht="13.8" hidden="1" customHeight="1" spans="1:14">
      <c r="A30" s="21">
        <v>44225</v>
      </c>
      <c r="B30" s="22">
        <v>0</v>
      </c>
      <c r="C30" s="29">
        <v>0</v>
      </c>
      <c r="D30" s="24">
        <v>0</v>
      </c>
      <c r="E30" s="23">
        <v>0</v>
      </c>
      <c r="F30" s="25">
        <v>0</v>
      </c>
      <c r="G30" s="23">
        <v>0</v>
      </c>
      <c r="H30" s="23">
        <v>0</v>
      </c>
      <c r="I30" s="23">
        <v>0</v>
      </c>
      <c r="J30" s="26">
        <v>0</v>
      </c>
      <c r="K30" s="27">
        <v>0</v>
      </c>
      <c r="L30" s="30" t="s">
        <v>14</v>
      </c>
      <c r="M30" s="23">
        <v>0</v>
      </c>
      <c r="N30" s="23">
        <v>0</v>
      </c>
    </row>
    <row r="31" s="2" customFormat="1" ht="16.2" hidden="1" customHeight="1" spans="1:14">
      <c r="A31" s="21">
        <v>44226</v>
      </c>
      <c r="B31" s="22">
        <v>0</v>
      </c>
      <c r="C31" s="29">
        <v>0</v>
      </c>
      <c r="D31" s="24">
        <v>0</v>
      </c>
      <c r="E31" s="23">
        <v>0</v>
      </c>
      <c r="F31" s="25">
        <v>0</v>
      </c>
      <c r="G31" s="23">
        <v>0</v>
      </c>
      <c r="H31" s="23">
        <v>0</v>
      </c>
      <c r="I31" s="23">
        <v>0</v>
      </c>
      <c r="J31" s="26">
        <v>0</v>
      </c>
      <c r="K31" s="27">
        <v>0</v>
      </c>
      <c r="L31" s="30" t="s">
        <v>14</v>
      </c>
      <c r="M31" s="23">
        <v>0</v>
      </c>
      <c r="N31" s="23">
        <v>0</v>
      </c>
    </row>
    <row r="32" s="2" customFormat="1" ht="13.8" hidden="1" customHeight="1" spans="1:14">
      <c r="A32" s="21">
        <v>44227</v>
      </c>
      <c r="B32" s="22">
        <v>0</v>
      </c>
      <c r="C32" s="29">
        <v>0</v>
      </c>
      <c r="D32" s="24">
        <v>0</v>
      </c>
      <c r="E32" s="23">
        <v>0</v>
      </c>
      <c r="F32" s="25">
        <v>0</v>
      </c>
      <c r="G32" s="23">
        <v>0</v>
      </c>
      <c r="H32" s="23">
        <v>0</v>
      </c>
      <c r="I32" s="23">
        <v>0</v>
      </c>
      <c r="J32" s="26">
        <v>0</v>
      </c>
      <c r="K32" s="27">
        <v>0</v>
      </c>
      <c r="L32" s="30" t="s">
        <v>14</v>
      </c>
      <c r="M32" s="23">
        <v>0</v>
      </c>
      <c r="N32" s="23">
        <v>0</v>
      </c>
    </row>
    <row r="33" s="2" customFormat="1" ht="14.4" hidden="1" customHeight="1" spans="1:14">
      <c r="A33" s="21">
        <f t="shared" ref="A33:A62" si="1">A32+1</f>
        <v>44228</v>
      </c>
      <c r="B33" s="22">
        <v>0</v>
      </c>
      <c r="C33" s="29">
        <v>0</v>
      </c>
      <c r="D33" s="24">
        <v>0</v>
      </c>
      <c r="E33" s="23">
        <v>0</v>
      </c>
      <c r="F33" s="25">
        <v>0</v>
      </c>
      <c r="G33" s="23">
        <v>0</v>
      </c>
      <c r="H33" s="23">
        <v>0</v>
      </c>
      <c r="I33" s="23">
        <v>0</v>
      </c>
      <c r="J33" s="26">
        <v>0</v>
      </c>
      <c r="K33" s="27">
        <v>0</v>
      </c>
      <c r="L33" s="30" t="s">
        <v>14</v>
      </c>
      <c r="M33" s="23">
        <v>0</v>
      </c>
      <c r="N33" s="31">
        <v>0</v>
      </c>
    </row>
    <row r="34" s="2" customFormat="1" ht="13.8" hidden="1" customHeight="1" spans="1:14">
      <c r="A34" s="21">
        <f t="shared" si="1"/>
        <v>44229</v>
      </c>
      <c r="B34" s="22">
        <v>0</v>
      </c>
      <c r="C34" s="29">
        <v>0</v>
      </c>
      <c r="D34" s="24">
        <v>0</v>
      </c>
      <c r="E34" s="23">
        <v>0</v>
      </c>
      <c r="F34" s="25">
        <v>0</v>
      </c>
      <c r="G34" s="23">
        <v>0</v>
      </c>
      <c r="H34" s="23">
        <v>0</v>
      </c>
      <c r="I34" s="23">
        <v>0</v>
      </c>
      <c r="J34" s="26">
        <v>0</v>
      </c>
      <c r="K34" s="27">
        <v>0</v>
      </c>
      <c r="L34" s="30" t="s">
        <v>14</v>
      </c>
      <c r="M34" s="23">
        <v>0</v>
      </c>
      <c r="N34" s="31">
        <v>0</v>
      </c>
    </row>
    <row r="35" s="2" customFormat="1" ht="15.6" hidden="1" customHeight="1" spans="1:14">
      <c r="A35" s="21">
        <f t="shared" si="1"/>
        <v>44230</v>
      </c>
      <c r="B35" s="22">
        <v>0</v>
      </c>
      <c r="C35" s="29">
        <v>0</v>
      </c>
      <c r="D35" s="24">
        <v>0</v>
      </c>
      <c r="E35" s="23">
        <v>0</v>
      </c>
      <c r="F35" s="25">
        <v>0</v>
      </c>
      <c r="G35" s="23">
        <v>0</v>
      </c>
      <c r="H35" s="23">
        <v>0</v>
      </c>
      <c r="I35" s="23">
        <v>0</v>
      </c>
      <c r="J35" s="26">
        <v>0</v>
      </c>
      <c r="K35" s="27">
        <v>0</v>
      </c>
      <c r="L35" s="30" t="s">
        <v>14</v>
      </c>
      <c r="M35" s="23">
        <v>0</v>
      </c>
      <c r="N35" s="31">
        <v>0</v>
      </c>
    </row>
    <row r="36" s="2" customFormat="1" ht="15.6" hidden="1" customHeight="1" spans="1:14">
      <c r="A36" s="21">
        <f t="shared" si="1"/>
        <v>44231</v>
      </c>
      <c r="B36" s="22">
        <v>0</v>
      </c>
      <c r="C36" s="29">
        <v>0</v>
      </c>
      <c r="D36" s="24">
        <v>0</v>
      </c>
      <c r="E36" s="23">
        <v>0</v>
      </c>
      <c r="F36" s="25">
        <v>0</v>
      </c>
      <c r="G36" s="23">
        <v>0</v>
      </c>
      <c r="H36" s="23">
        <v>0</v>
      </c>
      <c r="I36" s="23">
        <v>0</v>
      </c>
      <c r="J36" s="26">
        <v>0</v>
      </c>
      <c r="K36" s="27">
        <v>0</v>
      </c>
      <c r="L36" s="30" t="s">
        <v>14</v>
      </c>
      <c r="M36" s="23">
        <v>0</v>
      </c>
      <c r="N36" s="31">
        <v>0</v>
      </c>
    </row>
    <row r="37" s="2" customFormat="1" ht="15.6" hidden="1" customHeight="1" spans="1:14">
      <c r="A37" s="21">
        <f t="shared" si="1"/>
        <v>44232</v>
      </c>
      <c r="B37" s="22">
        <v>0</v>
      </c>
      <c r="C37" s="29">
        <v>0</v>
      </c>
      <c r="D37" s="24">
        <v>0</v>
      </c>
      <c r="E37" s="23">
        <v>0</v>
      </c>
      <c r="F37" s="25">
        <v>0</v>
      </c>
      <c r="G37" s="23">
        <v>0</v>
      </c>
      <c r="H37" s="23">
        <v>0</v>
      </c>
      <c r="I37" s="23">
        <v>0</v>
      </c>
      <c r="J37" s="26">
        <v>0</v>
      </c>
      <c r="K37" s="27">
        <v>0</v>
      </c>
      <c r="L37" s="30" t="s">
        <v>14</v>
      </c>
      <c r="M37" s="23">
        <v>0</v>
      </c>
      <c r="N37" s="31">
        <v>0</v>
      </c>
    </row>
    <row r="38" s="2" customFormat="1" ht="15.6" hidden="1" customHeight="1" spans="1:14">
      <c r="A38" s="21">
        <f t="shared" si="1"/>
        <v>44233</v>
      </c>
      <c r="B38" s="22">
        <v>0</v>
      </c>
      <c r="C38" s="29">
        <v>0</v>
      </c>
      <c r="D38" s="24">
        <v>0</v>
      </c>
      <c r="E38" s="23">
        <v>0</v>
      </c>
      <c r="F38" s="25">
        <v>0</v>
      </c>
      <c r="G38" s="23">
        <v>0</v>
      </c>
      <c r="H38" s="23">
        <v>0</v>
      </c>
      <c r="I38" s="23">
        <v>0</v>
      </c>
      <c r="J38" s="26">
        <v>0</v>
      </c>
      <c r="K38" s="27">
        <v>0</v>
      </c>
      <c r="L38" s="30" t="s">
        <v>14</v>
      </c>
      <c r="M38" s="23">
        <v>0</v>
      </c>
      <c r="N38" s="31">
        <v>0</v>
      </c>
    </row>
    <row r="39" s="2" customFormat="1" ht="15.6" hidden="1" customHeight="1" spans="1:14">
      <c r="A39" s="21">
        <f t="shared" si="1"/>
        <v>44234</v>
      </c>
      <c r="B39" s="22">
        <v>0</v>
      </c>
      <c r="C39" s="29">
        <v>0</v>
      </c>
      <c r="D39" s="24">
        <v>0</v>
      </c>
      <c r="E39" s="23">
        <v>0</v>
      </c>
      <c r="F39" s="25">
        <v>0</v>
      </c>
      <c r="G39" s="23">
        <v>0</v>
      </c>
      <c r="H39" s="23">
        <v>0</v>
      </c>
      <c r="I39" s="23">
        <v>0</v>
      </c>
      <c r="J39" s="26">
        <v>0</v>
      </c>
      <c r="K39" s="27">
        <v>0</v>
      </c>
      <c r="L39" s="30" t="s">
        <v>14</v>
      </c>
      <c r="M39" s="23">
        <v>0</v>
      </c>
      <c r="N39" s="31">
        <v>0</v>
      </c>
    </row>
    <row r="40" s="2" customFormat="1" ht="15.6" hidden="1" customHeight="1" spans="1:14">
      <c r="A40" s="21">
        <f t="shared" si="1"/>
        <v>44235</v>
      </c>
      <c r="B40" s="22">
        <v>0</v>
      </c>
      <c r="C40" s="29">
        <v>0</v>
      </c>
      <c r="D40" s="24">
        <v>0</v>
      </c>
      <c r="E40" s="23">
        <v>0</v>
      </c>
      <c r="F40" s="25">
        <v>0</v>
      </c>
      <c r="G40" s="23">
        <v>0</v>
      </c>
      <c r="H40" s="23">
        <v>0</v>
      </c>
      <c r="I40" s="23">
        <v>0</v>
      </c>
      <c r="J40" s="26">
        <v>0</v>
      </c>
      <c r="K40" s="27">
        <v>0</v>
      </c>
      <c r="L40" s="30" t="s">
        <v>14</v>
      </c>
      <c r="M40" s="23">
        <v>0</v>
      </c>
      <c r="N40" s="31">
        <v>0</v>
      </c>
    </row>
    <row r="41" s="2" customFormat="1" ht="13.8" hidden="1" customHeight="1" spans="1:14">
      <c r="A41" s="21">
        <f t="shared" si="1"/>
        <v>44236</v>
      </c>
      <c r="B41" s="22">
        <v>0</v>
      </c>
      <c r="C41" s="29">
        <v>0</v>
      </c>
      <c r="D41" s="24">
        <v>0</v>
      </c>
      <c r="E41" s="23">
        <v>0</v>
      </c>
      <c r="F41" s="25">
        <v>0</v>
      </c>
      <c r="G41" s="23">
        <v>0</v>
      </c>
      <c r="H41" s="23">
        <v>0</v>
      </c>
      <c r="I41" s="23">
        <v>0</v>
      </c>
      <c r="J41" s="26">
        <v>0</v>
      </c>
      <c r="K41" s="27">
        <v>0</v>
      </c>
      <c r="L41" s="30" t="s">
        <v>14</v>
      </c>
      <c r="M41" s="23">
        <v>0</v>
      </c>
      <c r="N41" s="31">
        <v>0</v>
      </c>
    </row>
    <row r="42" s="2" customFormat="1" ht="16.8" hidden="1" customHeight="1" spans="1:14">
      <c r="A42" s="21">
        <f t="shared" si="1"/>
        <v>44237</v>
      </c>
      <c r="B42" s="22">
        <v>0</v>
      </c>
      <c r="C42" s="29">
        <v>0</v>
      </c>
      <c r="D42" s="24">
        <v>0</v>
      </c>
      <c r="E42" s="23">
        <v>0</v>
      </c>
      <c r="F42" s="25">
        <v>0</v>
      </c>
      <c r="G42" s="23">
        <v>0</v>
      </c>
      <c r="H42" s="23">
        <v>0</v>
      </c>
      <c r="I42" s="23">
        <v>0</v>
      </c>
      <c r="J42" s="26">
        <v>0</v>
      </c>
      <c r="K42" s="27">
        <v>0</v>
      </c>
      <c r="L42" s="30" t="s">
        <v>14</v>
      </c>
      <c r="M42" s="23">
        <v>0</v>
      </c>
      <c r="N42" s="31">
        <v>0</v>
      </c>
    </row>
    <row r="43" s="2" customFormat="1" ht="15.6" hidden="1" customHeight="1" spans="1:14">
      <c r="A43" s="21">
        <f t="shared" si="1"/>
        <v>44238</v>
      </c>
      <c r="B43" s="22">
        <v>0</v>
      </c>
      <c r="C43" s="29">
        <v>0</v>
      </c>
      <c r="D43" s="24">
        <v>0</v>
      </c>
      <c r="E43" s="23">
        <v>0</v>
      </c>
      <c r="F43" s="25">
        <v>0</v>
      </c>
      <c r="G43" s="23">
        <v>0</v>
      </c>
      <c r="H43" s="23">
        <v>0</v>
      </c>
      <c r="I43" s="23">
        <v>0</v>
      </c>
      <c r="J43" s="26">
        <v>0</v>
      </c>
      <c r="K43" s="27">
        <v>0</v>
      </c>
      <c r="L43" s="30" t="s">
        <v>14</v>
      </c>
      <c r="M43" s="23">
        <v>0</v>
      </c>
      <c r="N43" s="31">
        <v>0</v>
      </c>
    </row>
    <row r="44" s="2" customFormat="1" ht="15" hidden="1" customHeight="1" spans="1:14">
      <c r="A44" s="21">
        <f t="shared" si="1"/>
        <v>44239</v>
      </c>
      <c r="B44" s="22">
        <v>0</v>
      </c>
      <c r="C44" s="29">
        <v>0</v>
      </c>
      <c r="D44" s="24">
        <v>0</v>
      </c>
      <c r="E44" s="23">
        <v>0</v>
      </c>
      <c r="F44" s="25">
        <v>0</v>
      </c>
      <c r="G44" s="23">
        <v>0</v>
      </c>
      <c r="H44" s="23">
        <v>0</v>
      </c>
      <c r="I44" s="23">
        <v>0</v>
      </c>
      <c r="J44" s="26">
        <v>0</v>
      </c>
      <c r="K44" s="27">
        <v>0</v>
      </c>
      <c r="L44" s="30" t="s">
        <v>14</v>
      </c>
      <c r="M44" s="23">
        <v>0</v>
      </c>
      <c r="N44" s="31">
        <v>0</v>
      </c>
    </row>
    <row r="45" s="2" customFormat="1" ht="16.8" hidden="1" customHeight="1" spans="1:14">
      <c r="A45" s="21">
        <f t="shared" si="1"/>
        <v>44240</v>
      </c>
      <c r="B45" s="22">
        <v>0</v>
      </c>
      <c r="C45" s="29">
        <v>0</v>
      </c>
      <c r="D45" s="24">
        <v>0</v>
      </c>
      <c r="E45" s="23">
        <v>0</v>
      </c>
      <c r="F45" s="25">
        <v>0</v>
      </c>
      <c r="G45" s="23">
        <v>0</v>
      </c>
      <c r="H45" s="23">
        <v>0</v>
      </c>
      <c r="I45" s="23">
        <v>0</v>
      </c>
      <c r="J45" s="26">
        <v>0</v>
      </c>
      <c r="K45" s="27">
        <v>0</v>
      </c>
      <c r="L45" s="30" t="s">
        <v>14</v>
      </c>
      <c r="M45" s="23">
        <v>0</v>
      </c>
      <c r="N45" s="31">
        <v>0</v>
      </c>
    </row>
    <row r="46" s="2" customFormat="1" ht="16.2" hidden="1" customHeight="1" spans="1:14">
      <c r="A46" s="21">
        <f t="shared" si="1"/>
        <v>44241</v>
      </c>
      <c r="B46" s="22">
        <v>0</v>
      </c>
      <c r="C46" s="29">
        <v>0</v>
      </c>
      <c r="D46" s="24">
        <v>0</v>
      </c>
      <c r="E46" s="23">
        <v>0</v>
      </c>
      <c r="F46" s="25">
        <v>0</v>
      </c>
      <c r="G46" s="23">
        <v>0</v>
      </c>
      <c r="H46" s="23">
        <v>0</v>
      </c>
      <c r="I46" s="23">
        <v>0</v>
      </c>
      <c r="J46" s="26">
        <v>0</v>
      </c>
      <c r="K46" s="27">
        <v>0</v>
      </c>
      <c r="L46" s="30" t="s">
        <v>14</v>
      </c>
      <c r="M46" s="23">
        <v>0</v>
      </c>
      <c r="N46" s="31">
        <v>0</v>
      </c>
    </row>
    <row r="47" s="2" customFormat="1" ht="15.6" hidden="1" customHeight="1" spans="1:14">
      <c r="A47" s="21">
        <f t="shared" si="1"/>
        <v>44242</v>
      </c>
      <c r="B47" s="22">
        <v>0</v>
      </c>
      <c r="C47" s="29">
        <v>0</v>
      </c>
      <c r="D47" s="24">
        <v>0</v>
      </c>
      <c r="E47" s="23">
        <v>0</v>
      </c>
      <c r="F47" s="25">
        <v>0</v>
      </c>
      <c r="G47" s="23">
        <v>0</v>
      </c>
      <c r="H47" s="23">
        <v>0</v>
      </c>
      <c r="I47" s="23">
        <v>0</v>
      </c>
      <c r="J47" s="26">
        <v>0</v>
      </c>
      <c r="K47" s="27">
        <v>0</v>
      </c>
      <c r="L47" s="30" t="s">
        <v>14</v>
      </c>
      <c r="M47" s="23">
        <v>0</v>
      </c>
      <c r="N47" s="31">
        <v>0</v>
      </c>
    </row>
    <row r="48" s="2" customFormat="1" ht="15" hidden="1" customHeight="1" spans="1:14">
      <c r="A48" s="21">
        <f t="shared" si="1"/>
        <v>44243</v>
      </c>
      <c r="B48" s="22">
        <v>0</v>
      </c>
      <c r="C48" s="29">
        <v>0</v>
      </c>
      <c r="D48" s="24">
        <v>0</v>
      </c>
      <c r="E48" s="23">
        <v>0</v>
      </c>
      <c r="F48" s="25">
        <v>0</v>
      </c>
      <c r="G48" s="23">
        <v>0</v>
      </c>
      <c r="H48" s="23">
        <v>0</v>
      </c>
      <c r="I48" s="23">
        <v>0</v>
      </c>
      <c r="J48" s="26">
        <v>0</v>
      </c>
      <c r="K48" s="27">
        <v>0</v>
      </c>
      <c r="L48" s="30" t="s">
        <v>14</v>
      </c>
      <c r="M48" s="23">
        <v>0</v>
      </c>
      <c r="N48" s="31">
        <v>0</v>
      </c>
    </row>
    <row r="49" s="2" customFormat="1" ht="16.8" hidden="1" customHeight="1" spans="1:14">
      <c r="A49" s="21">
        <f t="shared" si="1"/>
        <v>44244</v>
      </c>
      <c r="B49" s="22">
        <v>0</v>
      </c>
      <c r="C49" s="29">
        <v>0</v>
      </c>
      <c r="D49" s="24">
        <v>0</v>
      </c>
      <c r="E49" s="23">
        <v>0</v>
      </c>
      <c r="F49" s="25">
        <v>0</v>
      </c>
      <c r="G49" s="23">
        <v>0</v>
      </c>
      <c r="H49" s="23">
        <v>0</v>
      </c>
      <c r="I49" s="23">
        <v>0</v>
      </c>
      <c r="J49" s="26">
        <v>0</v>
      </c>
      <c r="K49" s="27">
        <v>0</v>
      </c>
      <c r="L49" s="30" t="s">
        <v>14</v>
      </c>
      <c r="M49" s="23">
        <v>0</v>
      </c>
      <c r="N49" s="31">
        <v>0</v>
      </c>
    </row>
    <row r="50" s="2" customFormat="1" ht="15" hidden="1" customHeight="1" spans="1:14">
      <c r="A50" s="21">
        <f t="shared" si="1"/>
        <v>44245</v>
      </c>
      <c r="B50" s="22">
        <v>0</v>
      </c>
      <c r="C50" s="29">
        <v>0</v>
      </c>
      <c r="D50" s="24">
        <v>0</v>
      </c>
      <c r="E50" s="23">
        <v>0</v>
      </c>
      <c r="F50" s="25">
        <v>0</v>
      </c>
      <c r="G50" s="23">
        <v>0</v>
      </c>
      <c r="H50" s="23">
        <v>0</v>
      </c>
      <c r="I50" s="23">
        <v>0</v>
      </c>
      <c r="J50" s="26">
        <v>0</v>
      </c>
      <c r="K50" s="27">
        <v>0</v>
      </c>
      <c r="L50" s="30" t="s">
        <v>14</v>
      </c>
      <c r="M50" s="23">
        <v>0</v>
      </c>
      <c r="N50" s="31">
        <v>0</v>
      </c>
    </row>
    <row r="51" s="2" customFormat="1" ht="13.8" hidden="1" customHeight="1" spans="1:14">
      <c r="A51" s="21">
        <f t="shared" si="1"/>
        <v>44246</v>
      </c>
      <c r="B51" s="22">
        <v>0</v>
      </c>
      <c r="C51" s="29">
        <v>0</v>
      </c>
      <c r="D51" s="24">
        <v>0</v>
      </c>
      <c r="E51" s="23">
        <v>0</v>
      </c>
      <c r="F51" s="25">
        <v>0</v>
      </c>
      <c r="G51" s="23">
        <v>0</v>
      </c>
      <c r="H51" s="23">
        <v>0</v>
      </c>
      <c r="I51" s="23">
        <v>0</v>
      </c>
      <c r="J51" s="26">
        <v>0</v>
      </c>
      <c r="K51" s="27">
        <v>0</v>
      </c>
      <c r="L51" s="30" t="s">
        <v>14</v>
      </c>
      <c r="M51" s="23">
        <v>0</v>
      </c>
      <c r="N51" s="31">
        <v>0</v>
      </c>
    </row>
    <row r="52" s="2" customFormat="1" ht="16.8" hidden="1" customHeight="1" spans="1:14">
      <c r="A52" s="21">
        <f t="shared" si="1"/>
        <v>44247</v>
      </c>
      <c r="B52" s="22">
        <v>0</v>
      </c>
      <c r="C52" s="29">
        <v>0</v>
      </c>
      <c r="D52" s="24">
        <v>0</v>
      </c>
      <c r="E52" s="23">
        <v>0</v>
      </c>
      <c r="F52" s="25">
        <v>0</v>
      </c>
      <c r="G52" s="23">
        <v>0</v>
      </c>
      <c r="H52" s="23">
        <v>0</v>
      </c>
      <c r="I52" s="23">
        <v>0</v>
      </c>
      <c r="J52" s="26">
        <v>0</v>
      </c>
      <c r="K52" s="27">
        <v>0</v>
      </c>
      <c r="L52" s="30" t="s">
        <v>14</v>
      </c>
      <c r="M52" s="23">
        <v>0</v>
      </c>
      <c r="N52" s="31">
        <v>0</v>
      </c>
    </row>
    <row r="53" s="2" customFormat="1" ht="16.2" hidden="1" customHeight="1" spans="1:14">
      <c r="A53" s="21">
        <f t="shared" si="1"/>
        <v>44248</v>
      </c>
      <c r="B53" s="22">
        <v>0</v>
      </c>
      <c r="C53" s="29">
        <v>0</v>
      </c>
      <c r="D53" s="24">
        <v>0</v>
      </c>
      <c r="E53" s="23">
        <v>0</v>
      </c>
      <c r="F53" s="25">
        <v>0</v>
      </c>
      <c r="G53" s="23">
        <v>0</v>
      </c>
      <c r="H53" s="23">
        <v>0</v>
      </c>
      <c r="I53" s="23">
        <v>0</v>
      </c>
      <c r="J53" s="26">
        <v>0</v>
      </c>
      <c r="K53" s="27">
        <v>0</v>
      </c>
      <c r="L53" s="30" t="s">
        <v>14</v>
      </c>
      <c r="M53" s="23">
        <v>0</v>
      </c>
      <c r="N53" s="31">
        <v>0</v>
      </c>
    </row>
    <row r="54" s="2" customFormat="1" ht="17.4" hidden="1" customHeight="1" spans="1:14">
      <c r="A54" s="21">
        <f t="shared" si="1"/>
        <v>44249</v>
      </c>
      <c r="B54" s="22">
        <v>0</v>
      </c>
      <c r="C54" s="29">
        <v>0</v>
      </c>
      <c r="D54" s="24">
        <v>0</v>
      </c>
      <c r="E54" s="23">
        <v>0</v>
      </c>
      <c r="F54" s="25">
        <v>0</v>
      </c>
      <c r="G54" s="23">
        <v>0</v>
      </c>
      <c r="H54" s="23">
        <v>0</v>
      </c>
      <c r="I54" s="23">
        <v>0</v>
      </c>
      <c r="J54" s="26">
        <v>0</v>
      </c>
      <c r="K54" s="27">
        <v>0</v>
      </c>
      <c r="L54" s="30" t="s">
        <v>14</v>
      </c>
      <c r="M54" s="23">
        <v>0</v>
      </c>
      <c r="N54" s="31">
        <v>0</v>
      </c>
    </row>
    <row r="55" s="2" customFormat="1" ht="15" hidden="1" customHeight="1" spans="1:14">
      <c r="A55" s="21">
        <f t="shared" si="1"/>
        <v>44250</v>
      </c>
      <c r="B55" s="22">
        <v>0</v>
      </c>
      <c r="C55" s="29">
        <v>0</v>
      </c>
      <c r="D55" s="24">
        <v>0</v>
      </c>
      <c r="E55" s="23">
        <v>0</v>
      </c>
      <c r="F55" s="25">
        <v>0</v>
      </c>
      <c r="G55" s="23">
        <v>0</v>
      </c>
      <c r="H55" s="23">
        <v>0</v>
      </c>
      <c r="I55" s="23">
        <v>0</v>
      </c>
      <c r="J55" s="26">
        <v>0</v>
      </c>
      <c r="K55" s="27">
        <v>0</v>
      </c>
      <c r="L55" s="30" t="s">
        <v>14</v>
      </c>
      <c r="M55" s="23">
        <v>0</v>
      </c>
      <c r="N55" s="31">
        <v>0</v>
      </c>
    </row>
    <row r="56" s="2" customFormat="1" ht="16.2" hidden="1" customHeight="1" spans="1:14">
      <c r="A56" s="21">
        <f t="shared" si="1"/>
        <v>44251</v>
      </c>
      <c r="B56" s="22">
        <v>0</v>
      </c>
      <c r="C56" s="29">
        <v>0</v>
      </c>
      <c r="D56" s="24">
        <v>0</v>
      </c>
      <c r="E56" s="23">
        <v>0</v>
      </c>
      <c r="F56" s="25">
        <v>0</v>
      </c>
      <c r="G56" s="23">
        <v>0</v>
      </c>
      <c r="H56" s="23">
        <v>0</v>
      </c>
      <c r="I56" s="23">
        <v>0</v>
      </c>
      <c r="J56" s="26">
        <v>0</v>
      </c>
      <c r="K56" s="27">
        <v>0</v>
      </c>
      <c r="L56" s="30" t="s">
        <v>14</v>
      </c>
      <c r="M56" s="23">
        <v>0</v>
      </c>
      <c r="N56" s="31">
        <v>0</v>
      </c>
    </row>
    <row r="57" s="2" customFormat="1" ht="13.8" hidden="1" customHeight="1" spans="1:14">
      <c r="A57" s="21">
        <f t="shared" si="1"/>
        <v>44252</v>
      </c>
      <c r="B57" s="22">
        <v>0</v>
      </c>
      <c r="C57" s="29">
        <v>0</v>
      </c>
      <c r="D57" s="24">
        <v>0</v>
      </c>
      <c r="E57" s="23">
        <v>0</v>
      </c>
      <c r="F57" s="25">
        <v>0</v>
      </c>
      <c r="G57" s="23">
        <v>0</v>
      </c>
      <c r="H57" s="23">
        <v>0</v>
      </c>
      <c r="I57" s="23">
        <v>0</v>
      </c>
      <c r="J57" s="26">
        <v>0</v>
      </c>
      <c r="K57" s="27">
        <v>0</v>
      </c>
      <c r="L57" s="30" t="s">
        <v>14</v>
      </c>
      <c r="M57" s="23">
        <v>0</v>
      </c>
      <c r="N57" s="31">
        <v>0</v>
      </c>
    </row>
    <row r="58" s="2" customFormat="1" ht="15" hidden="1" customHeight="1" spans="1:14">
      <c r="A58" s="21">
        <f t="shared" si="1"/>
        <v>44253</v>
      </c>
      <c r="B58" s="22">
        <v>0</v>
      </c>
      <c r="C58" s="29">
        <v>0</v>
      </c>
      <c r="D58" s="24">
        <v>0</v>
      </c>
      <c r="E58" s="23">
        <v>0</v>
      </c>
      <c r="F58" s="25">
        <v>0</v>
      </c>
      <c r="G58" s="23">
        <v>0</v>
      </c>
      <c r="H58" s="23">
        <v>0</v>
      </c>
      <c r="I58" s="23">
        <v>0</v>
      </c>
      <c r="J58" s="26">
        <v>0</v>
      </c>
      <c r="K58" s="27">
        <v>0</v>
      </c>
      <c r="L58" s="30" t="s">
        <v>14</v>
      </c>
      <c r="M58" s="23">
        <v>0</v>
      </c>
      <c r="N58" s="31">
        <v>0</v>
      </c>
    </row>
    <row r="59" s="2" customFormat="1" ht="16.2" hidden="1" customHeight="1" spans="1:14">
      <c r="A59" s="21">
        <f t="shared" si="1"/>
        <v>44254</v>
      </c>
      <c r="B59" s="22">
        <v>0</v>
      </c>
      <c r="C59" s="29">
        <v>0</v>
      </c>
      <c r="D59" s="24">
        <v>0</v>
      </c>
      <c r="E59" s="23">
        <v>0</v>
      </c>
      <c r="F59" s="25">
        <v>0</v>
      </c>
      <c r="G59" s="23">
        <v>0</v>
      </c>
      <c r="H59" s="23">
        <v>0</v>
      </c>
      <c r="I59" s="23">
        <v>0</v>
      </c>
      <c r="J59" s="26">
        <v>0</v>
      </c>
      <c r="K59" s="27">
        <v>0</v>
      </c>
      <c r="L59" s="30" t="s">
        <v>14</v>
      </c>
      <c r="M59" s="23">
        <v>0</v>
      </c>
      <c r="N59" s="31">
        <v>0</v>
      </c>
    </row>
    <row r="60" s="2" customFormat="1" ht="16.8" hidden="1" customHeight="1" spans="1:14">
      <c r="A60" s="21">
        <f t="shared" si="1"/>
        <v>44255</v>
      </c>
      <c r="B60" s="22">
        <v>0</v>
      </c>
      <c r="C60" s="29">
        <v>0</v>
      </c>
      <c r="D60" s="24">
        <v>0</v>
      </c>
      <c r="E60" s="23">
        <v>0</v>
      </c>
      <c r="F60" s="25">
        <v>0</v>
      </c>
      <c r="G60" s="23">
        <v>0</v>
      </c>
      <c r="H60" s="23">
        <v>0</v>
      </c>
      <c r="I60" s="23">
        <v>0</v>
      </c>
      <c r="J60" s="26">
        <v>0</v>
      </c>
      <c r="K60" s="27">
        <v>0</v>
      </c>
      <c r="L60" s="30" t="s">
        <v>14</v>
      </c>
      <c r="M60" s="23">
        <v>0</v>
      </c>
      <c r="N60" s="31">
        <v>0</v>
      </c>
    </row>
    <row r="61" s="2" customFormat="1" ht="14.4" hidden="1" customHeight="1" spans="1:14">
      <c r="A61" s="21">
        <f t="shared" si="1"/>
        <v>44256</v>
      </c>
      <c r="B61" s="22">
        <v>0</v>
      </c>
      <c r="C61" s="29">
        <v>0</v>
      </c>
      <c r="D61" s="24">
        <v>0</v>
      </c>
      <c r="E61" s="23">
        <v>0</v>
      </c>
      <c r="F61" s="25">
        <v>0</v>
      </c>
      <c r="G61" s="23">
        <v>0</v>
      </c>
      <c r="H61" s="23">
        <v>0</v>
      </c>
      <c r="I61" s="23">
        <v>0</v>
      </c>
      <c r="J61" s="26">
        <v>0</v>
      </c>
      <c r="K61" s="27">
        <v>0</v>
      </c>
      <c r="L61" s="30" t="s">
        <v>14</v>
      </c>
      <c r="M61" s="23">
        <v>0</v>
      </c>
      <c r="N61" s="31">
        <v>0</v>
      </c>
    </row>
    <row r="62" s="2" customFormat="1" hidden="1" spans="1:14">
      <c r="A62" s="21">
        <f t="shared" si="1"/>
        <v>44257</v>
      </c>
      <c r="B62" s="22">
        <v>0</v>
      </c>
      <c r="C62" s="29">
        <v>0</v>
      </c>
      <c r="D62" s="24">
        <v>0</v>
      </c>
      <c r="E62" s="23">
        <v>0</v>
      </c>
      <c r="F62" s="25">
        <v>0</v>
      </c>
      <c r="G62" s="23">
        <v>0</v>
      </c>
      <c r="H62" s="23">
        <v>0</v>
      </c>
      <c r="I62" s="23">
        <v>0</v>
      </c>
      <c r="J62" s="26">
        <v>0</v>
      </c>
      <c r="K62" s="27">
        <v>0</v>
      </c>
      <c r="L62" s="30" t="s">
        <v>14</v>
      </c>
      <c r="M62" s="23">
        <v>0</v>
      </c>
      <c r="N62" s="31">
        <v>0</v>
      </c>
    </row>
    <row r="63" s="2" customFormat="1" hidden="1" spans="1:14">
      <c r="A63" s="21"/>
      <c r="B63" s="22"/>
      <c r="C63" s="29"/>
      <c r="D63" s="24"/>
      <c r="E63" s="23"/>
      <c r="F63" s="25"/>
      <c r="G63" s="23"/>
      <c r="H63" s="23"/>
      <c r="I63" s="23"/>
      <c r="J63" s="26"/>
      <c r="K63" s="27"/>
      <c r="L63" s="30"/>
      <c r="M63" s="23"/>
      <c r="N63" s="31"/>
    </row>
    <row r="64" s="2" customFormat="1" hidden="1" spans="1:14">
      <c r="A64" s="21"/>
      <c r="B64" s="22"/>
      <c r="C64" s="29"/>
      <c r="D64" s="24"/>
      <c r="E64" s="23"/>
      <c r="F64" s="25"/>
      <c r="G64" s="23"/>
      <c r="H64" s="23"/>
      <c r="I64" s="23"/>
      <c r="J64" s="26"/>
      <c r="K64" s="27"/>
      <c r="L64" s="30"/>
      <c r="M64" s="23"/>
      <c r="N64" s="31"/>
    </row>
    <row r="65" s="2" customFormat="1" hidden="1" spans="1:14">
      <c r="A65" s="21">
        <v>44361</v>
      </c>
      <c r="B65" s="22">
        <v>0</v>
      </c>
      <c r="C65" s="29">
        <v>0</v>
      </c>
      <c r="D65" s="24">
        <v>0</v>
      </c>
      <c r="E65" s="23">
        <v>0</v>
      </c>
      <c r="F65" s="25">
        <v>0</v>
      </c>
      <c r="G65" s="23">
        <v>0</v>
      </c>
      <c r="H65" s="23">
        <v>0</v>
      </c>
      <c r="I65" s="23">
        <v>0</v>
      </c>
      <c r="J65" s="26">
        <v>0</v>
      </c>
      <c r="K65" s="27">
        <v>0</v>
      </c>
      <c r="L65" s="30" t="s">
        <v>14</v>
      </c>
      <c r="M65" s="23">
        <v>0</v>
      </c>
      <c r="N65" s="23">
        <v>0</v>
      </c>
    </row>
    <row r="66" s="2" customFormat="1" hidden="1" spans="1:14">
      <c r="A66" s="21">
        <f t="shared" ref="A66:A129" si="2">A65+1</f>
        <v>44362</v>
      </c>
      <c r="B66" s="22">
        <v>0</v>
      </c>
      <c r="C66" s="29">
        <v>0</v>
      </c>
      <c r="D66" s="24">
        <v>0</v>
      </c>
      <c r="E66" s="23">
        <v>0</v>
      </c>
      <c r="F66" s="25">
        <v>0</v>
      </c>
      <c r="G66" s="23">
        <v>0</v>
      </c>
      <c r="H66" s="23">
        <v>0</v>
      </c>
      <c r="I66" s="23">
        <v>0</v>
      </c>
      <c r="J66" s="26">
        <v>0</v>
      </c>
      <c r="K66" s="27">
        <v>0</v>
      </c>
      <c r="L66" s="30">
        <v>0</v>
      </c>
      <c r="M66" s="23">
        <v>0</v>
      </c>
      <c r="N66" s="23">
        <v>0</v>
      </c>
    </row>
    <row r="67" s="2" customFormat="1" hidden="1" spans="1:14">
      <c r="A67" s="21">
        <f t="shared" si="2"/>
        <v>44363</v>
      </c>
      <c r="B67" s="22">
        <v>69.95</v>
      </c>
      <c r="C67" s="29">
        <v>921</v>
      </c>
      <c r="D67" s="24">
        <v>27</v>
      </c>
      <c r="E67" s="23">
        <v>0</v>
      </c>
      <c r="F67" s="25">
        <v>0</v>
      </c>
      <c r="G67" s="23">
        <v>0</v>
      </c>
      <c r="H67" s="23">
        <v>1</v>
      </c>
      <c r="I67" s="23">
        <v>0</v>
      </c>
      <c r="J67" s="26">
        <v>0.0293</v>
      </c>
      <c r="K67" s="27">
        <v>2.59</v>
      </c>
      <c r="L67" s="30">
        <v>11.06</v>
      </c>
      <c r="M67" s="23">
        <v>0</v>
      </c>
      <c r="N67" s="23">
        <v>0</v>
      </c>
    </row>
    <row r="68" s="2" customFormat="1" hidden="1" spans="1:14">
      <c r="A68" s="21">
        <f t="shared" si="2"/>
        <v>44364</v>
      </c>
      <c r="B68" s="22">
        <v>589.03</v>
      </c>
      <c r="C68" s="29">
        <v>14217</v>
      </c>
      <c r="D68" s="24">
        <v>261</v>
      </c>
      <c r="E68" s="23">
        <v>0</v>
      </c>
      <c r="F68" s="25">
        <v>0</v>
      </c>
      <c r="G68" s="23">
        <v>9</v>
      </c>
      <c r="H68" s="23">
        <v>5</v>
      </c>
      <c r="I68" s="23">
        <v>0</v>
      </c>
      <c r="J68" s="26">
        <v>0.0184</v>
      </c>
      <c r="K68" s="27">
        <v>2.26</v>
      </c>
      <c r="L68" s="30">
        <v>12.76</v>
      </c>
      <c r="M68" s="23">
        <v>0</v>
      </c>
      <c r="N68" s="23">
        <v>0</v>
      </c>
    </row>
    <row r="69" s="2" customFormat="1" hidden="1" spans="1:14">
      <c r="A69" s="21">
        <f t="shared" si="2"/>
        <v>44365</v>
      </c>
      <c r="B69" s="22">
        <v>585.02</v>
      </c>
      <c r="C69" s="29">
        <v>22735</v>
      </c>
      <c r="D69" s="24">
        <v>244</v>
      </c>
      <c r="E69" s="23">
        <v>0</v>
      </c>
      <c r="F69" s="25">
        <v>0</v>
      </c>
      <c r="G69" s="23">
        <v>3</v>
      </c>
      <c r="H69" s="23">
        <v>5</v>
      </c>
      <c r="I69" s="23">
        <v>0</v>
      </c>
      <c r="J69" s="26">
        <v>0.0107</v>
      </c>
      <c r="K69" s="27">
        <v>2.4</v>
      </c>
      <c r="L69" s="30">
        <v>16.98</v>
      </c>
      <c r="M69" s="23">
        <v>0</v>
      </c>
      <c r="N69" s="23">
        <v>0</v>
      </c>
    </row>
    <row r="70" s="2" customFormat="1" hidden="1" spans="1:14">
      <c r="A70" s="21">
        <f t="shared" si="2"/>
        <v>44366</v>
      </c>
      <c r="B70" s="22">
        <v>569.49</v>
      </c>
      <c r="C70" s="29">
        <v>20904</v>
      </c>
      <c r="D70" s="24">
        <v>281</v>
      </c>
      <c r="E70" s="23">
        <v>0</v>
      </c>
      <c r="F70" s="25">
        <v>0</v>
      </c>
      <c r="G70" s="23">
        <v>7</v>
      </c>
      <c r="H70" s="23">
        <v>2</v>
      </c>
      <c r="I70" s="23">
        <v>0</v>
      </c>
      <c r="J70" s="26">
        <v>0.0134</v>
      </c>
      <c r="K70" s="27">
        <v>2.03</v>
      </c>
      <c r="L70" s="30">
        <v>14.89</v>
      </c>
      <c r="M70" s="23">
        <v>0</v>
      </c>
      <c r="N70" s="23">
        <v>0</v>
      </c>
    </row>
    <row r="71" s="2" customFormat="1" hidden="1" spans="1:14">
      <c r="A71" s="21">
        <f t="shared" si="2"/>
        <v>44367</v>
      </c>
      <c r="B71" s="22">
        <v>496.89</v>
      </c>
      <c r="C71" s="29">
        <v>18416</v>
      </c>
      <c r="D71" s="24">
        <v>280</v>
      </c>
      <c r="E71" s="23">
        <v>0</v>
      </c>
      <c r="F71" s="25">
        <v>0</v>
      </c>
      <c r="G71" s="23">
        <v>12</v>
      </c>
      <c r="H71" s="23">
        <v>9</v>
      </c>
      <c r="I71" s="23">
        <v>1</v>
      </c>
      <c r="J71" s="26">
        <v>0.0152</v>
      </c>
      <c r="K71" s="27">
        <v>1.77</v>
      </c>
      <c r="L71" s="30">
        <v>8.91</v>
      </c>
      <c r="M71" s="23">
        <v>0</v>
      </c>
      <c r="N71" s="23">
        <v>0</v>
      </c>
    </row>
    <row r="72" s="2" customFormat="1" hidden="1" spans="1:14">
      <c r="A72" s="21">
        <f t="shared" si="2"/>
        <v>44368</v>
      </c>
      <c r="B72" s="22">
        <v>324.04</v>
      </c>
      <c r="C72" s="29">
        <v>18970</v>
      </c>
      <c r="D72" s="24">
        <v>290</v>
      </c>
      <c r="E72" s="23">
        <v>1</v>
      </c>
      <c r="F72" s="25">
        <v>1334</v>
      </c>
      <c r="G72" s="23">
        <v>9</v>
      </c>
      <c r="H72" s="23">
        <v>4</v>
      </c>
      <c r="I72" s="23">
        <v>0</v>
      </c>
      <c r="J72" s="26">
        <v>0.0153</v>
      </c>
      <c r="K72" s="27">
        <v>1.12</v>
      </c>
      <c r="L72" s="30">
        <v>7.23</v>
      </c>
      <c r="M72" s="23">
        <v>4.12</v>
      </c>
      <c r="N72" s="31">
        <v>0.0034</v>
      </c>
    </row>
    <row r="73" s="2" customFormat="1" hidden="1" spans="1:14">
      <c r="A73" s="21">
        <f t="shared" si="2"/>
        <v>44369</v>
      </c>
      <c r="B73" s="22">
        <v>285.44</v>
      </c>
      <c r="C73" s="29">
        <v>20233</v>
      </c>
      <c r="D73" s="24">
        <v>315</v>
      </c>
      <c r="E73" s="23">
        <v>0</v>
      </c>
      <c r="F73" s="25">
        <v>0</v>
      </c>
      <c r="G73" s="23">
        <v>3</v>
      </c>
      <c r="H73" s="23">
        <v>5</v>
      </c>
      <c r="I73" s="23">
        <v>1</v>
      </c>
      <c r="J73" s="26">
        <v>0.0156</v>
      </c>
      <c r="K73" s="27">
        <v>0.91</v>
      </c>
      <c r="L73" s="30">
        <v>6.44</v>
      </c>
      <c r="M73" s="23">
        <v>0</v>
      </c>
      <c r="N73" s="23">
        <v>0</v>
      </c>
    </row>
    <row r="74" s="2" customFormat="1" hidden="1" spans="1:14">
      <c r="A74" s="21">
        <f t="shared" si="2"/>
        <v>44370</v>
      </c>
      <c r="B74" s="22">
        <v>289.04</v>
      </c>
      <c r="C74" s="29">
        <v>16450</v>
      </c>
      <c r="D74" s="24">
        <v>327</v>
      </c>
      <c r="E74" s="23">
        <v>0</v>
      </c>
      <c r="F74" s="25">
        <v>0</v>
      </c>
      <c r="G74" s="23">
        <v>4</v>
      </c>
      <c r="H74" s="23">
        <v>14</v>
      </c>
      <c r="I74" s="23">
        <v>1</v>
      </c>
      <c r="J74" s="26">
        <v>0.0199</v>
      </c>
      <c r="K74" s="27">
        <v>0.88</v>
      </c>
      <c r="L74" s="30">
        <v>5.86</v>
      </c>
      <c r="M74" s="23">
        <v>0</v>
      </c>
      <c r="N74" s="23">
        <v>0</v>
      </c>
    </row>
    <row r="75" s="2" customFormat="1" hidden="1" spans="1:14">
      <c r="A75" s="21">
        <f t="shared" si="2"/>
        <v>44371</v>
      </c>
      <c r="B75" s="22">
        <v>289.79</v>
      </c>
      <c r="C75" s="29">
        <v>15678</v>
      </c>
      <c r="D75" s="24">
        <v>361</v>
      </c>
      <c r="E75" s="23">
        <v>0</v>
      </c>
      <c r="F75" s="25">
        <v>0</v>
      </c>
      <c r="G75" s="23">
        <v>4</v>
      </c>
      <c r="H75" s="23">
        <v>17</v>
      </c>
      <c r="I75" s="23">
        <v>2</v>
      </c>
      <c r="J75" s="26">
        <v>0.023</v>
      </c>
      <c r="K75" s="27">
        <v>0.8</v>
      </c>
      <c r="L75" s="30">
        <v>4.65</v>
      </c>
      <c r="M75" s="23">
        <v>0</v>
      </c>
      <c r="N75" s="23">
        <v>0</v>
      </c>
    </row>
    <row r="76" s="2" customFormat="1" hidden="1" spans="1:14">
      <c r="A76" s="21">
        <f t="shared" si="2"/>
        <v>44372</v>
      </c>
      <c r="B76" s="22">
        <v>275.27</v>
      </c>
      <c r="C76" s="29">
        <v>14483</v>
      </c>
      <c r="D76" s="24">
        <v>321</v>
      </c>
      <c r="E76" s="23">
        <v>0</v>
      </c>
      <c r="F76" s="25">
        <v>0</v>
      </c>
      <c r="G76" s="23">
        <v>8</v>
      </c>
      <c r="H76" s="23">
        <v>9</v>
      </c>
      <c r="I76" s="23">
        <v>0</v>
      </c>
      <c r="J76" s="26">
        <v>0.0222</v>
      </c>
      <c r="K76" s="27">
        <v>0.86</v>
      </c>
      <c r="L76" s="30">
        <v>5.86</v>
      </c>
      <c r="M76" s="23">
        <v>0</v>
      </c>
      <c r="N76" s="23">
        <v>0</v>
      </c>
    </row>
    <row r="77" s="2" customFormat="1" hidden="1" spans="1:14">
      <c r="A77" s="21">
        <f t="shared" si="2"/>
        <v>44373</v>
      </c>
      <c r="B77" s="22">
        <v>282.51</v>
      </c>
      <c r="C77" s="29">
        <v>13532</v>
      </c>
      <c r="D77" s="24">
        <v>322</v>
      </c>
      <c r="E77" s="23">
        <v>0</v>
      </c>
      <c r="F77" s="25">
        <v>0</v>
      </c>
      <c r="G77" s="23">
        <v>11</v>
      </c>
      <c r="H77" s="23">
        <v>2</v>
      </c>
      <c r="I77" s="23">
        <v>0</v>
      </c>
      <c r="J77" s="26">
        <v>0.0238</v>
      </c>
      <c r="K77" s="27">
        <v>0.88</v>
      </c>
      <c r="L77" s="30">
        <v>7.16</v>
      </c>
      <c r="M77" s="23">
        <v>0</v>
      </c>
      <c r="N77" s="23">
        <v>0</v>
      </c>
    </row>
    <row r="78" s="2" customFormat="1" hidden="1" spans="1:14">
      <c r="A78" s="21">
        <f t="shared" si="2"/>
        <v>44374</v>
      </c>
      <c r="B78" s="22">
        <v>285.9</v>
      </c>
      <c r="C78" s="29">
        <v>15099</v>
      </c>
      <c r="D78" s="24">
        <v>324</v>
      </c>
      <c r="E78" s="23">
        <v>0</v>
      </c>
      <c r="F78" s="25">
        <v>0</v>
      </c>
      <c r="G78" s="23">
        <v>14</v>
      </c>
      <c r="H78" s="23">
        <v>3</v>
      </c>
      <c r="I78" s="23">
        <v>0</v>
      </c>
      <c r="J78" s="26">
        <v>0.0215</v>
      </c>
      <c r="K78" s="27">
        <v>0.88</v>
      </c>
      <c r="L78" s="30">
        <v>7.3</v>
      </c>
      <c r="M78" s="23">
        <v>0</v>
      </c>
      <c r="N78" s="23">
        <v>0</v>
      </c>
    </row>
    <row r="79" s="2" customFormat="1" hidden="1" spans="1:14">
      <c r="A79" s="21">
        <f t="shared" si="2"/>
        <v>44375</v>
      </c>
      <c r="B79" s="22">
        <v>294.43</v>
      </c>
      <c r="C79" s="29">
        <v>15264</v>
      </c>
      <c r="D79" s="24">
        <v>320</v>
      </c>
      <c r="E79" s="23">
        <v>0</v>
      </c>
      <c r="F79" s="25">
        <v>0</v>
      </c>
      <c r="G79" s="23">
        <v>14</v>
      </c>
      <c r="H79" s="23">
        <v>11</v>
      </c>
      <c r="I79" s="23">
        <v>0</v>
      </c>
      <c r="J79" s="26">
        <v>0.021</v>
      </c>
      <c r="K79" s="27">
        <v>0.92</v>
      </c>
      <c r="L79" s="30">
        <v>6.72</v>
      </c>
      <c r="M79" s="23">
        <v>0</v>
      </c>
      <c r="N79" s="23">
        <v>0</v>
      </c>
    </row>
    <row r="80" s="2" customFormat="1" hidden="1" spans="1:14">
      <c r="A80" s="21">
        <f t="shared" si="2"/>
        <v>44376</v>
      </c>
      <c r="B80" s="22">
        <v>283.57</v>
      </c>
      <c r="C80" s="29">
        <v>15496</v>
      </c>
      <c r="D80" s="24">
        <v>335</v>
      </c>
      <c r="E80" s="23">
        <v>0</v>
      </c>
      <c r="F80" s="25">
        <v>0</v>
      </c>
      <c r="G80" s="23">
        <v>4</v>
      </c>
      <c r="H80" s="23">
        <v>2</v>
      </c>
      <c r="I80" s="23">
        <v>0</v>
      </c>
      <c r="J80" s="26">
        <v>0.0216</v>
      </c>
      <c r="K80" s="27">
        <v>0.85</v>
      </c>
      <c r="L80" s="30">
        <v>6.43</v>
      </c>
      <c r="M80" s="23">
        <v>0</v>
      </c>
      <c r="N80" s="23">
        <v>0</v>
      </c>
    </row>
    <row r="81" s="2" customFormat="1" hidden="1" spans="1:14">
      <c r="A81" s="21">
        <f t="shared" si="2"/>
        <v>44377</v>
      </c>
      <c r="B81" s="22">
        <v>290.56</v>
      </c>
      <c r="C81" s="29">
        <v>14816</v>
      </c>
      <c r="D81" s="24">
        <v>344</v>
      </c>
      <c r="E81" s="23">
        <v>0</v>
      </c>
      <c r="F81" s="25">
        <v>0</v>
      </c>
      <c r="G81" s="23">
        <v>4</v>
      </c>
      <c r="H81" s="23">
        <v>7</v>
      </c>
      <c r="I81" s="23">
        <v>0</v>
      </c>
      <c r="J81" s="26">
        <v>0.0232</v>
      </c>
      <c r="K81" s="27">
        <v>0.84</v>
      </c>
      <c r="L81" s="30">
        <v>7.43</v>
      </c>
      <c r="M81" s="23">
        <v>0</v>
      </c>
      <c r="N81" s="23">
        <v>0</v>
      </c>
    </row>
    <row r="82" s="2" customFormat="1" hidden="1" spans="1:14">
      <c r="A82" s="21">
        <f t="shared" si="2"/>
        <v>44378</v>
      </c>
      <c r="B82" s="22">
        <v>260.38</v>
      </c>
      <c r="C82" s="29">
        <v>6756</v>
      </c>
      <c r="D82" s="24">
        <v>178</v>
      </c>
      <c r="E82" s="23">
        <v>0</v>
      </c>
      <c r="F82" s="25">
        <v>0</v>
      </c>
      <c r="G82" s="23">
        <v>5</v>
      </c>
      <c r="H82" s="23">
        <v>1</v>
      </c>
      <c r="I82" s="23">
        <v>0</v>
      </c>
      <c r="J82" s="26">
        <v>0.0263</v>
      </c>
      <c r="K82" s="27">
        <v>1.46</v>
      </c>
      <c r="L82" s="30">
        <v>17.3</v>
      </c>
      <c r="M82" s="23">
        <v>0</v>
      </c>
      <c r="N82" s="23">
        <v>0</v>
      </c>
    </row>
    <row r="83" s="2" customFormat="1" hidden="1" spans="1:14">
      <c r="A83" s="21">
        <f t="shared" si="2"/>
        <v>44379</v>
      </c>
      <c r="B83" s="22">
        <v>293.06</v>
      </c>
      <c r="C83" s="29">
        <v>8200</v>
      </c>
      <c r="D83" s="24">
        <v>215</v>
      </c>
      <c r="E83" s="23">
        <v>0</v>
      </c>
      <c r="F83" s="25">
        <v>0</v>
      </c>
      <c r="G83" s="23">
        <v>4</v>
      </c>
      <c r="H83" s="23">
        <v>2</v>
      </c>
      <c r="I83" s="23">
        <v>0</v>
      </c>
      <c r="J83" s="26">
        <v>0.0262</v>
      </c>
      <c r="K83" s="27">
        <v>1.36</v>
      </c>
      <c r="L83" s="30">
        <v>15.4</v>
      </c>
      <c r="M83" s="23">
        <v>0</v>
      </c>
      <c r="N83" s="23">
        <v>0</v>
      </c>
    </row>
    <row r="84" s="2" customFormat="1" hidden="1" spans="1:14">
      <c r="A84" s="21">
        <f t="shared" si="2"/>
        <v>44380</v>
      </c>
      <c r="B84" s="22">
        <v>279.13</v>
      </c>
      <c r="C84" s="29">
        <v>8102</v>
      </c>
      <c r="D84" s="24">
        <v>282</v>
      </c>
      <c r="E84" s="23">
        <v>0</v>
      </c>
      <c r="F84" s="25">
        <v>0</v>
      </c>
      <c r="G84" s="23">
        <v>2</v>
      </c>
      <c r="H84" s="23">
        <v>1</v>
      </c>
      <c r="I84" s="23">
        <v>0</v>
      </c>
      <c r="J84" s="26">
        <v>0.0348</v>
      </c>
      <c r="K84" s="27">
        <v>0.99</v>
      </c>
      <c r="L84" s="30">
        <v>9.29</v>
      </c>
      <c r="M84" s="23">
        <v>0</v>
      </c>
      <c r="N84" s="23">
        <v>0</v>
      </c>
    </row>
    <row r="85" s="2" customFormat="1" hidden="1" spans="1:14">
      <c r="A85" s="21">
        <f t="shared" si="2"/>
        <v>44381</v>
      </c>
      <c r="B85" s="22">
        <v>289.27</v>
      </c>
      <c r="C85" s="29">
        <v>7944</v>
      </c>
      <c r="D85" s="24">
        <v>326</v>
      </c>
      <c r="E85" s="23">
        <v>0</v>
      </c>
      <c r="F85" s="25">
        <v>0</v>
      </c>
      <c r="G85" s="23">
        <v>6</v>
      </c>
      <c r="H85" s="23">
        <v>1</v>
      </c>
      <c r="I85" s="23">
        <v>0</v>
      </c>
      <c r="J85" s="26">
        <v>0.041</v>
      </c>
      <c r="K85" s="27">
        <v>0.89</v>
      </c>
      <c r="L85" s="30">
        <v>8.1</v>
      </c>
      <c r="M85" s="23">
        <v>0</v>
      </c>
      <c r="N85" s="23">
        <v>0</v>
      </c>
    </row>
    <row r="86" s="2" customFormat="1" hidden="1" spans="1:14">
      <c r="A86" s="21">
        <f t="shared" si="2"/>
        <v>44382</v>
      </c>
      <c r="B86" s="22">
        <v>287.36</v>
      </c>
      <c r="C86" s="29">
        <v>9508</v>
      </c>
      <c r="D86" s="24">
        <v>379</v>
      </c>
      <c r="E86" s="23">
        <v>0</v>
      </c>
      <c r="F86" s="25">
        <v>0</v>
      </c>
      <c r="G86" s="23">
        <v>2</v>
      </c>
      <c r="H86" s="23">
        <v>1</v>
      </c>
      <c r="I86" s="23">
        <v>2</v>
      </c>
      <c r="J86" s="26">
        <v>0.0399</v>
      </c>
      <c r="K86" s="27">
        <v>0.76</v>
      </c>
      <c r="L86" s="30">
        <v>7.08</v>
      </c>
      <c r="M86" s="23">
        <v>0</v>
      </c>
      <c r="N86" s="23">
        <v>0</v>
      </c>
    </row>
    <row r="87" s="2" customFormat="1" hidden="1" spans="1:14">
      <c r="A87" s="21">
        <f t="shared" si="2"/>
        <v>44383</v>
      </c>
      <c r="B87" s="22">
        <v>295.09</v>
      </c>
      <c r="C87" s="29">
        <v>8392</v>
      </c>
      <c r="D87" s="24">
        <v>385</v>
      </c>
      <c r="E87" s="23">
        <v>0</v>
      </c>
      <c r="F87" s="25">
        <v>0</v>
      </c>
      <c r="G87" s="23">
        <v>4</v>
      </c>
      <c r="H87" s="23">
        <v>3</v>
      </c>
      <c r="I87" s="23">
        <v>0</v>
      </c>
      <c r="J87" s="26">
        <v>0.0459</v>
      </c>
      <c r="K87" s="27">
        <v>0.77</v>
      </c>
      <c r="L87" s="30">
        <v>5.74</v>
      </c>
      <c r="M87" s="23">
        <v>0</v>
      </c>
      <c r="N87" s="23">
        <v>0</v>
      </c>
    </row>
    <row r="88" s="2" customFormat="1" hidden="1" spans="1:14">
      <c r="A88" s="21">
        <f t="shared" si="2"/>
        <v>44384</v>
      </c>
      <c r="B88" s="22">
        <v>288.16</v>
      </c>
      <c r="C88" s="29">
        <v>8819</v>
      </c>
      <c r="D88" s="24">
        <v>477</v>
      </c>
      <c r="E88" s="23">
        <v>0</v>
      </c>
      <c r="F88" s="25">
        <v>0</v>
      </c>
      <c r="G88" s="23">
        <v>4</v>
      </c>
      <c r="H88" s="23">
        <v>1</v>
      </c>
      <c r="I88" s="23">
        <v>2</v>
      </c>
      <c r="J88" s="26">
        <v>0.0541</v>
      </c>
      <c r="K88" s="27">
        <v>0.6</v>
      </c>
      <c r="L88" s="30">
        <v>7.02</v>
      </c>
      <c r="M88" s="23">
        <v>0</v>
      </c>
      <c r="N88" s="23">
        <v>0</v>
      </c>
    </row>
    <row r="89" s="2" customFormat="1" hidden="1" spans="1:14">
      <c r="A89" s="21">
        <f t="shared" si="2"/>
        <v>44385</v>
      </c>
      <c r="B89" s="22">
        <v>281.99</v>
      </c>
      <c r="C89" s="29">
        <v>8263</v>
      </c>
      <c r="D89" s="24">
        <v>469</v>
      </c>
      <c r="E89" s="23">
        <v>0</v>
      </c>
      <c r="F89" s="25">
        <v>0</v>
      </c>
      <c r="G89" s="23">
        <v>4</v>
      </c>
      <c r="H89" s="23">
        <v>3</v>
      </c>
      <c r="I89" s="23">
        <v>0</v>
      </c>
      <c r="J89" s="26">
        <v>0.0568</v>
      </c>
      <c r="K89" s="27">
        <v>0.6</v>
      </c>
      <c r="L89" s="30">
        <v>5.9</v>
      </c>
      <c r="M89" s="23">
        <v>0</v>
      </c>
      <c r="N89" s="23">
        <v>0</v>
      </c>
    </row>
    <row r="90" s="2" customFormat="1" hidden="1" spans="1:14">
      <c r="A90" s="21">
        <f t="shared" si="2"/>
        <v>44386</v>
      </c>
      <c r="B90" s="22">
        <v>287.32</v>
      </c>
      <c r="C90" s="29">
        <v>7715</v>
      </c>
      <c r="D90" s="24">
        <v>498</v>
      </c>
      <c r="E90" s="23">
        <v>0</v>
      </c>
      <c r="F90" s="25">
        <v>0</v>
      </c>
      <c r="G90" s="23">
        <v>4</v>
      </c>
      <c r="H90" s="23">
        <v>2</v>
      </c>
      <c r="I90" s="23">
        <v>0</v>
      </c>
      <c r="J90" s="26">
        <v>0.0645</v>
      </c>
      <c r="K90" s="27">
        <v>0.58</v>
      </c>
      <c r="L90" s="30">
        <v>7.98</v>
      </c>
      <c r="M90" s="23">
        <v>0</v>
      </c>
      <c r="N90" s="23">
        <v>0</v>
      </c>
    </row>
    <row r="91" s="2" customFormat="1" hidden="1" spans="1:14">
      <c r="A91" s="21">
        <f t="shared" si="2"/>
        <v>44387</v>
      </c>
      <c r="B91" s="22">
        <v>272.75</v>
      </c>
      <c r="C91" s="29">
        <v>7612</v>
      </c>
      <c r="D91" s="24">
        <v>500</v>
      </c>
      <c r="E91" s="23">
        <v>0</v>
      </c>
      <c r="F91" s="25">
        <v>0</v>
      </c>
      <c r="G91" s="23">
        <v>3</v>
      </c>
      <c r="H91" s="23">
        <v>7</v>
      </c>
      <c r="I91" s="23">
        <v>1</v>
      </c>
      <c r="J91" s="26">
        <v>0.0657</v>
      </c>
      <c r="K91" s="27">
        <v>0.55</v>
      </c>
      <c r="L91" s="30">
        <v>5.85</v>
      </c>
      <c r="M91" s="23">
        <v>0</v>
      </c>
      <c r="N91" s="23">
        <v>0</v>
      </c>
    </row>
    <row r="92" s="2" customFormat="1" hidden="1" spans="1:14">
      <c r="A92" s="21">
        <f t="shared" si="2"/>
        <v>44388</v>
      </c>
      <c r="B92" s="22">
        <v>277.76</v>
      </c>
      <c r="C92" s="29">
        <v>8056</v>
      </c>
      <c r="D92" s="24">
        <v>606</v>
      </c>
      <c r="E92" s="23">
        <v>1</v>
      </c>
      <c r="F92" s="25">
        <v>0.01</v>
      </c>
      <c r="G92" s="23">
        <v>5</v>
      </c>
      <c r="H92" s="23">
        <v>2</v>
      </c>
      <c r="I92" s="23">
        <v>0</v>
      </c>
      <c r="J92" s="26">
        <v>0.0752</v>
      </c>
      <c r="K92" s="27">
        <v>0.46</v>
      </c>
      <c r="L92" s="30">
        <v>5.29</v>
      </c>
      <c r="M92" s="23">
        <v>0</v>
      </c>
      <c r="N92" s="23">
        <v>0</v>
      </c>
    </row>
    <row r="93" s="2" customFormat="1" hidden="1" spans="1:14">
      <c r="A93" s="21">
        <f t="shared" si="2"/>
        <v>44389</v>
      </c>
      <c r="B93" s="22">
        <v>287.1</v>
      </c>
      <c r="C93" s="29">
        <v>9408</v>
      </c>
      <c r="D93" s="24">
        <v>626</v>
      </c>
      <c r="E93" s="23">
        <v>0</v>
      </c>
      <c r="F93" s="25">
        <v>0</v>
      </c>
      <c r="G93" s="23">
        <v>3</v>
      </c>
      <c r="H93" s="23">
        <v>2</v>
      </c>
      <c r="I93" s="23">
        <v>1</v>
      </c>
      <c r="J93" s="26">
        <v>0.0745</v>
      </c>
      <c r="K93" s="27">
        <v>0.46</v>
      </c>
      <c r="L93" s="30">
        <v>6.41</v>
      </c>
      <c r="M93" s="23">
        <v>0</v>
      </c>
      <c r="N93" s="23">
        <v>0</v>
      </c>
    </row>
    <row r="94" s="2" customFormat="1" hidden="1" spans="1:14">
      <c r="A94" s="21">
        <f t="shared" si="2"/>
        <v>44390</v>
      </c>
      <c r="B94" s="22">
        <v>277.22</v>
      </c>
      <c r="C94" s="29">
        <v>9146</v>
      </c>
      <c r="D94" s="24">
        <v>668</v>
      </c>
      <c r="E94" s="23">
        <v>0</v>
      </c>
      <c r="F94" s="25">
        <v>0</v>
      </c>
      <c r="G94" s="23">
        <v>5</v>
      </c>
      <c r="H94" s="23">
        <v>1</v>
      </c>
      <c r="I94" s="23">
        <v>2</v>
      </c>
      <c r="J94" s="26">
        <v>0.073</v>
      </c>
      <c r="K94" s="27">
        <v>0.42</v>
      </c>
      <c r="L94" s="30">
        <v>4.72</v>
      </c>
      <c r="M94" s="23">
        <v>0</v>
      </c>
      <c r="N94" s="23">
        <v>0</v>
      </c>
    </row>
    <row r="95" s="2" customFormat="1" hidden="1" spans="1:14">
      <c r="A95" s="21">
        <f t="shared" si="2"/>
        <v>44391</v>
      </c>
      <c r="B95" s="22">
        <v>281.74</v>
      </c>
      <c r="C95" s="29">
        <v>7932</v>
      </c>
      <c r="D95" s="24">
        <v>614</v>
      </c>
      <c r="E95" s="23">
        <v>0</v>
      </c>
      <c r="F95" s="25">
        <v>0</v>
      </c>
      <c r="G95" s="23">
        <v>4</v>
      </c>
      <c r="H95" s="23">
        <v>3</v>
      </c>
      <c r="I95" s="23">
        <v>0</v>
      </c>
      <c r="J95" s="26">
        <v>0.0774</v>
      </c>
      <c r="K95" s="27">
        <v>0.46</v>
      </c>
      <c r="L95" s="30">
        <v>6.45</v>
      </c>
      <c r="M95" s="23">
        <v>0</v>
      </c>
      <c r="N95" s="23">
        <v>0</v>
      </c>
    </row>
    <row r="96" s="2" customFormat="1" hidden="1" spans="1:14">
      <c r="A96" s="21">
        <f t="shared" si="2"/>
        <v>44392</v>
      </c>
      <c r="B96" s="22">
        <v>284.19</v>
      </c>
      <c r="C96" s="29">
        <v>6183</v>
      </c>
      <c r="D96" s="24">
        <v>610</v>
      </c>
      <c r="E96" s="23">
        <v>0</v>
      </c>
      <c r="F96" s="25">
        <v>0</v>
      </c>
      <c r="G96" s="23">
        <v>5</v>
      </c>
      <c r="H96" s="23">
        <v>6</v>
      </c>
      <c r="I96" s="23">
        <v>1</v>
      </c>
      <c r="J96" s="26">
        <v>0.0987</v>
      </c>
      <c r="K96" s="27">
        <v>0.47</v>
      </c>
      <c r="L96" s="30">
        <v>4.64</v>
      </c>
      <c r="M96" s="23">
        <v>0</v>
      </c>
      <c r="N96" s="23">
        <v>0</v>
      </c>
    </row>
    <row r="97" s="2" customFormat="1" hidden="1" spans="1:14">
      <c r="A97" s="21">
        <f t="shared" si="2"/>
        <v>44393</v>
      </c>
      <c r="B97" s="22">
        <v>288.16</v>
      </c>
      <c r="C97" s="29">
        <v>8150</v>
      </c>
      <c r="D97" s="24">
        <v>744</v>
      </c>
      <c r="E97" s="23">
        <v>0</v>
      </c>
      <c r="F97" s="25">
        <v>0</v>
      </c>
      <c r="G97" s="23">
        <v>4</v>
      </c>
      <c r="H97" s="23">
        <v>1</v>
      </c>
      <c r="I97" s="23">
        <v>2</v>
      </c>
      <c r="J97" s="26">
        <v>0.0913</v>
      </c>
      <c r="K97" s="27">
        <v>0.39</v>
      </c>
      <c r="L97" s="30">
        <v>4.63</v>
      </c>
      <c r="M97" s="23">
        <v>0</v>
      </c>
      <c r="N97" s="23">
        <v>0</v>
      </c>
    </row>
    <row r="98" s="2" customFormat="1" hidden="1" spans="1:14">
      <c r="A98" s="21">
        <f t="shared" si="2"/>
        <v>44394</v>
      </c>
      <c r="B98" s="22">
        <v>1.06</v>
      </c>
      <c r="C98" s="29">
        <v>6</v>
      </c>
      <c r="D98" s="24">
        <v>2</v>
      </c>
      <c r="E98" s="23">
        <v>0</v>
      </c>
      <c r="F98" s="25">
        <v>0</v>
      </c>
      <c r="G98" s="23">
        <v>0</v>
      </c>
      <c r="H98" s="23">
        <v>0</v>
      </c>
      <c r="I98" s="23">
        <v>0</v>
      </c>
      <c r="J98" s="26">
        <v>0.3333</v>
      </c>
      <c r="K98" s="27">
        <v>0.53</v>
      </c>
      <c r="L98" s="25" t="s">
        <v>14</v>
      </c>
      <c r="M98" s="23">
        <v>0</v>
      </c>
      <c r="N98" s="23">
        <v>0</v>
      </c>
    </row>
    <row r="99" s="2" customFormat="1" hidden="1" spans="1:14">
      <c r="A99" s="21">
        <f t="shared" si="2"/>
        <v>44395</v>
      </c>
      <c r="B99" s="22" t="s">
        <v>14</v>
      </c>
      <c r="C99" s="25" t="s">
        <v>14</v>
      </c>
      <c r="D99" s="32" t="s">
        <v>14</v>
      </c>
      <c r="E99" s="25" t="s">
        <v>14</v>
      </c>
      <c r="F99" s="25" t="s">
        <v>14</v>
      </c>
      <c r="G99" s="25" t="s">
        <v>14</v>
      </c>
      <c r="H99" s="25" t="s">
        <v>14</v>
      </c>
      <c r="I99" s="25" t="s">
        <v>14</v>
      </c>
      <c r="J99" s="25" t="s">
        <v>14</v>
      </c>
      <c r="K99" s="25" t="s">
        <v>14</v>
      </c>
      <c r="L99" s="25" t="s">
        <v>14</v>
      </c>
      <c r="M99" s="25" t="s">
        <v>14</v>
      </c>
      <c r="N99" s="25" t="s">
        <v>14</v>
      </c>
    </row>
    <row r="100" s="2" customFormat="1" hidden="1" spans="1:14">
      <c r="A100" s="21">
        <f t="shared" si="2"/>
        <v>44396</v>
      </c>
      <c r="B100" s="22">
        <v>283.86</v>
      </c>
      <c r="C100" s="29">
        <v>10848</v>
      </c>
      <c r="D100" s="24">
        <v>251</v>
      </c>
      <c r="E100" s="23">
        <v>0</v>
      </c>
      <c r="F100" s="25">
        <v>0</v>
      </c>
      <c r="G100" s="23">
        <v>2</v>
      </c>
      <c r="H100" s="23">
        <v>2</v>
      </c>
      <c r="I100" s="23">
        <v>2</v>
      </c>
      <c r="J100" s="26">
        <v>0.0231</v>
      </c>
      <c r="K100" s="27">
        <v>1.13</v>
      </c>
      <c r="L100" s="30">
        <v>11.91</v>
      </c>
      <c r="M100" s="23">
        <v>0</v>
      </c>
      <c r="N100" s="23">
        <v>0</v>
      </c>
    </row>
    <row r="101" s="2" customFormat="1" hidden="1" spans="1:14">
      <c r="A101" s="21">
        <f t="shared" si="2"/>
        <v>44397</v>
      </c>
      <c r="B101" s="22">
        <v>273.12</v>
      </c>
      <c r="C101" s="29">
        <v>7069</v>
      </c>
      <c r="D101" s="24">
        <v>338</v>
      </c>
      <c r="E101" s="23">
        <v>0</v>
      </c>
      <c r="F101" s="25">
        <v>0</v>
      </c>
      <c r="G101" s="23">
        <v>5</v>
      </c>
      <c r="H101" s="23">
        <v>0</v>
      </c>
      <c r="I101" s="23">
        <v>0</v>
      </c>
      <c r="J101" s="26">
        <v>0.0478</v>
      </c>
      <c r="K101" s="27">
        <v>0.81</v>
      </c>
      <c r="L101" s="30">
        <v>8.18</v>
      </c>
      <c r="M101" s="23">
        <v>0</v>
      </c>
      <c r="N101" s="23">
        <v>0</v>
      </c>
    </row>
    <row r="102" s="2" customFormat="1" hidden="1" spans="1:14">
      <c r="A102" s="21">
        <f t="shared" si="2"/>
        <v>44398</v>
      </c>
      <c r="B102" s="22">
        <v>282.43</v>
      </c>
      <c r="C102" s="29">
        <v>12346</v>
      </c>
      <c r="D102" s="24">
        <v>643</v>
      </c>
      <c r="E102" s="23">
        <v>0</v>
      </c>
      <c r="F102" s="25">
        <v>0</v>
      </c>
      <c r="G102" s="23">
        <v>2</v>
      </c>
      <c r="H102" s="23">
        <v>1</v>
      </c>
      <c r="I102" s="23">
        <v>0</v>
      </c>
      <c r="J102" s="26">
        <v>0.0521</v>
      </c>
      <c r="K102" s="27">
        <v>0.44</v>
      </c>
      <c r="L102" s="30">
        <v>5.39</v>
      </c>
      <c r="M102" s="23">
        <v>0</v>
      </c>
      <c r="N102" s="23">
        <v>0</v>
      </c>
    </row>
    <row r="103" s="2" customFormat="1" hidden="1" spans="1:14">
      <c r="A103" s="21">
        <f t="shared" si="2"/>
        <v>44399</v>
      </c>
      <c r="B103" s="22">
        <v>294.34</v>
      </c>
      <c r="C103" s="29">
        <v>9114</v>
      </c>
      <c r="D103" s="24">
        <v>644</v>
      </c>
      <c r="E103" s="23">
        <v>0</v>
      </c>
      <c r="F103" s="25">
        <v>0</v>
      </c>
      <c r="G103" s="23">
        <v>4</v>
      </c>
      <c r="H103" s="23">
        <v>4</v>
      </c>
      <c r="I103" s="23">
        <v>1</v>
      </c>
      <c r="J103" s="26">
        <v>0.0707</v>
      </c>
      <c r="K103" s="27">
        <v>0.46</v>
      </c>
      <c r="L103" s="30">
        <v>6.3</v>
      </c>
      <c r="M103" s="23">
        <v>0</v>
      </c>
      <c r="N103" s="23">
        <v>0</v>
      </c>
    </row>
    <row r="104" s="2" customFormat="1" hidden="1" spans="1:14">
      <c r="A104" s="21">
        <f t="shared" si="2"/>
        <v>44400</v>
      </c>
      <c r="B104" s="22">
        <v>276.5</v>
      </c>
      <c r="C104" s="29">
        <v>10636</v>
      </c>
      <c r="D104" s="24">
        <v>633</v>
      </c>
      <c r="E104" s="23">
        <v>0</v>
      </c>
      <c r="F104" s="25">
        <v>0</v>
      </c>
      <c r="G104" s="23">
        <v>4</v>
      </c>
      <c r="H104" s="23">
        <v>3</v>
      </c>
      <c r="I104" s="23">
        <v>0</v>
      </c>
      <c r="J104" s="26">
        <v>0.0595</v>
      </c>
      <c r="K104" s="27">
        <v>0.44</v>
      </c>
      <c r="L104" s="30">
        <v>4.86</v>
      </c>
      <c r="M104" s="23">
        <v>0</v>
      </c>
      <c r="N104" s="23">
        <v>0</v>
      </c>
    </row>
    <row r="105" s="2" customFormat="1" hidden="1" spans="1:14">
      <c r="A105" s="21">
        <f t="shared" si="2"/>
        <v>44401</v>
      </c>
      <c r="B105" s="22">
        <v>1.18</v>
      </c>
      <c r="C105" s="29">
        <v>0</v>
      </c>
      <c r="D105" s="24">
        <v>3</v>
      </c>
      <c r="E105" s="23"/>
      <c r="F105" s="25">
        <v>0</v>
      </c>
      <c r="G105" s="23"/>
      <c r="H105" s="23">
        <v>0</v>
      </c>
      <c r="I105" s="23">
        <v>0</v>
      </c>
      <c r="J105" s="26">
        <v>0</v>
      </c>
      <c r="K105" s="27">
        <v>0</v>
      </c>
      <c r="L105" s="30">
        <v>0</v>
      </c>
      <c r="M105" s="23">
        <v>0</v>
      </c>
      <c r="N105" s="23">
        <v>0</v>
      </c>
    </row>
    <row r="106" s="2" customFormat="1" hidden="1" spans="1:14">
      <c r="A106" s="21">
        <f t="shared" si="2"/>
        <v>44402</v>
      </c>
      <c r="B106" s="22" t="s">
        <v>14</v>
      </c>
      <c r="C106" s="29" t="s">
        <v>14</v>
      </c>
      <c r="D106" s="24" t="s">
        <v>14</v>
      </c>
      <c r="E106" s="29" t="s">
        <v>14</v>
      </c>
      <c r="F106" s="29" t="s">
        <v>14</v>
      </c>
      <c r="G106" s="29" t="s">
        <v>14</v>
      </c>
      <c r="H106" s="29" t="s">
        <v>14</v>
      </c>
      <c r="I106" s="29" t="s">
        <v>14</v>
      </c>
      <c r="J106" s="29" t="s">
        <v>14</v>
      </c>
      <c r="K106" s="29" t="s">
        <v>14</v>
      </c>
      <c r="L106" s="29" t="s">
        <v>14</v>
      </c>
      <c r="M106" s="29" t="s">
        <v>14</v>
      </c>
      <c r="N106" s="29" t="s">
        <v>14</v>
      </c>
    </row>
    <row r="107" s="2" customFormat="1" hidden="1" spans="1:14">
      <c r="A107" s="21">
        <f t="shared" si="2"/>
        <v>44403</v>
      </c>
      <c r="B107" s="22" t="s">
        <v>14</v>
      </c>
      <c r="C107" s="25" t="s">
        <v>14</v>
      </c>
      <c r="D107" s="32" t="s">
        <v>14</v>
      </c>
      <c r="E107" s="25" t="s">
        <v>14</v>
      </c>
      <c r="F107" s="25" t="s">
        <v>14</v>
      </c>
      <c r="G107" s="25" t="s">
        <v>14</v>
      </c>
      <c r="H107" s="25" t="s">
        <v>14</v>
      </c>
      <c r="I107" s="25" t="s">
        <v>14</v>
      </c>
      <c r="J107" s="25" t="s">
        <v>14</v>
      </c>
      <c r="K107" s="25" t="s">
        <v>14</v>
      </c>
      <c r="L107" s="25" t="s">
        <v>14</v>
      </c>
      <c r="M107" s="25" t="s">
        <v>14</v>
      </c>
      <c r="N107" s="25" t="s">
        <v>14</v>
      </c>
    </row>
    <row r="108" s="2" customFormat="1" hidden="1" spans="1:14">
      <c r="A108" s="21">
        <f t="shared" si="2"/>
        <v>44404</v>
      </c>
      <c r="B108" s="22">
        <v>99.32</v>
      </c>
      <c r="C108" s="29">
        <v>4589</v>
      </c>
      <c r="D108" s="24">
        <v>50</v>
      </c>
      <c r="E108" s="23">
        <v>0</v>
      </c>
      <c r="F108" s="25">
        <v>0</v>
      </c>
      <c r="G108" s="23">
        <v>0</v>
      </c>
      <c r="H108" s="23">
        <v>1</v>
      </c>
      <c r="I108" s="23">
        <v>0</v>
      </c>
      <c r="J108" s="26">
        <v>0.0109</v>
      </c>
      <c r="K108" s="27">
        <v>1.99</v>
      </c>
      <c r="L108" s="30">
        <v>26.81</v>
      </c>
      <c r="M108" s="23">
        <v>0</v>
      </c>
      <c r="N108" s="23">
        <v>0</v>
      </c>
    </row>
    <row r="109" s="2" customFormat="1" hidden="1" spans="1:14">
      <c r="A109" s="21">
        <f t="shared" si="2"/>
        <v>44405</v>
      </c>
      <c r="B109" s="22">
        <v>210.59</v>
      </c>
      <c r="C109" s="29">
        <v>22311</v>
      </c>
      <c r="D109" s="24">
        <v>196</v>
      </c>
      <c r="E109" s="23">
        <v>1</v>
      </c>
      <c r="F109" s="25">
        <v>0.1</v>
      </c>
      <c r="G109" s="23">
        <v>2</v>
      </c>
      <c r="H109" s="23">
        <v>0</v>
      </c>
      <c r="I109" s="23">
        <v>0</v>
      </c>
      <c r="J109" s="26">
        <v>0.0088</v>
      </c>
      <c r="K109" s="27">
        <v>1.07</v>
      </c>
      <c r="L109" s="30">
        <v>9.54</v>
      </c>
      <c r="M109" s="23">
        <v>0</v>
      </c>
      <c r="N109" s="23">
        <v>0</v>
      </c>
    </row>
    <row r="110" s="2" customFormat="1" hidden="1" spans="1:14">
      <c r="A110" s="21">
        <f t="shared" si="2"/>
        <v>44406</v>
      </c>
      <c r="B110" s="22">
        <v>218.13</v>
      </c>
      <c r="C110" s="29">
        <v>23065</v>
      </c>
      <c r="D110" s="24">
        <v>349</v>
      </c>
      <c r="E110" s="23">
        <v>0</v>
      </c>
      <c r="F110" s="25">
        <v>0</v>
      </c>
      <c r="G110" s="23">
        <v>2</v>
      </c>
      <c r="H110" s="23">
        <v>5</v>
      </c>
      <c r="I110" s="23">
        <v>3</v>
      </c>
      <c r="J110" s="26">
        <v>0.0151</v>
      </c>
      <c r="K110" s="27">
        <v>0.53</v>
      </c>
      <c r="L110" s="30">
        <v>5.01</v>
      </c>
      <c r="M110" s="23">
        <v>0</v>
      </c>
      <c r="N110" s="23">
        <v>0</v>
      </c>
    </row>
    <row r="111" s="2" customFormat="1" hidden="1" spans="1:14">
      <c r="A111" s="21">
        <f t="shared" si="2"/>
        <v>44407</v>
      </c>
      <c r="B111" s="22">
        <v>166.95</v>
      </c>
      <c r="C111" s="29">
        <v>25592</v>
      </c>
      <c r="D111" s="24">
        <v>255</v>
      </c>
      <c r="E111" s="23">
        <v>0</v>
      </c>
      <c r="F111" s="25">
        <v>0</v>
      </c>
      <c r="G111" s="23">
        <v>0</v>
      </c>
      <c r="H111" s="23">
        <v>3</v>
      </c>
      <c r="I111" s="23">
        <v>1</v>
      </c>
      <c r="J111" s="26">
        <v>0.01</v>
      </c>
      <c r="K111" s="27">
        <v>0.65</v>
      </c>
      <c r="L111" s="30">
        <v>4.92</v>
      </c>
      <c r="M111" s="23">
        <v>0</v>
      </c>
      <c r="N111" s="23">
        <v>0</v>
      </c>
    </row>
    <row r="112" s="2" customFormat="1" hidden="1" spans="1:14">
      <c r="A112" s="21">
        <f t="shared" si="2"/>
        <v>44408</v>
      </c>
      <c r="B112" s="22">
        <v>164.77</v>
      </c>
      <c r="C112" s="29">
        <v>14507</v>
      </c>
      <c r="D112" s="24">
        <v>208</v>
      </c>
      <c r="E112" s="23">
        <v>0</v>
      </c>
      <c r="F112" s="25">
        <v>0</v>
      </c>
      <c r="G112" s="23">
        <v>1</v>
      </c>
      <c r="H112" s="23">
        <v>3</v>
      </c>
      <c r="I112" s="23">
        <v>0</v>
      </c>
      <c r="J112" s="26">
        <v>0.0143</v>
      </c>
      <c r="K112" s="27">
        <v>0.79</v>
      </c>
      <c r="L112" s="30">
        <v>9.06</v>
      </c>
      <c r="M112" s="23">
        <v>0</v>
      </c>
      <c r="N112" s="23">
        <v>0</v>
      </c>
    </row>
    <row r="113" s="2" customFormat="1" hidden="1" spans="1:14">
      <c r="A113" s="21">
        <f t="shared" si="2"/>
        <v>44409</v>
      </c>
      <c r="B113" s="22">
        <v>146.24</v>
      </c>
      <c r="C113" s="29">
        <v>10251</v>
      </c>
      <c r="D113" s="24">
        <v>179</v>
      </c>
      <c r="E113" s="23">
        <v>0</v>
      </c>
      <c r="F113" s="25">
        <v>0</v>
      </c>
      <c r="G113" s="23">
        <v>5</v>
      </c>
      <c r="H113" s="23">
        <v>4</v>
      </c>
      <c r="I113" s="23">
        <v>0</v>
      </c>
      <c r="J113" s="26">
        <v>0.0175</v>
      </c>
      <c r="K113" s="27">
        <v>0.82</v>
      </c>
      <c r="L113" s="30">
        <v>6.34</v>
      </c>
      <c r="M113" s="23">
        <v>0</v>
      </c>
      <c r="N113" s="23">
        <v>0</v>
      </c>
    </row>
    <row r="114" s="2" customFormat="1" hidden="1" spans="1:14">
      <c r="A114" s="21">
        <f t="shared" si="2"/>
        <v>44410</v>
      </c>
      <c r="B114" s="22">
        <v>139.13</v>
      </c>
      <c r="C114" s="29">
        <v>12108</v>
      </c>
      <c r="D114" s="24">
        <v>166</v>
      </c>
      <c r="E114" s="23">
        <v>0</v>
      </c>
      <c r="F114" s="25">
        <v>0</v>
      </c>
      <c r="G114" s="23">
        <v>1</v>
      </c>
      <c r="H114" s="23">
        <v>2</v>
      </c>
      <c r="I114" s="23">
        <v>0</v>
      </c>
      <c r="J114" s="26">
        <v>0.0137</v>
      </c>
      <c r="K114" s="27">
        <v>0.84</v>
      </c>
      <c r="L114" s="30">
        <v>6.01</v>
      </c>
      <c r="M114" s="23">
        <v>0</v>
      </c>
      <c r="N114" s="23">
        <v>0</v>
      </c>
    </row>
    <row r="115" s="2" customFormat="1" hidden="1" spans="1:14">
      <c r="A115" s="21">
        <f t="shared" si="2"/>
        <v>44411</v>
      </c>
      <c r="B115" s="22">
        <v>131.77</v>
      </c>
      <c r="C115" s="29">
        <v>9156</v>
      </c>
      <c r="D115" s="24">
        <v>136</v>
      </c>
      <c r="E115" s="23">
        <v>0</v>
      </c>
      <c r="F115" s="25">
        <v>0</v>
      </c>
      <c r="G115" s="23">
        <v>4</v>
      </c>
      <c r="H115" s="23">
        <v>1</v>
      </c>
      <c r="I115" s="23">
        <v>0</v>
      </c>
      <c r="J115" s="26">
        <v>0.0149</v>
      </c>
      <c r="K115" s="27">
        <v>0.97</v>
      </c>
      <c r="L115" s="30">
        <v>6.18</v>
      </c>
      <c r="M115" s="23">
        <v>0</v>
      </c>
      <c r="N115" s="23">
        <v>0</v>
      </c>
    </row>
    <row r="116" s="2" customFormat="1" hidden="1" spans="1:14">
      <c r="A116" s="21">
        <f t="shared" si="2"/>
        <v>44412</v>
      </c>
      <c r="B116" s="22">
        <v>145.88</v>
      </c>
      <c r="C116" s="29">
        <v>14333</v>
      </c>
      <c r="D116" s="24">
        <v>131</v>
      </c>
      <c r="E116" s="23">
        <v>0</v>
      </c>
      <c r="F116" s="25">
        <v>0</v>
      </c>
      <c r="G116" s="23">
        <v>1</v>
      </c>
      <c r="H116" s="23">
        <v>2</v>
      </c>
      <c r="I116" s="23">
        <v>0</v>
      </c>
      <c r="J116" s="26">
        <v>0.0091</v>
      </c>
      <c r="K116" s="27">
        <v>1.11</v>
      </c>
      <c r="L116" s="30">
        <v>7.78</v>
      </c>
      <c r="M116" s="23">
        <v>0</v>
      </c>
      <c r="N116" s="23">
        <v>0</v>
      </c>
    </row>
    <row r="117" s="2" customFormat="1" hidden="1" spans="1:14">
      <c r="A117" s="21">
        <f t="shared" si="2"/>
        <v>44413</v>
      </c>
      <c r="B117" s="22">
        <v>121.44</v>
      </c>
      <c r="C117" s="29">
        <v>10770</v>
      </c>
      <c r="D117" s="24">
        <v>121</v>
      </c>
      <c r="E117" s="23">
        <v>0</v>
      </c>
      <c r="F117" s="25">
        <v>0</v>
      </c>
      <c r="G117" s="23">
        <v>1</v>
      </c>
      <c r="H117" s="23">
        <v>3</v>
      </c>
      <c r="I117" s="23">
        <v>0</v>
      </c>
      <c r="J117" s="26">
        <v>0.0112</v>
      </c>
      <c r="K117" s="27">
        <v>1</v>
      </c>
      <c r="L117" s="30">
        <v>7.17</v>
      </c>
      <c r="M117" s="23">
        <v>0</v>
      </c>
      <c r="N117" s="23">
        <v>0</v>
      </c>
    </row>
    <row r="118" s="2" customFormat="1" hidden="1" spans="1:14">
      <c r="A118" s="21">
        <f t="shared" si="2"/>
        <v>44414</v>
      </c>
      <c r="B118" s="22">
        <v>150.18</v>
      </c>
      <c r="C118" s="29">
        <v>12333</v>
      </c>
      <c r="D118" s="24">
        <v>176</v>
      </c>
      <c r="E118" s="23">
        <v>0</v>
      </c>
      <c r="F118" s="25">
        <v>0</v>
      </c>
      <c r="G118" s="23">
        <v>1</v>
      </c>
      <c r="H118" s="23">
        <v>3</v>
      </c>
      <c r="I118" s="23">
        <v>0</v>
      </c>
      <c r="J118" s="26">
        <v>0.0143</v>
      </c>
      <c r="K118" s="27">
        <v>0.85</v>
      </c>
      <c r="L118" s="30">
        <v>6.31</v>
      </c>
      <c r="M118" s="23">
        <v>0</v>
      </c>
      <c r="N118" s="23">
        <v>0</v>
      </c>
    </row>
    <row r="119" s="2" customFormat="1" hidden="1" spans="1:14">
      <c r="A119" s="21">
        <f t="shared" si="2"/>
        <v>44415</v>
      </c>
      <c r="B119" s="22">
        <v>1.04</v>
      </c>
      <c r="C119" s="29">
        <v>0</v>
      </c>
      <c r="D119" s="24">
        <v>2</v>
      </c>
      <c r="E119" s="23">
        <v>0</v>
      </c>
      <c r="F119" s="25">
        <v>0</v>
      </c>
      <c r="G119" s="23">
        <v>0</v>
      </c>
      <c r="H119" s="23">
        <v>0</v>
      </c>
      <c r="I119" s="23">
        <v>0</v>
      </c>
      <c r="J119" s="26" t="s">
        <v>14</v>
      </c>
      <c r="K119" s="27">
        <v>0.52</v>
      </c>
      <c r="L119" s="30">
        <v>1.04</v>
      </c>
      <c r="M119" s="23">
        <v>0</v>
      </c>
      <c r="N119" s="23">
        <v>0</v>
      </c>
    </row>
    <row r="120" s="2" customFormat="1" hidden="1" spans="1:14">
      <c r="A120" s="21">
        <f t="shared" si="2"/>
        <v>44416</v>
      </c>
      <c r="B120" s="22" t="s">
        <v>14</v>
      </c>
      <c r="C120" s="29" t="s">
        <v>14</v>
      </c>
      <c r="D120" s="24" t="s">
        <v>14</v>
      </c>
      <c r="E120" s="29" t="s">
        <v>14</v>
      </c>
      <c r="F120" s="29" t="s">
        <v>14</v>
      </c>
      <c r="G120" s="29" t="s">
        <v>14</v>
      </c>
      <c r="H120" s="29" t="s">
        <v>14</v>
      </c>
      <c r="I120" s="29" t="s">
        <v>14</v>
      </c>
      <c r="J120" s="29" t="s">
        <v>14</v>
      </c>
      <c r="K120" s="29" t="s">
        <v>14</v>
      </c>
      <c r="L120" s="29" t="s">
        <v>14</v>
      </c>
      <c r="M120" s="29" t="s">
        <v>14</v>
      </c>
      <c r="N120" s="29" t="s">
        <v>14</v>
      </c>
    </row>
    <row r="121" s="2" customFormat="1" hidden="1" spans="1:14">
      <c r="A121" s="21">
        <f t="shared" si="2"/>
        <v>44417</v>
      </c>
      <c r="B121" s="22">
        <v>299.58</v>
      </c>
      <c r="C121" s="29">
        <v>89826</v>
      </c>
      <c r="D121" s="24">
        <v>315</v>
      </c>
      <c r="E121" s="23">
        <v>0</v>
      </c>
      <c r="F121" s="25">
        <v>0</v>
      </c>
      <c r="G121" s="23">
        <v>6</v>
      </c>
      <c r="H121" s="23">
        <v>2</v>
      </c>
      <c r="I121" s="23">
        <v>0</v>
      </c>
      <c r="J121" s="26">
        <v>0.0035</v>
      </c>
      <c r="K121" s="27">
        <v>0.95</v>
      </c>
      <c r="L121" s="30">
        <v>13.63</v>
      </c>
      <c r="M121" s="23">
        <v>0</v>
      </c>
      <c r="N121" s="23">
        <v>0</v>
      </c>
    </row>
    <row r="122" s="2" customFormat="1" hidden="1" spans="1:14">
      <c r="A122" s="21">
        <f t="shared" si="2"/>
        <v>44418</v>
      </c>
      <c r="B122" s="22">
        <v>300</v>
      </c>
      <c r="C122" s="29">
        <v>47253</v>
      </c>
      <c r="D122" s="24">
        <v>266</v>
      </c>
      <c r="E122" s="23">
        <v>0</v>
      </c>
      <c r="F122" s="25">
        <v>0</v>
      </c>
      <c r="G122" s="23">
        <v>3</v>
      </c>
      <c r="H122" s="23">
        <v>1</v>
      </c>
      <c r="I122" s="23">
        <v>0</v>
      </c>
      <c r="J122" s="26">
        <v>0.0056</v>
      </c>
      <c r="K122" s="27">
        <v>1.13</v>
      </c>
      <c r="L122" s="30">
        <v>14.53</v>
      </c>
      <c r="M122" s="23">
        <v>0</v>
      </c>
      <c r="N122" s="23">
        <v>0</v>
      </c>
    </row>
    <row r="123" s="2" customFormat="1" hidden="1" spans="1:14">
      <c r="A123" s="21">
        <f t="shared" si="2"/>
        <v>44419</v>
      </c>
      <c r="B123" s="22">
        <v>127.6</v>
      </c>
      <c r="C123" s="29">
        <v>21223</v>
      </c>
      <c r="D123" s="24">
        <v>189</v>
      </c>
      <c r="E123" s="23">
        <v>0</v>
      </c>
      <c r="F123" s="25">
        <v>0</v>
      </c>
      <c r="G123" s="23">
        <v>2</v>
      </c>
      <c r="H123" s="23">
        <v>0</v>
      </c>
      <c r="I123" s="23">
        <v>0</v>
      </c>
      <c r="J123" s="26">
        <v>0.0089</v>
      </c>
      <c r="K123" s="27">
        <v>0.65</v>
      </c>
      <c r="L123" s="30">
        <v>3.03</v>
      </c>
      <c r="M123" s="23">
        <v>0</v>
      </c>
      <c r="N123" s="23">
        <v>0</v>
      </c>
    </row>
    <row r="124" s="2" customFormat="1" hidden="1" spans="1:14">
      <c r="A124" s="21">
        <f t="shared" si="2"/>
        <v>44420</v>
      </c>
      <c r="B124" s="22">
        <v>244.78</v>
      </c>
      <c r="C124" s="29">
        <v>23099</v>
      </c>
      <c r="D124" s="24">
        <v>348</v>
      </c>
      <c r="E124" s="23">
        <v>0</v>
      </c>
      <c r="F124" s="25">
        <v>0</v>
      </c>
      <c r="G124" s="23">
        <v>3</v>
      </c>
      <c r="H124" s="23">
        <v>7</v>
      </c>
      <c r="I124" s="23">
        <v>0</v>
      </c>
      <c r="J124" s="26">
        <v>0.0151</v>
      </c>
      <c r="K124" s="27">
        <v>0.7</v>
      </c>
      <c r="L124" s="30">
        <v>2.23</v>
      </c>
      <c r="M124" s="23">
        <v>0</v>
      </c>
      <c r="N124" s="23">
        <v>0</v>
      </c>
    </row>
    <row r="125" s="2" customFormat="1" hidden="1" spans="1:14">
      <c r="A125" s="21">
        <f t="shared" si="2"/>
        <v>44421</v>
      </c>
      <c r="B125" s="22">
        <v>300</v>
      </c>
      <c r="C125" s="29">
        <v>25400</v>
      </c>
      <c r="D125" s="24">
        <v>428</v>
      </c>
      <c r="E125" s="23">
        <v>0</v>
      </c>
      <c r="F125" s="25">
        <v>0</v>
      </c>
      <c r="G125" s="23">
        <v>5</v>
      </c>
      <c r="H125" s="23">
        <v>4</v>
      </c>
      <c r="I125" s="23">
        <v>0</v>
      </c>
      <c r="J125" s="26">
        <v>0.0162</v>
      </c>
      <c r="K125" s="27">
        <v>0.7</v>
      </c>
      <c r="L125" s="30">
        <v>2.21</v>
      </c>
      <c r="M125" s="23">
        <v>0</v>
      </c>
      <c r="N125" s="23">
        <v>0</v>
      </c>
    </row>
    <row r="126" s="2" customFormat="1" hidden="1" spans="1:14">
      <c r="A126" s="21">
        <f t="shared" si="2"/>
        <v>44422</v>
      </c>
      <c r="B126" s="22" t="s">
        <v>14</v>
      </c>
      <c r="C126" s="25" t="s">
        <v>14</v>
      </c>
      <c r="D126" s="32" t="s">
        <v>14</v>
      </c>
      <c r="E126" s="25" t="s">
        <v>14</v>
      </c>
      <c r="F126" s="25" t="s">
        <v>14</v>
      </c>
      <c r="G126" s="25" t="s">
        <v>14</v>
      </c>
      <c r="H126" s="25" t="s">
        <v>14</v>
      </c>
      <c r="I126" s="25" t="s">
        <v>14</v>
      </c>
      <c r="J126" s="25" t="s">
        <v>14</v>
      </c>
      <c r="K126" s="25" t="s">
        <v>14</v>
      </c>
      <c r="L126" s="25" t="s">
        <v>14</v>
      </c>
      <c r="M126" s="25" t="s">
        <v>14</v>
      </c>
      <c r="N126" s="25" t="s">
        <v>14</v>
      </c>
    </row>
    <row r="127" s="2" customFormat="1" hidden="1" spans="1:14">
      <c r="A127" s="21">
        <f t="shared" si="2"/>
        <v>44423</v>
      </c>
      <c r="B127" s="22" t="s">
        <v>14</v>
      </c>
      <c r="C127" s="25" t="s">
        <v>14</v>
      </c>
      <c r="D127" s="32" t="s">
        <v>14</v>
      </c>
      <c r="E127" s="25" t="s">
        <v>14</v>
      </c>
      <c r="F127" s="25" t="s">
        <v>14</v>
      </c>
      <c r="G127" s="25" t="s">
        <v>14</v>
      </c>
      <c r="H127" s="25" t="s">
        <v>14</v>
      </c>
      <c r="I127" s="25" t="s">
        <v>14</v>
      </c>
      <c r="J127" s="25" t="s">
        <v>14</v>
      </c>
      <c r="K127" s="25" t="s">
        <v>14</v>
      </c>
      <c r="L127" s="25" t="s">
        <v>14</v>
      </c>
      <c r="M127" s="25" t="s">
        <v>14</v>
      </c>
      <c r="N127" s="25" t="s">
        <v>14</v>
      </c>
    </row>
    <row r="128" s="2" customFormat="1" hidden="1" spans="1:14">
      <c r="A128" s="21">
        <f t="shared" si="2"/>
        <v>44424</v>
      </c>
      <c r="B128" s="22">
        <v>296.38</v>
      </c>
      <c r="C128" s="29">
        <v>40884</v>
      </c>
      <c r="D128" s="24">
        <v>688</v>
      </c>
      <c r="E128" s="23">
        <v>0</v>
      </c>
      <c r="F128" s="25">
        <v>0</v>
      </c>
      <c r="G128" s="23">
        <v>0</v>
      </c>
      <c r="H128" s="23">
        <v>3</v>
      </c>
      <c r="I128" s="23">
        <v>0</v>
      </c>
      <c r="J128" s="26">
        <v>0.0168</v>
      </c>
      <c r="K128" s="27">
        <v>0.43</v>
      </c>
      <c r="L128" s="30">
        <v>1.38</v>
      </c>
      <c r="M128" s="23">
        <v>0</v>
      </c>
      <c r="N128" s="23">
        <v>0</v>
      </c>
    </row>
    <row r="129" s="2" customFormat="1" hidden="1" spans="1:14">
      <c r="A129" s="21">
        <f t="shared" si="2"/>
        <v>44425</v>
      </c>
      <c r="B129" s="22">
        <v>145.49</v>
      </c>
      <c r="C129" s="29">
        <v>15578</v>
      </c>
      <c r="D129" s="24">
        <v>291</v>
      </c>
      <c r="E129" s="23">
        <v>0</v>
      </c>
      <c r="F129" s="25">
        <v>0</v>
      </c>
      <c r="G129" s="23">
        <v>0</v>
      </c>
      <c r="H129" s="23">
        <v>3</v>
      </c>
      <c r="I129" s="23">
        <v>1</v>
      </c>
      <c r="J129" s="26">
        <v>0.0187</v>
      </c>
      <c r="K129" s="27">
        <v>0.5</v>
      </c>
      <c r="L129" s="30">
        <v>1.58</v>
      </c>
      <c r="M129" s="23">
        <v>0</v>
      </c>
      <c r="N129" s="23">
        <v>0</v>
      </c>
    </row>
    <row r="130" s="2" customFormat="1" hidden="1" spans="1:14">
      <c r="A130" s="21">
        <f t="shared" ref="A130:A193" si="3">A129+1</f>
        <v>44426</v>
      </c>
      <c r="B130" s="22">
        <v>103.95</v>
      </c>
      <c r="C130" s="29">
        <v>13797</v>
      </c>
      <c r="D130" s="24">
        <v>178</v>
      </c>
      <c r="E130" s="23">
        <v>0</v>
      </c>
      <c r="F130" s="25">
        <v>0</v>
      </c>
      <c r="G130" s="23">
        <v>4</v>
      </c>
      <c r="H130" s="23">
        <v>4</v>
      </c>
      <c r="I130" s="23">
        <v>1</v>
      </c>
      <c r="J130" s="26">
        <v>0.0129</v>
      </c>
      <c r="K130" s="27">
        <v>0.58</v>
      </c>
      <c r="L130" s="30">
        <v>1.74</v>
      </c>
      <c r="M130" s="23">
        <v>0</v>
      </c>
      <c r="N130" s="23">
        <v>0</v>
      </c>
    </row>
    <row r="131" s="2" customFormat="1" hidden="1" spans="1:14">
      <c r="A131" s="21">
        <f t="shared" si="3"/>
        <v>44427</v>
      </c>
      <c r="B131" s="22" t="s">
        <v>14</v>
      </c>
      <c r="C131" s="25" t="s">
        <v>14</v>
      </c>
      <c r="D131" s="32" t="s">
        <v>14</v>
      </c>
      <c r="E131" s="25" t="s">
        <v>14</v>
      </c>
      <c r="F131" s="25" t="s">
        <v>14</v>
      </c>
      <c r="G131" s="25" t="s">
        <v>14</v>
      </c>
      <c r="H131" s="25" t="s">
        <v>14</v>
      </c>
      <c r="I131" s="25" t="s">
        <v>14</v>
      </c>
      <c r="J131" s="25" t="s">
        <v>14</v>
      </c>
      <c r="K131" s="25" t="s">
        <v>14</v>
      </c>
      <c r="L131" s="25" t="s">
        <v>14</v>
      </c>
      <c r="M131" s="25" t="s">
        <v>14</v>
      </c>
      <c r="N131" s="25" t="s">
        <v>14</v>
      </c>
    </row>
    <row r="132" s="2" customFormat="1" hidden="1" spans="1:14">
      <c r="A132" s="21">
        <f t="shared" si="3"/>
        <v>44428</v>
      </c>
      <c r="B132" s="22">
        <v>597.92</v>
      </c>
      <c r="C132" s="29">
        <v>224591</v>
      </c>
      <c r="D132" s="24">
        <v>734</v>
      </c>
      <c r="E132" s="23">
        <v>0</v>
      </c>
      <c r="F132" s="25">
        <v>0</v>
      </c>
      <c r="G132" s="23">
        <v>1</v>
      </c>
      <c r="H132" s="23">
        <v>7</v>
      </c>
      <c r="I132" s="23">
        <v>1</v>
      </c>
      <c r="J132" s="26">
        <v>0.0033</v>
      </c>
      <c r="K132" s="27">
        <v>0.81</v>
      </c>
      <c r="L132" s="30">
        <v>4.09</v>
      </c>
      <c r="M132" s="23">
        <v>0</v>
      </c>
      <c r="N132" s="23">
        <v>0</v>
      </c>
    </row>
    <row r="133" s="2" customFormat="1" hidden="1" spans="1:14">
      <c r="A133" s="21">
        <f t="shared" si="3"/>
        <v>44429</v>
      </c>
      <c r="B133" s="22">
        <v>300.21</v>
      </c>
      <c r="C133" s="29">
        <v>116702</v>
      </c>
      <c r="D133" s="24">
        <v>344</v>
      </c>
      <c r="E133" s="23">
        <v>0</v>
      </c>
      <c r="F133" s="25">
        <v>0</v>
      </c>
      <c r="G133" s="23">
        <v>3</v>
      </c>
      <c r="H133" s="23">
        <v>3</v>
      </c>
      <c r="I133" s="23">
        <v>0</v>
      </c>
      <c r="J133" s="26">
        <v>0.0029</v>
      </c>
      <c r="K133" s="27">
        <v>0.87</v>
      </c>
      <c r="L133" s="30">
        <v>5.8</v>
      </c>
      <c r="M133" s="23">
        <v>0</v>
      </c>
      <c r="N133" s="23">
        <v>0</v>
      </c>
    </row>
    <row r="134" s="2" customFormat="1" hidden="1" spans="1:14">
      <c r="A134" s="21">
        <f t="shared" si="3"/>
        <v>44430</v>
      </c>
      <c r="B134" s="22">
        <v>300</v>
      </c>
      <c r="C134" s="29">
        <v>127532</v>
      </c>
      <c r="D134" s="24">
        <v>427</v>
      </c>
      <c r="E134" s="23">
        <v>0</v>
      </c>
      <c r="F134" s="25">
        <v>0</v>
      </c>
      <c r="G134" s="23">
        <v>3</v>
      </c>
      <c r="H134" s="23">
        <v>0</v>
      </c>
      <c r="I134" s="23">
        <v>0</v>
      </c>
      <c r="J134" s="26">
        <v>0.0033</v>
      </c>
      <c r="K134" s="27">
        <v>0.7</v>
      </c>
      <c r="L134" s="30">
        <v>7.47</v>
      </c>
      <c r="M134" s="23">
        <v>0</v>
      </c>
      <c r="N134" s="23">
        <v>0</v>
      </c>
    </row>
    <row r="135" s="2" customFormat="1" hidden="1" spans="1:14">
      <c r="A135" s="21">
        <f t="shared" si="3"/>
        <v>44431</v>
      </c>
      <c r="B135" s="22">
        <v>454.12</v>
      </c>
      <c r="C135" s="29">
        <v>233456</v>
      </c>
      <c r="D135" s="24">
        <v>570</v>
      </c>
      <c r="E135" s="23">
        <v>0</v>
      </c>
      <c r="F135" s="25">
        <v>0</v>
      </c>
      <c r="G135" s="23">
        <v>2</v>
      </c>
      <c r="H135" s="23">
        <v>1</v>
      </c>
      <c r="I135" s="23">
        <v>0</v>
      </c>
      <c r="J135" s="26">
        <v>0.0024</v>
      </c>
      <c r="K135" s="27">
        <v>0.8</v>
      </c>
      <c r="L135" s="30">
        <v>8.89</v>
      </c>
      <c r="M135" s="23">
        <v>0</v>
      </c>
      <c r="N135" s="23">
        <v>0</v>
      </c>
    </row>
    <row r="136" s="2" customFormat="1" hidden="1" spans="1:14">
      <c r="A136" s="21">
        <f t="shared" si="3"/>
        <v>44432</v>
      </c>
      <c r="B136" s="22">
        <v>465</v>
      </c>
      <c r="C136" s="29">
        <v>195941</v>
      </c>
      <c r="D136" s="24">
        <v>480</v>
      </c>
      <c r="E136" s="23">
        <v>0</v>
      </c>
      <c r="F136" s="25">
        <v>0</v>
      </c>
      <c r="G136" s="23">
        <v>3</v>
      </c>
      <c r="H136" s="23">
        <v>1</v>
      </c>
      <c r="I136" s="23">
        <v>0</v>
      </c>
      <c r="J136" s="26">
        <v>0.0024</v>
      </c>
      <c r="K136" s="27">
        <v>0.97</v>
      </c>
      <c r="L136" s="30">
        <v>7.24</v>
      </c>
      <c r="M136" s="23">
        <v>0</v>
      </c>
      <c r="N136" s="23">
        <v>0</v>
      </c>
    </row>
    <row r="137" s="2" customFormat="1" hidden="1" spans="1:14">
      <c r="A137" s="21">
        <f t="shared" si="3"/>
        <v>44433</v>
      </c>
      <c r="B137" s="22">
        <v>176.12</v>
      </c>
      <c r="C137" s="29">
        <v>57419</v>
      </c>
      <c r="D137" s="24">
        <v>167</v>
      </c>
      <c r="E137" s="23">
        <v>0</v>
      </c>
      <c r="F137" s="25">
        <v>0</v>
      </c>
      <c r="G137" s="23">
        <v>0</v>
      </c>
      <c r="H137" s="23">
        <v>0</v>
      </c>
      <c r="I137" s="23">
        <v>0</v>
      </c>
      <c r="J137" s="26">
        <v>0.0029</v>
      </c>
      <c r="K137" s="27">
        <v>1.05</v>
      </c>
      <c r="L137" s="30">
        <v>7.77</v>
      </c>
      <c r="M137" s="23">
        <v>0</v>
      </c>
      <c r="N137" s="23">
        <v>0</v>
      </c>
    </row>
    <row r="138" s="2" customFormat="1" hidden="1" spans="1:14">
      <c r="A138" s="21">
        <f t="shared" si="3"/>
        <v>44434</v>
      </c>
      <c r="B138" s="22">
        <v>71.76</v>
      </c>
      <c r="C138" s="29">
        <v>39560</v>
      </c>
      <c r="D138" s="24">
        <v>63</v>
      </c>
      <c r="E138" s="23">
        <v>0</v>
      </c>
      <c r="F138" s="25">
        <v>0</v>
      </c>
      <c r="G138" s="23">
        <v>0</v>
      </c>
      <c r="H138" s="23">
        <v>0</v>
      </c>
      <c r="I138" s="23">
        <v>0</v>
      </c>
      <c r="J138" s="26">
        <v>0.0016</v>
      </c>
      <c r="K138" s="27">
        <v>1.14</v>
      </c>
      <c r="L138" s="30">
        <v>15.72</v>
      </c>
      <c r="M138" s="23">
        <v>0</v>
      </c>
      <c r="N138" s="23">
        <v>0</v>
      </c>
    </row>
    <row r="139" s="2" customFormat="1" hidden="1" spans="1:14">
      <c r="A139" s="21">
        <f t="shared" si="3"/>
        <v>44435</v>
      </c>
      <c r="B139" s="22">
        <v>62.28</v>
      </c>
      <c r="C139" s="29">
        <v>24278</v>
      </c>
      <c r="D139" s="24">
        <v>45</v>
      </c>
      <c r="E139" s="23">
        <v>0</v>
      </c>
      <c r="F139" s="25">
        <v>0</v>
      </c>
      <c r="G139" s="23">
        <v>0</v>
      </c>
      <c r="H139" s="23">
        <v>0</v>
      </c>
      <c r="I139" s="23">
        <v>0</v>
      </c>
      <c r="J139" s="26">
        <v>0.0019</v>
      </c>
      <c r="K139" s="27">
        <v>1.38</v>
      </c>
      <c r="L139" s="30">
        <v>9.32</v>
      </c>
      <c r="M139" s="23">
        <v>0</v>
      </c>
      <c r="N139" s="23">
        <v>0</v>
      </c>
    </row>
    <row r="140" s="2" customFormat="1" hidden="1" spans="1:14">
      <c r="A140" s="21">
        <f t="shared" si="3"/>
        <v>44436</v>
      </c>
      <c r="B140" s="22" t="s">
        <v>14</v>
      </c>
      <c r="C140" s="29" t="s">
        <v>14</v>
      </c>
      <c r="D140" s="32" t="s">
        <v>14</v>
      </c>
      <c r="E140" s="29" t="s">
        <v>14</v>
      </c>
      <c r="F140" s="25" t="s">
        <v>14</v>
      </c>
      <c r="G140" s="29" t="s">
        <v>14</v>
      </c>
      <c r="H140" s="25" t="s">
        <v>14</v>
      </c>
      <c r="I140" s="29" t="s">
        <v>14</v>
      </c>
      <c r="J140" s="25" t="s">
        <v>14</v>
      </c>
      <c r="K140" s="29" t="s">
        <v>14</v>
      </c>
      <c r="L140" s="25" t="s">
        <v>14</v>
      </c>
      <c r="M140" s="29" t="s">
        <v>14</v>
      </c>
      <c r="N140" s="25" t="s">
        <v>14</v>
      </c>
    </row>
    <row r="141" s="2" customFormat="1" hidden="1" spans="1:14">
      <c r="A141" s="21">
        <f t="shared" si="3"/>
        <v>44437</v>
      </c>
      <c r="B141" s="22" t="s">
        <v>14</v>
      </c>
      <c r="C141" s="25" t="s">
        <v>14</v>
      </c>
      <c r="D141" s="32" t="s">
        <v>14</v>
      </c>
      <c r="E141" s="25" t="s">
        <v>14</v>
      </c>
      <c r="F141" s="25" t="s">
        <v>14</v>
      </c>
      <c r="G141" s="25" t="s">
        <v>14</v>
      </c>
      <c r="H141" s="25" t="s">
        <v>14</v>
      </c>
      <c r="I141" s="25" t="s">
        <v>14</v>
      </c>
      <c r="J141" s="25" t="s">
        <v>14</v>
      </c>
      <c r="K141" s="25" t="s">
        <v>14</v>
      </c>
      <c r="L141" s="25" t="s">
        <v>14</v>
      </c>
      <c r="M141" s="25" t="s">
        <v>14</v>
      </c>
      <c r="N141" s="25" t="s">
        <v>14</v>
      </c>
    </row>
    <row r="142" s="2" customFormat="1" hidden="1" spans="1:14">
      <c r="A142" s="21">
        <f t="shared" si="3"/>
        <v>44438</v>
      </c>
      <c r="B142" s="22">
        <v>87.96</v>
      </c>
      <c r="C142" s="29">
        <v>7072</v>
      </c>
      <c r="D142" s="24">
        <v>106</v>
      </c>
      <c r="E142" s="23">
        <v>0</v>
      </c>
      <c r="F142" s="25">
        <v>0</v>
      </c>
      <c r="G142" s="23">
        <v>0</v>
      </c>
      <c r="H142" s="23">
        <v>2</v>
      </c>
      <c r="I142" s="23">
        <v>0</v>
      </c>
      <c r="J142" s="26">
        <v>0.015</v>
      </c>
      <c r="K142" s="27">
        <v>0.83</v>
      </c>
      <c r="L142" s="30">
        <v>2.91</v>
      </c>
      <c r="M142" s="23">
        <v>0</v>
      </c>
      <c r="N142" s="23">
        <v>0</v>
      </c>
    </row>
    <row r="143" s="2" customFormat="1" hidden="1" spans="1:14">
      <c r="A143" s="21">
        <f t="shared" si="3"/>
        <v>44439</v>
      </c>
      <c r="B143" s="22">
        <v>293.12</v>
      </c>
      <c r="C143" s="29">
        <v>50033</v>
      </c>
      <c r="D143" s="24">
        <v>427</v>
      </c>
      <c r="E143" s="23">
        <v>0</v>
      </c>
      <c r="F143" s="25">
        <v>0</v>
      </c>
      <c r="G143" s="23">
        <v>2</v>
      </c>
      <c r="H143" s="23">
        <v>1</v>
      </c>
      <c r="I143" s="23">
        <v>0</v>
      </c>
      <c r="J143" s="26">
        <v>0.0085</v>
      </c>
      <c r="K143" s="27">
        <v>0.69</v>
      </c>
      <c r="L143" s="30">
        <v>4.61</v>
      </c>
      <c r="M143" s="23">
        <v>0</v>
      </c>
      <c r="N143" s="23">
        <v>0</v>
      </c>
    </row>
    <row r="144" s="2" customFormat="1" hidden="1" spans="1:14">
      <c r="A144" s="21">
        <f t="shared" si="3"/>
        <v>44440</v>
      </c>
      <c r="B144" s="22">
        <v>601.38</v>
      </c>
      <c r="C144" s="29">
        <v>138946</v>
      </c>
      <c r="D144" s="24">
        <v>646</v>
      </c>
      <c r="E144" s="23">
        <v>0</v>
      </c>
      <c r="F144" s="25">
        <v>0</v>
      </c>
      <c r="G144" s="23">
        <v>2</v>
      </c>
      <c r="H144" s="23">
        <v>6</v>
      </c>
      <c r="I144" s="23">
        <v>0</v>
      </c>
      <c r="J144" s="26">
        <v>0.0046</v>
      </c>
      <c r="K144" s="27">
        <v>0.93</v>
      </c>
      <c r="L144" s="30">
        <v>5.78</v>
      </c>
      <c r="M144" s="23">
        <v>0</v>
      </c>
      <c r="N144" s="23">
        <v>0</v>
      </c>
    </row>
    <row r="145" s="2" customFormat="1" hidden="1" spans="1:14">
      <c r="A145" s="21">
        <f t="shared" si="3"/>
        <v>44441</v>
      </c>
      <c r="B145" s="22">
        <v>189.58</v>
      </c>
      <c r="C145" s="29">
        <v>45965</v>
      </c>
      <c r="D145" s="24">
        <v>282</v>
      </c>
      <c r="E145" s="23">
        <v>0</v>
      </c>
      <c r="F145" s="25">
        <v>0</v>
      </c>
      <c r="G145" s="23">
        <v>2</v>
      </c>
      <c r="H145" s="23">
        <v>4</v>
      </c>
      <c r="I145" s="23">
        <v>0</v>
      </c>
      <c r="J145" s="26">
        <v>0.0061</v>
      </c>
      <c r="K145" s="27">
        <v>0.67</v>
      </c>
      <c r="L145" s="30">
        <v>5.13</v>
      </c>
      <c r="M145" s="23">
        <v>0</v>
      </c>
      <c r="N145" s="23">
        <v>0</v>
      </c>
    </row>
    <row r="146" s="2" customFormat="1" hidden="1" spans="1:14">
      <c r="A146" s="21">
        <f t="shared" si="3"/>
        <v>44442</v>
      </c>
      <c r="B146" s="22">
        <v>196.49</v>
      </c>
      <c r="C146" s="29">
        <v>18437</v>
      </c>
      <c r="D146" s="24">
        <v>234</v>
      </c>
      <c r="E146" s="23">
        <v>0</v>
      </c>
      <c r="F146" s="25">
        <v>0</v>
      </c>
      <c r="G146" s="23">
        <v>1</v>
      </c>
      <c r="H146" s="23">
        <v>2</v>
      </c>
      <c r="I146" s="23">
        <v>0</v>
      </c>
      <c r="J146" s="26">
        <v>0.0127</v>
      </c>
      <c r="K146" s="27">
        <v>0.84</v>
      </c>
      <c r="L146" s="30">
        <v>6.54</v>
      </c>
      <c r="M146" s="23">
        <v>0</v>
      </c>
      <c r="N146" s="23">
        <v>0</v>
      </c>
    </row>
    <row r="147" s="2" customFormat="1" hidden="1" spans="1:14">
      <c r="A147" s="21">
        <f t="shared" si="3"/>
        <v>44443</v>
      </c>
      <c r="B147" s="22">
        <v>5.24</v>
      </c>
      <c r="C147" s="29">
        <v>0</v>
      </c>
      <c r="D147" s="24">
        <v>5</v>
      </c>
      <c r="E147" s="23">
        <v>0</v>
      </c>
      <c r="F147" s="25">
        <v>0</v>
      </c>
      <c r="G147" s="23">
        <v>0</v>
      </c>
      <c r="H147" s="23">
        <v>0</v>
      </c>
      <c r="I147" s="23">
        <v>0</v>
      </c>
      <c r="J147" s="26">
        <v>0</v>
      </c>
      <c r="K147" s="27">
        <v>1.05</v>
      </c>
      <c r="L147" s="30">
        <v>0</v>
      </c>
      <c r="M147" s="23">
        <v>0</v>
      </c>
      <c r="N147" s="23">
        <v>0</v>
      </c>
    </row>
    <row r="148" s="2" customFormat="1" hidden="1" spans="1:14">
      <c r="A148" s="21">
        <f t="shared" si="3"/>
        <v>44444</v>
      </c>
      <c r="B148" s="22">
        <v>294.04</v>
      </c>
      <c r="C148" s="29">
        <v>46144</v>
      </c>
      <c r="D148" s="24">
        <v>371</v>
      </c>
      <c r="E148" s="23">
        <v>0</v>
      </c>
      <c r="F148" s="25">
        <v>0</v>
      </c>
      <c r="G148" s="23">
        <v>4</v>
      </c>
      <c r="H148" s="23">
        <v>1</v>
      </c>
      <c r="I148" s="23">
        <v>0</v>
      </c>
      <c r="J148" s="26">
        <v>0.008</v>
      </c>
      <c r="K148" s="27">
        <v>0.8</v>
      </c>
      <c r="L148" s="30">
        <v>7.23</v>
      </c>
      <c r="M148" s="23">
        <v>0</v>
      </c>
      <c r="N148" s="31">
        <v>0</v>
      </c>
    </row>
    <row r="149" s="2" customFormat="1" hidden="1" spans="1:14">
      <c r="A149" s="21">
        <f t="shared" si="3"/>
        <v>44445</v>
      </c>
      <c r="B149" s="22">
        <v>300</v>
      </c>
      <c r="C149" s="29">
        <v>19982</v>
      </c>
      <c r="D149" s="24">
        <v>273</v>
      </c>
      <c r="E149" s="23">
        <v>0</v>
      </c>
      <c r="F149" s="25">
        <v>0</v>
      </c>
      <c r="G149" s="23">
        <v>1</v>
      </c>
      <c r="H149" s="23">
        <v>1</v>
      </c>
      <c r="I149" s="23">
        <v>1</v>
      </c>
      <c r="J149" s="26">
        <v>0.0137</v>
      </c>
      <c r="K149" s="27">
        <v>1.1</v>
      </c>
      <c r="L149" s="30">
        <v>14.77</v>
      </c>
      <c r="M149" s="23">
        <v>0</v>
      </c>
      <c r="N149" s="31">
        <v>0</v>
      </c>
    </row>
    <row r="150" s="2" customFormat="1" hidden="1" spans="1:14">
      <c r="A150" s="21">
        <f t="shared" si="3"/>
        <v>44446</v>
      </c>
      <c r="B150" s="22">
        <v>300</v>
      </c>
      <c r="C150" s="29">
        <v>22572</v>
      </c>
      <c r="D150" s="24">
        <v>300</v>
      </c>
      <c r="E150" s="23">
        <v>0</v>
      </c>
      <c r="F150" s="25">
        <v>0</v>
      </c>
      <c r="G150" s="23">
        <v>0</v>
      </c>
      <c r="H150" s="23">
        <v>6</v>
      </c>
      <c r="I150" s="23">
        <v>0</v>
      </c>
      <c r="J150" s="26">
        <v>0.0133</v>
      </c>
      <c r="K150" s="27">
        <v>1</v>
      </c>
      <c r="L150" s="30">
        <v>10.84</v>
      </c>
      <c r="M150" s="23">
        <v>0</v>
      </c>
      <c r="N150" s="31">
        <v>0</v>
      </c>
    </row>
    <row r="151" s="2" customFormat="1" hidden="1" spans="1:14">
      <c r="A151" s="21">
        <f t="shared" si="3"/>
        <v>44447</v>
      </c>
      <c r="B151" s="22">
        <v>244.02</v>
      </c>
      <c r="C151" s="29">
        <v>19056</v>
      </c>
      <c r="D151" s="24">
        <v>246</v>
      </c>
      <c r="E151" s="23">
        <v>0</v>
      </c>
      <c r="F151" s="25">
        <v>0</v>
      </c>
      <c r="G151" s="23">
        <v>0</v>
      </c>
      <c r="H151" s="23">
        <v>2</v>
      </c>
      <c r="I151" s="23">
        <v>0</v>
      </c>
      <c r="J151" s="26">
        <v>0.0129</v>
      </c>
      <c r="K151" s="27">
        <v>0.99</v>
      </c>
      <c r="L151" s="30">
        <v>8.33</v>
      </c>
      <c r="M151" s="23">
        <v>0</v>
      </c>
      <c r="N151" s="31">
        <v>0</v>
      </c>
    </row>
    <row r="152" s="2" customFormat="1" hidden="1" spans="1:14">
      <c r="A152" s="21">
        <f t="shared" si="3"/>
        <v>44448</v>
      </c>
      <c r="B152" s="22" t="s">
        <v>14</v>
      </c>
      <c r="C152" s="25" t="s">
        <v>14</v>
      </c>
      <c r="D152" s="32" t="s">
        <v>14</v>
      </c>
      <c r="E152" s="25" t="s">
        <v>14</v>
      </c>
      <c r="F152" s="25" t="s">
        <v>14</v>
      </c>
      <c r="G152" s="25" t="s">
        <v>14</v>
      </c>
      <c r="H152" s="25" t="s">
        <v>14</v>
      </c>
      <c r="I152" s="25" t="s">
        <v>14</v>
      </c>
      <c r="J152" s="25" t="s">
        <v>14</v>
      </c>
      <c r="K152" s="25" t="s">
        <v>14</v>
      </c>
      <c r="L152" s="25" t="s">
        <v>14</v>
      </c>
      <c r="M152" s="25" t="s">
        <v>14</v>
      </c>
      <c r="N152" s="33" t="s">
        <v>14</v>
      </c>
    </row>
    <row r="153" s="2" customFormat="1" hidden="1" spans="1:14">
      <c r="A153" s="21">
        <f t="shared" si="3"/>
        <v>44449</v>
      </c>
      <c r="B153" s="22" t="s">
        <v>14</v>
      </c>
      <c r="C153" s="25" t="s">
        <v>14</v>
      </c>
      <c r="D153" s="32" t="s">
        <v>14</v>
      </c>
      <c r="E153" s="25" t="s">
        <v>14</v>
      </c>
      <c r="F153" s="25" t="s">
        <v>14</v>
      </c>
      <c r="G153" s="25" t="s">
        <v>14</v>
      </c>
      <c r="H153" s="25" t="s">
        <v>14</v>
      </c>
      <c r="I153" s="25" t="s">
        <v>14</v>
      </c>
      <c r="J153" s="25" t="s">
        <v>14</v>
      </c>
      <c r="K153" s="25" t="s">
        <v>14</v>
      </c>
      <c r="L153" s="25" t="s">
        <v>14</v>
      </c>
      <c r="M153" s="25" t="s">
        <v>14</v>
      </c>
      <c r="N153" s="33" t="s">
        <v>14</v>
      </c>
    </row>
    <row r="154" s="2" customFormat="1" hidden="1" spans="1:14">
      <c r="A154" s="21">
        <f t="shared" si="3"/>
        <v>44450</v>
      </c>
      <c r="B154" s="22">
        <v>16.97</v>
      </c>
      <c r="C154" s="29">
        <v>0</v>
      </c>
      <c r="D154" s="24">
        <v>19</v>
      </c>
      <c r="E154" s="23">
        <v>0</v>
      </c>
      <c r="F154" s="25">
        <v>0</v>
      </c>
      <c r="G154" s="23">
        <v>0</v>
      </c>
      <c r="H154" s="23">
        <v>0</v>
      </c>
      <c r="I154" s="23">
        <v>0</v>
      </c>
      <c r="J154" s="26">
        <v>0</v>
      </c>
      <c r="K154" s="27">
        <v>0.89</v>
      </c>
      <c r="L154" s="30">
        <v>16.97</v>
      </c>
      <c r="M154" s="23">
        <v>0</v>
      </c>
      <c r="N154" s="31">
        <v>0</v>
      </c>
    </row>
    <row r="155" s="2" customFormat="1" hidden="1" spans="1:14">
      <c r="A155" s="21">
        <f t="shared" si="3"/>
        <v>44451</v>
      </c>
      <c r="B155" s="22">
        <v>298.62</v>
      </c>
      <c r="C155" s="29">
        <v>20169</v>
      </c>
      <c r="D155" s="24">
        <v>365</v>
      </c>
      <c r="E155" s="23">
        <v>0</v>
      </c>
      <c r="F155" s="25">
        <v>0</v>
      </c>
      <c r="G155" s="23">
        <v>0</v>
      </c>
      <c r="H155" s="23">
        <v>4</v>
      </c>
      <c r="I155" s="23">
        <v>2</v>
      </c>
      <c r="J155" s="26">
        <v>0.0181</v>
      </c>
      <c r="K155" s="27">
        <v>0.82</v>
      </c>
      <c r="L155" s="30">
        <v>4.09</v>
      </c>
      <c r="M155" s="23">
        <v>0</v>
      </c>
      <c r="N155" s="31">
        <v>0</v>
      </c>
    </row>
    <row r="156" s="2" customFormat="1" hidden="1" spans="1:14">
      <c r="A156" s="21">
        <f t="shared" si="3"/>
        <v>44452</v>
      </c>
      <c r="B156" s="22">
        <v>122.35</v>
      </c>
      <c r="C156" s="29">
        <v>8348</v>
      </c>
      <c r="D156" s="24">
        <v>137</v>
      </c>
      <c r="E156" s="23">
        <v>0</v>
      </c>
      <c r="F156" s="25">
        <v>0</v>
      </c>
      <c r="G156" s="23">
        <v>0</v>
      </c>
      <c r="H156" s="23">
        <v>1</v>
      </c>
      <c r="I156" s="23">
        <v>0</v>
      </c>
      <c r="J156" s="26">
        <v>0.0164</v>
      </c>
      <c r="K156" s="27">
        <v>0.89</v>
      </c>
      <c r="L156" s="30">
        <v>6.67</v>
      </c>
      <c r="M156" s="23">
        <v>0</v>
      </c>
      <c r="N156" s="31">
        <v>0</v>
      </c>
    </row>
    <row r="157" s="2" customFormat="1" hidden="1" spans="1:14">
      <c r="A157" s="21">
        <f t="shared" si="3"/>
        <v>44453</v>
      </c>
      <c r="B157" s="22">
        <v>2.23</v>
      </c>
      <c r="C157" s="29">
        <v>0</v>
      </c>
      <c r="D157" s="24">
        <v>2</v>
      </c>
      <c r="E157" s="23">
        <v>0</v>
      </c>
      <c r="F157" s="25">
        <v>0</v>
      </c>
      <c r="G157" s="23">
        <v>0</v>
      </c>
      <c r="H157" s="23">
        <v>0</v>
      </c>
      <c r="I157" s="23">
        <v>0</v>
      </c>
      <c r="J157" s="26">
        <v>0</v>
      </c>
      <c r="K157" s="27">
        <v>1.12</v>
      </c>
      <c r="L157" s="30" t="s">
        <v>14</v>
      </c>
      <c r="M157" s="23">
        <v>0</v>
      </c>
      <c r="N157" s="31">
        <v>0</v>
      </c>
    </row>
    <row r="158" s="2" customFormat="1" hidden="1" spans="1:14">
      <c r="A158" s="21">
        <f t="shared" si="3"/>
        <v>44454</v>
      </c>
      <c r="B158" s="22">
        <v>300</v>
      </c>
      <c r="C158" s="29">
        <v>48222</v>
      </c>
      <c r="D158" s="24">
        <v>299</v>
      </c>
      <c r="E158" s="23">
        <v>0</v>
      </c>
      <c r="F158" s="25">
        <v>0</v>
      </c>
      <c r="G158" s="23">
        <v>0</v>
      </c>
      <c r="H158" s="23">
        <v>4</v>
      </c>
      <c r="I158" s="23">
        <v>0</v>
      </c>
      <c r="J158" s="26">
        <v>0.0062</v>
      </c>
      <c r="K158" s="27">
        <v>1</v>
      </c>
      <c r="L158" s="30">
        <v>7.1</v>
      </c>
      <c r="M158" s="23">
        <v>0</v>
      </c>
      <c r="N158" s="31">
        <v>0</v>
      </c>
    </row>
    <row r="159" s="2" customFormat="1" hidden="1" spans="1:14">
      <c r="A159" s="21">
        <f t="shared" si="3"/>
        <v>44455</v>
      </c>
      <c r="B159" s="22">
        <v>300</v>
      </c>
      <c r="C159" s="29">
        <v>18173</v>
      </c>
      <c r="D159" s="24">
        <v>340</v>
      </c>
      <c r="E159" s="23">
        <v>0</v>
      </c>
      <c r="F159" s="25">
        <v>0</v>
      </c>
      <c r="G159" s="23">
        <v>1</v>
      </c>
      <c r="H159" s="23">
        <v>0</v>
      </c>
      <c r="I159" s="23">
        <v>0</v>
      </c>
      <c r="J159" s="26">
        <v>0.0187</v>
      </c>
      <c r="K159" s="27">
        <v>0.88</v>
      </c>
      <c r="L159" s="30">
        <v>9.3</v>
      </c>
      <c r="M159" s="23">
        <v>0</v>
      </c>
      <c r="N159" s="31">
        <v>0</v>
      </c>
    </row>
    <row r="160" s="2" customFormat="1" hidden="1" spans="1:14">
      <c r="A160" s="21">
        <f t="shared" si="3"/>
        <v>44456</v>
      </c>
      <c r="B160" s="22">
        <v>12.81</v>
      </c>
      <c r="C160" s="29">
        <v>1817</v>
      </c>
      <c r="D160" s="24">
        <v>17</v>
      </c>
      <c r="E160" s="23">
        <v>0</v>
      </c>
      <c r="F160" s="25">
        <v>0</v>
      </c>
      <c r="G160" s="23">
        <v>0</v>
      </c>
      <c r="H160" s="23">
        <v>0</v>
      </c>
      <c r="I160" s="23">
        <v>0</v>
      </c>
      <c r="J160" s="26">
        <v>0.0094</v>
      </c>
      <c r="K160" s="27">
        <v>0.75</v>
      </c>
      <c r="L160" s="30">
        <v>6.27</v>
      </c>
      <c r="M160" s="23">
        <v>0</v>
      </c>
      <c r="N160" s="31">
        <v>0</v>
      </c>
    </row>
    <row r="161" s="2" customFormat="1" hidden="1" spans="1:14">
      <c r="A161" s="21">
        <f t="shared" si="3"/>
        <v>44457</v>
      </c>
      <c r="B161" s="22" t="s">
        <v>14</v>
      </c>
      <c r="C161" s="25" t="s">
        <v>14</v>
      </c>
      <c r="D161" s="32" t="s">
        <v>14</v>
      </c>
      <c r="E161" s="25" t="s">
        <v>14</v>
      </c>
      <c r="F161" s="25" t="s">
        <v>14</v>
      </c>
      <c r="G161" s="25" t="s">
        <v>14</v>
      </c>
      <c r="H161" s="25" t="s">
        <v>14</v>
      </c>
      <c r="I161" s="25" t="s">
        <v>14</v>
      </c>
      <c r="J161" s="25" t="s">
        <v>14</v>
      </c>
      <c r="K161" s="25" t="s">
        <v>14</v>
      </c>
      <c r="L161" s="25" t="s">
        <v>14</v>
      </c>
      <c r="M161" s="25" t="s">
        <v>14</v>
      </c>
      <c r="N161" s="33" t="s">
        <v>14</v>
      </c>
    </row>
    <row r="162" s="2" customFormat="1" hidden="1" spans="1:14">
      <c r="A162" s="21">
        <f t="shared" si="3"/>
        <v>44458</v>
      </c>
      <c r="B162" s="22">
        <v>300</v>
      </c>
      <c r="C162" s="29">
        <v>17074</v>
      </c>
      <c r="D162" s="24">
        <v>208</v>
      </c>
      <c r="E162" s="23">
        <v>0</v>
      </c>
      <c r="F162" s="25">
        <v>0</v>
      </c>
      <c r="G162" s="23">
        <v>1</v>
      </c>
      <c r="H162" s="23">
        <v>2</v>
      </c>
      <c r="I162" s="23">
        <v>0</v>
      </c>
      <c r="J162" s="26">
        <v>0.0122</v>
      </c>
      <c r="K162" s="27">
        <v>1.44</v>
      </c>
      <c r="L162" s="30">
        <v>5.28</v>
      </c>
      <c r="M162" s="23">
        <v>0</v>
      </c>
      <c r="N162" s="31">
        <v>0</v>
      </c>
    </row>
    <row r="163" s="2" customFormat="1" hidden="1" spans="1:14">
      <c r="A163" s="21">
        <f t="shared" si="3"/>
        <v>44459</v>
      </c>
      <c r="B163" s="22">
        <v>112.88</v>
      </c>
      <c r="C163" s="29">
        <v>7419</v>
      </c>
      <c r="D163" s="24">
        <v>106</v>
      </c>
      <c r="E163" s="23">
        <v>1</v>
      </c>
      <c r="F163" s="25">
        <v>0.01</v>
      </c>
      <c r="G163" s="23">
        <v>0</v>
      </c>
      <c r="H163" s="23">
        <v>0</v>
      </c>
      <c r="I163" s="23">
        <v>1</v>
      </c>
      <c r="J163" s="26">
        <v>0.0142</v>
      </c>
      <c r="K163" s="27">
        <v>1.06</v>
      </c>
      <c r="L163" s="30">
        <v>5.04</v>
      </c>
      <c r="M163" s="23">
        <v>0</v>
      </c>
      <c r="N163" s="31">
        <v>0.0095</v>
      </c>
    </row>
    <row r="164" s="2" customFormat="1" hidden="1" spans="1:14">
      <c r="A164" s="21">
        <f t="shared" si="3"/>
        <v>44460</v>
      </c>
      <c r="B164" s="22" t="s">
        <v>14</v>
      </c>
      <c r="C164" s="29"/>
      <c r="D164" s="24"/>
      <c r="E164" s="23"/>
      <c r="F164" s="25"/>
      <c r="G164" s="23"/>
      <c r="H164" s="23"/>
      <c r="I164" s="23"/>
      <c r="J164" s="26"/>
      <c r="K164" s="27"/>
      <c r="L164" s="30"/>
      <c r="M164" s="23"/>
      <c r="N164" s="31"/>
    </row>
    <row r="165" s="2" customFormat="1" hidden="1" spans="1:14">
      <c r="A165" s="21">
        <f t="shared" si="3"/>
        <v>44461</v>
      </c>
      <c r="B165" s="22">
        <v>144.23</v>
      </c>
      <c r="C165" s="29">
        <v>14476</v>
      </c>
      <c r="D165" s="24">
        <v>150</v>
      </c>
      <c r="E165" s="23">
        <v>0</v>
      </c>
      <c r="F165" s="25">
        <v>0</v>
      </c>
      <c r="G165" s="23">
        <v>4</v>
      </c>
      <c r="H165" s="23">
        <v>0</v>
      </c>
      <c r="I165" s="23">
        <v>0</v>
      </c>
      <c r="J165" s="26">
        <v>0.0104</v>
      </c>
      <c r="K165" s="27">
        <v>0.96</v>
      </c>
      <c r="L165" s="30">
        <v>9.96</v>
      </c>
      <c r="M165" s="23">
        <v>0</v>
      </c>
      <c r="N165" s="31">
        <v>0</v>
      </c>
    </row>
    <row r="166" s="2" customFormat="1" hidden="1" spans="1:14">
      <c r="A166" s="21">
        <f t="shared" si="3"/>
        <v>44462</v>
      </c>
      <c r="B166" s="22">
        <v>157.09</v>
      </c>
      <c r="C166" s="29">
        <v>13777</v>
      </c>
      <c r="D166" s="24">
        <v>158</v>
      </c>
      <c r="E166" s="23">
        <v>0</v>
      </c>
      <c r="F166" s="25">
        <v>0</v>
      </c>
      <c r="G166" s="23">
        <v>0</v>
      </c>
      <c r="H166" s="23">
        <v>0</v>
      </c>
      <c r="I166" s="23">
        <v>0</v>
      </c>
      <c r="J166" s="26">
        <v>0.0115</v>
      </c>
      <c r="K166" s="27">
        <v>0.99</v>
      </c>
      <c r="L166" s="30">
        <v>33.87</v>
      </c>
      <c r="M166" s="23">
        <v>0</v>
      </c>
      <c r="N166" s="31">
        <v>0</v>
      </c>
    </row>
    <row r="167" s="2" customFormat="1" hidden="1" spans="1:14">
      <c r="A167" s="21">
        <f t="shared" si="3"/>
        <v>44463</v>
      </c>
      <c r="B167" s="22" t="s">
        <v>14</v>
      </c>
      <c r="C167" s="29"/>
      <c r="D167" s="24"/>
      <c r="E167" s="23"/>
      <c r="F167" s="25"/>
      <c r="G167" s="23"/>
      <c r="H167" s="23"/>
      <c r="I167" s="23"/>
      <c r="J167" s="26"/>
      <c r="K167" s="27"/>
      <c r="L167" s="30"/>
      <c r="M167" s="23"/>
      <c r="N167" s="31"/>
    </row>
    <row r="168" s="2" customFormat="1" hidden="1" spans="1:14">
      <c r="A168" s="21">
        <f t="shared" si="3"/>
        <v>44464</v>
      </c>
      <c r="B168" s="22">
        <v>300</v>
      </c>
      <c r="C168" s="29">
        <v>29903</v>
      </c>
      <c r="D168" s="24">
        <v>312</v>
      </c>
      <c r="E168" s="23">
        <v>0</v>
      </c>
      <c r="F168" s="25">
        <v>0</v>
      </c>
      <c r="G168" s="23">
        <v>3</v>
      </c>
      <c r="H168" s="23">
        <v>2</v>
      </c>
      <c r="I168" s="23">
        <v>0</v>
      </c>
      <c r="J168" s="26">
        <v>0.0104</v>
      </c>
      <c r="K168" s="27">
        <v>0.96</v>
      </c>
      <c r="L168" s="30">
        <v>14.69</v>
      </c>
      <c r="M168" s="23">
        <v>0</v>
      </c>
      <c r="N168" s="31">
        <v>0</v>
      </c>
    </row>
    <row r="169" s="2" customFormat="1" hidden="1" spans="1:14">
      <c r="A169" s="21">
        <f t="shared" si="3"/>
        <v>44465</v>
      </c>
      <c r="B169" s="22">
        <v>176.85</v>
      </c>
      <c r="C169" s="29">
        <v>16287</v>
      </c>
      <c r="D169" s="24">
        <v>163</v>
      </c>
      <c r="E169" s="23">
        <v>0</v>
      </c>
      <c r="F169" s="25">
        <v>0</v>
      </c>
      <c r="G169" s="23">
        <v>3</v>
      </c>
      <c r="H169" s="23">
        <v>2</v>
      </c>
      <c r="I169" s="23">
        <v>0</v>
      </c>
      <c r="J169" s="26">
        <v>0.0099</v>
      </c>
      <c r="K169" s="27">
        <v>1.09</v>
      </c>
      <c r="L169" s="30">
        <v>10.71</v>
      </c>
      <c r="M169" s="23">
        <v>0</v>
      </c>
      <c r="N169" s="31">
        <v>0</v>
      </c>
    </row>
    <row r="170" s="2" customFormat="1" hidden="1" spans="1:14">
      <c r="A170" s="21">
        <f t="shared" si="3"/>
        <v>44466</v>
      </c>
      <c r="B170" s="22" t="s">
        <v>14</v>
      </c>
      <c r="C170" s="29"/>
      <c r="D170" s="24"/>
      <c r="E170" s="23"/>
      <c r="F170" s="25"/>
      <c r="G170" s="23"/>
      <c r="H170" s="23"/>
      <c r="I170" s="23"/>
      <c r="J170" s="26"/>
      <c r="K170" s="27"/>
      <c r="L170" s="30"/>
      <c r="M170" s="23"/>
      <c r="N170" s="31"/>
    </row>
    <row r="171" s="2" customFormat="1" hidden="1" spans="1:14">
      <c r="A171" s="21">
        <f t="shared" si="3"/>
        <v>44467</v>
      </c>
      <c r="B171" s="22">
        <v>300.9</v>
      </c>
      <c r="C171" s="29">
        <v>20679</v>
      </c>
      <c r="D171" s="24">
        <v>279</v>
      </c>
      <c r="E171" s="23">
        <v>0</v>
      </c>
      <c r="F171" s="25">
        <v>0</v>
      </c>
      <c r="G171" s="23">
        <v>4</v>
      </c>
      <c r="H171" s="23">
        <v>1</v>
      </c>
      <c r="I171" s="23">
        <v>0</v>
      </c>
      <c r="J171" s="26">
        <v>0.0135</v>
      </c>
      <c r="K171" s="27">
        <v>1.08</v>
      </c>
      <c r="L171" s="30">
        <v>24.56</v>
      </c>
      <c r="M171" s="23">
        <v>0</v>
      </c>
      <c r="N171" s="31">
        <v>0</v>
      </c>
    </row>
    <row r="172" s="2" customFormat="1" hidden="1" spans="1:14">
      <c r="A172" s="21">
        <f t="shared" si="3"/>
        <v>44468</v>
      </c>
      <c r="B172" s="22">
        <v>299.82</v>
      </c>
      <c r="C172" s="29">
        <v>20679</v>
      </c>
      <c r="D172" s="24">
        <v>278</v>
      </c>
      <c r="E172" s="23">
        <v>0</v>
      </c>
      <c r="F172" s="25">
        <v>0</v>
      </c>
      <c r="G172" s="23">
        <v>4</v>
      </c>
      <c r="H172" s="23">
        <v>1</v>
      </c>
      <c r="I172" s="23">
        <v>0</v>
      </c>
      <c r="J172" s="26">
        <v>0.0134</v>
      </c>
      <c r="K172" s="27">
        <v>1.08</v>
      </c>
      <c r="L172" s="30">
        <v>24.46</v>
      </c>
      <c r="M172" s="23">
        <v>0</v>
      </c>
      <c r="N172" s="31">
        <v>0</v>
      </c>
    </row>
    <row r="173" s="2" customFormat="1" hidden="1" spans="1:14">
      <c r="A173" s="21">
        <f t="shared" si="3"/>
        <v>44469</v>
      </c>
      <c r="B173" s="22">
        <v>143</v>
      </c>
      <c r="C173" s="29">
        <v>14598</v>
      </c>
      <c r="D173" s="24">
        <v>159</v>
      </c>
      <c r="E173" s="23">
        <v>0</v>
      </c>
      <c r="F173" s="25">
        <v>0</v>
      </c>
      <c r="G173" s="23">
        <v>3</v>
      </c>
      <c r="H173" s="23">
        <v>3</v>
      </c>
      <c r="I173" s="23">
        <v>0</v>
      </c>
      <c r="J173" s="26">
        <v>0.0109</v>
      </c>
      <c r="K173" s="27">
        <v>0.9</v>
      </c>
      <c r="L173" s="30">
        <v>8.04</v>
      </c>
      <c r="M173" s="23">
        <v>0</v>
      </c>
      <c r="N173" s="31">
        <v>0</v>
      </c>
    </row>
    <row r="174" s="2" customFormat="1" hidden="1" spans="1:14">
      <c r="A174" s="21">
        <f t="shared" si="3"/>
        <v>44470</v>
      </c>
      <c r="B174" s="22">
        <v>1.42</v>
      </c>
      <c r="C174" s="29">
        <v>0</v>
      </c>
      <c r="D174" s="24">
        <v>2</v>
      </c>
      <c r="E174" s="23">
        <v>0</v>
      </c>
      <c r="F174" s="25">
        <v>0</v>
      </c>
      <c r="G174" s="23">
        <v>0</v>
      </c>
      <c r="H174" s="23">
        <v>0</v>
      </c>
      <c r="I174" s="23">
        <v>0</v>
      </c>
      <c r="J174" s="26" t="s">
        <v>14</v>
      </c>
      <c r="K174" s="27">
        <v>0.71</v>
      </c>
      <c r="L174" s="30">
        <v>1.42</v>
      </c>
      <c r="M174" s="23">
        <v>0</v>
      </c>
      <c r="N174" s="31">
        <v>0</v>
      </c>
    </row>
    <row r="175" s="2" customFormat="1" hidden="1" spans="1:14">
      <c r="A175" s="21">
        <f t="shared" si="3"/>
        <v>44471</v>
      </c>
      <c r="B175" s="22" t="s">
        <v>14</v>
      </c>
      <c r="C175" s="25" t="s">
        <v>14</v>
      </c>
      <c r="D175" s="32" t="s">
        <v>14</v>
      </c>
      <c r="E175" s="25" t="s">
        <v>14</v>
      </c>
      <c r="F175" s="25" t="s">
        <v>14</v>
      </c>
      <c r="G175" s="25" t="s">
        <v>14</v>
      </c>
      <c r="H175" s="25" t="s">
        <v>14</v>
      </c>
      <c r="I175" s="25" t="s">
        <v>14</v>
      </c>
      <c r="J175" s="25" t="s">
        <v>14</v>
      </c>
      <c r="K175" s="25" t="s">
        <v>14</v>
      </c>
      <c r="L175" s="25" t="s">
        <v>14</v>
      </c>
      <c r="M175" s="25" t="s">
        <v>14</v>
      </c>
      <c r="N175" s="33" t="s">
        <v>14</v>
      </c>
    </row>
    <row r="176" s="2" customFormat="1" hidden="1" spans="1:14">
      <c r="A176" s="21">
        <f t="shared" si="3"/>
        <v>44472</v>
      </c>
      <c r="B176" s="22" t="s">
        <v>14</v>
      </c>
      <c r="C176" s="25" t="s">
        <v>14</v>
      </c>
      <c r="D176" s="32" t="s">
        <v>14</v>
      </c>
      <c r="E176" s="25" t="s">
        <v>14</v>
      </c>
      <c r="F176" s="25" t="s">
        <v>14</v>
      </c>
      <c r="G176" s="25" t="s">
        <v>14</v>
      </c>
      <c r="H176" s="25" t="s">
        <v>14</v>
      </c>
      <c r="I176" s="25" t="s">
        <v>14</v>
      </c>
      <c r="J176" s="25" t="s">
        <v>14</v>
      </c>
      <c r="K176" s="25" t="s">
        <v>14</v>
      </c>
      <c r="L176" s="25" t="s">
        <v>14</v>
      </c>
      <c r="M176" s="25" t="s">
        <v>14</v>
      </c>
      <c r="N176" s="33" t="s">
        <v>14</v>
      </c>
    </row>
    <row r="177" s="2" customFormat="1" hidden="1" spans="1:14">
      <c r="A177" s="21">
        <f t="shared" si="3"/>
        <v>44473</v>
      </c>
      <c r="B177" s="22" t="s">
        <v>14</v>
      </c>
      <c r="C177" s="25" t="s">
        <v>14</v>
      </c>
      <c r="D177" s="32" t="s">
        <v>14</v>
      </c>
      <c r="E177" s="25" t="s">
        <v>14</v>
      </c>
      <c r="F177" s="25" t="s">
        <v>14</v>
      </c>
      <c r="G177" s="25" t="s">
        <v>14</v>
      </c>
      <c r="H177" s="25" t="s">
        <v>14</v>
      </c>
      <c r="I177" s="25" t="s">
        <v>14</v>
      </c>
      <c r="J177" s="25" t="s">
        <v>14</v>
      </c>
      <c r="K177" s="25" t="s">
        <v>14</v>
      </c>
      <c r="L177" s="25" t="s">
        <v>14</v>
      </c>
      <c r="M177" s="25" t="s">
        <v>14</v>
      </c>
      <c r="N177" s="33" t="s">
        <v>14</v>
      </c>
    </row>
    <row r="178" s="2" customFormat="1" hidden="1" spans="1:14">
      <c r="A178" s="21">
        <f t="shared" si="3"/>
        <v>44474</v>
      </c>
      <c r="B178" s="22" t="s">
        <v>14</v>
      </c>
      <c r="C178" s="25" t="s">
        <v>14</v>
      </c>
      <c r="D178" s="32" t="s">
        <v>14</v>
      </c>
      <c r="E178" s="25" t="s">
        <v>14</v>
      </c>
      <c r="F178" s="25" t="s">
        <v>14</v>
      </c>
      <c r="G178" s="25" t="s">
        <v>14</v>
      </c>
      <c r="H178" s="25" t="s">
        <v>14</v>
      </c>
      <c r="I178" s="25" t="s">
        <v>14</v>
      </c>
      <c r="J178" s="25" t="s">
        <v>14</v>
      </c>
      <c r="K178" s="25" t="s">
        <v>14</v>
      </c>
      <c r="L178" s="25" t="s">
        <v>14</v>
      </c>
      <c r="M178" s="25" t="s">
        <v>14</v>
      </c>
      <c r="N178" s="33" t="s">
        <v>14</v>
      </c>
    </row>
    <row r="179" s="2" customFormat="1" hidden="1" spans="1:14">
      <c r="A179" s="21">
        <f t="shared" si="3"/>
        <v>44475</v>
      </c>
      <c r="B179" s="22" t="s">
        <v>14</v>
      </c>
      <c r="C179" s="25" t="s">
        <v>14</v>
      </c>
      <c r="D179" s="32" t="s">
        <v>14</v>
      </c>
      <c r="E179" s="25" t="s">
        <v>14</v>
      </c>
      <c r="F179" s="25" t="s">
        <v>14</v>
      </c>
      <c r="G179" s="25" t="s">
        <v>14</v>
      </c>
      <c r="H179" s="25" t="s">
        <v>14</v>
      </c>
      <c r="I179" s="25" t="s">
        <v>14</v>
      </c>
      <c r="J179" s="25" t="s">
        <v>14</v>
      </c>
      <c r="K179" s="25" t="s">
        <v>14</v>
      </c>
      <c r="L179" s="25" t="s">
        <v>14</v>
      </c>
      <c r="M179" s="25" t="s">
        <v>14</v>
      </c>
      <c r="N179" s="33" t="s">
        <v>14</v>
      </c>
    </row>
    <row r="180" s="2" customFormat="1" hidden="1" spans="1:14">
      <c r="A180" s="21">
        <f t="shared" si="3"/>
        <v>44476</v>
      </c>
      <c r="B180" s="22" t="s">
        <v>14</v>
      </c>
      <c r="C180" s="25" t="s">
        <v>14</v>
      </c>
      <c r="D180" s="32" t="s">
        <v>14</v>
      </c>
      <c r="E180" s="25" t="s">
        <v>14</v>
      </c>
      <c r="F180" s="25" t="s">
        <v>14</v>
      </c>
      <c r="G180" s="25" t="s">
        <v>14</v>
      </c>
      <c r="H180" s="25" t="s">
        <v>14</v>
      </c>
      <c r="I180" s="25" t="s">
        <v>14</v>
      </c>
      <c r="J180" s="25" t="s">
        <v>14</v>
      </c>
      <c r="K180" s="25" t="s">
        <v>14</v>
      </c>
      <c r="L180" s="25" t="s">
        <v>14</v>
      </c>
      <c r="M180" s="25" t="s">
        <v>14</v>
      </c>
      <c r="N180" s="33" t="s">
        <v>14</v>
      </c>
    </row>
    <row r="181" s="2" customFormat="1" hidden="1" spans="1:14">
      <c r="A181" s="21">
        <f t="shared" si="3"/>
        <v>44477</v>
      </c>
      <c r="B181" s="22">
        <v>29.89</v>
      </c>
      <c r="C181" s="29">
        <v>802</v>
      </c>
      <c r="D181" s="24">
        <v>13</v>
      </c>
      <c r="E181" s="23">
        <v>0</v>
      </c>
      <c r="F181" s="25">
        <v>0</v>
      </c>
      <c r="G181" s="23">
        <v>0</v>
      </c>
      <c r="H181" s="23">
        <v>0</v>
      </c>
      <c r="I181" s="23">
        <v>0</v>
      </c>
      <c r="J181" s="26">
        <v>0.0162</v>
      </c>
      <c r="K181" s="27">
        <v>2.3</v>
      </c>
      <c r="L181" s="30">
        <v>24.34</v>
      </c>
      <c r="M181" s="23">
        <v>0</v>
      </c>
      <c r="N181" s="31">
        <v>0</v>
      </c>
    </row>
    <row r="182" s="2" customFormat="1" hidden="1" spans="1:14">
      <c r="A182" s="21">
        <f t="shared" si="3"/>
        <v>44478</v>
      </c>
      <c r="B182" s="22">
        <v>95.46</v>
      </c>
      <c r="C182" s="29">
        <v>2513</v>
      </c>
      <c r="D182" s="24">
        <v>46</v>
      </c>
      <c r="E182" s="23">
        <v>1</v>
      </c>
      <c r="F182" s="25">
        <v>99</v>
      </c>
      <c r="G182" s="23">
        <v>3</v>
      </c>
      <c r="H182" s="23">
        <v>0</v>
      </c>
      <c r="I182" s="23">
        <v>0</v>
      </c>
      <c r="J182" s="26">
        <v>0.0183</v>
      </c>
      <c r="K182" s="27">
        <v>2.08</v>
      </c>
      <c r="L182" s="30">
        <v>23.54</v>
      </c>
      <c r="M182" s="23">
        <v>1.04</v>
      </c>
      <c r="N182" s="31">
        <v>0.0217</v>
      </c>
    </row>
    <row r="183" s="2" customFormat="1" hidden="1" spans="1:14">
      <c r="A183" s="21">
        <f t="shared" si="3"/>
        <v>44479</v>
      </c>
      <c r="B183" s="22">
        <v>292.53</v>
      </c>
      <c r="C183" s="29">
        <v>21284</v>
      </c>
      <c r="D183" s="24">
        <v>124</v>
      </c>
      <c r="E183" s="23">
        <v>0</v>
      </c>
      <c r="F183" s="25">
        <v>0</v>
      </c>
      <c r="G183" s="23">
        <v>0</v>
      </c>
      <c r="H183" s="23">
        <v>1</v>
      </c>
      <c r="I183" s="23">
        <v>0</v>
      </c>
      <c r="J183" s="26">
        <v>0.0058</v>
      </c>
      <c r="K183" s="27">
        <v>2.36</v>
      </c>
      <c r="L183" s="30">
        <v>56.54</v>
      </c>
      <c r="M183" s="23">
        <v>0</v>
      </c>
      <c r="N183" s="31">
        <v>0</v>
      </c>
    </row>
    <row r="184" s="2" customFormat="1" hidden="1" spans="1:14">
      <c r="A184" s="21">
        <f t="shared" si="3"/>
        <v>44480</v>
      </c>
      <c r="B184" s="22">
        <v>240.57</v>
      </c>
      <c r="C184" s="29">
        <v>7377</v>
      </c>
      <c r="D184" s="24">
        <v>109</v>
      </c>
      <c r="E184" s="23">
        <v>0</v>
      </c>
      <c r="F184" s="25">
        <v>0</v>
      </c>
      <c r="G184" s="23">
        <v>0</v>
      </c>
      <c r="H184" s="23">
        <v>0</v>
      </c>
      <c r="I184" s="23">
        <v>1</v>
      </c>
      <c r="J184" s="26">
        <v>0.0148</v>
      </c>
      <c r="K184" s="27">
        <v>2.21</v>
      </c>
      <c r="L184" s="30">
        <v>15.33</v>
      </c>
      <c r="M184" s="23">
        <v>0</v>
      </c>
      <c r="N184" s="31">
        <v>0</v>
      </c>
    </row>
    <row r="185" s="2" customFormat="1" hidden="1" spans="1:14">
      <c r="A185" s="21">
        <f t="shared" si="3"/>
        <v>44481</v>
      </c>
      <c r="B185" s="22" t="s">
        <v>14</v>
      </c>
      <c r="C185" s="29"/>
      <c r="D185" s="24"/>
      <c r="E185" s="23"/>
      <c r="F185" s="25"/>
      <c r="G185" s="23"/>
      <c r="H185" s="23"/>
      <c r="I185" s="23"/>
      <c r="J185" s="26"/>
      <c r="K185" s="27"/>
      <c r="L185" s="30"/>
      <c r="M185" s="23"/>
      <c r="N185" s="31"/>
    </row>
    <row r="186" s="2" customFormat="1" hidden="1" spans="1:14">
      <c r="A186" s="21">
        <f t="shared" si="3"/>
        <v>44482</v>
      </c>
      <c r="B186" s="22">
        <v>300</v>
      </c>
      <c r="C186" s="29">
        <v>38683</v>
      </c>
      <c r="D186" s="24">
        <v>145</v>
      </c>
      <c r="E186" s="23">
        <v>0</v>
      </c>
      <c r="F186" s="25">
        <v>0</v>
      </c>
      <c r="G186" s="23">
        <v>0</v>
      </c>
      <c r="H186" s="23">
        <v>1</v>
      </c>
      <c r="I186" s="23">
        <v>0</v>
      </c>
      <c r="J186" s="26">
        <v>0.0037</v>
      </c>
      <c r="K186" s="27">
        <v>2.07</v>
      </c>
      <c r="L186" s="30">
        <v>24.03</v>
      </c>
      <c r="M186" s="23">
        <v>0</v>
      </c>
      <c r="N186" s="31">
        <v>0</v>
      </c>
    </row>
    <row r="187" s="2" customFormat="1" hidden="1" spans="1:14">
      <c r="A187" s="21">
        <f t="shared" si="3"/>
        <v>44483</v>
      </c>
      <c r="B187" s="22">
        <v>233.71</v>
      </c>
      <c r="C187" s="29">
        <v>7436</v>
      </c>
      <c r="D187" s="24">
        <v>99</v>
      </c>
      <c r="E187" s="23">
        <v>0</v>
      </c>
      <c r="F187" s="25">
        <v>0</v>
      </c>
      <c r="G187" s="23">
        <v>0</v>
      </c>
      <c r="H187" s="23">
        <v>2</v>
      </c>
      <c r="I187" s="23">
        <v>1</v>
      </c>
      <c r="J187" s="26">
        <v>0.0133</v>
      </c>
      <c r="K187" s="27">
        <v>2.36</v>
      </c>
      <c r="L187" s="30">
        <v>29.36</v>
      </c>
      <c r="M187" s="23">
        <v>0</v>
      </c>
      <c r="N187" s="31">
        <v>0</v>
      </c>
    </row>
    <row r="188" s="2" customFormat="1" hidden="1" spans="1:14">
      <c r="A188" s="21">
        <f t="shared" si="3"/>
        <v>44484</v>
      </c>
      <c r="B188" s="22">
        <v>255.51</v>
      </c>
      <c r="C188" s="29">
        <v>4816</v>
      </c>
      <c r="D188" s="24">
        <v>111</v>
      </c>
      <c r="E188" s="23">
        <v>0</v>
      </c>
      <c r="F188" s="25">
        <v>0</v>
      </c>
      <c r="G188" s="23">
        <v>4</v>
      </c>
      <c r="H188" s="23">
        <v>2</v>
      </c>
      <c r="I188" s="23">
        <v>0</v>
      </c>
      <c r="J188" s="26">
        <v>0.023</v>
      </c>
      <c r="K188" s="27">
        <v>3.3</v>
      </c>
      <c r="L188" s="30">
        <v>18.49</v>
      </c>
      <c r="M188" s="23">
        <v>0</v>
      </c>
      <c r="N188" s="31">
        <v>0</v>
      </c>
    </row>
    <row r="189" s="2" customFormat="1" hidden="1" spans="1:14">
      <c r="A189" s="21">
        <f t="shared" si="3"/>
        <v>44485</v>
      </c>
      <c r="B189" s="22" t="s">
        <v>14</v>
      </c>
      <c r="C189" s="29"/>
      <c r="D189" s="24"/>
      <c r="E189" s="23"/>
      <c r="F189" s="25"/>
      <c r="G189" s="23"/>
      <c r="H189" s="23"/>
      <c r="I189" s="23"/>
      <c r="J189" s="26"/>
      <c r="K189" s="27"/>
      <c r="L189" s="30"/>
      <c r="M189" s="23"/>
      <c r="N189" s="31"/>
    </row>
    <row r="190" s="2" customFormat="1" hidden="1" spans="1:14">
      <c r="A190" s="21">
        <f t="shared" si="3"/>
        <v>44486</v>
      </c>
      <c r="B190" s="22">
        <v>239.95</v>
      </c>
      <c r="C190" s="29">
        <v>4471</v>
      </c>
      <c r="D190" s="24">
        <v>106</v>
      </c>
      <c r="E190" s="23">
        <v>0</v>
      </c>
      <c r="F190" s="25">
        <v>0</v>
      </c>
      <c r="G190" s="23">
        <v>1</v>
      </c>
      <c r="H190" s="23">
        <v>4</v>
      </c>
      <c r="I190" s="23">
        <v>0</v>
      </c>
      <c r="J190" s="26">
        <v>0.0237</v>
      </c>
      <c r="K190" s="27">
        <v>2.26</v>
      </c>
      <c r="L190" s="30">
        <v>12.42</v>
      </c>
      <c r="M190" s="23">
        <v>0</v>
      </c>
      <c r="N190" s="31">
        <v>0</v>
      </c>
    </row>
    <row r="191" s="2" customFormat="1" hidden="1" spans="1:14">
      <c r="A191" s="21">
        <f t="shared" si="3"/>
        <v>44487</v>
      </c>
      <c r="B191" s="22">
        <v>229.07</v>
      </c>
      <c r="C191" s="29">
        <v>3321</v>
      </c>
      <c r="D191" s="24">
        <v>94</v>
      </c>
      <c r="E191" s="23">
        <v>0</v>
      </c>
      <c r="F191" s="25">
        <v>0</v>
      </c>
      <c r="G191" s="23">
        <v>0</v>
      </c>
      <c r="H191" s="23">
        <v>5</v>
      </c>
      <c r="I191" s="23">
        <v>0</v>
      </c>
      <c r="J191" s="26">
        <v>0.0283</v>
      </c>
      <c r="K191" s="27">
        <v>2.44</v>
      </c>
      <c r="L191" s="30">
        <v>10.99</v>
      </c>
      <c r="M191" s="23">
        <v>0</v>
      </c>
      <c r="N191" s="31">
        <v>0</v>
      </c>
    </row>
    <row r="192" s="2" customFormat="1" hidden="1" spans="1:14">
      <c r="A192" s="21">
        <f t="shared" si="3"/>
        <v>44488</v>
      </c>
      <c r="B192" s="22" t="s">
        <v>14</v>
      </c>
      <c r="C192" s="29"/>
      <c r="D192" s="24"/>
      <c r="E192" s="23"/>
      <c r="F192" s="25"/>
      <c r="G192" s="23"/>
      <c r="H192" s="23"/>
      <c r="I192" s="23"/>
      <c r="J192" s="26"/>
      <c r="K192" s="27"/>
      <c r="L192" s="30"/>
      <c r="M192" s="23"/>
      <c r="N192" s="31"/>
    </row>
    <row r="193" s="2" customFormat="1" hidden="1" spans="1:14">
      <c r="A193" s="21">
        <f t="shared" si="3"/>
        <v>44489</v>
      </c>
      <c r="B193" s="22">
        <v>16.43</v>
      </c>
      <c r="C193" s="29">
        <v>293</v>
      </c>
      <c r="D193" s="24">
        <v>10</v>
      </c>
      <c r="E193" s="23">
        <v>0</v>
      </c>
      <c r="F193" s="25">
        <v>0</v>
      </c>
      <c r="G193" s="23">
        <v>0</v>
      </c>
      <c r="H193" s="23">
        <v>0</v>
      </c>
      <c r="I193" s="23">
        <v>0</v>
      </c>
      <c r="J193" s="26">
        <v>0.0341</v>
      </c>
      <c r="K193" s="27">
        <v>1.64</v>
      </c>
      <c r="L193" s="30">
        <v>11.31</v>
      </c>
      <c r="M193" s="23">
        <v>0</v>
      </c>
      <c r="N193" s="31">
        <v>0</v>
      </c>
    </row>
    <row r="194" s="2" customFormat="1" hidden="1" spans="1:14">
      <c r="A194" s="21">
        <f t="shared" ref="A194:A257" si="4">A193+1</f>
        <v>44490</v>
      </c>
      <c r="B194" s="22">
        <v>83.37</v>
      </c>
      <c r="C194" s="29">
        <v>2293</v>
      </c>
      <c r="D194" s="24">
        <v>63</v>
      </c>
      <c r="E194" s="23">
        <v>0</v>
      </c>
      <c r="F194" s="25">
        <v>0</v>
      </c>
      <c r="G194" s="23">
        <v>0</v>
      </c>
      <c r="H194" s="23">
        <v>4</v>
      </c>
      <c r="I194" s="23">
        <v>0</v>
      </c>
      <c r="J194" s="26">
        <v>0.0275</v>
      </c>
      <c r="K194" s="27">
        <v>1.32</v>
      </c>
      <c r="L194" s="30">
        <v>11.69</v>
      </c>
      <c r="M194" s="23">
        <v>0</v>
      </c>
      <c r="N194" s="31">
        <v>0</v>
      </c>
    </row>
    <row r="195" s="2" customFormat="1" hidden="1" spans="1:14">
      <c r="A195" s="21">
        <f t="shared" si="4"/>
        <v>44491</v>
      </c>
      <c r="B195" s="22">
        <v>1395.88</v>
      </c>
      <c r="C195" s="29">
        <v>15924</v>
      </c>
      <c r="D195" s="24">
        <v>192</v>
      </c>
      <c r="E195" s="23">
        <v>0</v>
      </c>
      <c r="F195" s="25">
        <v>0</v>
      </c>
      <c r="G195" s="23">
        <v>0</v>
      </c>
      <c r="H195" s="23">
        <v>3</v>
      </c>
      <c r="I195" s="23">
        <v>0</v>
      </c>
      <c r="J195" s="26">
        <v>0.0121</v>
      </c>
      <c r="K195" s="27">
        <v>7.27</v>
      </c>
      <c r="L195" s="30">
        <v>59.81</v>
      </c>
      <c r="M195" s="23">
        <v>0</v>
      </c>
      <c r="N195" s="31">
        <v>0</v>
      </c>
    </row>
    <row r="196" s="2" customFormat="1" hidden="1" spans="1:14">
      <c r="A196" s="21">
        <f t="shared" si="4"/>
        <v>44492</v>
      </c>
      <c r="B196" s="22">
        <v>1000</v>
      </c>
      <c r="C196" s="29">
        <v>3719</v>
      </c>
      <c r="D196" s="24">
        <v>52</v>
      </c>
      <c r="E196" s="23">
        <v>0</v>
      </c>
      <c r="F196" s="25">
        <v>0</v>
      </c>
      <c r="G196" s="23">
        <v>0</v>
      </c>
      <c r="H196" s="23">
        <v>1</v>
      </c>
      <c r="I196" s="23">
        <v>0</v>
      </c>
      <c r="J196" s="26">
        <v>0.014</v>
      </c>
      <c r="K196" s="27">
        <v>19.23</v>
      </c>
      <c r="L196" s="30">
        <v>165.69</v>
      </c>
      <c r="M196" s="23">
        <v>0</v>
      </c>
      <c r="N196" s="31">
        <v>0</v>
      </c>
    </row>
    <row r="197" s="2" customFormat="1" hidden="1" spans="1:14">
      <c r="A197" s="21">
        <f t="shared" si="4"/>
        <v>44493</v>
      </c>
      <c r="B197" s="22">
        <v>1000</v>
      </c>
      <c r="C197" s="29">
        <v>11348</v>
      </c>
      <c r="D197" s="24">
        <v>123</v>
      </c>
      <c r="E197" s="23">
        <v>0</v>
      </c>
      <c r="F197" s="25">
        <v>0</v>
      </c>
      <c r="G197" s="23">
        <v>0</v>
      </c>
      <c r="H197" s="23">
        <v>3</v>
      </c>
      <c r="I197" s="23">
        <v>0</v>
      </c>
      <c r="J197" s="26">
        <v>0.0108</v>
      </c>
      <c r="K197" s="27">
        <v>8.13</v>
      </c>
      <c r="L197" s="30">
        <v>88.5</v>
      </c>
      <c r="M197" s="23">
        <v>0</v>
      </c>
      <c r="N197" s="31">
        <v>0</v>
      </c>
    </row>
    <row r="198" s="2" customFormat="1" hidden="1" spans="1:14">
      <c r="A198" s="21">
        <f t="shared" si="4"/>
        <v>44494</v>
      </c>
      <c r="B198" s="22">
        <v>795.6</v>
      </c>
      <c r="C198" s="29">
        <v>12005</v>
      </c>
      <c r="D198" s="24">
        <v>152</v>
      </c>
      <c r="E198" s="23">
        <v>0</v>
      </c>
      <c r="F198" s="25">
        <v>0</v>
      </c>
      <c r="G198" s="23">
        <v>0</v>
      </c>
      <c r="H198" s="23">
        <v>2</v>
      </c>
      <c r="I198" s="23">
        <v>0</v>
      </c>
      <c r="J198" s="26">
        <v>0.0127</v>
      </c>
      <c r="K198" s="27">
        <v>5.23</v>
      </c>
      <c r="L198" s="30">
        <v>60.3</v>
      </c>
      <c r="M198" s="23">
        <v>0</v>
      </c>
      <c r="N198" s="31">
        <v>0</v>
      </c>
    </row>
    <row r="199" s="2" customFormat="1" hidden="1" spans="1:14">
      <c r="A199" s="21">
        <f t="shared" si="4"/>
        <v>44495</v>
      </c>
      <c r="B199" s="22">
        <v>733.25</v>
      </c>
      <c r="C199" s="29">
        <v>12027</v>
      </c>
      <c r="D199" s="24">
        <v>329</v>
      </c>
      <c r="E199" s="23">
        <v>1</v>
      </c>
      <c r="F199" s="25">
        <v>11</v>
      </c>
      <c r="G199" s="23">
        <v>0</v>
      </c>
      <c r="H199" s="23">
        <v>8</v>
      </c>
      <c r="I199" s="23">
        <v>0</v>
      </c>
      <c r="J199" s="26">
        <v>0.0274</v>
      </c>
      <c r="K199" s="27">
        <v>2.23</v>
      </c>
      <c r="L199" s="30">
        <v>11.76</v>
      </c>
      <c r="M199" s="23">
        <v>0.02</v>
      </c>
      <c r="N199" s="31">
        <v>0.003</v>
      </c>
    </row>
    <row r="200" s="2" customFormat="1" hidden="1" spans="1:14">
      <c r="A200" s="21">
        <f t="shared" si="4"/>
        <v>44496</v>
      </c>
      <c r="B200" s="22">
        <v>897.1</v>
      </c>
      <c r="C200" s="29">
        <v>12892</v>
      </c>
      <c r="D200" s="24">
        <v>398</v>
      </c>
      <c r="E200" s="23">
        <v>0</v>
      </c>
      <c r="F200" s="25">
        <v>0</v>
      </c>
      <c r="G200" s="23">
        <v>1</v>
      </c>
      <c r="H200" s="23">
        <v>8</v>
      </c>
      <c r="I200" s="23">
        <v>0</v>
      </c>
      <c r="J200" s="26">
        <v>0.0309</v>
      </c>
      <c r="K200" s="27">
        <v>2.25</v>
      </c>
      <c r="L200" s="30">
        <v>14.15</v>
      </c>
      <c r="M200" s="23">
        <v>0</v>
      </c>
      <c r="N200" s="31">
        <v>0</v>
      </c>
    </row>
    <row r="201" s="2" customFormat="1" hidden="1" spans="1:14">
      <c r="A201" s="21">
        <f t="shared" si="4"/>
        <v>44497</v>
      </c>
      <c r="B201" s="22">
        <v>818.57</v>
      </c>
      <c r="C201" s="29">
        <v>12735</v>
      </c>
      <c r="D201" s="24">
        <v>349</v>
      </c>
      <c r="E201" s="23">
        <v>1</v>
      </c>
      <c r="F201" s="25">
        <v>11</v>
      </c>
      <c r="G201" s="23">
        <v>1</v>
      </c>
      <c r="H201" s="23">
        <v>9</v>
      </c>
      <c r="I201" s="23">
        <v>2</v>
      </c>
      <c r="J201" s="26">
        <v>0.0274</v>
      </c>
      <c r="K201" s="27">
        <v>2.35</v>
      </c>
      <c r="L201" s="30">
        <v>13.56</v>
      </c>
      <c r="M201" s="23">
        <v>0.01</v>
      </c>
      <c r="N201" s="31">
        <v>0.0029</v>
      </c>
    </row>
    <row r="202" s="2" customFormat="1" hidden="1" spans="1:14">
      <c r="A202" s="21">
        <f t="shared" si="4"/>
        <v>44498</v>
      </c>
      <c r="B202" s="22">
        <v>922.78</v>
      </c>
      <c r="C202" s="29">
        <v>14805</v>
      </c>
      <c r="D202" s="24">
        <v>421</v>
      </c>
      <c r="E202" s="23">
        <v>0</v>
      </c>
      <c r="F202" s="25">
        <v>0</v>
      </c>
      <c r="G202" s="23">
        <v>1</v>
      </c>
      <c r="H202" s="23">
        <v>11</v>
      </c>
      <c r="I202" s="23">
        <v>0</v>
      </c>
      <c r="J202" s="26">
        <v>0.0284</v>
      </c>
      <c r="K202" s="27">
        <v>2.19</v>
      </c>
      <c r="L202" s="30">
        <v>12.55</v>
      </c>
      <c r="M202" s="23">
        <v>0</v>
      </c>
      <c r="N202" s="31">
        <v>0</v>
      </c>
    </row>
    <row r="203" s="2" customFormat="1" hidden="1" spans="1:14">
      <c r="A203" s="21">
        <f t="shared" si="4"/>
        <v>44499</v>
      </c>
      <c r="B203" s="22">
        <v>864.68</v>
      </c>
      <c r="C203" s="29">
        <v>16941</v>
      </c>
      <c r="D203" s="24">
        <v>477</v>
      </c>
      <c r="E203" s="23">
        <v>2</v>
      </c>
      <c r="F203" s="25">
        <v>8199.45</v>
      </c>
      <c r="G203" s="23">
        <v>4</v>
      </c>
      <c r="H203" s="23">
        <v>13</v>
      </c>
      <c r="I203" s="23">
        <v>2</v>
      </c>
      <c r="J203" s="26">
        <v>0.0282</v>
      </c>
      <c r="K203" s="27">
        <v>1.81</v>
      </c>
      <c r="L203" s="30">
        <v>10.09</v>
      </c>
      <c r="M203" s="23">
        <v>9.48</v>
      </c>
      <c r="N203" s="31">
        <v>0.0042</v>
      </c>
    </row>
    <row r="204" s="2" customFormat="1" hidden="1" spans="1:14">
      <c r="A204" s="21">
        <f t="shared" si="4"/>
        <v>44500</v>
      </c>
      <c r="B204" s="22">
        <v>750.42</v>
      </c>
      <c r="C204" s="29">
        <v>9987</v>
      </c>
      <c r="D204" s="24">
        <v>362</v>
      </c>
      <c r="E204" s="23">
        <v>2</v>
      </c>
      <c r="F204" s="25">
        <v>972</v>
      </c>
      <c r="G204" s="23">
        <v>6</v>
      </c>
      <c r="H204" s="23">
        <v>4</v>
      </c>
      <c r="I204" s="23">
        <v>1</v>
      </c>
      <c r="J204" s="26">
        <v>0.0362</v>
      </c>
      <c r="K204" s="27">
        <v>2.07</v>
      </c>
      <c r="L204" s="30">
        <v>11.1</v>
      </c>
      <c r="M204" s="23">
        <v>1.3</v>
      </c>
      <c r="N204" s="31">
        <v>0.0055</v>
      </c>
    </row>
    <row r="205" s="2" customFormat="1" hidden="1" spans="1:14">
      <c r="A205" s="21">
        <f t="shared" si="4"/>
        <v>44501</v>
      </c>
      <c r="B205" s="22">
        <v>1112.89</v>
      </c>
      <c r="C205" s="29">
        <v>14183</v>
      </c>
      <c r="D205" s="24">
        <v>414</v>
      </c>
      <c r="E205" s="23">
        <v>2</v>
      </c>
      <c r="F205" s="25">
        <v>1042</v>
      </c>
      <c r="G205" s="23">
        <v>3</v>
      </c>
      <c r="H205" s="23">
        <v>4</v>
      </c>
      <c r="I205" s="23">
        <v>2</v>
      </c>
      <c r="J205" s="26">
        <v>0.0292</v>
      </c>
      <c r="K205" s="27">
        <v>2.69</v>
      </c>
      <c r="L205" s="30">
        <v>18.98</v>
      </c>
      <c r="M205" s="23">
        <v>0.94</v>
      </c>
      <c r="N205" s="31">
        <v>0.0048</v>
      </c>
    </row>
    <row r="206" s="2" customFormat="1" hidden="1" spans="1:14">
      <c r="A206" s="21">
        <f t="shared" si="4"/>
        <v>44502</v>
      </c>
      <c r="B206" s="22">
        <v>917.75</v>
      </c>
      <c r="C206" s="29">
        <v>10263</v>
      </c>
      <c r="D206" s="24">
        <v>459</v>
      </c>
      <c r="E206" s="23">
        <v>0</v>
      </c>
      <c r="F206" s="25">
        <v>0</v>
      </c>
      <c r="G206" s="23">
        <v>7</v>
      </c>
      <c r="H206" s="23">
        <v>10</v>
      </c>
      <c r="I206" s="23">
        <v>1</v>
      </c>
      <c r="J206" s="26">
        <v>0.0447</v>
      </c>
      <c r="K206" s="27">
        <v>2</v>
      </c>
      <c r="L206" s="30">
        <v>17.49</v>
      </c>
      <c r="M206" s="23">
        <v>0</v>
      </c>
      <c r="N206" s="31">
        <v>0</v>
      </c>
    </row>
    <row r="207" s="2" customFormat="1" hidden="1" spans="1:14">
      <c r="A207" s="21">
        <f t="shared" si="4"/>
        <v>44503</v>
      </c>
      <c r="B207" s="22">
        <v>895.29</v>
      </c>
      <c r="C207" s="29">
        <v>11806</v>
      </c>
      <c r="D207" s="24">
        <v>464</v>
      </c>
      <c r="E207" s="23">
        <v>0</v>
      </c>
      <c r="F207" s="25">
        <v>0</v>
      </c>
      <c r="G207" s="23">
        <v>0</v>
      </c>
      <c r="H207" s="23">
        <v>4</v>
      </c>
      <c r="I207" s="23">
        <v>0</v>
      </c>
      <c r="J207" s="26">
        <v>0.0393</v>
      </c>
      <c r="K207" s="27">
        <v>1.93</v>
      </c>
      <c r="L207" s="30">
        <v>16.26</v>
      </c>
      <c r="M207" s="23">
        <v>0</v>
      </c>
      <c r="N207" s="31">
        <v>0</v>
      </c>
    </row>
    <row r="208" s="2" customFormat="1" hidden="1" spans="1:14">
      <c r="A208" s="21">
        <f t="shared" si="4"/>
        <v>44504</v>
      </c>
      <c r="B208" s="22">
        <v>833.51</v>
      </c>
      <c r="C208" s="29">
        <v>14723</v>
      </c>
      <c r="D208" s="24">
        <v>494</v>
      </c>
      <c r="E208" s="23">
        <v>0</v>
      </c>
      <c r="F208" s="25">
        <v>0</v>
      </c>
      <c r="G208" s="23">
        <v>3</v>
      </c>
      <c r="H208" s="23">
        <v>10</v>
      </c>
      <c r="I208" s="23">
        <v>1</v>
      </c>
      <c r="J208" s="26">
        <v>0.0336</v>
      </c>
      <c r="K208" s="27">
        <v>1.69</v>
      </c>
      <c r="L208" s="30">
        <v>11.33</v>
      </c>
      <c r="M208" s="23">
        <v>0</v>
      </c>
      <c r="N208" s="31">
        <v>0</v>
      </c>
    </row>
    <row r="209" s="2" customFormat="1" hidden="1" spans="1:14">
      <c r="A209" s="21">
        <f t="shared" si="4"/>
        <v>44505</v>
      </c>
      <c r="B209" s="22">
        <v>884.93</v>
      </c>
      <c r="C209" s="29">
        <v>22377</v>
      </c>
      <c r="D209" s="24">
        <v>600</v>
      </c>
      <c r="E209" s="23">
        <v>0</v>
      </c>
      <c r="F209" s="25">
        <v>0</v>
      </c>
      <c r="G209" s="23">
        <v>5</v>
      </c>
      <c r="H209" s="23">
        <v>7</v>
      </c>
      <c r="I209" s="23">
        <v>1</v>
      </c>
      <c r="J209" s="26">
        <v>0.0268</v>
      </c>
      <c r="K209" s="27">
        <v>1.47</v>
      </c>
      <c r="L209" s="30">
        <v>13.35</v>
      </c>
      <c r="M209" s="23">
        <v>0</v>
      </c>
      <c r="N209" s="31">
        <v>0</v>
      </c>
    </row>
    <row r="210" s="2" customFormat="1" hidden="1" spans="1:14">
      <c r="A210" s="21">
        <f t="shared" si="4"/>
        <v>44506</v>
      </c>
      <c r="B210" s="22">
        <v>897.77</v>
      </c>
      <c r="C210" s="29">
        <v>22739</v>
      </c>
      <c r="D210" s="24">
        <v>553</v>
      </c>
      <c r="E210" s="23">
        <v>0</v>
      </c>
      <c r="F210" s="25">
        <v>0</v>
      </c>
      <c r="G210" s="23">
        <v>1</v>
      </c>
      <c r="H210" s="23">
        <v>6</v>
      </c>
      <c r="I210" s="23">
        <v>1</v>
      </c>
      <c r="J210" s="26">
        <v>0.0243</v>
      </c>
      <c r="K210" s="27">
        <v>1.62</v>
      </c>
      <c r="L210" s="30">
        <v>13.96</v>
      </c>
      <c r="M210" s="23">
        <v>0</v>
      </c>
      <c r="N210" s="31">
        <v>0</v>
      </c>
    </row>
    <row r="211" s="2" customFormat="1" hidden="1" spans="1:14">
      <c r="A211" s="21">
        <f t="shared" si="4"/>
        <v>44507</v>
      </c>
      <c r="B211" s="22">
        <v>894.46</v>
      </c>
      <c r="C211" s="29">
        <v>16188</v>
      </c>
      <c r="D211" s="24">
        <v>534</v>
      </c>
      <c r="E211" s="23">
        <v>0</v>
      </c>
      <c r="F211" s="25">
        <v>0</v>
      </c>
      <c r="G211" s="23">
        <v>2</v>
      </c>
      <c r="H211" s="23">
        <v>9</v>
      </c>
      <c r="I211" s="23">
        <v>0</v>
      </c>
      <c r="J211" s="26">
        <v>0.033</v>
      </c>
      <c r="K211" s="27">
        <v>1.68</v>
      </c>
      <c r="L211" s="30">
        <v>13.98</v>
      </c>
      <c r="M211" s="23">
        <v>0</v>
      </c>
      <c r="N211" s="31">
        <v>0</v>
      </c>
    </row>
    <row r="212" s="2" customFormat="1" hidden="1" spans="1:14">
      <c r="A212" s="21">
        <f t="shared" si="4"/>
        <v>44508</v>
      </c>
      <c r="B212" s="22">
        <v>829.52</v>
      </c>
      <c r="C212" s="29">
        <v>10780</v>
      </c>
      <c r="D212" s="24">
        <v>388</v>
      </c>
      <c r="E212" s="23">
        <v>0</v>
      </c>
      <c r="F212" s="25">
        <v>0</v>
      </c>
      <c r="G212" s="23">
        <v>1</v>
      </c>
      <c r="H212" s="23">
        <v>4</v>
      </c>
      <c r="I212" s="23">
        <v>0</v>
      </c>
      <c r="J212" s="26">
        <v>0.036</v>
      </c>
      <c r="K212" s="27">
        <v>2.14</v>
      </c>
      <c r="L212" s="30">
        <v>17.07</v>
      </c>
      <c r="M212" s="23">
        <v>0</v>
      </c>
      <c r="N212" s="31">
        <v>0</v>
      </c>
    </row>
    <row r="213" s="2" customFormat="1" hidden="1" spans="1:14">
      <c r="A213" s="21">
        <f t="shared" si="4"/>
        <v>44509</v>
      </c>
      <c r="B213" s="22">
        <v>1113.33</v>
      </c>
      <c r="C213" s="29">
        <v>14130</v>
      </c>
      <c r="D213" s="24">
        <v>517</v>
      </c>
      <c r="E213" s="23">
        <v>1</v>
      </c>
      <c r="F213" s="25">
        <v>961</v>
      </c>
      <c r="G213" s="23">
        <v>2</v>
      </c>
      <c r="H213" s="23">
        <v>8</v>
      </c>
      <c r="I213" s="23">
        <v>2</v>
      </c>
      <c r="J213" s="26">
        <v>0.0366</v>
      </c>
      <c r="K213" s="27">
        <v>2.15</v>
      </c>
      <c r="L213" s="30">
        <v>13.72</v>
      </c>
      <c r="M213" s="23">
        <v>0.86</v>
      </c>
      <c r="N213" s="31">
        <v>0.0017</v>
      </c>
    </row>
    <row r="214" s="2" customFormat="1" hidden="1" spans="1:14">
      <c r="A214" s="21">
        <f t="shared" si="4"/>
        <v>44510</v>
      </c>
      <c r="B214" s="22">
        <v>1425.99</v>
      </c>
      <c r="C214" s="29">
        <v>15960</v>
      </c>
      <c r="D214" s="24">
        <v>626</v>
      </c>
      <c r="E214" s="23">
        <v>1</v>
      </c>
      <c r="F214" s="25">
        <v>2834.64</v>
      </c>
      <c r="G214" s="23">
        <v>3</v>
      </c>
      <c r="H214" s="23">
        <v>11</v>
      </c>
      <c r="I214" s="23">
        <v>1</v>
      </c>
      <c r="J214" s="26">
        <v>0.0392</v>
      </c>
      <c r="K214" s="27">
        <v>2.28</v>
      </c>
      <c r="L214" s="30">
        <v>13.35</v>
      </c>
      <c r="M214" s="23">
        <v>1.99</v>
      </c>
      <c r="N214" s="31">
        <v>0.0016</v>
      </c>
    </row>
    <row r="215" s="2" customFormat="1" hidden="1" spans="1:14">
      <c r="A215" s="21">
        <f t="shared" si="4"/>
        <v>44511</v>
      </c>
      <c r="B215" s="22">
        <v>1416.45</v>
      </c>
      <c r="C215" s="29">
        <v>13472</v>
      </c>
      <c r="D215" s="24">
        <v>676</v>
      </c>
      <c r="E215" s="23">
        <v>1</v>
      </c>
      <c r="F215" s="25">
        <v>192</v>
      </c>
      <c r="G215" s="23">
        <v>3</v>
      </c>
      <c r="H215" s="23">
        <v>4</v>
      </c>
      <c r="I215" s="23">
        <v>1</v>
      </c>
      <c r="J215" s="26">
        <v>0.0502</v>
      </c>
      <c r="K215" s="27">
        <v>2.1</v>
      </c>
      <c r="L215" s="30">
        <v>13.88</v>
      </c>
      <c r="M215" s="23">
        <v>0.14</v>
      </c>
      <c r="N215" s="31">
        <v>0.0015</v>
      </c>
    </row>
    <row r="216" s="2" customFormat="1" hidden="1" spans="1:14">
      <c r="A216" s="21">
        <f t="shared" si="4"/>
        <v>44512</v>
      </c>
      <c r="B216" s="22">
        <v>810.63</v>
      </c>
      <c r="C216" s="29">
        <v>15571</v>
      </c>
      <c r="D216" s="24">
        <v>635</v>
      </c>
      <c r="E216" s="23">
        <v>1</v>
      </c>
      <c r="F216" s="25">
        <v>1111</v>
      </c>
      <c r="G216" s="23">
        <v>3</v>
      </c>
      <c r="H216" s="23">
        <v>6</v>
      </c>
      <c r="I216" s="23">
        <v>2</v>
      </c>
      <c r="J216" s="26">
        <v>0.0408</v>
      </c>
      <c r="K216" s="27">
        <v>1.28</v>
      </c>
      <c r="L216" s="30">
        <v>8.69</v>
      </c>
      <c r="M216" s="23">
        <v>1.37</v>
      </c>
      <c r="N216" s="31">
        <v>0.0016</v>
      </c>
    </row>
    <row r="217" s="2" customFormat="1" hidden="1" spans="1:14">
      <c r="A217" s="21">
        <f t="shared" si="4"/>
        <v>44513</v>
      </c>
      <c r="B217" s="22">
        <v>547.43</v>
      </c>
      <c r="C217" s="29">
        <v>25088</v>
      </c>
      <c r="D217" s="24">
        <v>721</v>
      </c>
      <c r="E217" s="23">
        <v>0</v>
      </c>
      <c r="F217" s="25">
        <v>0</v>
      </c>
      <c r="G217" s="23">
        <v>1</v>
      </c>
      <c r="H217" s="23">
        <v>9</v>
      </c>
      <c r="I217" s="23">
        <v>0</v>
      </c>
      <c r="J217" s="26">
        <v>0.0287</v>
      </c>
      <c r="K217" s="27">
        <v>0.76</v>
      </c>
      <c r="L217" s="30">
        <v>5.12</v>
      </c>
      <c r="M217" s="23">
        <v>0</v>
      </c>
      <c r="N217" s="31">
        <v>0</v>
      </c>
    </row>
    <row r="218" s="2" customFormat="1" hidden="1" spans="1:14">
      <c r="A218" s="21">
        <f t="shared" si="4"/>
        <v>44514</v>
      </c>
      <c r="B218" s="22">
        <v>538.42</v>
      </c>
      <c r="C218" s="29">
        <v>24966</v>
      </c>
      <c r="D218" s="24">
        <v>783</v>
      </c>
      <c r="E218" s="23">
        <v>0</v>
      </c>
      <c r="F218" s="25">
        <v>0</v>
      </c>
      <c r="G218" s="23">
        <v>1</v>
      </c>
      <c r="H218" s="23">
        <v>6</v>
      </c>
      <c r="I218" s="23">
        <v>2</v>
      </c>
      <c r="J218" s="26">
        <v>0.0314</v>
      </c>
      <c r="K218" s="27">
        <v>0.69</v>
      </c>
      <c r="L218" s="30">
        <v>4.72</v>
      </c>
      <c r="M218" s="23">
        <v>0</v>
      </c>
      <c r="N218" s="31">
        <v>0</v>
      </c>
    </row>
    <row r="219" s="2" customFormat="1" hidden="1" spans="1:14">
      <c r="A219" s="21">
        <f t="shared" si="4"/>
        <v>44515</v>
      </c>
      <c r="B219" s="22">
        <v>271.84</v>
      </c>
      <c r="C219" s="29">
        <v>24588</v>
      </c>
      <c r="D219" s="24">
        <v>464</v>
      </c>
      <c r="E219" s="23">
        <v>0</v>
      </c>
      <c r="F219" s="25">
        <v>0</v>
      </c>
      <c r="G219" s="23">
        <v>0</v>
      </c>
      <c r="H219" s="23">
        <v>3</v>
      </c>
      <c r="I219" s="23">
        <v>0</v>
      </c>
      <c r="J219" s="26">
        <v>0.0189</v>
      </c>
      <c r="K219" s="27">
        <v>0.59</v>
      </c>
      <c r="L219" s="30">
        <v>4.59</v>
      </c>
      <c r="M219" s="23">
        <v>0</v>
      </c>
      <c r="N219" s="31">
        <v>0</v>
      </c>
    </row>
    <row r="220" s="2" customFormat="1" hidden="1" spans="1:14">
      <c r="A220" s="21">
        <f t="shared" si="4"/>
        <v>44516</v>
      </c>
      <c r="B220" s="22">
        <v>255.59</v>
      </c>
      <c r="C220" s="29">
        <v>6061</v>
      </c>
      <c r="D220" s="24">
        <v>301</v>
      </c>
      <c r="E220" s="23">
        <v>0</v>
      </c>
      <c r="F220" s="25">
        <v>0</v>
      </c>
      <c r="G220" s="23">
        <v>0</v>
      </c>
      <c r="H220" s="23">
        <v>3</v>
      </c>
      <c r="I220" s="23">
        <v>0</v>
      </c>
      <c r="J220" s="26">
        <v>0.0497</v>
      </c>
      <c r="K220" s="27">
        <v>0.85</v>
      </c>
      <c r="L220" s="30">
        <v>5</v>
      </c>
      <c r="M220" s="23">
        <v>0</v>
      </c>
      <c r="N220" s="31">
        <v>0</v>
      </c>
    </row>
    <row r="221" s="2" customFormat="1" hidden="1" spans="1:14">
      <c r="A221" s="21">
        <f t="shared" si="4"/>
        <v>44517</v>
      </c>
      <c r="B221" s="22">
        <v>294.22</v>
      </c>
      <c r="C221" s="29">
        <v>7049</v>
      </c>
      <c r="D221" s="24">
        <v>179</v>
      </c>
      <c r="E221" s="23">
        <v>0</v>
      </c>
      <c r="F221" s="25">
        <v>0</v>
      </c>
      <c r="G221" s="23">
        <v>1</v>
      </c>
      <c r="H221" s="23">
        <v>4</v>
      </c>
      <c r="I221" s="23">
        <v>0</v>
      </c>
      <c r="J221" s="26">
        <v>0.0254</v>
      </c>
      <c r="K221" s="27">
        <v>1.64</v>
      </c>
      <c r="L221" s="30">
        <v>11.51</v>
      </c>
      <c r="M221" s="23">
        <v>0</v>
      </c>
      <c r="N221" s="31">
        <v>0</v>
      </c>
    </row>
    <row r="222" s="2" customFormat="1" hidden="1" spans="1:14">
      <c r="A222" s="21">
        <f t="shared" si="4"/>
        <v>44518</v>
      </c>
      <c r="B222" s="22">
        <v>275.72</v>
      </c>
      <c r="C222" s="29">
        <v>8130</v>
      </c>
      <c r="D222" s="24">
        <v>159</v>
      </c>
      <c r="E222" s="23">
        <v>0</v>
      </c>
      <c r="F222" s="25">
        <v>0</v>
      </c>
      <c r="G222" s="23">
        <v>2</v>
      </c>
      <c r="H222" s="23">
        <v>1</v>
      </c>
      <c r="I222" s="23">
        <v>0</v>
      </c>
      <c r="J222" s="26">
        <v>0.0196</v>
      </c>
      <c r="K222" s="27">
        <v>1.73</v>
      </c>
      <c r="L222" s="30">
        <v>16.12</v>
      </c>
      <c r="M222" s="23">
        <v>0</v>
      </c>
      <c r="N222" s="31">
        <v>0</v>
      </c>
    </row>
    <row r="223" s="2" customFormat="1" hidden="1" spans="1:14">
      <c r="A223" s="21">
        <f t="shared" si="4"/>
        <v>44519</v>
      </c>
      <c r="B223" s="22">
        <v>271.09</v>
      </c>
      <c r="C223" s="29">
        <v>7062</v>
      </c>
      <c r="D223" s="24">
        <v>141</v>
      </c>
      <c r="E223" s="23">
        <v>0</v>
      </c>
      <c r="F223" s="25">
        <v>0</v>
      </c>
      <c r="G223" s="23">
        <v>1</v>
      </c>
      <c r="H223" s="23">
        <v>0</v>
      </c>
      <c r="I223" s="23">
        <v>0</v>
      </c>
      <c r="J223" s="26">
        <v>0.02</v>
      </c>
      <c r="K223" s="27">
        <v>1.92</v>
      </c>
      <c r="L223" s="30">
        <v>12.93</v>
      </c>
      <c r="M223" s="23">
        <v>0</v>
      </c>
      <c r="N223" s="31">
        <v>0</v>
      </c>
    </row>
    <row r="224" s="2" customFormat="1" hidden="1" spans="1:14">
      <c r="A224" s="21">
        <f t="shared" si="4"/>
        <v>44520</v>
      </c>
      <c r="B224" s="22" t="s">
        <v>14</v>
      </c>
      <c r="C224" s="25" t="s">
        <v>14</v>
      </c>
      <c r="D224" s="32" t="s">
        <v>14</v>
      </c>
      <c r="E224" s="25" t="s">
        <v>14</v>
      </c>
      <c r="F224" s="25" t="s">
        <v>14</v>
      </c>
      <c r="G224" s="25" t="s">
        <v>14</v>
      </c>
      <c r="H224" s="25" t="s">
        <v>14</v>
      </c>
      <c r="I224" s="25" t="s">
        <v>14</v>
      </c>
      <c r="J224" s="25" t="s">
        <v>14</v>
      </c>
      <c r="K224" s="25" t="s">
        <v>14</v>
      </c>
      <c r="L224" s="25" t="s">
        <v>14</v>
      </c>
      <c r="M224" s="25" t="s">
        <v>14</v>
      </c>
      <c r="N224" s="33" t="s">
        <v>14</v>
      </c>
    </row>
    <row r="225" s="2" customFormat="1" hidden="1" spans="1:14">
      <c r="A225" s="21">
        <f t="shared" si="4"/>
        <v>44521</v>
      </c>
      <c r="B225" s="22">
        <v>300</v>
      </c>
      <c r="C225" s="29">
        <v>9333</v>
      </c>
      <c r="D225" s="24">
        <v>139</v>
      </c>
      <c r="E225" s="23">
        <v>0</v>
      </c>
      <c r="F225" s="25">
        <v>0</v>
      </c>
      <c r="G225" s="23">
        <v>0</v>
      </c>
      <c r="H225" s="23">
        <v>1</v>
      </c>
      <c r="I225" s="23">
        <v>0</v>
      </c>
      <c r="J225" s="26">
        <v>0.0149</v>
      </c>
      <c r="K225" s="27">
        <v>2.16</v>
      </c>
      <c r="L225" s="30">
        <v>21.33</v>
      </c>
      <c r="M225" s="23">
        <v>0</v>
      </c>
      <c r="N225" s="31">
        <v>0</v>
      </c>
    </row>
    <row r="226" s="2" customFormat="1" hidden="1" spans="1:14">
      <c r="A226" s="21">
        <f t="shared" si="4"/>
        <v>44522</v>
      </c>
      <c r="B226" s="22">
        <v>242.59</v>
      </c>
      <c r="C226" s="29">
        <v>9132</v>
      </c>
      <c r="D226" s="24">
        <v>115</v>
      </c>
      <c r="E226" s="23">
        <v>0</v>
      </c>
      <c r="F226" s="25">
        <v>0</v>
      </c>
      <c r="G226" s="23">
        <v>0</v>
      </c>
      <c r="H226" s="23">
        <v>1</v>
      </c>
      <c r="I226" s="23">
        <v>0</v>
      </c>
      <c r="J226" s="26">
        <v>0.0126</v>
      </c>
      <c r="K226" s="27">
        <v>2.11</v>
      </c>
      <c r="L226" s="30">
        <v>30.69</v>
      </c>
      <c r="M226" s="23">
        <v>0</v>
      </c>
      <c r="N226" s="31">
        <v>0</v>
      </c>
    </row>
    <row r="227" s="2" customFormat="1" hidden="1" spans="1:14">
      <c r="A227" s="21">
        <f t="shared" si="4"/>
        <v>44523</v>
      </c>
      <c r="B227" s="22">
        <v>0</v>
      </c>
      <c r="C227" s="29" t="s">
        <v>14</v>
      </c>
      <c r="D227" s="24" t="s">
        <v>14</v>
      </c>
      <c r="E227" s="29" t="s">
        <v>14</v>
      </c>
      <c r="F227" s="29" t="s">
        <v>14</v>
      </c>
      <c r="G227" s="29" t="s">
        <v>14</v>
      </c>
      <c r="H227" s="29" t="s">
        <v>14</v>
      </c>
      <c r="I227" s="29" t="s">
        <v>14</v>
      </c>
      <c r="J227" s="29" t="s">
        <v>14</v>
      </c>
      <c r="K227" s="29" t="s">
        <v>14</v>
      </c>
      <c r="L227" s="29" t="s">
        <v>14</v>
      </c>
      <c r="M227" s="29" t="s">
        <v>14</v>
      </c>
      <c r="N227" s="31" t="s">
        <v>14</v>
      </c>
    </row>
    <row r="228" s="2" customFormat="1" hidden="1" spans="1:14">
      <c r="A228" s="21">
        <f t="shared" si="4"/>
        <v>44524</v>
      </c>
      <c r="B228" s="22">
        <v>271.05</v>
      </c>
      <c r="C228" s="29">
        <v>13717</v>
      </c>
      <c r="D228" s="24">
        <v>153</v>
      </c>
      <c r="E228" s="23">
        <v>0</v>
      </c>
      <c r="F228" s="25">
        <v>0</v>
      </c>
      <c r="G228" s="23">
        <v>0</v>
      </c>
      <c r="H228" s="23">
        <v>1</v>
      </c>
      <c r="I228" s="23">
        <v>0</v>
      </c>
      <c r="J228" s="26">
        <v>0.0112</v>
      </c>
      <c r="K228" s="27">
        <v>1.77</v>
      </c>
      <c r="L228" s="30">
        <v>29.25</v>
      </c>
      <c r="M228" s="23">
        <v>0</v>
      </c>
      <c r="N228" s="31">
        <v>0</v>
      </c>
    </row>
    <row r="229" s="2" customFormat="1" hidden="1" spans="1:14">
      <c r="A229" s="21">
        <f t="shared" si="4"/>
        <v>44525</v>
      </c>
      <c r="B229" s="22">
        <v>276.31</v>
      </c>
      <c r="C229" s="29">
        <v>8931</v>
      </c>
      <c r="D229" s="24">
        <v>134</v>
      </c>
      <c r="E229" s="23">
        <v>0</v>
      </c>
      <c r="F229" s="25">
        <v>0</v>
      </c>
      <c r="G229" s="23">
        <v>0</v>
      </c>
      <c r="H229" s="23">
        <v>0</v>
      </c>
      <c r="I229" s="23">
        <v>0</v>
      </c>
      <c r="J229" s="26">
        <v>0.015</v>
      </c>
      <c r="K229" s="27">
        <v>2.06</v>
      </c>
      <c r="L229" s="30">
        <v>135.11</v>
      </c>
      <c r="M229" s="23">
        <v>0</v>
      </c>
      <c r="N229" s="31">
        <v>0</v>
      </c>
    </row>
    <row r="230" s="2" customFormat="1" hidden="1" spans="1:14">
      <c r="A230" s="21">
        <f t="shared" si="4"/>
        <v>44526</v>
      </c>
      <c r="B230" s="22">
        <v>246.09</v>
      </c>
      <c r="C230" s="29">
        <v>5410</v>
      </c>
      <c r="D230" s="24">
        <v>112</v>
      </c>
      <c r="E230" s="23">
        <v>0</v>
      </c>
      <c r="F230" s="25">
        <v>0</v>
      </c>
      <c r="G230" s="23">
        <v>0</v>
      </c>
      <c r="H230" s="23">
        <v>0</v>
      </c>
      <c r="I230" s="23">
        <v>0</v>
      </c>
      <c r="J230" s="26">
        <v>0.0207</v>
      </c>
      <c r="K230" s="27">
        <v>2.2</v>
      </c>
      <c r="L230" s="30">
        <v>239.83</v>
      </c>
      <c r="M230" s="23">
        <v>0</v>
      </c>
      <c r="N230" s="31">
        <v>0</v>
      </c>
    </row>
    <row r="231" s="2" customFormat="1" hidden="1" spans="1:14">
      <c r="A231" s="21">
        <f t="shared" si="4"/>
        <v>44527</v>
      </c>
      <c r="B231" s="22">
        <v>0</v>
      </c>
      <c r="C231" s="29" t="s">
        <v>14</v>
      </c>
      <c r="D231" s="24" t="s">
        <v>14</v>
      </c>
      <c r="E231" s="29" t="s">
        <v>14</v>
      </c>
      <c r="F231" s="29" t="s">
        <v>14</v>
      </c>
      <c r="G231" s="29" t="s">
        <v>14</v>
      </c>
      <c r="H231" s="29" t="s">
        <v>14</v>
      </c>
      <c r="I231" s="29" t="s">
        <v>14</v>
      </c>
      <c r="J231" s="29" t="s">
        <v>14</v>
      </c>
      <c r="K231" s="29" t="s">
        <v>14</v>
      </c>
      <c r="L231" s="29" t="s">
        <v>14</v>
      </c>
      <c r="M231" s="29" t="s">
        <v>14</v>
      </c>
      <c r="N231" s="31" t="s">
        <v>14</v>
      </c>
    </row>
    <row r="232" s="2" customFormat="1" hidden="1" spans="1:14">
      <c r="A232" s="21">
        <f t="shared" si="4"/>
        <v>44528</v>
      </c>
      <c r="B232" s="22">
        <v>278.99</v>
      </c>
      <c r="C232" s="29">
        <v>5750</v>
      </c>
      <c r="D232" s="24">
        <v>158</v>
      </c>
      <c r="E232" s="23">
        <v>0</v>
      </c>
      <c r="F232" s="25">
        <v>0</v>
      </c>
      <c r="G232" s="23">
        <v>0</v>
      </c>
      <c r="H232" s="23">
        <v>1</v>
      </c>
      <c r="I232" s="23">
        <v>0</v>
      </c>
      <c r="J232" s="26">
        <v>0.0275</v>
      </c>
      <c r="K232" s="27">
        <v>1.77</v>
      </c>
      <c r="L232" s="30">
        <v>93</v>
      </c>
      <c r="M232" s="23">
        <v>0</v>
      </c>
      <c r="N232" s="31">
        <v>0</v>
      </c>
    </row>
    <row r="233" s="2" customFormat="1" hidden="1" spans="1:14">
      <c r="A233" s="21">
        <f t="shared" si="4"/>
        <v>44529</v>
      </c>
      <c r="B233" s="22">
        <v>300</v>
      </c>
      <c r="C233" s="29">
        <v>12328</v>
      </c>
      <c r="D233" s="24">
        <v>143</v>
      </c>
      <c r="E233" s="23">
        <v>0</v>
      </c>
      <c r="F233" s="25">
        <v>0</v>
      </c>
      <c r="G233" s="23">
        <v>0</v>
      </c>
      <c r="H233" s="23">
        <v>0</v>
      </c>
      <c r="I233" s="23">
        <v>0</v>
      </c>
      <c r="J233" s="26">
        <v>0.0116</v>
      </c>
      <c r="K233" s="27">
        <v>2.1</v>
      </c>
      <c r="L233" s="30">
        <v>294</v>
      </c>
      <c r="M233" s="23">
        <v>0</v>
      </c>
      <c r="N233" s="31">
        <v>0</v>
      </c>
    </row>
    <row r="234" s="2" customFormat="1" hidden="1" spans="1:14">
      <c r="A234" s="21">
        <f t="shared" si="4"/>
        <v>44530</v>
      </c>
      <c r="B234" s="22">
        <v>2</v>
      </c>
      <c r="C234" s="29">
        <v>0</v>
      </c>
      <c r="D234" s="24">
        <v>1</v>
      </c>
      <c r="E234" s="23">
        <v>0</v>
      </c>
      <c r="F234" s="25">
        <v>0</v>
      </c>
      <c r="G234" s="23">
        <v>0</v>
      </c>
      <c r="H234" s="23">
        <v>0</v>
      </c>
      <c r="I234" s="23">
        <v>0</v>
      </c>
      <c r="J234" s="26">
        <v>0</v>
      </c>
      <c r="K234" s="27">
        <v>2</v>
      </c>
      <c r="L234" s="30">
        <v>0</v>
      </c>
      <c r="M234" s="23">
        <v>0</v>
      </c>
      <c r="N234" s="31">
        <v>0</v>
      </c>
    </row>
    <row r="235" s="2" customFormat="1" hidden="1" spans="1:14">
      <c r="A235" s="21">
        <f t="shared" si="4"/>
        <v>44531</v>
      </c>
      <c r="B235" s="22">
        <v>300</v>
      </c>
      <c r="C235" s="29">
        <v>80233</v>
      </c>
      <c r="D235" s="24">
        <v>259</v>
      </c>
      <c r="E235" s="23">
        <v>0</v>
      </c>
      <c r="F235" s="25">
        <v>0</v>
      </c>
      <c r="G235" s="23">
        <v>0</v>
      </c>
      <c r="H235" s="23">
        <v>0</v>
      </c>
      <c r="I235" s="23">
        <v>0</v>
      </c>
      <c r="J235" s="26">
        <v>0.0032</v>
      </c>
      <c r="K235" s="27">
        <v>1.16</v>
      </c>
      <c r="L235" s="30">
        <v>13.68</v>
      </c>
      <c r="M235" s="23">
        <v>0</v>
      </c>
      <c r="N235" s="31">
        <v>0</v>
      </c>
    </row>
    <row r="236" s="2" customFormat="1" hidden="1" spans="1:14">
      <c r="A236" s="21">
        <f t="shared" si="4"/>
        <v>44532</v>
      </c>
      <c r="B236" s="22">
        <v>300</v>
      </c>
      <c r="C236" s="29">
        <v>15774</v>
      </c>
      <c r="D236" s="24">
        <v>163</v>
      </c>
      <c r="E236" s="23">
        <v>0</v>
      </c>
      <c r="F236" s="25">
        <v>0</v>
      </c>
      <c r="G236" s="23">
        <v>0</v>
      </c>
      <c r="H236" s="23">
        <v>0</v>
      </c>
      <c r="I236" s="23">
        <v>0</v>
      </c>
      <c r="J236" s="26">
        <v>0.0103</v>
      </c>
      <c r="K236" s="27">
        <v>1.84</v>
      </c>
      <c r="L236" s="30">
        <v>296.04</v>
      </c>
      <c r="M236" s="23">
        <v>0</v>
      </c>
      <c r="N236" s="31">
        <v>0</v>
      </c>
    </row>
    <row r="237" s="2" customFormat="1" hidden="1" spans="1:14">
      <c r="A237" s="21">
        <f t="shared" si="4"/>
        <v>44533</v>
      </c>
      <c r="B237" s="22">
        <v>294.98</v>
      </c>
      <c r="C237" s="29">
        <v>12525</v>
      </c>
      <c r="D237" s="24">
        <v>169</v>
      </c>
      <c r="E237" s="23">
        <v>0</v>
      </c>
      <c r="F237" s="25">
        <v>0</v>
      </c>
      <c r="G237" s="23">
        <v>0</v>
      </c>
      <c r="H237" s="23">
        <v>2</v>
      </c>
      <c r="I237" s="23">
        <v>0</v>
      </c>
      <c r="J237" s="26">
        <v>0.0135</v>
      </c>
      <c r="K237" s="27">
        <v>1.75</v>
      </c>
      <c r="L237" s="30">
        <v>24.999</v>
      </c>
      <c r="M237" s="23">
        <v>0</v>
      </c>
      <c r="N237" s="31">
        <v>0</v>
      </c>
    </row>
    <row r="238" s="2" customFormat="1" hidden="1" spans="1:14">
      <c r="A238" s="21">
        <f t="shared" si="4"/>
        <v>44534</v>
      </c>
      <c r="B238" s="22">
        <v>0</v>
      </c>
      <c r="C238" s="29" t="s">
        <v>14</v>
      </c>
      <c r="D238" s="24" t="s">
        <v>14</v>
      </c>
      <c r="E238" s="29" t="s">
        <v>14</v>
      </c>
      <c r="F238" s="29" t="s">
        <v>14</v>
      </c>
      <c r="G238" s="29" t="s">
        <v>14</v>
      </c>
      <c r="H238" s="29" t="s">
        <v>14</v>
      </c>
      <c r="I238" s="29" t="s">
        <v>14</v>
      </c>
      <c r="J238" s="29" t="s">
        <v>14</v>
      </c>
      <c r="K238" s="29" t="s">
        <v>14</v>
      </c>
      <c r="L238" s="29" t="s">
        <v>14</v>
      </c>
      <c r="M238" s="29" t="s">
        <v>14</v>
      </c>
      <c r="N238" s="31" t="s">
        <v>14</v>
      </c>
    </row>
    <row r="239" s="2" customFormat="1" hidden="1" spans="1:14">
      <c r="A239" s="21">
        <f t="shared" si="4"/>
        <v>44535</v>
      </c>
      <c r="B239" s="22">
        <v>300</v>
      </c>
      <c r="C239" s="29">
        <v>3489</v>
      </c>
      <c r="D239" s="24">
        <v>155</v>
      </c>
      <c r="E239" s="23">
        <v>0</v>
      </c>
      <c r="F239" s="25">
        <v>0</v>
      </c>
      <c r="G239" s="23">
        <v>0</v>
      </c>
      <c r="H239" s="23">
        <v>0</v>
      </c>
      <c r="I239" s="23">
        <v>0</v>
      </c>
      <c r="J239" s="26">
        <v>0.0444</v>
      </c>
      <c r="K239" s="27">
        <v>1.94</v>
      </c>
      <c r="L239" s="30">
        <v>0</v>
      </c>
      <c r="M239" s="23">
        <v>0</v>
      </c>
      <c r="N239" s="31">
        <v>0</v>
      </c>
    </row>
    <row r="240" s="2" customFormat="1" hidden="1" spans="1:14">
      <c r="A240" s="21">
        <f t="shared" si="4"/>
        <v>44536</v>
      </c>
      <c r="B240" s="22">
        <v>300</v>
      </c>
      <c r="C240" s="29">
        <v>2478</v>
      </c>
      <c r="D240" s="24">
        <v>157</v>
      </c>
      <c r="E240" s="23">
        <v>0</v>
      </c>
      <c r="F240" s="25">
        <v>0</v>
      </c>
      <c r="G240" s="23">
        <v>1</v>
      </c>
      <c r="H240" s="23">
        <v>0</v>
      </c>
      <c r="I240" s="23">
        <v>0</v>
      </c>
      <c r="J240" s="26">
        <v>0.06334</v>
      </c>
      <c r="K240" s="27">
        <v>1.91</v>
      </c>
      <c r="L240" s="30">
        <v>73.52</v>
      </c>
      <c r="M240" s="23">
        <v>0</v>
      </c>
      <c r="N240" s="31">
        <v>0</v>
      </c>
    </row>
    <row r="241" s="2" customFormat="1" hidden="1" spans="1:14">
      <c r="A241" s="21">
        <f t="shared" si="4"/>
        <v>44537</v>
      </c>
      <c r="B241" s="22">
        <v>0</v>
      </c>
      <c r="C241" s="29"/>
      <c r="D241" s="24"/>
      <c r="E241" s="23"/>
      <c r="F241" s="25"/>
      <c r="G241" s="23"/>
      <c r="H241" s="23"/>
      <c r="I241" s="23"/>
      <c r="J241" s="26"/>
      <c r="K241" s="27"/>
      <c r="L241" s="30"/>
      <c r="M241" s="23"/>
      <c r="N241" s="31"/>
    </row>
    <row r="242" s="2" customFormat="1" hidden="1" spans="1:14">
      <c r="A242" s="21">
        <f t="shared" si="4"/>
        <v>44538</v>
      </c>
      <c r="B242" s="22">
        <v>300</v>
      </c>
      <c r="C242" s="29">
        <v>2316</v>
      </c>
      <c r="D242" s="24">
        <v>156</v>
      </c>
      <c r="E242" s="23">
        <v>0</v>
      </c>
      <c r="F242" s="25">
        <v>0</v>
      </c>
      <c r="G242" s="23">
        <v>1</v>
      </c>
      <c r="H242" s="23">
        <v>0</v>
      </c>
      <c r="I242" s="23">
        <v>0</v>
      </c>
      <c r="J242" s="26">
        <v>0.0674</v>
      </c>
      <c r="K242" s="27">
        <v>1.92</v>
      </c>
      <c r="L242" s="30">
        <v>74.48</v>
      </c>
      <c r="M242" s="23">
        <v>0</v>
      </c>
      <c r="N242" s="31">
        <v>0</v>
      </c>
    </row>
    <row r="243" s="2" customFormat="1" hidden="1" spans="1:14">
      <c r="A243" s="21">
        <f t="shared" si="4"/>
        <v>44539</v>
      </c>
      <c r="B243" s="22">
        <v>116.95</v>
      </c>
      <c r="C243" s="29">
        <v>4166</v>
      </c>
      <c r="D243" s="24">
        <v>71</v>
      </c>
      <c r="E243" s="23">
        <v>0</v>
      </c>
      <c r="F243" s="25">
        <v>0</v>
      </c>
      <c r="G243" s="23">
        <v>0</v>
      </c>
      <c r="H243" s="23">
        <v>0</v>
      </c>
      <c r="I243" s="23">
        <v>0</v>
      </c>
      <c r="J243" s="26">
        <v>0.017</v>
      </c>
      <c r="K243" s="27">
        <v>1.65</v>
      </c>
      <c r="L243" s="30">
        <v>22.13</v>
      </c>
      <c r="M243" s="23">
        <v>0</v>
      </c>
      <c r="N243" s="31">
        <v>0</v>
      </c>
    </row>
    <row r="244" s="2" customFormat="1" hidden="1" spans="1:14">
      <c r="A244" s="21">
        <f t="shared" si="4"/>
        <v>44540</v>
      </c>
      <c r="B244" s="22">
        <v>128.75</v>
      </c>
      <c r="C244" s="29">
        <v>5087</v>
      </c>
      <c r="D244" s="24">
        <v>75</v>
      </c>
      <c r="E244" s="23">
        <v>0</v>
      </c>
      <c r="F244" s="25">
        <v>0</v>
      </c>
      <c r="G244" s="23">
        <v>0</v>
      </c>
      <c r="H244" s="23">
        <v>0</v>
      </c>
      <c r="I244" s="23">
        <v>0</v>
      </c>
      <c r="J244" s="26">
        <v>0.0147</v>
      </c>
      <c r="K244" s="27">
        <v>1.72</v>
      </c>
      <c r="L244" s="30">
        <v>15.02</v>
      </c>
      <c r="M244" s="23">
        <v>0</v>
      </c>
      <c r="N244" s="31">
        <v>0</v>
      </c>
    </row>
    <row r="245" s="2" customFormat="1" hidden="1" spans="1:14">
      <c r="A245" s="21">
        <f t="shared" si="4"/>
        <v>44541</v>
      </c>
      <c r="B245" s="22">
        <v>1.12</v>
      </c>
      <c r="C245" s="29">
        <v>2</v>
      </c>
      <c r="D245" s="24">
        <v>1</v>
      </c>
      <c r="E245" s="23">
        <v>0</v>
      </c>
      <c r="F245" s="25">
        <v>0</v>
      </c>
      <c r="G245" s="23">
        <v>0</v>
      </c>
      <c r="H245" s="23">
        <v>0</v>
      </c>
      <c r="I245" s="23">
        <v>0</v>
      </c>
      <c r="J245" s="26">
        <v>0.5</v>
      </c>
      <c r="K245" s="27">
        <v>1.12</v>
      </c>
      <c r="L245" s="30">
        <v>1.12</v>
      </c>
      <c r="M245" s="23">
        <v>0</v>
      </c>
      <c r="N245" s="31">
        <v>0</v>
      </c>
    </row>
    <row r="246" s="2" customFormat="1" hidden="1" spans="1:14">
      <c r="A246" s="21">
        <f t="shared" si="4"/>
        <v>44542</v>
      </c>
      <c r="B246" s="22">
        <v>105.55</v>
      </c>
      <c r="C246" s="29">
        <v>2669</v>
      </c>
      <c r="D246" s="24">
        <v>60</v>
      </c>
      <c r="E246" s="23">
        <v>2</v>
      </c>
      <c r="F246" s="25">
        <v>224</v>
      </c>
      <c r="G246" s="23">
        <v>0</v>
      </c>
      <c r="H246" s="23">
        <v>1</v>
      </c>
      <c r="I246" s="23">
        <v>0</v>
      </c>
      <c r="J246" s="26">
        <v>0.0225</v>
      </c>
      <c r="K246" s="27">
        <v>1.76</v>
      </c>
      <c r="L246" s="30">
        <v>19.31</v>
      </c>
      <c r="M246" s="23">
        <v>2.12</v>
      </c>
      <c r="N246" s="31">
        <v>0.0333</v>
      </c>
    </row>
    <row r="247" s="2" customFormat="1" hidden="1" spans="1:14">
      <c r="A247" s="21">
        <f t="shared" si="4"/>
        <v>44543</v>
      </c>
      <c r="B247" s="22">
        <v>259.63</v>
      </c>
      <c r="C247" s="29">
        <v>4648</v>
      </c>
      <c r="D247" s="24">
        <v>84</v>
      </c>
      <c r="E247" s="23">
        <v>0</v>
      </c>
      <c r="F247" s="25">
        <v>0</v>
      </c>
      <c r="G247" s="23">
        <v>0</v>
      </c>
      <c r="H247" s="23">
        <v>0</v>
      </c>
      <c r="I247" s="23">
        <v>0</v>
      </c>
      <c r="J247" s="26">
        <v>0.0181</v>
      </c>
      <c r="K247" s="27">
        <v>3.09</v>
      </c>
      <c r="L247" s="30">
        <v>75.93</v>
      </c>
      <c r="M247" s="23">
        <v>0</v>
      </c>
      <c r="N247" s="31">
        <v>0</v>
      </c>
    </row>
    <row r="248" s="2" customFormat="1" hidden="1" spans="1:14">
      <c r="A248" s="21">
        <f t="shared" si="4"/>
        <v>44544</v>
      </c>
      <c r="B248" s="22" t="s">
        <v>14</v>
      </c>
      <c r="C248" s="25" t="s">
        <v>14</v>
      </c>
      <c r="D248" s="32" t="s">
        <v>14</v>
      </c>
      <c r="E248" s="25" t="s">
        <v>14</v>
      </c>
      <c r="F248" s="25" t="s">
        <v>14</v>
      </c>
      <c r="G248" s="25" t="s">
        <v>14</v>
      </c>
      <c r="H248" s="25" t="s">
        <v>14</v>
      </c>
      <c r="I248" s="25" t="s">
        <v>14</v>
      </c>
      <c r="J248" s="25" t="s">
        <v>14</v>
      </c>
      <c r="K248" s="25" t="s">
        <v>14</v>
      </c>
      <c r="L248" s="25" t="s">
        <v>14</v>
      </c>
      <c r="M248" s="25" t="s">
        <v>14</v>
      </c>
      <c r="N248" s="33" t="s">
        <v>14</v>
      </c>
    </row>
    <row r="249" s="2" customFormat="1" hidden="1" spans="1:14">
      <c r="A249" s="21">
        <f t="shared" si="4"/>
        <v>44545</v>
      </c>
      <c r="B249" s="22">
        <v>300</v>
      </c>
      <c r="C249" s="29">
        <v>4180</v>
      </c>
      <c r="D249" s="24">
        <v>78</v>
      </c>
      <c r="E249" s="23">
        <v>0</v>
      </c>
      <c r="F249" s="25">
        <v>0</v>
      </c>
      <c r="G249" s="23">
        <v>0</v>
      </c>
      <c r="H249" s="23">
        <v>1</v>
      </c>
      <c r="I249" s="23">
        <v>1</v>
      </c>
      <c r="J249" s="26">
        <v>0.0187</v>
      </c>
      <c r="K249" s="27">
        <v>3.85</v>
      </c>
      <c r="L249" s="30">
        <v>47.39</v>
      </c>
      <c r="M249" s="23">
        <v>0</v>
      </c>
      <c r="N249" s="31">
        <v>0</v>
      </c>
    </row>
    <row r="250" s="2" customFormat="1" hidden="1" spans="1:14">
      <c r="A250" s="21">
        <f t="shared" si="4"/>
        <v>44546</v>
      </c>
      <c r="B250" s="22">
        <v>300</v>
      </c>
      <c r="C250" s="29">
        <v>2543</v>
      </c>
      <c r="D250" s="24">
        <v>81</v>
      </c>
      <c r="E250" s="23">
        <v>0</v>
      </c>
      <c r="F250" s="25">
        <v>0</v>
      </c>
      <c r="G250" s="23">
        <v>0</v>
      </c>
      <c r="H250" s="23">
        <v>0</v>
      </c>
      <c r="I250" s="23">
        <v>1</v>
      </c>
      <c r="J250" s="26">
        <v>0.0319</v>
      </c>
      <c r="K250" s="27">
        <v>3.7</v>
      </c>
      <c r="L250" s="30">
        <v>3.13</v>
      </c>
      <c r="M250" s="23">
        <v>0</v>
      </c>
      <c r="N250" s="31">
        <v>0</v>
      </c>
    </row>
    <row r="251" s="2" customFormat="1" hidden="1" spans="1:14">
      <c r="A251" s="21">
        <f t="shared" si="4"/>
        <v>44547</v>
      </c>
      <c r="B251" s="22" t="s">
        <v>14</v>
      </c>
      <c r="C251" s="25" t="s">
        <v>14</v>
      </c>
      <c r="D251" s="32" t="s">
        <v>14</v>
      </c>
      <c r="E251" s="25" t="s">
        <v>14</v>
      </c>
      <c r="F251" s="25" t="s">
        <v>14</v>
      </c>
      <c r="G251" s="25" t="s">
        <v>14</v>
      </c>
      <c r="H251" s="25" t="s">
        <v>14</v>
      </c>
      <c r="I251" s="25" t="s">
        <v>14</v>
      </c>
      <c r="J251" s="25" t="s">
        <v>14</v>
      </c>
      <c r="K251" s="25" t="s">
        <v>14</v>
      </c>
      <c r="L251" s="25" t="s">
        <v>14</v>
      </c>
      <c r="M251" s="25" t="s">
        <v>14</v>
      </c>
      <c r="N251" s="33" t="s">
        <v>14</v>
      </c>
    </row>
    <row r="252" s="2" customFormat="1" hidden="1" spans="1:14">
      <c r="A252" s="21">
        <f t="shared" si="4"/>
        <v>44548</v>
      </c>
      <c r="B252" s="22" t="s">
        <v>14</v>
      </c>
      <c r="C252" s="25" t="s">
        <v>14</v>
      </c>
      <c r="D252" s="32" t="s">
        <v>14</v>
      </c>
      <c r="E252" s="25" t="s">
        <v>14</v>
      </c>
      <c r="F252" s="25" t="s">
        <v>14</v>
      </c>
      <c r="G252" s="25" t="s">
        <v>14</v>
      </c>
      <c r="H252" s="25" t="s">
        <v>14</v>
      </c>
      <c r="I252" s="25" t="s">
        <v>14</v>
      </c>
      <c r="J252" s="25" t="s">
        <v>14</v>
      </c>
      <c r="K252" s="25" t="s">
        <v>14</v>
      </c>
      <c r="L252" s="25" t="s">
        <v>14</v>
      </c>
      <c r="M252" s="25" t="s">
        <v>14</v>
      </c>
      <c r="N252" s="33" t="s">
        <v>14</v>
      </c>
    </row>
    <row r="253" s="2" customFormat="1" hidden="1" spans="1:14">
      <c r="A253" s="21">
        <f t="shared" si="4"/>
        <v>44549</v>
      </c>
      <c r="B253" s="22" t="s">
        <v>14</v>
      </c>
      <c r="C253" s="25" t="s">
        <v>14</v>
      </c>
      <c r="D253" s="32" t="s">
        <v>14</v>
      </c>
      <c r="E253" s="25" t="s">
        <v>14</v>
      </c>
      <c r="F253" s="25" t="s">
        <v>14</v>
      </c>
      <c r="G253" s="25" t="s">
        <v>14</v>
      </c>
      <c r="H253" s="25" t="s">
        <v>14</v>
      </c>
      <c r="I253" s="25" t="s">
        <v>14</v>
      </c>
      <c r="J253" s="25" t="s">
        <v>14</v>
      </c>
      <c r="K253" s="25" t="s">
        <v>14</v>
      </c>
      <c r="L253" s="25" t="s">
        <v>14</v>
      </c>
      <c r="M253" s="25" t="s">
        <v>14</v>
      </c>
      <c r="N253" s="33" t="s">
        <v>14</v>
      </c>
    </row>
    <row r="254" s="2" customFormat="1" hidden="1" spans="1:14">
      <c r="A254" s="21">
        <f t="shared" si="4"/>
        <v>44550</v>
      </c>
      <c r="B254" s="22">
        <v>36.25</v>
      </c>
      <c r="C254" s="29">
        <v>574</v>
      </c>
      <c r="D254" s="24">
        <v>13</v>
      </c>
      <c r="E254" s="23">
        <v>0</v>
      </c>
      <c r="F254" s="25">
        <v>0</v>
      </c>
      <c r="G254" s="23">
        <v>0</v>
      </c>
      <c r="H254" s="23">
        <v>0</v>
      </c>
      <c r="I254" s="23">
        <v>0</v>
      </c>
      <c r="J254" s="26">
        <v>0.0226</v>
      </c>
      <c r="K254" s="27">
        <v>2.709</v>
      </c>
      <c r="L254" s="30">
        <v>36.25</v>
      </c>
      <c r="M254" s="23">
        <v>0</v>
      </c>
      <c r="N254" s="31">
        <v>0</v>
      </c>
    </row>
    <row r="255" s="2" customFormat="1" hidden="1" spans="1:14">
      <c r="A255" s="21">
        <f t="shared" si="4"/>
        <v>44551</v>
      </c>
      <c r="B255" s="22">
        <v>101.54</v>
      </c>
      <c r="C255" s="29">
        <v>6919</v>
      </c>
      <c r="D255" s="24">
        <v>39</v>
      </c>
      <c r="E255" s="23">
        <v>0</v>
      </c>
      <c r="F255" s="25">
        <v>0</v>
      </c>
      <c r="G255" s="23">
        <v>0</v>
      </c>
      <c r="H255" s="23">
        <v>0</v>
      </c>
      <c r="I255" s="23">
        <v>0</v>
      </c>
      <c r="J255" s="26">
        <v>0.0056</v>
      </c>
      <c r="K255" s="27">
        <v>2.6</v>
      </c>
      <c r="L255" s="30">
        <v>20.26</v>
      </c>
      <c r="M255" s="23">
        <v>0</v>
      </c>
      <c r="N255" s="31">
        <v>0</v>
      </c>
    </row>
    <row r="256" s="2" customFormat="1" hidden="1" spans="1:14">
      <c r="A256" s="21">
        <f t="shared" si="4"/>
        <v>44552</v>
      </c>
      <c r="B256" s="22">
        <v>265.29</v>
      </c>
      <c r="C256" s="29">
        <v>4344</v>
      </c>
      <c r="D256" s="24">
        <v>105</v>
      </c>
      <c r="E256" s="23">
        <v>0</v>
      </c>
      <c r="F256" s="25">
        <v>0</v>
      </c>
      <c r="G256" s="23">
        <v>0</v>
      </c>
      <c r="H256" s="23">
        <v>0</v>
      </c>
      <c r="I256" s="23">
        <v>0</v>
      </c>
      <c r="J256" s="26">
        <v>0.0242</v>
      </c>
      <c r="K256" s="27">
        <v>2.53</v>
      </c>
      <c r="L256" s="30">
        <v>13.27</v>
      </c>
      <c r="M256" s="23">
        <v>0</v>
      </c>
      <c r="N256" s="31">
        <v>0</v>
      </c>
    </row>
    <row r="257" s="2" customFormat="1" hidden="1" spans="1:14">
      <c r="A257" s="21">
        <f t="shared" si="4"/>
        <v>44553</v>
      </c>
      <c r="B257" s="22">
        <v>270.25</v>
      </c>
      <c r="C257" s="29">
        <v>3808</v>
      </c>
      <c r="D257" s="24">
        <v>94</v>
      </c>
      <c r="E257" s="23">
        <v>0</v>
      </c>
      <c r="F257" s="25">
        <v>0</v>
      </c>
      <c r="G257" s="23">
        <v>0</v>
      </c>
      <c r="H257" s="23">
        <v>0</v>
      </c>
      <c r="I257" s="23">
        <v>0</v>
      </c>
      <c r="J257" s="26">
        <v>0.0247</v>
      </c>
      <c r="K257" s="27">
        <v>2.88</v>
      </c>
      <c r="L257" s="30">
        <v>15.43</v>
      </c>
      <c r="M257" s="23">
        <v>0</v>
      </c>
      <c r="N257" s="31">
        <v>0</v>
      </c>
    </row>
    <row r="258" s="2" customFormat="1" hidden="1" spans="1:14">
      <c r="A258" s="21">
        <f t="shared" ref="A258:A321" si="5">A257+1</f>
        <v>44554</v>
      </c>
      <c r="B258" s="22">
        <v>266.84</v>
      </c>
      <c r="C258" s="29">
        <v>2781</v>
      </c>
      <c r="D258" s="24">
        <v>114</v>
      </c>
      <c r="E258" s="23">
        <v>0</v>
      </c>
      <c r="F258" s="25">
        <v>0</v>
      </c>
      <c r="G258" s="23">
        <v>0</v>
      </c>
      <c r="H258" s="23">
        <v>1</v>
      </c>
      <c r="I258" s="23">
        <v>0</v>
      </c>
      <c r="J258" s="26">
        <v>0.041</v>
      </c>
      <c r="K258" s="27">
        <v>2.34</v>
      </c>
      <c r="L258" s="30">
        <v>15.57</v>
      </c>
      <c r="M258" s="23">
        <v>0</v>
      </c>
      <c r="N258" s="31">
        <v>0</v>
      </c>
    </row>
    <row r="259" s="2" customFormat="1" hidden="1" spans="1:14">
      <c r="A259" s="21">
        <f t="shared" si="5"/>
        <v>44555</v>
      </c>
      <c r="B259" s="22" t="s">
        <v>14</v>
      </c>
      <c r="C259" s="25" t="s">
        <v>14</v>
      </c>
      <c r="D259" s="32" t="s">
        <v>14</v>
      </c>
      <c r="E259" s="25" t="s">
        <v>14</v>
      </c>
      <c r="F259" s="25" t="s">
        <v>14</v>
      </c>
      <c r="G259" s="25" t="s">
        <v>14</v>
      </c>
      <c r="H259" s="25" t="s">
        <v>14</v>
      </c>
      <c r="I259" s="25" t="s">
        <v>14</v>
      </c>
      <c r="J259" s="25" t="s">
        <v>14</v>
      </c>
      <c r="K259" s="25" t="s">
        <v>14</v>
      </c>
      <c r="L259" s="25" t="s">
        <v>14</v>
      </c>
      <c r="M259" s="25" t="s">
        <v>14</v>
      </c>
      <c r="N259" s="25" t="s">
        <v>14</v>
      </c>
    </row>
    <row r="260" s="2" customFormat="1" hidden="1" spans="1:14">
      <c r="A260" s="21">
        <f t="shared" si="5"/>
        <v>44556</v>
      </c>
      <c r="B260" s="22">
        <v>265.7</v>
      </c>
      <c r="C260" s="29">
        <v>2335</v>
      </c>
      <c r="D260" s="24">
        <v>115</v>
      </c>
      <c r="E260" s="23">
        <v>0</v>
      </c>
      <c r="F260" s="25">
        <v>0</v>
      </c>
      <c r="G260" s="23">
        <v>1</v>
      </c>
      <c r="H260" s="23">
        <v>0</v>
      </c>
      <c r="I260" s="23">
        <v>0</v>
      </c>
      <c r="J260" s="26">
        <v>0.0493</v>
      </c>
      <c r="K260" s="27">
        <v>2.31</v>
      </c>
      <c r="L260" s="30">
        <v>26.03</v>
      </c>
      <c r="M260" s="23">
        <v>0</v>
      </c>
      <c r="N260" s="31">
        <v>0</v>
      </c>
    </row>
    <row r="261" s="2" customFormat="1" hidden="1" spans="1:14">
      <c r="A261" s="21">
        <f t="shared" si="5"/>
        <v>44557</v>
      </c>
      <c r="B261" s="22">
        <v>257.15</v>
      </c>
      <c r="C261" s="29">
        <v>2418</v>
      </c>
      <c r="D261" s="24">
        <v>125</v>
      </c>
      <c r="E261" s="23">
        <v>0</v>
      </c>
      <c r="F261" s="25">
        <v>0</v>
      </c>
      <c r="G261" s="23">
        <v>1</v>
      </c>
      <c r="H261" s="23">
        <v>0</v>
      </c>
      <c r="I261" s="23">
        <v>0</v>
      </c>
      <c r="J261" s="26">
        <v>0.0517</v>
      </c>
      <c r="K261" s="27">
        <v>2.06</v>
      </c>
      <c r="L261" s="30">
        <v>12.52</v>
      </c>
      <c r="M261" s="23">
        <v>0</v>
      </c>
      <c r="N261" s="31">
        <v>0</v>
      </c>
    </row>
    <row r="262" s="2" customFormat="1" hidden="1" spans="1:14">
      <c r="A262" s="21">
        <f t="shared" si="5"/>
        <v>44558</v>
      </c>
      <c r="B262" s="22">
        <v>1.12</v>
      </c>
      <c r="C262" s="29">
        <v>7</v>
      </c>
      <c r="D262" s="24">
        <v>1</v>
      </c>
      <c r="E262" s="23">
        <v>0</v>
      </c>
      <c r="F262" s="25">
        <v>0</v>
      </c>
      <c r="G262" s="23">
        <v>0</v>
      </c>
      <c r="H262" s="23">
        <v>0</v>
      </c>
      <c r="I262" s="23">
        <v>0</v>
      </c>
      <c r="J262" s="26">
        <v>0.1429</v>
      </c>
      <c r="K262" s="27">
        <v>1.12</v>
      </c>
      <c r="L262" s="30">
        <v>1.12</v>
      </c>
      <c r="M262" s="23">
        <v>0</v>
      </c>
      <c r="N262" s="31">
        <v>0</v>
      </c>
    </row>
    <row r="263" s="2" customFormat="1" hidden="1" spans="1:14">
      <c r="A263" s="21">
        <f t="shared" si="5"/>
        <v>44559</v>
      </c>
      <c r="B263" s="22">
        <v>380.54</v>
      </c>
      <c r="C263" s="29">
        <v>52198</v>
      </c>
      <c r="D263" s="24">
        <v>261</v>
      </c>
      <c r="E263" s="23">
        <v>0</v>
      </c>
      <c r="F263" s="25">
        <v>0</v>
      </c>
      <c r="G263" s="23">
        <v>1</v>
      </c>
      <c r="H263" s="23">
        <v>1</v>
      </c>
      <c r="I263" s="23">
        <v>0</v>
      </c>
      <c r="J263" s="26">
        <v>0.005</v>
      </c>
      <c r="K263" s="27">
        <v>1.46</v>
      </c>
      <c r="L263" s="30">
        <v>19.35</v>
      </c>
      <c r="M263" s="23">
        <v>0</v>
      </c>
      <c r="N263" s="31">
        <v>0</v>
      </c>
    </row>
    <row r="264" s="2" customFormat="1" hidden="1" spans="1:14">
      <c r="A264" s="21">
        <f t="shared" si="5"/>
        <v>44560</v>
      </c>
      <c r="B264" s="22">
        <v>285.73</v>
      </c>
      <c r="C264" s="29">
        <v>31098</v>
      </c>
      <c r="D264" s="24">
        <v>144</v>
      </c>
      <c r="E264" s="23">
        <v>0</v>
      </c>
      <c r="F264" s="25">
        <v>0</v>
      </c>
      <c r="G264" s="23">
        <v>0</v>
      </c>
      <c r="H264" s="23">
        <v>0</v>
      </c>
      <c r="I264" s="23">
        <v>0</v>
      </c>
      <c r="J264" s="26">
        <v>0.0046</v>
      </c>
      <c r="K264" s="27">
        <v>1.98</v>
      </c>
      <c r="L264" s="30">
        <v>28.28</v>
      </c>
      <c r="M264" s="23">
        <v>0</v>
      </c>
      <c r="N264" s="31">
        <v>0</v>
      </c>
    </row>
    <row r="265" s="2" customFormat="1" hidden="1" spans="1:14">
      <c r="A265" s="21">
        <f t="shared" si="5"/>
        <v>44561</v>
      </c>
      <c r="B265" s="22">
        <v>207.09</v>
      </c>
      <c r="C265" s="29">
        <v>13062</v>
      </c>
      <c r="D265" s="24">
        <v>100</v>
      </c>
      <c r="E265" s="23">
        <v>0</v>
      </c>
      <c r="F265" s="25">
        <v>0</v>
      </c>
      <c r="G265" s="23">
        <v>0</v>
      </c>
      <c r="H265" s="23">
        <v>0</v>
      </c>
      <c r="I265" s="23">
        <v>1</v>
      </c>
      <c r="J265" s="26">
        <v>0.0077</v>
      </c>
      <c r="K265" s="27">
        <v>2.07</v>
      </c>
      <c r="L265" s="30">
        <v>22.74</v>
      </c>
      <c r="M265" s="23">
        <v>0</v>
      </c>
      <c r="N265" s="31">
        <v>0</v>
      </c>
    </row>
    <row r="266" s="2" customFormat="1" spans="1:14">
      <c r="A266" s="21" t="e">
        <f>#REF!+1</f>
        <v>#REF!</v>
      </c>
      <c r="B266" s="22">
        <v>8.16</v>
      </c>
      <c r="C266" s="25">
        <v>789</v>
      </c>
      <c r="D266" s="32">
        <v>14</v>
      </c>
      <c r="E266" s="34">
        <v>0</v>
      </c>
      <c r="F266" s="34">
        <v>0</v>
      </c>
      <c r="G266" s="34">
        <v>0</v>
      </c>
      <c r="H266" s="34">
        <v>0</v>
      </c>
      <c r="I266" s="34">
        <v>0</v>
      </c>
      <c r="J266" s="34">
        <v>0.0177</v>
      </c>
      <c r="K266" s="34">
        <v>0.58</v>
      </c>
      <c r="L266" s="34">
        <v>0</v>
      </c>
      <c r="M266" s="34">
        <v>0</v>
      </c>
      <c r="N266" s="26">
        <v>0</v>
      </c>
    </row>
    <row r="267" s="2" customFormat="1" spans="1:14">
      <c r="A267" s="21" t="e">
        <f>A266+1</f>
        <v>#REF!</v>
      </c>
      <c r="B267" s="22">
        <v>29.56</v>
      </c>
      <c r="C267" s="25">
        <v>2828</v>
      </c>
      <c r="D267" s="32">
        <v>42</v>
      </c>
      <c r="E267" s="34">
        <v>0</v>
      </c>
      <c r="F267" s="34">
        <v>0</v>
      </c>
      <c r="G267" s="34">
        <v>0</v>
      </c>
      <c r="H267" s="34">
        <v>0</v>
      </c>
      <c r="I267" s="34">
        <v>0</v>
      </c>
      <c r="J267" s="34">
        <v>0</v>
      </c>
      <c r="K267" s="34">
        <v>0</v>
      </c>
      <c r="L267" s="25">
        <v>6.79</v>
      </c>
      <c r="M267" s="34">
        <v>0</v>
      </c>
      <c r="N267" s="26">
        <v>0</v>
      </c>
    </row>
    <row r="268" s="2" customFormat="1" spans="1:14">
      <c r="A268" s="21" t="e">
        <f>A267+1</f>
        <v>#REF!</v>
      </c>
      <c r="B268" s="22">
        <v>153.08</v>
      </c>
      <c r="C268" s="29">
        <v>18574</v>
      </c>
      <c r="D268" s="24">
        <v>164</v>
      </c>
      <c r="E268" s="34">
        <v>0</v>
      </c>
      <c r="F268" s="34">
        <v>0</v>
      </c>
      <c r="G268" s="23">
        <v>1</v>
      </c>
      <c r="H268" s="23">
        <v>1</v>
      </c>
      <c r="I268" s="23">
        <v>1</v>
      </c>
      <c r="J268" s="26">
        <v>0.0088</v>
      </c>
      <c r="K268" s="27">
        <v>0.93</v>
      </c>
      <c r="L268" s="30" t="s">
        <v>14</v>
      </c>
      <c r="M268" s="34">
        <v>0</v>
      </c>
      <c r="N268" s="26">
        <v>0</v>
      </c>
    </row>
    <row r="269" s="2" customFormat="1" spans="1:14">
      <c r="A269" s="21" t="e">
        <f>A268+1</f>
        <v>#REF!</v>
      </c>
      <c r="B269" s="22">
        <v>269.92</v>
      </c>
      <c r="C269" s="29">
        <v>44190</v>
      </c>
      <c r="D269" s="24">
        <v>276</v>
      </c>
      <c r="E269" s="23">
        <v>0</v>
      </c>
      <c r="F269" s="25">
        <v>0</v>
      </c>
      <c r="G269" s="23">
        <v>1</v>
      </c>
      <c r="H269" s="23">
        <v>2</v>
      </c>
      <c r="I269" s="23">
        <v>0</v>
      </c>
      <c r="J269" s="26">
        <v>0.0063</v>
      </c>
      <c r="K269" s="27">
        <v>0.98</v>
      </c>
      <c r="L269" s="30">
        <v>17.94</v>
      </c>
      <c r="M269" s="23">
        <v>0</v>
      </c>
      <c r="N269" s="26">
        <v>0</v>
      </c>
    </row>
    <row r="270" s="2" customFormat="1" spans="1:14">
      <c r="A270" s="21" t="e">
        <f t="shared" ref="A270:A333" si="6">A269+1</f>
        <v>#REF!</v>
      </c>
      <c r="B270" s="22">
        <v>275</v>
      </c>
      <c r="C270" s="29">
        <v>32895</v>
      </c>
      <c r="D270" s="24">
        <v>303</v>
      </c>
      <c r="E270" s="23">
        <v>0</v>
      </c>
      <c r="F270" s="25">
        <v>0</v>
      </c>
      <c r="G270" s="23">
        <v>1</v>
      </c>
      <c r="H270" s="23">
        <v>2</v>
      </c>
      <c r="I270" s="23">
        <v>1</v>
      </c>
      <c r="J270" s="26">
        <v>0.0092</v>
      </c>
      <c r="K270" s="27">
        <v>0.91</v>
      </c>
      <c r="L270" s="30">
        <v>27.5</v>
      </c>
      <c r="M270" s="23">
        <v>0</v>
      </c>
      <c r="N270" s="26">
        <v>0</v>
      </c>
    </row>
    <row r="271" s="2" customFormat="1" spans="1:14">
      <c r="A271" s="21" t="e">
        <f t="shared" si="6"/>
        <v>#REF!</v>
      </c>
      <c r="B271" s="22">
        <v>277.62</v>
      </c>
      <c r="C271" s="29">
        <v>44328</v>
      </c>
      <c r="D271" s="24">
        <v>380</v>
      </c>
      <c r="E271" s="23">
        <v>0</v>
      </c>
      <c r="F271" s="25">
        <v>0</v>
      </c>
      <c r="G271" s="23">
        <v>2</v>
      </c>
      <c r="H271" s="23">
        <v>2</v>
      </c>
      <c r="I271" s="23">
        <v>9</v>
      </c>
      <c r="J271" s="26">
        <v>0.0086</v>
      </c>
      <c r="K271" s="27">
        <v>0.73</v>
      </c>
      <c r="L271" s="30">
        <v>7.48</v>
      </c>
      <c r="M271" s="23">
        <v>0</v>
      </c>
      <c r="N271" s="31">
        <v>0</v>
      </c>
    </row>
    <row r="272" s="2" customFormat="1" spans="1:14">
      <c r="A272" s="21" t="e">
        <f t="shared" si="6"/>
        <v>#REF!</v>
      </c>
      <c r="B272" s="22">
        <v>324.6</v>
      </c>
      <c r="C272" s="29">
        <v>54023</v>
      </c>
      <c r="D272" s="24">
        <v>470</v>
      </c>
      <c r="E272" s="23">
        <v>0</v>
      </c>
      <c r="F272" s="25">
        <v>0</v>
      </c>
      <c r="G272" s="23">
        <v>3</v>
      </c>
      <c r="H272" s="23">
        <v>5</v>
      </c>
      <c r="I272" s="23">
        <v>0</v>
      </c>
      <c r="J272" s="26">
        <v>0.0087</v>
      </c>
      <c r="K272" s="27">
        <v>0.69</v>
      </c>
      <c r="L272" s="30">
        <v>10.09</v>
      </c>
      <c r="M272" s="23">
        <v>0</v>
      </c>
      <c r="N272" s="31">
        <v>0</v>
      </c>
    </row>
    <row r="273" s="2" customFormat="1" spans="1:14">
      <c r="A273" s="21" t="e">
        <f t="shared" si="6"/>
        <v>#REF!</v>
      </c>
      <c r="B273" s="22">
        <v>45.61</v>
      </c>
      <c r="C273" s="29">
        <v>12996</v>
      </c>
      <c r="D273" s="24">
        <v>36</v>
      </c>
      <c r="E273" s="23">
        <v>0</v>
      </c>
      <c r="F273" s="25">
        <v>0</v>
      </c>
      <c r="G273" s="23">
        <v>0</v>
      </c>
      <c r="H273" s="23">
        <v>0</v>
      </c>
      <c r="I273" s="23">
        <v>0</v>
      </c>
      <c r="J273" s="26">
        <v>0.0028</v>
      </c>
      <c r="K273" s="27">
        <v>1.27</v>
      </c>
      <c r="L273" s="30">
        <v>22.81</v>
      </c>
      <c r="M273" s="23">
        <v>0</v>
      </c>
      <c r="N273" s="31">
        <v>0</v>
      </c>
    </row>
    <row r="274" s="2" customFormat="1" spans="1:14">
      <c r="A274" s="21" t="e">
        <f t="shared" si="6"/>
        <v>#REF!</v>
      </c>
      <c r="B274" s="22">
        <v>170.7</v>
      </c>
      <c r="C274" s="29">
        <v>20669</v>
      </c>
      <c r="D274" s="24">
        <v>114</v>
      </c>
      <c r="E274" s="23">
        <v>0</v>
      </c>
      <c r="F274" s="25">
        <v>0</v>
      </c>
      <c r="G274" s="23">
        <v>0</v>
      </c>
      <c r="H274" s="23">
        <v>1</v>
      </c>
      <c r="I274" s="23">
        <v>0</v>
      </c>
      <c r="J274" s="26">
        <v>0.0055</v>
      </c>
      <c r="K274" s="27">
        <v>1.5</v>
      </c>
      <c r="L274" s="30">
        <v>18.62</v>
      </c>
      <c r="M274" s="23">
        <v>0</v>
      </c>
      <c r="N274" s="31">
        <v>0</v>
      </c>
    </row>
    <row r="275" s="2" customFormat="1" spans="1:14">
      <c r="A275" s="21" t="e">
        <f t="shared" si="6"/>
        <v>#REF!</v>
      </c>
      <c r="B275" s="22">
        <v>320.12</v>
      </c>
      <c r="C275" s="29">
        <v>27182</v>
      </c>
      <c r="D275" s="24">
        <v>189</v>
      </c>
      <c r="E275" s="23">
        <v>0</v>
      </c>
      <c r="F275" s="25">
        <v>0</v>
      </c>
      <c r="G275" s="23">
        <v>2</v>
      </c>
      <c r="H275" s="23">
        <v>1</v>
      </c>
      <c r="I275" s="23">
        <v>0</v>
      </c>
      <c r="J275" s="26">
        <v>0.007</v>
      </c>
      <c r="K275" s="27">
        <v>1.69</v>
      </c>
      <c r="L275" s="30">
        <v>22.19</v>
      </c>
      <c r="M275" s="23">
        <v>0</v>
      </c>
      <c r="N275" s="31">
        <v>0</v>
      </c>
    </row>
    <row r="276" s="2" customFormat="1" spans="1:14">
      <c r="A276" s="21" t="e">
        <f t="shared" si="6"/>
        <v>#REF!</v>
      </c>
      <c r="B276" s="22">
        <v>353.05</v>
      </c>
      <c r="C276" s="29">
        <v>26118</v>
      </c>
      <c r="D276" s="24">
        <v>212</v>
      </c>
      <c r="E276" s="23">
        <v>0</v>
      </c>
      <c r="F276" s="25">
        <v>0</v>
      </c>
      <c r="G276" s="23">
        <v>0</v>
      </c>
      <c r="H276" s="23">
        <v>2</v>
      </c>
      <c r="I276" s="23">
        <v>0</v>
      </c>
      <c r="J276" s="26">
        <v>0.0081</v>
      </c>
      <c r="K276" s="27">
        <v>1.67</v>
      </c>
      <c r="L276" s="30">
        <v>43.74</v>
      </c>
      <c r="M276" s="23">
        <v>0</v>
      </c>
      <c r="N276" s="31">
        <v>0</v>
      </c>
    </row>
    <row r="277" s="2" customFormat="1" spans="1:14">
      <c r="A277" s="21" t="e">
        <f t="shared" si="6"/>
        <v>#REF!</v>
      </c>
      <c r="B277" s="22">
        <v>416.58</v>
      </c>
      <c r="C277" s="29">
        <v>38795</v>
      </c>
      <c r="D277" s="24">
        <v>308</v>
      </c>
      <c r="E277" s="23">
        <v>0</v>
      </c>
      <c r="F277" s="25">
        <v>0</v>
      </c>
      <c r="G277" s="23">
        <v>0</v>
      </c>
      <c r="H277" s="23">
        <v>4</v>
      </c>
      <c r="I277" s="23">
        <v>0</v>
      </c>
      <c r="J277" s="26">
        <v>0.0079</v>
      </c>
      <c r="K277" s="27">
        <v>1.35</v>
      </c>
      <c r="L277" s="30">
        <v>31.59</v>
      </c>
      <c r="M277" s="23">
        <v>0</v>
      </c>
      <c r="N277" s="31">
        <v>0</v>
      </c>
    </row>
    <row r="278" s="2" customFormat="1" spans="1:14">
      <c r="A278" s="21" t="e">
        <f t="shared" si="6"/>
        <v>#REF!</v>
      </c>
      <c r="B278" s="22">
        <v>288.13</v>
      </c>
      <c r="C278" s="29">
        <v>31752</v>
      </c>
      <c r="D278" s="24">
        <v>242</v>
      </c>
      <c r="E278" s="23">
        <v>0</v>
      </c>
      <c r="F278" s="25">
        <v>0</v>
      </c>
      <c r="G278" s="23">
        <v>0</v>
      </c>
      <c r="H278" s="23">
        <v>3</v>
      </c>
      <c r="I278" s="23">
        <v>0</v>
      </c>
      <c r="J278" s="26">
        <v>0.0076</v>
      </c>
      <c r="K278" s="27">
        <v>1.19</v>
      </c>
      <c r="L278" s="30">
        <v>31.46</v>
      </c>
      <c r="M278" s="23">
        <v>0</v>
      </c>
      <c r="N278" s="31">
        <v>0</v>
      </c>
    </row>
    <row r="279" s="2" customFormat="1" spans="1:14">
      <c r="A279" s="21" t="e">
        <f t="shared" si="6"/>
        <v>#REF!</v>
      </c>
      <c r="B279" s="22">
        <v>284.46</v>
      </c>
      <c r="C279" s="29">
        <v>39507</v>
      </c>
      <c r="D279" s="24">
        <v>266</v>
      </c>
      <c r="E279" s="23">
        <v>0</v>
      </c>
      <c r="F279" s="25">
        <v>0</v>
      </c>
      <c r="G279" s="23">
        <v>0</v>
      </c>
      <c r="H279" s="23">
        <v>1</v>
      </c>
      <c r="I279" s="23">
        <v>0</v>
      </c>
      <c r="J279" s="26">
        <v>0.0067</v>
      </c>
      <c r="K279" s="27">
        <v>1.07</v>
      </c>
      <c r="L279" s="30">
        <v>47.05</v>
      </c>
      <c r="M279" s="23">
        <v>0</v>
      </c>
      <c r="N279" s="31">
        <v>0</v>
      </c>
    </row>
    <row r="280" s="2" customFormat="1" spans="1:14">
      <c r="A280" s="21" t="e">
        <f t="shared" si="6"/>
        <v>#REF!</v>
      </c>
      <c r="B280" s="22">
        <v>152.85</v>
      </c>
      <c r="C280" s="29">
        <v>22552</v>
      </c>
      <c r="D280" s="24">
        <v>144</v>
      </c>
      <c r="E280" s="23">
        <v>0</v>
      </c>
      <c r="F280" s="25">
        <v>0</v>
      </c>
      <c r="G280" s="23">
        <v>0</v>
      </c>
      <c r="H280" s="23">
        <v>2</v>
      </c>
      <c r="I280" s="23">
        <v>0</v>
      </c>
      <c r="J280" s="26">
        <v>0.0064</v>
      </c>
      <c r="K280" s="27">
        <v>1.06</v>
      </c>
      <c r="L280" s="30">
        <v>30.32</v>
      </c>
      <c r="M280" s="23">
        <v>0</v>
      </c>
      <c r="N280" s="31">
        <v>0</v>
      </c>
    </row>
    <row r="281" s="2" customFormat="1" spans="1:14">
      <c r="A281" s="21" t="e">
        <f t="shared" si="6"/>
        <v>#REF!</v>
      </c>
      <c r="B281" s="22">
        <v>0</v>
      </c>
      <c r="C281" s="29">
        <v>0</v>
      </c>
      <c r="D281" s="24">
        <v>0</v>
      </c>
      <c r="E281" s="23">
        <v>0</v>
      </c>
      <c r="F281" s="25">
        <v>0</v>
      </c>
      <c r="G281" s="23">
        <v>0</v>
      </c>
      <c r="H281" s="23">
        <v>0</v>
      </c>
      <c r="I281" s="23">
        <v>0</v>
      </c>
      <c r="J281" s="26">
        <v>0</v>
      </c>
      <c r="K281" s="27">
        <v>0</v>
      </c>
      <c r="L281" s="30">
        <v>0</v>
      </c>
      <c r="M281" s="23">
        <v>0</v>
      </c>
      <c r="N281" s="31">
        <v>0</v>
      </c>
    </row>
    <row r="282" s="2" customFormat="1" spans="1:14">
      <c r="A282" s="21" t="e">
        <f t="shared" si="6"/>
        <v>#REF!</v>
      </c>
      <c r="B282" s="22">
        <v>0</v>
      </c>
      <c r="C282" s="29">
        <v>0</v>
      </c>
      <c r="D282" s="24">
        <v>0</v>
      </c>
      <c r="E282" s="23">
        <v>0</v>
      </c>
      <c r="F282" s="25">
        <v>0</v>
      </c>
      <c r="G282" s="23">
        <v>0</v>
      </c>
      <c r="H282" s="23">
        <v>0</v>
      </c>
      <c r="I282" s="23">
        <v>0</v>
      </c>
      <c r="J282" s="26">
        <v>0</v>
      </c>
      <c r="K282" s="27">
        <v>0</v>
      </c>
      <c r="L282" s="30">
        <v>0</v>
      </c>
      <c r="M282" s="23">
        <v>0</v>
      </c>
      <c r="N282" s="31">
        <v>0</v>
      </c>
    </row>
    <row r="283" s="2" customFormat="1" spans="1:14">
      <c r="A283" s="21" t="e">
        <f t="shared" si="6"/>
        <v>#REF!</v>
      </c>
      <c r="B283" s="22">
        <v>0</v>
      </c>
      <c r="C283" s="29">
        <v>0</v>
      </c>
      <c r="D283" s="24">
        <v>0</v>
      </c>
      <c r="E283" s="23">
        <v>0</v>
      </c>
      <c r="F283" s="25">
        <v>0</v>
      </c>
      <c r="G283" s="23">
        <v>0</v>
      </c>
      <c r="H283" s="23">
        <v>0</v>
      </c>
      <c r="I283" s="23">
        <v>0</v>
      </c>
      <c r="J283" s="26">
        <v>0</v>
      </c>
      <c r="K283" s="27">
        <v>0</v>
      </c>
      <c r="L283" s="30">
        <v>0</v>
      </c>
      <c r="M283" s="23">
        <v>0</v>
      </c>
      <c r="N283" s="31">
        <v>0</v>
      </c>
    </row>
    <row r="284" s="2" customFormat="1" spans="1:14">
      <c r="A284" s="21" t="e">
        <f t="shared" si="6"/>
        <v>#REF!</v>
      </c>
      <c r="B284" s="22">
        <v>0</v>
      </c>
      <c r="C284" s="29">
        <v>0</v>
      </c>
      <c r="D284" s="24">
        <v>0</v>
      </c>
      <c r="E284" s="23">
        <v>0</v>
      </c>
      <c r="F284" s="25">
        <v>0</v>
      </c>
      <c r="G284" s="23">
        <v>0</v>
      </c>
      <c r="H284" s="23">
        <v>0</v>
      </c>
      <c r="I284" s="23">
        <v>0</v>
      </c>
      <c r="J284" s="26">
        <v>0</v>
      </c>
      <c r="K284" s="27">
        <v>0</v>
      </c>
      <c r="L284" s="30">
        <v>0</v>
      </c>
      <c r="M284" s="23">
        <v>0</v>
      </c>
      <c r="N284" s="31">
        <v>0</v>
      </c>
    </row>
    <row r="285" s="2" customFormat="1" spans="1:14">
      <c r="A285" s="21" t="e">
        <f t="shared" si="6"/>
        <v>#REF!</v>
      </c>
      <c r="B285" s="22">
        <v>0</v>
      </c>
      <c r="C285" s="29">
        <v>0</v>
      </c>
      <c r="D285" s="24">
        <v>0</v>
      </c>
      <c r="E285" s="23">
        <v>0</v>
      </c>
      <c r="F285" s="25">
        <v>0</v>
      </c>
      <c r="G285" s="23">
        <v>0</v>
      </c>
      <c r="H285" s="23">
        <v>0</v>
      </c>
      <c r="I285" s="23">
        <v>0</v>
      </c>
      <c r="J285" s="26">
        <v>0</v>
      </c>
      <c r="K285" s="27">
        <v>0</v>
      </c>
      <c r="L285" s="30">
        <v>0</v>
      </c>
      <c r="M285" s="23">
        <v>0</v>
      </c>
      <c r="N285" s="31">
        <v>0</v>
      </c>
    </row>
    <row r="286" s="2" customFormat="1" spans="1:14">
      <c r="A286" s="21" t="e">
        <f t="shared" si="6"/>
        <v>#REF!</v>
      </c>
      <c r="B286" s="22">
        <v>0</v>
      </c>
      <c r="C286" s="29">
        <v>0</v>
      </c>
      <c r="D286" s="24">
        <v>0</v>
      </c>
      <c r="E286" s="23">
        <v>0</v>
      </c>
      <c r="F286" s="25">
        <v>0</v>
      </c>
      <c r="G286" s="23">
        <v>0</v>
      </c>
      <c r="H286" s="23">
        <v>0</v>
      </c>
      <c r="I286" s="23">
        <v>0</v>
      </c>
      <c r="J286" s="26">
        <v>0</v>
      </c>
      <c r="K286" s="27">
        <v>0</v>
      </c>
      <c r="L286" s="30">
        <v>0</v>
      </c>
      <c r="M286" s="23">
        <v>0</v>
      </c>
      <c r="N286" s="31">
        <v>0</v>
      </c>
    </row>
    <row r="287" s="2" customFormat="1" spans="1:14">
      <c r="A287" s="21" t="e">
        <f t="shared" si="6"/>
        <v>#REF!</v>
      </c>
      <c r="B287" s="22">
        <v>0</v>
      </c>
      <c r="C287" s="29">
        <v>0</v>
      </c>
      <c r="D287" s="24">
        <v>0</v>
      </c>
      <c r="E287" s="23">
        <v>0</v>
      </c>
      <c r="F287" s="25">
        <v>0</v>
      </c>
      <c r="G287" s="23">
        <v>0</v>
      </c>
      <c r="H287" s="23">
        <v>0</v>
      </c>
      <c r="I287" s="23">
        <v>0</v>
      </c>
      <c r="J287" s="26">
        <v>0</v>
      </c>
      <c r="K287" s="27">
        <v>0</v>
      </c>
      <c r="L287" s="30">
        <v>0</v>
      </c>
      <c r="M287" s="23">
        <v>0</v>
      </c>
      <c r="N287" s="31">
        <v>0</v>
      </c>
    </row>
    <row r="288" s="2" customFormat="1" spans="1:14">
      <c r="A288" s="21" t="e">
        <f t="shared" si="6"/>
        <v>#REF!</v>
      </c>
      <c r="B288" s="22">
        <v>0</v>
      </c>
      <c r="C288" s="29">
        <v>0</v>
      </c>
      <c r="D288" s="24">
        <v>0</v>
      </c>
      <c r="E288" s="23">
        <v>0</v>
      </c>
      <c r="F288" s="25">
        <v>0</v>
      </c>
      <c r="G288" s="23">
        <v>0</v>
      </c>
      <c r="H288" s="23">
        <v>0</v>
      </c>
      <c r="I288" s="23">
        <v>0</v>
      </c>
      <c r="J288" s="26">
        <v>0</v>
      </c>
      <c r="K288" s="27">
        <v>0</v>
      </c>
      <c r="L288" s="30">
        <v>0</v>
      </c>
      <c r="M288" s="23">
        <v>0</v>
      </c>
      <c r="N288" s="31">
        <v>0</v>
      </c>
    </row>
    <row r="289" s="2" customFormat="1" spans="1:14">
      <c r="A289" s="21" t="e">
        <f t="shared" si="6"/>
        <v>#REF!</v>
      </c>
      <c r="B289" s="22">
        <v>0</v>
      </c>
      <c r="C289" s="29">
        <v>0</v>
      </c>
      <c r="D289" s="24">
        <v>0</v>
      </c>
      <c r="E289" s="23">
        <v>0</v>
      </c>
      <c r="F289" s="25">
        <v>0</v>
      </c>
      <c r="G289" s="23">
        <v>0</v>
      </c>
      <c r="H289" s="23">
        <v>0</v>
      </c>
      <c r="I289" s="23">
        <v>0</v>
      </c>
      <c r="J289" s="26">
        <v>0</v>
      </c>
      <c r="K289" s="27">
        <v>0</v>
      </c>
      <c r="L289" s="30">
        <v>0</v>
      </c>
      <c r="M289" s="23">
        <v>0</v>
      </c>
      <c r="N289" s="31">
        <v>0</v>
      </c>
    </row>
    <row r="290" s="2" customFormat="1" spans="1:14">
      <c r="A290" s="21" t="e">
        <f t="shared" si="6"/>
        <v>#REF!</v>
      </c>
      <c r="B290" s="22">
        <v>0</v>
      </c>
      <c r="C290" s="29">
        <v>0</v>
      </c>
      <c r="D290" s="24">
        <v>0</v>
      </c>
      <c r="E290" s="23">
        <v>0</v>
      </c>
      <c r="F290" s="25">
        <v>0</v>
      </c>
      <c r="G290" s="23">
        <v>0</v>
      </c>
      <c r="H290" s="23">
        <v>0</v>
      </c>
      <c r="I290" s="23">
        <v>0</v>
      </c>
      <c r="J290" s="26">
        <v>0</v>
      </c>
      <c r="K290" s="27">
        <v>0</v>
      </c>
      <c r="L290" s="30">
        <v>0</v>
      </c>
      <c r="M290" s="23">
        <v>0</v>
      </c>
      <c r="N290" s="31">
        <v>0</v>
      </c>
    </row>
    <row r="291" s="2" customFormat="1" spans="1:14">
      <c r="A291" s="21" t="e">
        <f t="shared" si="6"/>
        <v>#REF!</v>
      </c>
      <c r="B291" s="22">
        <v>0</v>
      </c>
      <c r="C291" s="29">
        <v>0</v>
      </c>
      <c r="D291" s="24">
        <v>0</v>
      </c>
      <c r="E291" s="29">
        <v>0</v>
      </c>
      <c r="F291" s="25">
        <v>0</v>
      </c>
      <c r="G291" s="29">
        <v>0</v>
      </c>
      <c r="H291" s="29">
        <v>0</v>
      </c>
      <c r="I291" s="29">
        <v>0</v>
      </c>
      <c r="J291" s="26">
        <v>0</v>
      </c>
      <c r="K291" s="27">
        <v>0</v>
      </c>
      <c r="L291" s="30">
        <v>0</v>
      </c>
      <c r="M291" s="29">
        <v>0</v>
      </c>
      <c r="N291" s="31">
        <v>0</v>
      </c>
    </row>
    <row r="292" s="2" customFormat="1" spans="1:14">
      <c r="A292" s="21" t="e">
        <f t="shared" si="6"/>
        <v>#REF!</v>
      </c>
      <c r="B292" s="22">
        <v>0</v>
      </c>
      <c r="C292" s="29">
        <v>0</v>
      </c>
      <c r="D292" s="24">
        <v>0</v>
      </c>
      <c r="E292" s="29">
        <v>0</v>
      </c>
      <c r="F292" s="25">
        <v>0</v>
      </c>
      <c r="G292" s="29">
        <v>0</v>
      </c>
      <c r="H292" s="29">
        <v>0</v>
      </c>
      <c r="I292" s="29">
        <v>0</v>
      </c>
      <c r="J292" s="26">
        <v>0</v>
      </c>
      <c r="K292" s="27">
        <v>0</v>
      </c>
      <c r="L292" s="30">
        <v>0</v>
      </c>
      <c r="M292" s="29">
        <v>0</v>
      </c>
      <c r="N292" s="31">
        <v>0</v>
      </c>
    </row>
    <row r="293" s="2" customFormat="1" spans="1:14">
      <c r="A293" s="21" t="e">
        <f t="shared" si="6"/>
        <v>#REF!</v>
      </c>
      <c r="B293" s="22">
        <v>0</v>
      </c>
      <c r="C293" s="29">
        <v>0</v>
      </c>
      <c r="D293" s="24">
        <v>0</v>
      </c>
      <c r="E293" s="29">
        <v>0</v>
      </c>
      <c r="F293" s="25">
        <v>0</v>
      </c>
      <c r="G293" s="29">
        <v>0</v>
      </c>
      <c r="H293" s="29">
        <v>0</v>
      </c>
      <c r="I293" s="29">
        <v>0</v>
      </c>
      <c r="J293" s="26">
        <v>0</v>
      </c>
      <c r="K293" s="27">
        <v>0</v>
      </c>
      <c r="L293" s="30">
        <v>0</v>
      </c>
      <c r="M293" s="29">
        <v>0</v>
      </c>
      <c r="N293" s="31">
        <v>0</v>
      </c>
    </row>
    <row r="294" s="2" customFormat="1" spans="1:14">
      <c r="A294" s="21" t="e">
        <f t="shared" si="6"/>
        <v>#REF!</v>
      </c>
      <c r="B294" s="22">
        <v>0</v>
      </c>
      <c r="C294" s="29">
        <v>0</v>
      </c>
      <c r="D294" s="24">
        <v>0</v>
      </c>
      <c r="E294" s="29">
        <v>0</v>
      </c>
      <c r="F294" s="25">
        <v>0</v>
      </c>
      <c r="G294" s="29">
        <v>0</v>
      </c>
      <c r="H294" s="29">
        <v>0</v>
      </c>
      <c r="I294" s="29">
        <v>0</v>
      </c>
      <c r="J294" s="26">
        <v>0</v>
      </c>
      <c r="K294" s="27">
        <v>0</v>
      </c>
      <c r="L294" s="30">
        <v>0</v>
      </c>
      <c r="M294" s="29">
        <v>0</v>
      </c>
      <c r="N294" s="31">
        <v>0</v>
      </c>
    </row>
    <row r="295" s="2" customFormat="1" spans="1:14">
      <c r="A295" s="21" t="e">
        <f t="shared" si="6"/>
        <v>#REF!</v>
      </c>
      <c r="B295" s="22">
        <v>0</v>
      </c>
      <c r="C295" s="29">
        <v>0</v>
      </c>
      <c r="D295" s="24">
        <v>0</v>
      </c>
      <c r="E295" s="29">
        <v>0</v>
      </c>
      <c r="F295" s="25">
        <v>0</v>
      </c>
      <c r="G295" s="29">
        <v>0</v>
      </c>
      <c r="H295" s="29">
        <v>0</v>
      </c>
      <c r="I295" s="29">
        <v>0</v>
      </c>
      <c r="J295" s="26">
        <v>0</v>
      </c>
      <c r="K295" s="27">
        <v>0</v>
      </c>
      <c r="L295" s="30">
        <v>0</v>
      </c>
      <c r="M295" s="29">
        <v>0</v>
      </c>
      <c r="N295" s="31">
        <v>0</v>
      </c>
    </row>
    <row r="296" s="2" customFormat="1" spans="1:14">
      <c r="A296" s="21" t="e">
        <f t="shared" si="6"/>
        <v>#REF!</v>
      </c>
      <c r="B296" s="22">
        <v>0</v>
      </c>
      <c r="C296" s="29">
        <v>0</v>
      </c>
      <c r="D296" s="24">
        <v>0</v>
      </c>
      <c r="E296" s="29">
        <v>0</v>
      </c>
      <c r="F296" s="25">
        <v>0</v>
      </c>
      <c r="G296" s="29">
        <v>0</v>
      </c>
      <c r="H296" s="29">
        <v>0</v>
      </c>
      <c r="I296" s="29">
        <v>0</v>
      </c>
      <c r="J296" s="26">
        <v>0</v>
      </c>
      <c r="K296" s="27">
        <v>0</v>
      </c>
      <c r="L296" s="30">
        <v>0</v>
      </c>
      <c r="M296" s="29">
        <v>0</v>
      </c>
      <c r="N296" s="31">
        <v>0</v>
      </c>
    </row>
    <row r="297" s="2" customFormat="1" spans="1:14">
      <c r="A297" s="21" t="e">
        <f t="shared" si="6"/>
        <v>#REF!</v>
      </c>
      <c r="B297" s="22">
        <v>0</v>
      </c>
      <c r="C297" s="29">
        <v>0</v>
      </c>
      <c r="D297" s="24">
        <v>0</v>
      </c>
      <c r="E297" s="29">
        <v>0</v>
      </c>
      <c r="F297" s="25">
        <v>0</v>
      </c>
      <c r="G297" s="29">
        <v>0</v>
      </c>
      <c r="H297" s="29">
        <v>0</v>
      </c>
      <c r="I297" s="29">
        <v>0</v>
      </c>
      <c r="J297" s="26">
        <v>0</v>
      </c>
      <c r="K297" s="27">
        <v>0</v>
      </c>
      <c r="L297" s="30">
        <v>0</v>
      </c>
      <c r="M297" s="29">
        <v>0</v>
      </c>
      <c r="N297" s="31">
        <v>0</v>
      </c>
    </row>
    <row r="298" s="2" customFormat="1" spans="1:14">
      <c r="A298" s="21" t="e">
        <f t="shared" si="6"/>
        <v>#REF!</v>
      </c>
      <c r="B298" s="22">
        <v>0</v>
      </c>
      <c r="C298" s="29">
        <v>0</v>
      </c>
      <c r="D298" s="24">
        <v>0</v>
      </c>
      <c r="E298" s="29">
        <v>0</v>
      </c>
      <c r="F298" s="25">
        <v>0</v>
      </c>
      <c r="G298" s="29">
        <v>0</v>
      </c>
      <c r="H298" s="29">
        <v>0</v>
      </c>
      <c r="I298" s="29">
        <v>0</v>
      </c>
      <c r="J298" s="26">
        <v>0</v>
      </c>
      <c r="K298" s="27">
        <v>0</v>
      </c>
      <c r="L298" s="30">
        <v>0</v>
      </c>
      <c r="M298" s="29">
        <v>0</v>
      </c>
      <c r="N298" s="31">
        <v>0</v>
      </c>
    </row>
    <row r="299" s="2" customFormat="1" spans="1:14">
      <c r="A299" s="21" t="e">
        <f t="shared" si="6"/>
        <v>#REF!</v>
      </c>
      <c r="B299" s="22">
        <v>0</v>
      </c>
      <c r="C299" s="29">
        <v>0</v>
      </c>
      <c r="D299" s="24">
        <v>0</v>
      </c>
      <c r="E299" s="29">
        <v>0</v>
      </c>
      <c r="F299" s="25">
        <v>0</v>
      </c>
      <c r="G299" s="29">
        <v>0</v>
      </c>
      <c r="H299" s="29">
        <v>0</v>
      </c>
      <c r="I299" s="29">
        <v>0</v>
      </c>
      <c r="J299" s="26">
        <v>0</v>
      </c>
      <c r="K299" s="27">
        <v>0</v>
      </c>
      <c r="L299" s="30">
        <v>0</v>
      </c>
      <c r="M299" s="29">
        <v>0</v>
      </c>
      <c r="N299" s="31">
        <v>0</v>
      </c>
    </row>
    <row r="300" s="2" customFormat="1" spans="1:14">
      <c r="A300" s="21" t="e">
        <f t="shared" si="6"/>
        <v>#REF!</v>
      </c>
      <c r="B300" s="22">
        <v>0</v>
      </c>
      <c r="C300" s="29">
        <v>0</v>
      </c>
      <c r="D300" s="24">
        <v>0</v>
      </c>
      <c r="E300" s="29">
        <v>0</v>
      </c>
      <c r="F300" s="25">
        <v>0</v>
      </c>
      <c r="G300" s="29">
        <v>0</v>
      </c>
      <c r="H300" s="29">
        <v>0</v>
      </c>
      <c r="I300" s="29">
        <v>0</v>
      </c>
      <c r="J300" s="26">
        <v>0</v>
      </c>
      <c r="K300" s="27">
        <v>0</v>
      </c>
      <c r="L300" s="30">
        <v>0</v>
      </c>
      <c r="M300" s="29">
        <v>0</v>
      </c>
      <c r="N300" s="31">
        <v>0</v>
      </c>
    </row>
    <row r="301" s="2" customFormat="1" spans="1:14">
      <c r="A301" s="21" t="e">
        <f t="shared" si="6"/>
        <v>#REF!</v>
      </c>
      <c r="B301" s="22">
        <v>0</v>
      </c>
      <c r="C301" s="29">
        <v>0</v>
      </c>
      <c r="D301" s="24">
        <v>0</v>
      </c>
      <c r="E301" s="29">
        <v>0</v>
      </c>
      <c r="F301" s="25">
        <v>0</v>
      </c>
      <c r="G301" s="29">
        <v>0</v>
      </c>
      <c r="H301" s="29">
        <v>0</v>
      </c>
      <c r="I301" s="29">
        <v>0</v>
      </c>
      <c r="J301" s="26">
        <v>0</v>
      </c>
      <c r="K301" s="27">
        <v>0</v>
      </c>
      <c r="L301" s="30">
        <v>0</v>
      </c>
      <c r="M301" s="29">
        <v>0</v>
      </c>
      <c r="N301" s="31">
        <v>0</v>
      </c>
    </row>
    <row r="302" s="2" customFormat="1" spans="1:14">
      <c r="A302" s="21" t="e">
        <f t="shared" si="6"/>
        <v>#REF!</v>
      </c>
      <c r="B302" s="22">
        <v>0</v>
      </c>
      <c r="C302" s="29">
        <v>0</v>
      </c>
      <c r="D302" s="24">
        <v>0</v>
      </c>
      <c r="E302" s="29">
        <v>0</v>
      </c>
      <c r="F302" s="25">
        <v>0</v>
      </c>
      <c r="G302" s="29">
        <v>0</v>
      </c>
      <c r="H302" s="29">
        <v>0</v>
      </c>
      <c r="I302" s="29">
        <v>0</v>
      </c>
      <c r="J302" s="26">
        <v>0</v>
      </c>
      <c r="K302" s="27">
        <v>0</v>
      </c>
      <c r="L302" s="30">
        <v>0</v>
      </c>
      <c r="M302" s="29">
        <v>0</v>
      </c>
      <c r="N302" s="31">
        <v>0</v>
      </c>
    </row>
    <row r="303" s="2" customFormat="1" spans="1:14">
      <c r="A303" s="21" t="e">
        <f t="shared" si="6"/>
        <v>#REF!</v>
      </c>
      <c r="B303" s="22">
        <v>0</v>
      </c>
      <c r="C303" s="29">
        <v>0</v>
      </c>
      <c r="D303" s="24">
        <v>0</v>
      </c>
      <c r="E303" s="29">
        <v>0</v>
      </c>
      <c r="F303" s="25">
        <v>0</v>
      </c>
      <c r="G303" s="29">
        <v>0</v>
      </c>
      <c r="H303" s="29">
        <v>0</v>
      </c>
      <c r="I303" s="29">
        <v>0</v>
      </c>
      <c r="J303" s="26">
        <v>0</v>
      </c>
      <c r="K303" s="27">
        <v>0</v>
      </c>
      <c r="L303" s="30">
        <v>0</v>
      </c>
      <c r="M303" s="29">
        <v>0</v>
      </c>
      <c r="N303" s="31">
        <v>0</v>
      </c>
    </row>
    <row r="304" s="2" customFormat="1" spans="1:14">
      <c r="A304" s="21" t="e">
        <f t="shared" si="6"/>
        <v>#REF!</v>
      </c>
      <c r="B304" s="22">
        <v>0</v>
      </c>
      <c r="C304" s="29">
        <v>0</v>
      </c>
      <c r="D304" s="24">
        <v>0</v>
      </c>
      <c r="E304" s="29">
        <v>0</v>
      </c>
      <c r="F304" s="25">
        <v>0</v>
      </c>
      <c r="G304" s="29">
        <v>0</v>
      </c>
      <c r="H304" s="29">
        <v>0</v>
      </c>
      <c r="I304" s="29">
        <v>0</v>
      </c>
      <c r="J304" s="26">
        <v>0</v>
      </c>
      <c r="K304" s="27">
        <v>0</v>
      </c>
      <c r="L304" s="30">
        <v>0</v>
      </c>
      <c r="M304" s="29">
        <v>0</v>
      </c>
      <c r="N304" s="31">
        <v>0</v>
      </c>
    </row>
    <row r="305" s="2" customFormat="1" spans="1:15">
      <c r="A305" s="21" t="e">
        <f t="shared" si="6"/>
        <v>#REF!</v>
      </c>
      <c r="B305" s="22">
        <v>0</v>
      </c>
      <c r="C305" s="29">
        <v>0</v>
      </c>
      <c r="D305" s="24">
        <v>0</v>
      </c>
      <c r="E305" s="29">
        <v>0</v>
      </c>
      <c r="F305" s="25">
        <v>0</v>
      </c>
      <c r="G305" s="29">
        <v>0</v>
      </c>
      <c r="H305" s="29">
        <v>0</v>
      </c>
      <c r="I305" s="29">
        <v>0</v>
      </c>
      <c r="J305" s="26">
        <v>0</v>
      </c>
      <c r="K305" s="27">
        <v>0</v>
      </c>
      <c r="L305" s="30">
        <v>0</v>
      </c>
      <c r="M305" s="29">
        <v>0</v>
      </c>
      <c r="N305" s="31">
        <v>0</v>
      </c>
    </row>
    <row r="306" s="2" customFormat="1" spans="1:15">
      <c r="A306" s="21" t="e">
        <f t="shared" si="6"/>
        <v>#REF!</v>
      </c>
      <c r="B306" s="22">
        <v>0</v>
      </c>
      <c r="C306" s="29">
        <v>0</v>
      </c>
      <c r="D306" s="24">
        <v>0</v>
      </c>
      <c r="E306" s="29">
        <v>0</v>
      </c>
      <c r="F306" s="25">
        <v>0</v>
      </c>
      <c r="G306" s="29">
        <v>0</v>
      </c>
      <c r="H306" s="29">
        <v>0</v>
      </c>
      <c r="I306" s="29">
        <v>0</v>
      </c>
      <c r="J306" s="26">
        <v>0</v>
      </c>
      <c r="K306" s="27">
        <v>0</v>
      </c>
      <c r="L306" s="30">
        <v>0</v>
      </c>
      <c r="M306" s="29">
        <v>0</v>
      </c>
      <c r="N306" s="31">
        <v>0</v>
      </c>
    </row>
    <row r="307" s="2" customFormat="1" spans="1:15">
      <c r="A307" s="21" t="e">
        <f t="shared" si="6"/>
        <v>#REF!</v>
      </c>
      <c r="B307" s="22">
        <v>0</v>
      </c>
      <c r="C307" s="29">
        <v>0</v>
      </c>
      <c r="D307" s="24">
        <v>0</v>
      </c>
      <c r="E307" s="29">
        <v>0</v>
      </c>
      <c r="F307" s="25">
        <v>0</v>
      </c>
      <c r="G307" s="29">
        <v>0</v>
      </c>
      <c r="H307" s="29">
        <v>0</v>
      </c>
      <c r="I307" s="29">
        <v>0</v>
      </c>
      <c r="J307" s="26">
        <v>0</v>
      </c>
      <c r="K307" s="27">
        <v>0</v>
      </c>
      <c r="L307" s="30">
        <v>0</v>
      </c>
      <c r="M307" s="29">
        <v>0</v>
      </c>
      <c r="N307" s="31">
        <v>0</v>
      </c>
    </row>
    <row r="308" s="2" customFormat="1" spans="1:15">
      <c r="A308" s="21" t="e">
        <f t="shared" si="6"/>
        <v>#REF!</v>
      </c>
      <c r="B308" s="22">
        <v>0</v>
      </c>
      <c r="C308" s="29">
        <v>0</v>
      </c>
      <c r="D308" s="24">
        <v>0</v>
      </c>
      <c r="E308" s="29">
        <v>0</v>
      </c>
      <c r="F308" s="25">
        <v>0</v>
      </c>
      <c r="G308" s="29">
        <v>0</v>
      </c>
      <c r="H308" s="29">
        <v>0</v>
      </c>
      <c r="I308" s="29">
        <v>0</v>
      </c>
      <c r="J308" s="26">
        <v>0</v>
      </c>
      <c r="K308" s="27">
        <v>0</v>
      </c>
      <c r="L308" s="30">
        <v>0</v>
      </c>
      <c r="M308" s="29">
        <v>0</v>
      </c>
      <c r="N308" s="31">
        <v>0</v>
      </c>
    </row>
    <row r="309" s="2" customFormat="1" spans="1:15">
      <c r="A309" s="21" t="e">
        <f t="shared" si="6"/>
        <v>#REF!</v>
      </c>
      <c r="B309" s="22">
        <v>0</v>
      </c>
      <c r="C309" s="29">
        <v>0</v>
      </c>
      <c r="D309" s="24">
        <v>0</v>
      </c>
      <c r="E309" s="29">
        <v>0</v>
      </c>
      <c r="F309" s="25">
        <v>0</v>
      </c>
      <c r="G309" s="29">
        <v>0</v>
      </c>
      <c r="H309" s="29">
        <v>0</v>
      </c>
      <c r="I309" s="29">
        <v>0</v>
      </c>
      <c r="J309" s="26">
        <v>0</v>
      </c>
      <c r="K309" s="27">
        <v>0</v>
      </c>
      <c r="L309" s="30">
        <v>0</v>
      </c>
      <c r="M309" s="29">
        <v>0</v>
      </c>
      <c r="N309" s="31">
        <v>0</v>
      </c>
    </row>
    <row r="310" s="2" customFormat="1" spans="1:15">
      <c r="A310" s="21" t="e">
        <f t="shared" si="6"/>
        <v>#REF!</v>
      </c>
      <c r="B310" s="22">
        <v>0</v>
      </c>
      <c r="C310" s="29">
        <v>0</v>
      </c>
      <c r="D310" s="24">
        <v>0</v>
      </c>
      <c r="E310" s="29">
        <v>0</v>
      </c>
      <c r="F310" s="25">
        <v>0</v>
      </c>
      <c r="G310" s="29">
        <v>0</v>
      </c>
      <c r="H310" s="29">
        <v>0</v>
      </c>
      <c r="I310" s="29">
        <v>0</v>
      </c>
      <c r="J310" s="26">
        <v>0</v>
      </c>
      <c r="K310" s="27">
        <v>0</v>
      </c>
      <c r="L310" s="30">
        <v>0</v>
      </c>
      <c r="M310" s="29">
        <v>0</v>
      </c>
      <c r="N310" s="31">
        <v>0</v>
      </c>
    </row>
    <row r="311" s="2" customFormat="1" spans="1:15">
      <c r="A311" s="21" t="e">
        <f t="shared" si="6"/>
        <v>#REF!</v>
      </c>
      <c r="B311" s="22">
        <v>0</v>
      </c>
      <c r="C311" s="29">
        <v>0</v>
      </c>
      <c r="D311" s="24">
        <v>0</v>
      </c>
      <c r="E311" s="29">
        <v>0</v>
      </c>
      <c r="F311" s="25">
        <v>0</v>
      </c>
      <c r="G311" s="29">
        <v>0</v>
      </c>
      <c r="H311" s="29">
        <v>0</v>
      </c>
      <c r="I311" s="29">
        <v>0</v>
      </c>
      <c r="J311" s="26">
        <v>0</v>
      </c>
      <c r="K311" s="27">
        <v>0</v>
      </c>
      <c r="L311" s="30">
        <v>0</v>
      </c>
      <c r="M311" s="29">
        <v>0</v>
      </c>
      <c r="N311" s="31">
        <v>0</v>
      </c>
    </row>
    <row r="312" s="2" customFormat="1" spans="1:15">
      <c r="A312" s="21" t="e">
        <f t="shared" si="6"/>
        <v>#REF!</v>
      </c>
      <c r="B312" s="22">
        <v>0</v>
      </c>
      <c r="C312" s="29">
        <v>0</v>
      </c>
      <c r="D312" s="24">
        <v>0</v>
      </c>
      <c r="E312" s="29">
        <v>0</v>
      </c>
      <c r="F312" s="25">
        <v>0</v>
      </c>
      <c r="G312" s="29">
        <v>0</v>
      </c>
      <c r="H312" s="29">
        <v>0</v>
      </c>
      <c r="I312" s="29">
        <v>0</v>
      </c>
      <c r="J312" s="26">
        <v>0</v>
      </c>
      <c r="K312" s="27">
        <v>0</v>
      </c>
      <c r="L312" s="30">
        <v>0</v>
      </c>
      <c r="M312" s="29">
        <v>0</v>
      </c>
      <c r="N312" s="31">
        <v>0</v>
      </c>
    </row>
    <row r="313" s="2" customFormat="1" spans="1:15">
      <c r="A313" s="21" t="e">
        <f t="shared" si="6"/>
        <v>#REF!</v>
      </c>
      <c r="B313" s="22">
        <v>0</v>
      </c>
      <c r="C313" s="29">
        <v>0</v>
      </c>
      <c r="D313" s="24">
        <v>0</v>
      </c>
      <c r="E313" s="29">
        <v>0</v>
      </c>
      <c r="F313" s="25">
        <v>0</v>
      </c>
      <c r="G313" s="29">
        <v>0</v>
      </c>
      <c r="H313" s="29">
        <v>0</v>
      </c>
      <c r="I313" s="29">
        <v>0</v>
      </c>
      <c r="J313" s="26">
        <v>0</v>
      </c>
      <c r="K313" s="27">
        <v>0</v>
      </c>
      <c r="L313" s="30">
        <v>0</v>
      </c>
      <c r="M313" s="29">
        <v>0</v>
      </c>
      <c r="N313" s="31">
        <v>0</v>
      </c>
    </row>
    <row r="314" s="2" customFormat="1" spans="1:15">
      <c r="A314" s="21" t="e">
        <f t="shared" si="6"/>
        <v>#REF!</v>
      </c>
      <c r="B314" s="22">
        <v>0</v>
      </c>
      <c r="C314" s="29">
        <v>0</v>
      </c>
      <c r="D314" s="24">
        <v>0</v>
      </c>
      <c r="E314" s="29">
        <v>0</v>
      </c>
      <c r="F314" s="25">
        <v>0</v>
      </c>
      <c r="G314" s="29">
        <v>0</v>
      </c>
      <c r="H314" s="29">
        <v>0</v>
      </c>
      <c r="I314" s="29">
        <v>0</v>
      </c>
      <c r="J314" s="26">
        <v>0</v>
      </c>
      <c r="K314" s="27">
        <v>0</v>
      </c>
      <c r="L314" s="30">
        <v>0</v>
      </c>
      <c r="M314" s="29">
        <v>0</v>
      </c>
      <c r="N314" s="31">
        <v>0</v>
      </c>
    </row>
    <row r="315" s="2" customFormat="1" spans="1:15">
      <c r="A315" s="21" t="e">
        <f t="shared" si="6"/>
        <v>#REF!</v>
      </c>
      <c r="B315" s="22">
        <v>0</v>
      </c>
      <c r="C315" s="29">
        <v>0</v>
      </c>
      <c r="D315" s="24">
        <v>0</v>
      </c>
      <c r="E315" s="29">
        <v>0</v>
      </c>
      <c r="F315" s="25">
        <v>0</v>
      </c>
      <c r="G315" s="29">
        <v>0</v>
      </c>
      <c r="H315" s="29">
        <v>0</v>
      </c>
      <c r="I315" s="29">
        <v>0</v>
      </c>
      <c r="J315" s="26">
        <v>0</v>
      </c>
      <c r="K315" s="27">
        <v>0</v>
      </c>
      <c r="L315" s="30">
        <v>0</v>
      </c>
      <c r="M315" s="29">
        <v>0</v>
      </c>
      <c r="N315" s="31">
        <v>0</v>
      </c>
    </row>
    <row r="316" s="2" customFormat="1" spans="1:15">
      <c r="A316" s="21" t="e">
        <f t="shared" si="6"/>
        <v>#REF!</v>
      </c>
      <c r="B316" s="22">
        <v>0</v>
      </c>
      <c r="C316" s="29">
        <v>0</v>
      </c>
      <c r="D316" s="24">
        <v>0</v>
      </c>
      <c r="E316" s="29">
        <v>0</v>
      </c>
      <c r="F316" s="25">
        <v>0</v>
      </c>
      <c r="G316" s="29">
        <v>0</v>
      </c>
      <c r="H316" s="29">
        <v>0</v>
      </c>
      <c r="I316" s="29">
        <v>0</v>
      </c>
      <c r="J316" s="26">
        <v>0</v>
      </c>
      <c r="K316" s="27">
        <v>0</v>
      </c>
      <c r="L316" s="30">
        <v>0</v>
      </c>
      <c r="M316" s="29">
        <v>0</v>
      </c>
      <c r="N316" s="31">
        <v>0</v>
      </c>
    </row>
    <row r="317" s="2" customFormat="1" spans="1:15">
      <c r="A317" s="21" t="e">
        <f t="shared" si="6"/>
        <v>#REF!</v>
      </c>
      <c r="B317" s="22">
        <v>0</v>
      </c>
      <c r="C317" s="29">
        <v>0</v>
      </c>
      <c r="D317" s="24">
        <v>0</v>
      </c>
      <c r="E317" s="29">
        <v>0</v>
      </c>
      <c r="F317" s="25">
        <v>0</v>
      </c>
      <c r="G317" s="29">
        <v>0</v>
      </c>
      <c r="H317" s="29">
        <v>0</v>
      </c>
      <c r="I317" s="29">
        <v>0</v>
      </c>
      <c r="J317" s="26">
        <v>0</v>
      </c>
      <c r="K317" s="27">
        <v>0</v>
      </c>
      <c r="L317" s="30">
        <v>0</v>
      </c>
      <c r="M317" s="29">
        <v>0</v>
      </c>
      <c r="N317" s="31">
        <v>0</v>
      </c>
    </row>
    <row r="318" s="2" customFormat="1" spans="1:15">
      <c r="A318" s="21" t="e">
        <f t="shared" si="6"/>
        <v>#REF!</v>
      </c>
      <c r="B318" s="22">
        <v>0</v>
      </c>
      <c r="C318" s="29">
        <v>0</v>
      </c>
      <c r="D318" s="24">
        <v>0</v>
      </c>
      <c r="E318" s="29">
        <v>0</v>
      </c>
      <c r="F318" s="25">
        <v>0</v>
      </c>
      <c r="G318" s="29">
        <v>0</v>
      </c>
      <c r="H318" s="29">
        <v>0</v>
      </c>
      <c r="I318" s="29">
        <v>0</v>
      </c>
      <c r="J318" s="26">
        <v>0</v>
      </c>
      <c r="K318" s="27">
        <v>0</v>
      </c>
      <c r="L318" s="30">
        <v>0</v>
      </c>
      <c r="M318" s="29">
        <v>0</v>
      </c>
      <c r="N318" s="31">
        <v>0</v>
      </c>
    </row>
    <row r="319" s="2" customFormat="1" spans="1:15">
      <c r="A319" s="21" t="e">
        <f t="shared" si="6"/>
        <v>#REF!</v>
      </c>
      <c r="B319" s="22">
        <v>0</v>
      </c>
      <c r="C319" s="29">
        <v>0</v>
      </c>
      <c r="D319" s="24">
        <v>0</v>
      </c>
      <c r="E319" s="29">
        <v>0</v>
      </c>
      <c r="F319" s="25">
        <v>0</v>
      </c>
      <c r="G319" s="29">
        <v>0</v>
      </c>
      <c r="H319" s="29">
        <v>0</v>
      </c>
      <c r="I319" s="29">
        <v>0</v>
      </c>
      <c r="J319" s="26">
        <v>0</v>
      </c>
      <c r="K319" s="27">
        <v>0</v>
      </c>
      <c r="L319" s="30">
        <v>0</v>
      </c>
      <c r="M319" s="29">
        <v>0</v>
      </c>
      <c r="N319" s="31">
        <v>0</v>
      </c>
      <c r="O319" s="3"/>
    </row>
    <row r="320" s="2" customFormat="1" spans="1:15">
      <c r="A320" s="21" t="e">
        <f t="shared" si="6"/>
        <v>#REF!</v>
      </c>
      <c r="B320" s="22">
        <v>0</v>
      </c>
      <c r="C320" s="29">
        <v>0</v>
      </c>
      <c r="D320" s="24">
        <v>0</v>
      </c>
      <c r="E320" s="29">
        <v>0</v>
      </c>
      <c r="F320" s="25">
        <v>0</v>
      </c>
      <c r="G320" s="29">
        <v>0</v>
      </c>
      <c r="H320" s="29">
        <v>0</v>
      </c>
      <c r="I320" s="29">
        <v>0</v>
      </c>
      <c r="J320" s="26">
        <v>0</v>
      </c>
      <c r="K320" s="27">
        <v>0</v>
      </c>
      <c r="L320" s="30">
        <v>0</v>
      </c>
      <c r="M320" s="29">
        <v>0</v>
      </c>
      <c r="N320" s="31">
        <v>0</v>
      </c>
      <c r="O320" s="3"/>
    </row>
    <row r="321" s="2" customFormat="1" spans="1:15">
      <c r="A321" s="21" t="e">
        <f t="shared" si="6"/>
        <v>#REF!</v>
      </c>
      <c r="B321" s="22">
        <v>0</v>
      </c>
      <c r="C321" s="29">
        <v>0</v>
      </c>
      <c r="D321" s="24">
        <v>0</v>
      </c>
      <c r="E321" s="29">
        <v>0</v>
      </c>
      <c r="F321" s="25">
        <v>0</v>
      </c>
      <c r="G321" s="29">
        <v>0</v>
      </c>
      <c r="H321" s="29">
        <v>0</v>
      </c>
      <c r="I321" s="29">
        <v>0</v>
      </c>
      <c r="J321" s="26">
        <v>0</v>
      </c>
      <c r="K321" s="27">
        <v>0</v>
      </c>
      <c r="L321" s="30">
        <v>0</v>
      </c>
      <c r="M321" s="29">
        <v>0</v>
      </c>
      <c r="N321" s="31">
        <v>0</v>
      </c>
      <c r="O321" s="3"/>
    </row>
    <row r="322" s="2" customFormat="1" spans="1:15">
      <c r="A322" s="21" t="e">
        <f t="shared" si="6"/>
        <v>#REF!</v>
      </c>
      <c r="B322" s="22">
        <v>0</v>
      </c>
      <c r="C322" s="29">
        <v>0</v>
      </c>
      <c r="D322" s="24">
        <v>0</v>
      </c>
      <c r="E322" s="29">
        <v>0</v>
      </c>
      <c r="F322" s="25">
        <v>0</v>
      </c>
      <c r="G322" s="29">
        <v>0</v>
      </c>
      <c r="H322" s="29">
        <v>0</v>
      </c>
      <c r="I322" s="29">
        <v>0</v>
      </c>
      <c r="J322" s="26">
        <v>0</v>
      </c>
      <c r="K322" s="27">
        <v>0</v>
      </c>
      <c r="L322" s="30">
        <v>0</v>
      </c>
      <c r="M322" s="29">
        <v>0</v>
      </c>
      <c r="N322" s="31">
        <v>0</v>
      </c>
      <c r="O322" s="3"/>
    </row>
    <row r="323" s="2" customFormat="1" spans="1:15">
      <c r="A323" s="21" t="e">
        <f t="shared" si="6"/>
        <v>#REF!</v>
      </c>
      <c r="B323" s="22">
        <v>0</v>
      </c>
      <c r="C323" s="29">
        <v>0</v>
      </c>
      <c r="D323" s="24">
        <v>0</v>
      </c>
      <c r="E323" s="29">
        <v>0</v>
      </c>
      <c r="F323" s="25">
        <v>0</v>
      </c>
      <c r="G323" s="29">
        <v>0</v>
      </c>
      <c r="H323" s="29">
        <v>0</v>
      </c>
      <c r="I323" s="29">
        <v>0</v>
      </c>
      <c r="J323" s="26">
        <v>0</v>
      </c>
      <c r="K323" s="27">
        <v>0</v>
      </c>
      <c r="L323" s="30">
        <v>0</v>
      </c>
      <c r="M323" s="29">
        <v>0</v>
      </c>
      <c r="N323" s="31">
        <v>0</v>
      </c>
      <c r="O323" s="3"/>
    </row>
    <row r="324" s="2" customFormat="1" spans="1:15">
      <c r="A324" s="21" t="e">
        <f t="shared" si="6"/>
        <v>#REF!</v>
      </c>
      <c r="B324" s="22">
        <v>0</v>
      </c>
      <c r="C324" s="29">
        <v>0</v>
      </c>
      <c r="D324" s="24">
        <v>0</v>
      </c>
      <c r="E324" s="29">
        <v>0</v>
      </c>
      <c r="F324" s="25">
        <v>0</v>
      </c>
      <c r="G324" s="29">
        <v>0</v>
      </c>
      <c r="H324" s="29">
        <v>0</v>
      </c>
      <c r="I324" s="29">
        <v>0</v>
      </c>
      <c r="J324" s="26">
        <v>0</v>
      </c>
      <c r="K324" s="27">
        <v>0</v>
      </c>
      <c r="L324" s="30">
        <v>0</v>
      </c>
      <c r="M324" s="29">
        <v>0</v>
      </c>
      <c r="N324" s="31">
        <v>0</v>
      </c>
      <c r="O324" s="3"/>
    </row>
    <row r="325" s="2" customFormat="1" spans="1:15">
      <c r="A325" s="21" t="e">
        <f t="shared" si="6"/>
        <v>#REF!</v>
      </c>
      <c r="B325" s="22">
        <v>0</v>
      </c>
      <c r="C325" s="29">
        <v>0</v>
      </c>
      <c r="D325" s="24">
        <v>0</v>
      </c>
      <c r="E325" s="29">
        <v>0</v>
      </c>
      <c r="F325" s="25">
        <v>0</v>
      </c>
      <c r="G325" s="29">
        <v>0</v>
      </c>
      <c r="H325" s="29">
        <v>0</v>
      </c>
      <c r="I325" s="29">
        <v>0</v>
      </c>
      <c r="J325" s="26">
        <v>0</v>
      </c>
      <c r="K325" s="27">
        <v>0</v>
      </c>
      <c r="L325" s="30">
        <v>0</v>
      </c>
      <c r="M325" s="29">
        <v>0</v>
      </c>
      <c r="N325" s="31">
        <v>0</v>
      </c>
      <c r="O325" s="3"/>
    </row>
    <row r="326" s="2" customFormat="1" spans="1:15">
      <c r="A326" s="21" t="e">
        <f t="shared" si="6"/>
        <v>#REF!</v>
      </c>
      <c r="B326" s="22">
        <v>0</v>
      </c>
      <c r="C326" s="29">
        <v>0</v>
      </c>
      <c r="D326" s="24">
        <v>0</v>
      </c>
      <c r="E326" s="29">
        <v>0</v>
      </c>
      <c r="F326" s="25">
        <v>0</v>
      </c>
      <c r="G326" s="29">
        <v>0</v>
      </c>
      <c r="H326" s="29">
        <v>0</v>
      </c>
      <c r="I326" s="29">
        <v>0</v>
      </c>
      <c r="J326" s="26">
        <v>0</v>
      </c>
      <c r="K326" s="27">
        <v>0</v>
      </c>
      <c r="L326" s="30">
        <v>0</v>
      </c>
      <c r="M326" s="29">
        <v>0</v>
      </c>
      <c r="N326" s="31">
        <v>0</v>
      </c>
      <c r="O326" s="3"/>
    </row>
    <row r="327" s="2" customFormat="1" spans="1:15">
      <c r="A327" s="21" t="e">
        <f t="shared" si="6"/>
        <v>#REF!</v>
      </c>
      <c r="B327" s="22">
        <v>0</v>
      </c>
      <c r="C327" s="29">
        <v>0</v>
      </c>
      <c r="D327" s="24">
        <v>0</v>
      </c>
      <c r="E327" s="29">
        <v>0</v>
      </c>
      <c r="F327" s="25">
        <v>0</v>
      </c>
      <c r="G327" s="29">
        <v>0</v>
      </c>
      <c r="H327" s="29">
        <v>0</v>
      </c>
      <c r="I327" s="29">
        <v>0</v>
      </c>
      <c r="J327" s="26">
        <v>0</v>
      </c>
      <c r="K327" s="27">
        <v>0</v>
      </c>
      <c r="L327" s="30">
        <v>0</v>
      </c>
      <c r="M327" s="29">
        <v>0</v>
      </c>
      <c r="N327" s="31">
        <v>0</v>
      </c>
      <c r="O327" s="3"/>
    </row>
    <row r="328" s="2" customFormat="1" spans="1:15">
      <c r="A328" s="21" t="e">
        <f t="shared" si="6"/>
        <v>#REF!</v>
      </c>
      <c r="B328" s="22">
        <v>0</v>
      </c>
      <c r="C328" s="29">
        <v>0</v>
      </c>
      <c r="D328" s="24">
        <v>0</v>
      </c>
      <c r="E328" s="29">
        <v>0</v>
      </c>
      <c r="F328" s="25">
        <v>0</v>
      </c>
      <c r="G328" s="29">
        <v>0</v>
      </c>
      <c r="H328" s="29">
        <v>0</v>
      </c>
      <c r="I328" s="29">
        <v>0</v>
      </c>
      <c r="J328" s="26">
        <v>0</v>
      </c>
      <c r="K328" s="27">
        <v>0</v>
      </c>
      <c r="L328" s="30">
        <v>0</v>
      </c>
      <c r="M328" s="29">
        <v>0</v>
      </c>
      <c r="N328" s="31">
        <v>0</v>
      </c>
      <c r="O328" s="3"/>
    </row>
    <row r="329" s="2" customFormat="1" spans="1:15">
      <c r="A329" s="21" t="e">
        <f t="shared" si="6"/>
        <v>#REF!</v>
      </c>
      <c r="B329" s="22">
        <v>0</v>
      </c>
      <c r="C329" s="29">
        <v>0</v>
      </c>
      <c r="D329" s="24">
        <v>0</v>
      </c>
      <c r="E329" s="29">
        <v>0</v>
      </c>
      <c r="F329" s="25">
        <v>0</v>
      </c>
      <c r="G329" s="29">
        <v>0</v>
      </c>
      <c r="H329" s="29">
        <v>0</v>
      </c>
      <c r="I329" s="29">
        <v>0</v>
      </c>
      <c r="J329" s="26">
        <v>0</v>
      </c>
      <c r="K329" s="27">
        <v>0</v>
      </c>
      <c r="L329" s="30">
        <v>0</v>
      </c>
      <c r="M329" s="29">
        <v>0</v>
      </c>
      <c r="N329" s="31">
        <v>0</v>
      </c>
      <c r="O329" s="3"/>
    </row>
    <row r="330" s="2" customFormat="1" spans="1:15">
      <c r="A330" s="21" t="e">
        <f t="shared" si="6"/>
        <v>#REF!</v>
      </c>
      <c r="B330" s="22">
        <v>0</v>
      </c>
      <c r="C330" s="29">
        <v>0</v>
      </c>
      <c r="D330" s="24">
        <v>0</v>
      </c>
      <c r="E330" s="29">
        <v>0</v>
      </c>
      <c r="F330" s="25">
        <v>0</v>
      </c>
      <c r="G330" s="29">
        <v>0</v>
      </c>
      <c r="H330" s="29">
        <v>0</v>
      </c>
      <c r="I330" s="29">
        <v>0</v>
      </c>
      <c r="J330" s="26">
        <v>0</v>
      </c>
      <c r="K330" s="27">
        <v>0</v>
      </c>
      <c r="L330" s="30">
        <v>0</v>
      </c>
      <c r="M330" s="29">
        <v>0</v>
      </c>
      <c r="N330" s="31">
        <v>0</v>
      </c>
      <c r="O330" s="3"/>
    </row>
    <row r="331" s="2" customFormat="1" spans="1:15">
      <c r="A331" s="21" t="e">
        <f t="shared" si="6"/>
        <v>#REF!</v>
      </c>
      <c r="B331" s="22">
        <v>0</v>
      </c>
      <c r="C331" s="29">
        <v>0</v>
      </c>
      <c r="D331" s="24">
        <v>0</v>
      </c>
      <c r="E331" s="29">
        <v>0</v>
      </c>
      <c r="F331" s="25">
        <v>0</v>
      </c>
      <c r="G331" s="29">
        <v>0</v>
      </c>
      <c r="H331" s="29">
        <v>0</v>
      </c>
      <c r="I331" s="29">
        <v>0</v>
      </c>
      <c r="J331" s="26">
        <v>0</v>
      </c>
      <c r="K331" s="27">
        <v>0</v>
      </c>
      <c r="L331" s="30">
        <v>0</v>
      </c>
      <c r="M331" s="29">
        <v>0</v>
      </c>
      <c r="N331" s="31">
        <v>0</v>
      </c>
      <c r="O331" s="3"/>
    </row>
    <row r="332" s="2" customFormat="1" spans="1:15">
      <c r="A332" s="21" t="e">
        <f t="shared" si="6"/>
        <v>#REF!</v>
      </c>
      <c r="B332" s="22">
        <v>0</v>
      </c>
      <c r="C332" s="29">
        <v>0</v>
      </c>
      <c r="D332" s="24">
        <v>0</v>
      </c>
      <c r="E332" s="29">
        <v>0</v>
      </c>
      <c r="F332" s="25">
        <v>0</v>
      </c>
      <c r="G332" s="29">
        <v>0</v>
      </c>
      <c r="H332" s="29">
        <v>0</v>
      </c>
      <c r="I332" s="29">
        <v>0</v>
      </c>
      <c r="J332" s="26">
        <v>0</v>
      </c>
      <c r="K332" s="27">
        <v>0</v>
      </c>
      <c r="L332" s="30">
        <v>0</v>
      </c>
      <c r="M332" s="29">
        <v>0</v>
      </c>
      <c r="N332" s="31">
        <v>0</v>
      </c>
      <c r="O332" s="3"/>
    </row>
    <row r="333" s="2" customFormat="1" spans="1:15">
      <c r="A333" s="21" t="e">
        <f t="shared" si="6"/>
        <v>#REF!</v>
      </c>
      <c r="B333" s="22">
        <v>0</v>
      </c>
      <c r="C333" s="29">
        <v>0</v>
      </c>
      <c r="D333" s="24">
        <v>0</v>
      </c>
      <c r="E333" s="29">
        <v>0</v>
      </c>
      <c r="F333" s="25">
        <v>0</v>
      </c>
      <c r="G333" s="29">
        <v>0</v>
      </c>
      <c r="H333" s="29">
        <v>0</v>
      </c>
      <c r="I333" s="29">
        <v>0</v>
      </c>
      <c r="J333" s="26">
        <v>0</v>
      </c>
      <c r="K333" s="27">
        <v>0</v>
      </c>
      <c r="L333" s="30">
        <v>0</v>
      </c>
      <c r="M333" s="29">
        <v>0</v>
      </c>
      <c r="N333" s="31">
        <v>0</v>
      </c>
    </row>
    <row r="334" s="2" customFormat="1" spans="1:15">
      <c r="A334" s="21" t="e">
        <f t="shared" ref="A334:A360" si="7">A333+1</f>
        <v>#REF!</v>
      </c>
      <c r="B334" s="22">
        <v>0</v>
      </c>
      <c r="C334" s="29">
        <v>0</v>
      </c>
      <c r="D334" s="24">
        <v>0</v>
      </c>
      <c r="E334" s="29">
        <v>0</v>
      </c>
      <c r="F334" s="25">
        <v>0</v>
      </c>
      <c r="G334" s="29">
        <v>0</v>
      </c>
      <c r="H334" s="29">
        <v>0</v>
      </c>
      <c r="I334" s="29">
        <v>0</v>
      </c>
      <c r="J334" s="26">
        <v>0</v>
      </c>
      <c r="K334" s="27">
        <v>0</v>
      </c>
      <c r="L334" s="30">
        <v>0</v>
      </c>
      <c r="M334" s="29">
        <v>0</v>
      </c>
      <c r="N334" s="31">
        <v>0</v>
      </c>
    </row>
    <row r="335" s="2" customFormat="1" spans="1:15">
      <c r="A335" s="21" t="e">
        <f t="shared" si="7"/>
        <v>#REF!</v>
      </c>
      <c r="B335" s="22">
        <v>0</v>
      </c>
      <c r="C335" s="29">
        <v>0</v>
      </c>
      <c r="D335" s="24">
        <v>0</v>
      </c>
      <c r="E335" s="29">
        <v>0</v>
      </c>
      <c r="F335" s="25">
        <v>0</v>
      </c>
      <c r="G335" s="29">
        <v>0</v>
      </c>
      <c r="H335" s="29">
        <v>0</v>
      </c>
      <c r="I335" s="29">
        <v>0</v>
      </c>
      <c r="J335" s="26">
        <v>0</v>
      </c>
      <c r="K335" s="27">
        <v>0</v>
      </c>
      <c r="L335" s="30">
        <v>0</v>
      </c>
      <c r="M335" s="29">
        <v>0</v>
      </c>
      <c r="N335" s="31">
        <v>0</v>
      </c>
    </row>
    <row r="336" s="2" customFormat="1" spans="1:15">
      <c r="A336" s="21" t="e">
        <f t="shared" si="7"/>
        <v>#REF!</v>
      </c>
      <c r="B336" s="22">
        <v>0</v>
      </c>
      <c r="C336" s="29">
        <v>0</v>
      </c>
      <c r="D336" s="24">
        <v>0</v>
      </c>
      <c r="E336" s="29">
        <v>0</v>
      </c>
      <c r="F336" s="25">
        <v>0</v>
      </c>
      <c r="G336" s="29">
        <v>0</v>
      </c>
      <c r="H336" s="29">
        <v>0</v>
      </c>
      <c r="I336" s="29">
        <v>0</v>
      </c>
      <c r="J336" s="26">
        <v>0</v>
      </c>
      <c r="K336" s="27">
        <v>0</v>
      </c>
      <c r="L336" s="30">
        <v>0</v>
      </c>
      <c r="M336" s="29">
        <v>0</v>
      </c>
      <c r="N336" s="31">
        <v>0</v>
      </c>
    </row>
    <row r="337" s="2" customFormat="1" spans="1:14">
      <c r="A337" s="21" t="e">
        <f t="shared" si="7"/>
        <v>#REF!</v>
      </c>
      <c r="B337" s="22">
        <v>0</v>
      </c>
      <c r="C337" s="29">
        <v>0</v>
      </c>
      <c r="D337" s="24">
        <v>0</v>
      </c>
      <c r="E337" s="29">
        <v>0</v>
      </c>
      <c r="F337" s="25">
        <v>0</v>
      </c>
      <c r="G337" s="29">
        <v>0</v>
      </c>
      <c r="H337" s="29">
        <v>0</v>
      </c>
      <c r="I337" s="29">
        <v>0</v>
      </c>
      <c r="J337" s="26">
        <v>0</v>
      </c>
      <c r="K337" s="27">
        <v>0</v>
      </c>
      <c r="L337" s="30">
        <v>0</v>
      </c>
      <c r="M337" s="29">
        <v>0</v>
      </c>
      <c r="N337" s="31">
        <v>0</v>
      </c>
    </row>
    <row r="338" s="2" customFormat="1" spans="1:14">
      <c r="A338" s="21" t="e">
        <f t="shared" si="7"/>
        <v>#REF!</v>
      </c>
      <c r="B338" s="22">
        <v>0</v>
      </c>
      <c r="C338" s="29">
        <v>0</v>
      </c>
      <c r="D338" s="24">
        <v>0</v>
      </c>
      <c r="E338" s="29">
        <v>0</v>
      </c>
      <c r="F338" s="25">
        <v>0</v>
      </c>
      <c r="G338" s="29">
        <v>0</v>
      </c>
      <c r="H338" s="29">
        <v>0</v>
      </c>
      <c r="I338" s="29">
        <v>0</v>
      </c>
      <c r="J338" s="26">
        <v>0</v>
      </c>
      <c r="K338" s="27">
        <v>0</v>
      </c>
      <c r="L338" s="30">
        <v>0</v>
      </c>
      <c r="M338" s="29">
        <v>0</v>
      </c>
      <c r="N338" s="31">
        <v>0</v>
      </c>
    </row>
    <row r="339" s="2" customFormat="1" spans="1:14">
      <c r="A339" s="21" t="e">
        <f t="shared" si="7"/>
        <v>#REF!</v>
      </c>
      <c r="B339" s="22">
        <v>0</v>
      </c>
      <c r="C339" s="29">
        <v>0</v>
      </c>
      <c r="D339" s="24">
        <v>0</v>
      </c>
      <c r="E339" s="29">
        <v>0</v>
      </c>
      <c r="F339" s="25">
        <v>0</v>
      </c>
      <c r="G339" s="29">
        <v>0</v>
      </c>
      <c r="H339" s="29">
        <v>0</v>
      </c>
      <c r="I339" s="29">
        <v>0</v>
      </c>
      <c r="J339" s="26">
        <v>0</v>
      </c>
      <c r="K339" s="27">
        <v>0</v>
      </c>
      <c r="L339" s="30">
        <v>0</v>
      </c>
      <c r="M339" s="29">
        <v>0</v>
      </c>
      <c r="N339" s="31">
        <v>0</v>
      </c>
    </row>
    <row r="340" s="2" customFormat="1" spans="1:14">
      <c r="A340" s="21" t="e">
        <f t="shared" si="7"/>
        <v>#REF!</v>
      </c>
      <c r="B340" s="22">
        <v>0</v>
      </c>
      <c r="C340" s="29">
        <v>0</v>
      </c>
      <c r="D340" s="24">
        <v>0</v>
      </c>
      <c r="E340" s="29">
        <v>0</v>
      </c>
      <c r="F340" s="25">
        <v>0</v>
      </c>
      <c r="G340" s="29">
        <v>0</v>
      </c>
      <c r="H340" s="29">
        <v>0</v>
      </c>
      <c r="I340" s="29">
        <v>0</v>
      </c>
      <c r="J340" s="26">
        <v>0</v>
      </c>
      <c r="K340" s="27">
        <v>0</v>
      </c>
      <c r="L340" s="30">
        <v>0</v>
      </c>
      <c r="M340" s="29">
        <v>0</v>
      </c>
      <c r="N340" s="31">
        <v>0</v>
      </c>
    </row>
    <row r="341" s="2" customFormat="1" spans="1:14">
      <c r="A341" s="21" t="e">
        <f t="shared" si="7"/>
        <v>#REF!</v>
      </c>
      <c r="B341" s="22">
        <v>0</v>
      </c>
      <c r="C341" s="29">
        <v>0</v>
      </c>
      <c r="D341" s="24">
        <v>0</v>
      </c>
      <c r="E341" s="29">
        <v>0</v>
      </c>
      <c r="F341" s="25">
        <v>0</v>
      </c>
      <c r="G341" s="29">
        <v>0</v>
      </c>
      <c r="H341" s="29">
        <v>0</v>
      </c>
      <c r="I341" s="29">
        <v>0</v>
      </c>
      <c r="J341" s="26">
        <v>0</v>
      </c>
      <c r="K341" s="27">
        <v>0</v>
      </c>
      <c r="L341" s="30">
        <v>0</v>
      </c>
      <c r="M341" s="29">
        <v>0</v>
      </c>
      <c r="N341" s="31">
        <v>0</v>
      </c>
    </row>
    <row r="342" s="2" customFormat="1" spans="1:14">
      <c r="A342" s="21" t="e">
        <f t="shared" si="7"/>
        <v>#REF!</v>
      </c>
      <c r="B342" s="22">
        <v>0</v>
      </c>
      <c r="C342" s="29">
        <v>0</v>
      </c>
      <c r="D342" s="24">
        <v>0</v>
      </c>
      <c r="E342" s="29">
        <v>0</v>
      </c>
      <c r="F342" s="25">
        <v>0</v>
      </c>
      <c r="G342" s="29">
        <v>0</v>
      </c>
      <c r="H342" s="29">
        <v>0</v>
      </c>
      <c r="I342" s="29">
        <v>0</v>
      </c>
      <c r="J342" s="26">
        <v>0</v>
      </c>
      <c r="K342" s="27">
        <v>0</v>
      </c>
      <c r="L342" s="30">
        <v>0</v>
      </c>
      <c r="M342" s="29">
        <v>0</v>
      </c>
      <c r="N342" s="31">
        <v>0</v>
      </c>
    </row>
    <row r="343" s="2" customFormat="1" spans="1:14">
      <c r="A343" s="21" t="e">
        <f t="shared" si="7"/>
        <v>#REF!</v>
      </c>
      <c r="B343" s="22">
        <v>0</v>
      </c>
      <c r="C343" s="29">
        <v>0</v>
      </c>
      <c r="D343" s="24">
        <v>0</v>
      </c>
      <c r="E343" s="29">
        <v>0</v>
      </c>
      <c r="F343" s="25">
        <v>0</v>
      </c>
      <c r="G343" s="29">
        <v>0</v>
      </c>
      <c r="H343" s="29">
        <v>0</v>
      </c>
      <c r="I343" s="29">
        <v>0</v>
      </c>
      <c r="J343" s="26">
        <v>0</v>
      </c>
      <c r="K343" s="27">
        <v>0</v>
      </c>
      <c r="L343" s="30">
        <v>0</v>
      </c>
      <c r="M343" s="29">
        <v>0</v>
      </c>
      <c r="N343" s="31">
        <v>0</v>
      </c>
    </row>
    <row r="344" s="2" customFormat="1" spans="1:14">
      <c r="A344" s="21" t="e">
        <f t="shared" si="7"/>
        <v>#REF!</v>
      </c>
      <c r="B344" s="22">
        <v>0</v>
      </c>
      <c r="C344" s="29">
        <v>0</v>
      </c>
      <c r="D344" s="24">
        <v>0</v>
      </c>
      <c r="E344" s="29">
        <v>0</v>
      </c>
      <c r="F344" s="25">
        <v>0</v>
      </c>
      <c r="G344" s="29">
        <v>0</v>
      </c>
      <c r="H344" s="29">
        <v>0</v>
      </c>
      <c r="I344" s="29">
        <v>0</v>
      </c>
      <c r="J344" s="26">
        <v>0</v>
      </c>
      <c r="K344" s="27">
        <v>0</v>
      </c>
      <c r="L344" s="30">
        <v>0</v>
      </c>
      <c r="M344" s="29">
        <v>0</v>
      </c>
      <c r="N344" s="31">
        <v>0</v>
      </c>
    </row>
    <row r="345" s="2" customFormat="1" spans="1:14">
      <c r="A345" s="21" t="e">
        <f t="shared" si="7"/>
        <v>#REF!</v>
      </c>
      <c r="B345" s="22">
        <v>0</v>
      </c>
      <c r="C345" s="29">
        <v>0</v>
      </c>
      <c r="D345" s="24">
        <v>0</v>
      </c>
      <c r="E345" s="29">
        <v>0</v>
      </c>
      <c r="F345" s="25">
        <v>0</v>
      </c>
      <c r="G345" s="29">
        <v>0</v>
      </c>
      <c r="H345" s="29">
        <v>0</v>
      </c>
      <c r="I345" s="29">
        <v>0</v>
      </c>
      <c r="J345" s="26">
        <v>0</v>
      </c>
      <c r="K345" s="27">
        <v>0</v>
      </c>
      <c r="L345" s="30">
        <v>0</v>
      </c>
      <c r="M345" s="29">
        <v>0</v>
      </c>
      <c r="N345" s="31">
        <v>0</v>
      </c>
    </row>
    <row r="346" s="2" customFormat="1" spans="1:14">
      <c r="A346" s="21" t="e">
        <f t="shared" si="7"/>
        <v>#REF!</v>
      </c>
      <c r="B346" s="22">
        <v>0</v>
      </c>
      <c r="C346" s="29">
        <v>0</v>
      </c>
      <c r="D346" s="24">
        <v>0</v>
      </c>
      <c r="E346" s="29">
        <v>0</v>
      </c>
      <c r="F346" s="25">
        <v>0</v>
      </c>
      <c r="G346" s="29">
        <v>0</v>
      </c>
      <c r="H346" s="29">
        <v>0</v>
      </c>
      <c r="I346" s="29">
        <v>0</v>
      </c>
      <c r="J346" s="26">
        <v>0</v>
      </c>
      <c r="K346" s="27">
        <v>0</v>
      </c>
      <c r="L346" s="30">
        <v>0</v>
      </c>
      <c r="M346" s="29">
        <v>0</v>
      </c>
      <c r="N346" s="31">
        <v>0</v>
      </c>
    </row>
    <row r="347" s="2" customFormat="1" spans="1:14">
      <c r="A347" s="21" t="e">
        <f t="shared" si="7"/>
        <v>#REF!</v>
      </c>
      <c r="B347" s="22">
        <v>0</v>
      </c>
      <c r="C347" s="29">
        <v>0</v>
      </c>
      <c r="D347" s="24">
        <v>0</v>
      </c>
      <c r="E347" s="29">
        <v>0</v>
      </c>
      <c r="F347" s="25">
        <v>0</v>
      </c>
      <c r="G347" s="29">
        <v>0</v>
      </c>
      <c r="H347" s="29">
        <v>0</v>
      </c>
      <c r="I347" s="29">
        <v>0</v>
      </c>
      <c r="J347" s="26">
        <v>0</v>
      </c>
      <c r="K347" s="27">
        <v>0</v>
      </c>
      <c r="L347" s="30">
        <v>0</v>
      </c>
      <c r="M347" s="29">
        <v>0</v>
      </c>
      <c r="N347" s="31">
        <v>0</v>
      </c>
    </row>
    <row r="348" s="2" customFormat="1" spans="1:14">
      <c r="A348" s="21" t="e">
        <f t="shared" si="7"/>
        <v>#REF!</v>
      </c>
      <c r="B348" s="22">
        <v>0</v>
      </c>
      <c r="C348" s="29">
        <v>0</v>
      </c>
      <c r="D348" s="24">
        <v>0</v>
      </c>
      <c r="E348" s="29">
        <v>0</v>
      </c>
      <c r="F348" s="25">
        <v>0</v>
      </c>
      <c r="G348" s="29">
        <v>0</v>
      </c>
      <c r="H348" s="29">
        <v>0</v>
      </c>
      <c r="I348" s="29">
        <v>0</v>
      </c>
      <c r="J348" s="26">
        <v>0</v>
      </c>
      <c r="K348" s="27">
        <v>0</v>
      </c>
      <c r="L348" s="30">
        <v>0</v>
      </c>
      <c r="M348" s="29">
        <v>0</v>
      </c>
      <c r="N348" s="31">
        <v>0</v>
      </c>
    </row>
    <row r="349" s="2" customFormat="1" spans="1:14">
      <c r="A349" s="21" t="e">
        <f t="shared" si="7"/>
        <v>#REF!</v>
      </c>
      <c r="B349" s="22">
        <v>0</v>
      </c>
      <c r="C349" s="29">
        <v>0</v>
      </c>
      <c r="D349" s="24">
        <v>0</v>
      </c>
      <c r="E349" s="29">
        <v>0</v>
      </c>
      <c r="F349" s="25">
        <v>0</v>
      </c>
      <c r="G349" s="29">
        <v>0</v>
      </c>
      <c r="H349" s="29">
        <v>0</v>
      </c>
      <c r="I349" s="29">
        <v>0</v>
      </c>
      <c r="J349" s="26">
        <v>0</v>
      </c>
      <c r="K349" s="27">
        <v>0</v>
      </c>
      <c r="L349" s="30">
        <v>0</v>
      </c>
      <c r="M349" s="29">
        <v>0</v>
      </c>
      <c r="N349" s="31">
        <v>0</v>
      </c>
    </row>
    <row r="350" s="2" customFormat="1" spans="1:14">
      <c r="A350" s="21" t="e">
        <f t="shared" si="7"/>
        <v>#REF!</v>
      </c>
      <c r="B350" s="22">
        <v>0</v>
      </c>
      <c r="C350" s="29">
        <v>0</v>
      </c>
      <c r="D350" s="24">
        <v>0</v>
      </c>
      <c r="E350" s="29">
        <v>0</v>
      </c>
      <c r="F350" s="25">
        <v>0</v>
      </c>
      <c r="G350" s="29">
        <v>0</v>
      </c>
      <c r="H350" s="29">
        <v>0</v>
      </c>
      <c r="I350" s="29">
        <v>0</v>
      </c>
      <c r="J350" s="26">
        <v>0</v>
      </c>
      <c r="K350" s="27">
        <v>0</v>
      </c>
      <c r="L350" s="30">
        <v>0</v>
      </c>
      <c r="M350" s="29">
        <v>0</v>
      </c>
      <c r="N350" s="31">
        <v>0</v>
      </c>
    </row>
    <row r="351" s="2" customFormat="1" spans="1:14">
      <c r="A351" s="21" t="e">
        <f t="shared" si="7"/>
        <v>#REF!</v>
      </c>
      <c r="B351" s="22">
        <v>0</v>
      </c>
      <c r="C351" s="29">
        <v>0</v>
      </c>
      <c r="D351" s="24">
        <v>0</v>
      </c>
      <c r="E351" s="29">
        <v>0</v>
      </c>
      <c r="F351" s="25">
        <v>0</v>
      </c>
      <c r="G351" s="29">
        <v>0</v>
      </c>
      <c r="H351" s="29">
        <v>0</v>
      </c>
      <c r="I351" s="29">
        <v>0</v>
      </c>
      <c r="J351" s="26">
        <v>0</v>
      </c>
      <c r="K351" s="27">
        <v>0</v>
      </c>
      <c r="L351" s="30">
        <v>0</v>
      </c>
      <c r="M351" s="29">
        <v>0</v>
      </c>
      <c r="N351" s="31">
        <v>0</v>
      </c>
    </row>
    <row r="352" s="2" customFormat="1" spans="1:14">
      <c r="A352" s="21" t="e">
        <f t="shared" si="7"/>
        <v>#REF!</v>
      </c>
      <c r="B352" s="22">
        <v>0</v>
      </c>
      <c r="C352" s="29">
        <v>0</v>
      </c>
      <c r="D352" s="24">
        <v>0</v>
      </c>
      <c r="E352" s="29">
        <v>0</v>
      </c>
      <c r="F352" s="25">
        <v>0</v>
      </c>
      <c r="G352" s="29">
        <v>0</v>
      </c>
      <c r="H352" s="29">
        <v>0</v>
      </c>
      <c r="I352" s="29">
        <v>0</v>
      </c>
      <c r="J352" s="26">
        <v>0</v>
      </c>
      <c r="K352" s="27">
        <v>0</v>
      </c>
      <c r="L352" s="30">
        <v>0</v>
      </c>
      <c r="M352" s="29">
        <v>0</v>
      </c>
      <c r="N352" s="31">
        <v>0</v>
      </c>
    </row>
    <row r="353" s="2" customFormat="1" spans="1:14">
      <c r="A353" s="21" t="e">
        <f t="shared" si="7"/>
        <v>#REF!</v>
      </c>
      <c r="B353" s="22">
        <v>0</v>
      </c>
      <c r="C353" s="29">
        <v>0</v>
      </c>
      <c r="D353" s="24">
        <v>0</v>
      </c>
      <c r="E353" s="29">
        <v>0</v>
      </c>
      <c r="F353" s="25">
        <v>0</v>
      </c>
      <c r="G353" s="29">
        <v>0</v>
      </c>
      <c r="H353" s="29">
        <v>0</v>
      </c>
      <c r="I353" s="29">
        <v>0</v>
      </c>
      <c r="J353" s="26">
        <v>0</v>
      </c>
      <c r="K353" s="27">
        <v>0</v>
      </c>
      <c r="L353" s="30">
        <v>0</v>
      </c>
      <c r="M353" s="29">
        <v>0</v>
      </c>
      <c r="N353" s="31">
        <v>0</v>
      </c>
    </row>
    <row r="354" s="2" customFormat="1" spans="1:14">
      <c r="A354" s="21" t="e">
        <f t="shared" si="7"/>
        <v>#REF!</v>
      </c>
      <c r="B354" s="22">
        <v>0</v>
      </c>
      <c r="C354" s="29">
        <v>0</v>
      </c>
      <c r="D354" s="24">
        <v>0</v>
      </c>
      <c r="E354" s="29">
        <v>0</v>
      </c>
      <c r="F354" s="25">
        <v>0</v>
      </c>
      <c r="G354" s="29">
        <v>0</v>
      </c>
      <c r="H354" s="29">
        <v>0</v>
      </c>
      <c r="I354" s="29">
        <v>0</v>
      </c>
      <c r="J354" s="26">
        <v>0</v>
      </c>
      <c r="K354" s="27">
        <v>0</v>
      </c>
      <c r="L354" s="30">
        <v>0</v>
      </c>
      <c r="M354" s="29">
        <v>0</v>
      </c>
      <c r="N354" s="31">
        <v>0</v>
      </c>
    </row>
    <row r="355" s="2" customFormat="1" spans="1:14">
      <c r="A355" s="21" t="e">
        <f t="shared" si="7"/>
        <v>#REF!</v>
      </c>
      <c r="B355" s="22">
        <v>0</v>
      </c>
      <c r="C355" s="29">
        <v>0</v>
      </c>
      <c r="D355" s="24">
        <v>0</v>
      </c>
      <c r="E355" s="29">
        <v>0</v>
      </c>
      <c r="F355" s="25">
        <v>0</v>
      </c>
      <c r="G355" s="29">
        <v>0</v>
      </c>
      <c r="H355" s="29">
        <v>0</v>
      </c>
      <c r="I355" s="29">
        <v>0</v>
      </c>
      <c r="J355" s="26">
        <v>0</v>
      </c>
      <c r="K355" s="27">
        <v>0</v>
      </c>
      <c r="L355" s="30">
        <v>0</v>
      </c>
      <c r="M355" s="29">
        <v>0</v>
      </c>
      <c r="N355" s="31">
        <v>0</v>
      </c>
    </row>
    <row r="356" s="2" customFormat="1" spans="1:14">
      <c r="A356" s="21" t="e">
        <f t="shared" si="7"/>
        <v>#REF!</v>
      </c>
      <c r="B356" s="22">
        <v>0</v>
      </c>
      <c r="C356" s="29">
        <v>0</v>
      </c>
      <c r="D356" s="24">
        <v>0</v>
      </c>
      <c r="E356" s="29">
        <v>0</v>
      </c>
      <c r="F356" s="25">
        <v>0</v>
      </c>
      <c r="G356" s="29">
        <v>0</v>
      </c>
      <c r="H356" s="29">
        <v>0</v>
      </c>
      <c r="I356" s="29">
        <v>0</v>
      </c>
      <c r="J356" s="26">
        <v>0</v>
      </c>
      <c r="K356" s="27">
        <v>0</v>
      </c>
      <c r="L356" s="30">
        <v>0</v>
      </c>
      <c r="M356" s="29">
        <v>0</v>
      </c>
      <c r="N356" s="31">
        <v>0</v>
      </c>
    </row>
    <row r="357" s="2" customFormat="1" spans="1:14">
      <c r="A357" s="21" t="e">
        <f t="shared" si="7"/>
        <v>#REF!</v>
      </c>
      <c r="B357" s="22">
        <v>0</v>
      </c>
      <c r="C357" s="29">
        <v>0</v>
      </c>
      <c r="D357" s="24">
        <v>0</v>
      </c>
      <c r="E357" s="29">
        <v>0</v>
      </c>
      <c r="F357" s="25">
        <v>0</v>
      </c>
      <c r="G357" s="29">
        <v>0</v>
      </c>
      <c r="H357" s="29">
        <v>0</v>
      </c>
      <c r="I357" s="29">
        <v>0</v>
      </c>
      <c r="J357" s="26">
        <v>0</v>
      </c>
      <c r="K357" s="27">
        <v>0</v>
      </c>
      <c r="L357" s="30">
        <v>0</v>
      </c>
      <c r="M357" s="29">
        <v>0</v>
      </c>
      <c r="N357" s="31">
        <v>0</v>
      </c>
    </row>
    <row r="358" s="2" customFormat="1" spans="1:14">
      <c r="A358" s="21" t="e">
        <f t="shared" si="7"/>
        <v>#REF!</v>
      </c>
      <c r="B358" s="22">
        <v>0</v>
      </c>
      <c r="C358" s="29">
        <v>0</v>
      </c>
      <c r="D358" s="24">
        <v>0</v>
      </c>
      <c r="E358" s="29">
        <v>0</v>
      </c>
      <c r="F358" s="25">
        <v>0</v>
      </c>
      <c r="G358" s="29">
        <v>0</v>
      </c>
      <c r="H358" s="29">
        <v>0</v>
      </c>
      <c r="I358" s="29">
        <v>0</v>
      </c>
      <c r="J358" s="26">
        <v>0</v>
      </c>
      <c r="K358" s="27">
        <v>0</v>
      </c>
      <c r="L358" s="30">
        <v>0</v>
      </c>
      <c r="M358" s="29">
        <v>0</v>
      </c>
      <c r="N358" s="31">
        <v>0</v>
      </c>
    </row>
    <row r="359" s="2" customFormat="1" spans="1:14">
      <c r="A359" s="21" t="e">
        <f t="shared" si="7"/>
        <v>#REF!</v>
      </c>
      <c r="B359" s="22">
        <v>0</v>
      </c>
      <c r="C359" s="29">
        <v>0</v>
      </c>
      <c r="D359" s="24">
        <v>0</v>
      </c>
      <c r="E359" s="29">
        <v>0</v>
      </c>
      <c r="F359" s="25">
        <v>0</v>
      </c>
      <c r="G359" s="29">
        <v>0</v>
      </c>
      <c r="H359" s="29">
        <v>0</v>
      </c>
      <c r="I359" s="29">
        <v>0</v>
      </c>
      <c r="J359" s="26">
        <v>0</v>
      </c>
      <c r="K359" s="27">
        <v>0</v>
      </c>
      <c r="L359" s="30">
        <v>0</v>
      </c>
      <c r="M359" s="29">
        <v>0</v>
      </c>
      <c r="N359" s="31">
        <v>0</v>
      </c>
    </row>
    <row r="360" s="2" customFormat="1" spans="1:14">
      <c r="A360" s="21" t="e">
        <f t="shared" si="7"/>
        <v>#REF!</v>
      </c>
      <c r="B360" s="22">
        <v>0</v>
      </c>
      <c r="C360" s="29">
        <v>0</v>
      </c>
      <c r="D360" s="24">
        <v>0</v>
      </c>
      <c r="E360" s="29">
        <v>0</v>
      </c>
      <c r="F360" s="25">
        <v>0</v>
      </c>
      <c r="G360" s="29">
        <v>0</v>
      </c>
      <c r="H360" s="29">
        <v>0</v>
      </c>
      <c r="I360" s="29">
        <v>0</v>
      </c>
      <c r="J360" s="26">
        <v>0</v>
      </c>
      <c r="K360" s="27">
        <v>0</v>
      </c>
      <c r="L360" s="30">
        <v>0</v>
      </c>
      <c r="M360" s="29">
        <v>0</v>
      </c>
      <c r="N360" s="31">
        <v>0</v>
      </c>
    </row>
    <row r="361" s="2" customFormat="1" spans="1:14">
      <c r="A361" s="21">
        <v>45161</v>
      </c>
      <c r="B361" s="35">
        <v>184.75</v>
      </c>
      <c r="C361" s="29">
        <v>5119</v>
      </c>
      <c r="D361" s="24">
        <v>61</v>
      </c>
      <c r="E361" s="23">
        <v>0</v>
      </c>
      <c r="F361" s="35">
        <v>0</v>
      </c>
      <c r="G361" s="29">
        <v>1</v>
      </c>
      <c r="H361" s="29">
        <v>0</v>
      </c>
      <c r="I361" s="29">
        <v>0</v>
      </c>
      <c r="J361" s="36">
        <f t="shared" ref="J361:J424" si="8">D361/C361</f>
        <v>0.0119163899199062</v>
      </c>
      <c r="K361" s="27">
        <f t="shared" ref="K361:K424" si="9">B361/D361</f>
        <v>3.02868852459016</v>
      </c>
      <c r="L361" s="30">
        <f t="shared" ref="L361:L424" si="10">B361/C361*1000</f>
        <v>36.0910334049619</v>
      </c>
      <c r="M361" s="37">
        <f t="shared" ref="M361:M424" si="11">F361/B361</f>
        <v>0</v>
      </c>
      <c r="N361" s="31">
        <f t="shared" ref="N361:N424" si="12">E361/D361</f>
        <v>0</v>
      </c>
    </row>
    <row r="362" s="2" customFormat="1" spans="1:14">
      <c r="A362" s="21">
        <v>45162</v>
      </c>
      <c r="B362" s="35">
        <v>599.69</v>
      </c>
      <c r="C362" s="29">
        <v>81627</v>
      </c>
      <c r="D362" s="24">
        <v>528</v>
      </c>
      <c r="E362" s="23">
        <v>0</v>
      </c>
      <c r="F362" s="35">
        <v>0</v>
      </c>
      <c r="G362" s="23">
        <v>5</v>
      </c>
      <c r="H362" s="23">
        <v>3</v>
      </c>
      <c r="I362" s="23">
        <v>0</v>
      </c>
      <c r="J362" s="36">
        <f t="shared" si="8"/>
        <v>0.00646844794001985</v>
      </c>
      <c r="K362" s="27">
        <f t="shared" si="9"/>
        <v>1.13577651515152</v>
      </c>
      <c r="L362" s="30">
        <f t="shared" si="10"/>
        <v>7.34671125975474</v>
      </c>
      <c r="M362" s="37">
        <f t="shared" si="11"/>
        <v>0</v>
      </c>
      <c r="N362" s="31">
        <f t="shared" si="12"/>
        <v>0</v>
      </c>
    </row>
    <row r="363" s="2" customFormat="1" spans="1:14">
      <c r="A363" s="21">
        <v>45163</v>
      </c>
      <c r="B363" s="35">
        <v>800</v>
      </c>
      <c r="C363" s="29">
        <v>97621</v>
      </c>
      <c r="D363" s="24">
        <v>529</v>
      </c>
      <c r="E363" s="23">
        <v>0</v>
      </c>
      <c r="F363" s="35">
        <v>0</v>
      </c>
      <c r="G363" s="23">
        <v>4</v>
      </c>
      <c r="H363" s="23">
        <v>2</v>
      </c>
      <c r="I363" s="23">
        <v>0</v>
      </c>
      <c r="J363" s="36">
        <f t="shared" si="8"/>
        <v>0.00541891601192366</v>
      </c>
      <c r="K363" s="27">
        <f t="shared" si="9"/>
        <v>1.51228733459357</v>
      </c>
      <c r="L363" s="30">
        <f t="shared" si="10"/>
        <v>8.19495805205847</v>
      </c>
      <c r="M363" s="37">
        <f t="shared" si="11"/>
        <v>0</v>
      </c>
      <c r="N363" s="31">
        <f t="shared" si="12"/>
        <v>0</v>
      </c>
    </row>
    <row r="364" s="2" customFormat="1" spans="1:14">
      <c r="A364" s="21">
        <v>45164</v>
      </c>
      <c r="B364" s="35">
        <v>397.93</v>
      </c>
      <c r="C364" s="29">
        <v>47392</v>
      </c>
      <c r="D364" s="24">
        <v>274</v>
      </c>
      <c r="E364" s="23">
        <v>0</v>
      </c>
      <c r="F364" s="35">
        <v>0</v>
      </c>
      <c r="G364" s="23">
        <v>6</v>
      </c>
      <c r="H364" s="23">
        <v>2</v>
      </c>
      <c r="I364" s="23">
        <v>1</v>
      </c>
      <c r="J364" s="36">
        <f t="shared" si="8"/>
        <v>0.00578156650911546</v>
      </c>
      <c r="K364" s="27">
        <f t="shared" si="9"/>
        <v>1.45229927007299</v>
      </c>
      <c r="L364" s="30">
        <f t="shared" si="10"/>
        <v>8.39656482106685</v>
      </c>
      <c r="M364" s="37">
        <f t="shared" si="11"/>
        <v>0</v>
      </c>
      <c r="N364" s="31">
        <f t="shared" si="12"/>
        <v>0</v>
      </c>
    </row>
    <row r="365" s="2" customFormat="1" spans="1:14">
      <c r="A365" s="21">
        <v>45165</v>
      </c>
      <c r="B365" s="35">
        <v>400</v>
      </c>
      <c r="C365" s="29">
        <v>36959</v>
      </c>
      <c r="D365" s="24">
        <v>242</v>
      </c>
      <c r="E365" s="23">
        <v>0</v>
      </c>
      <c r="F365" s="35">
        <v>0</v>
      </c>
      <c r="G365" s="23">
        <v>1</v>
      </c>
      <c r="H365" s="23">
        <v>2</v>
      </c>
      <c r="I365" s="23">
        <v>1</v>
      </c>
      <c r="J365" s="36">
        <f t="shared" si="8"/>
        <v>0.00654779620660732</v>
      </c>
      <c r="K365" s="27">
        <f t="shared" si="9"/>
        <v>1.65289256198347</v>
      </c>
      <c r="L365" s="30">
        <f t="shared" si="10"/>
        <v>10.8228036472848</v>
      </c>
      <c r="M365" s="37">
        <f t="shared" si="11"/>
        <v>0</v>
      </c>
      <c r="N365" s="31">
        <f t="shared" si="12"/>
        <v>0</v>
      </c>
    </row>
    <row r="366" s="2" customFormat="1" spans="1:14">
      <c r="A366" s="21">
        <v>45166</v>
      </c>
      <c r="B366" s="35">
        <v>400</v>
      </c>
      <c r="C366" s="29">
        <v>48804</v>
      </c>
      <c r="D366" s="24">
        <v>288</v>
      </c>
      <c r="E366" s="23">
        <v>0</v>
      </c>
      <c r="F366" s="35">
        <v>0</v>
      </c>
      <c r="G366" s="23">
        <v>8</v>
      </c>
      <c r="H366" s="23">
        <v>0</v>
      </c>
      <c r="I366" s="23">
        <v>0</v>
      </c>
      <c r="J366" s="36">
        <f t="shared" si="8"/>
        <v>0.00590115564298008</v>
      </c>
      <c r="K366" s="27">
        <f t="shared" si="9"/>
        <v>1.38888888888889</v>
      </c>
      <c r="L366" s="30">
        <f t="shared" si="10"/>
        <v>8.196049504139</v>
      </c>
      <c r="M366" s="37">
        <f t="shared" si="11"/>
        <v>0</v>
      </c>
      <c r="N366" s="31">
        <f t="shared" si="12"/>
        <v>0</v>
      </c>
    </row>
    <row r="367" s="2" customFormat="1" spans="1:14">
      <c r="A367" s="21">
        <v>45167</v>
      </c>
      <c r="B367" s="35">
        <v>399.82</v>
      </c>
      <c r="C367" s="29">
        <v>48128</v>
      </c>
      <c r="D367" s="24">
        <v>271</v>
      </c>
      <c r="E367" s="23">
        <v>0</v>
      </c>
      <c r="F367" s="35">
        <v>0</v>
      </c>
      <c r="G367" s="23">
        <v>0</v>
      </c>
      <c r="H367" s="23">
        <v>1</v>
      </c>
      <c r="I367" s="23">
        <v>0</v>
      </c>
      <c r="J367" s="36">
        <f t="shared" si="8"/>
        <v>0.00563081781914894</v>
      </c>
      <c r="K367" s="27">
        <f t="shared" si="9"/>
        <v>1.47535055350554</v>
      </c>
      <c r="L367" s="30">
        <f t="shared" si="10"/>
        <v>8.30743018617021</v>
      </c>
      <c r="M367" s="37">
        <f t="shared" si="11"/>
        <v>0</v>
      </c>
      <c r="N367" s="31">
        <f t="shared" si="12"/>
        <v>0</v>
      </c>
    </row>
    <row r="368" s="2" customFormat="1" spans="1:14">
      <c r="A368" s="21">
        <v>45168</v>
      </c>
      <c r="B368" s="35">
        <v>399.6</v>
      </c>
      <c r="C368" s="29">
        <v>34171</v>
      </c>
      <c r="D368" s="24">
        <v>239</v>
      </c>
      <c r="E368" s="23">
        <v>0</v>
      </c>
      <c r="F368" s="35">
        <v>0</v>
      </c>
      <c r="G368" s="23">
        <v>0</v>
      </c>
      <c r="H368" s="23">
        <v>1</v>
      </c>
      <c r="I368" s="23">
        <v>0</v>
      </c>
      <c r="J368" s="36">
        <f t="shared" si="8"/>
        <v>0.00699423487752773</v>
      </c>
      <c r="K368" s="27">
        <f t="shared" si="9"/>
        <v>1.67196652719665</v>
      </c>
      <c r="L368" s="30">
        <f t="shared" si="10"/>
        <v>11.6941265985777</v>
      </c>
      <c r="M368" s="37">
        <f t="shared" si="11"/>
        <v>0</v>
      </c>
      <c r="N368" s="31">
        <f t="shared" si="12"/>
        <v>0</v>
      </c>
    </row>
    <row r="369" s="2" customFormat="1" spans="1:14">
      <c r="A369" s="21">
        <v>45169</v>
      </c>
      <c r="B369" s="35">
        <v>595.11</v>
      </c>
      <c r="C369" s="29">
        <v>44376</v>
      </c>
      <c r="D369" s="24">
        <v>300</v>
      </c>
      <c r="E369" s="23">
        <v>0</v>
      </c>
      <c r="F369" s="35">
        <v>0</v>
      </c>
      <c r="G369" s="23">
        <v>0</v>
      </c>
      <c r="H369" s="23">
        <v>3</v>
      </c>
      <c r="I369" s="23">
        <v>0</v>
      </c>
      <c r="J369" s="36">
        <f t="shared" si="8"/>
        <v>0.00676041103299081</v>
      </c>
      <c r="K369" s="27">
        <f t="shared" si="9"/>
        <v>1.9837</v>
      </c>
      <c r="L369" s="30">
        <f t="shared" si="10"/>
        <v>13.4106273661439</v>
      </c>
      <c r="M369" s="37">
        <f t="shared" si="11"/>
        <v>0</v>
      </c>
      <c r="N369" s="31">
        <f t="shared" si="12"/>
        <v>0</v>
      </c>
    </row>
    <row r="370" s="2" customFormat="1" spans="1:14">
      <c r="A370" s="21">
        <v>45170</v>
      </c>
      <c r="B370" s="38">
        <v>786.95</v>
      </c>
      <c r="C370" s="39">
        <v>49923</v>
      </c>
      <c r="D370" s="40">
        <v>400</v>
      </c>
      <c r="E370" s="23">
        <v>0</v>
      </c>
      <c r="F370" s="35">
        <v>0</v>
      </c>
      <c r="G370" s="23">
        <v>1</v>
      </c>
      <c r="H370" s="23">
        <v>3</v>
      </c>
      <c r="I370" s="23">
        <v>0</v>
      </c>
      <c r="J370" s="36">
        <f t="shared" si="8"/>
        <v>0.00801233900206318</v>
      </c>
      <c r="K370" s="27">
        <f t="shared" si="9"/>
        <v>1.967375</v>
      </c>
      <c r="L370" s="30">
        <f t="shared" si="10"/>
        <v>15.763275444184</v>
      </c>
      <c r="M370" s="37">
        <f t="shared" si="11"/>
        <v>0</v>
      </c>
      <c r="N370" s="31">
        <f t="shared" si="12"/>
        <v>0</v>
      </c>
    </row>
    <row r="371" s="2" customFormat="1" spans="1:14">
      <c r="A371" s="21">
        <v>45171</v>
      </c>
      <c r="B371" s="38">
        <v>797.06</v>
      </c>
      <c r="C371" s="39">
        <v>45865</v>
      </c>
      <c r="D371" s="40">
        <v>431</v>
      </c>
      <c r="E371" s="23">
        <v>0</v>
      </c>
      <c r="F371" s="35">
        <v>0</v>
      </c>
      <c r="G371" s="23">
        <v>3</v>
      </c>
      <c r="H371" s="23">
        <v>2</v>
      </c>
      <c r="I371" s="23">
        <v>0</v>
      </c>
      <c r="J371" s="36">
        <f t="shared" si="8"/>
        <v>0.00939714379156219</v>
      </c>
      <c r="K371" s="27">
        <f t="shared" si="9"/>
        <v>1.84932714617169</v>
      </c>
      <c r="L371" s="30">
        <f t="shared" si="10"/>
        <v>17.3783931102148</v>
      </c>
      <c r="M371" s="37">
        <f t="shared" si="11"/>
        <v>0</v>
      </c>
      <c r="N371" s="31">
        <f t="shared" si="12"/>
        <v>0</v>
      </c>
    </row>
    <row r="372" s="2" customFormat="1" spans="1:14">
      <c r="A372" s="21">
        <v>45172</v>
      </c>
      <c r="B372" s="38">
        <v>998.79</v>
      </c>
      <c r="C372" s="39">
        <v>77473</v>
      </c>
      <c r="D372" s="40">
        <v>697</v>
      </c>
      <c r="E372" s="23">
        <v>0</v>
      </c>
      <c r="F372" s="35">
        <v>0</v>
      </c>
      <c r="G372" s="23">
        <v>2</v>
      </c>
      <c r="H372" s="23">
        <v>5</v>
      </c>
      <c r="I372" s="23">
        <v>0</v>
      </c>
      <c r="J372" s="36">
        <f t="shared" si="8"/>
        <v>0.00899668271526854</v>
      </c>
      <c r="K372" s="27">
        <f t="shared" si="9"/>
        <v>1.43298421807747</v>
      </c>
      <c r="L372" s="30">
        <f t="shared" si="10"/>
        <v>12.8921043460302</v>
      </c>
      <c r="M372" s="37">
        <f t="shared" si="11"/>
        <v>0</v>
      </c>
      <c r="N372" s="31">
        <f t="shared" si="12"/>
        <v>0</v>
      </c>
    </row>
    <row r="373" s="2" customFormat="1" spans="1:14">
      <c r="A373" s="21">
        <v>45173</v>
      </c>
      <c r="B373" s="35">
        <v>990.33</v>
      </c>
      <c r="C373" s="41">
        <v>76448</v>
      </c>
      <c r="D373" s="42">
        <v>664</v>
      </c>
      <c r="E373" s="23">
        <v>0</v>
      </c>
      <c r="F373" s="35">
        <v>0</v>
      </c>
      <c r="G373" s="23">
        <v>2</v>
      </c>
      <c r="H373" s="23">
        <v>5</v>
      </c>
      <c r="I373" s="23">
        <v>0</v>
      </c>
      <c r="J373" s="36">
        <f t="shared" si="8"/>
        <v>0.0086856425282545</v>
      </c>
      <c r="K373" s="27">
        <f t="shared" si="9"/>
        <v>1.49146084337349</v>
      </c>
      <c r="L373" s="30">
        <f t="shared" si="10"/>
        <v>12.9542957304311</v>
      </c>
      <c r="M373" s="37">
        <f t="shared" si="11"/>
        <v>0</v>
      </c>
      <c r="N373" s="31">
        <f t="shared" si="12"/>
        <v>0</v>
      </c>
    </row>
    <row r="374" s="2" customFormat="1" spans="1:14">
      <c r="A374" s="21">
        <v>45174</v>
      </c>
      <c r="B374" s="43">
        <v>996</v>
      </c>
      <c r="C374" s="41">
        <v>93419</v>
      </c>
      <c r="D374" s="42">
        <v>661</v>
      </c>
      <c r="E374" s="23">
        <v>0</v>
      </c>
      <c r="F374" s="35">
        <v>0</v>
      </c>
      <c r="G374" s="23">
        <v>1</v>
      </c>
      <c r="H374" s="23">
        <v>3</v>
      </c>
      <c r="I374" s="23">
        <v>0</v>
      </c>
      <c r="J374" s="36">
        <f t="shared" si="8"/>
        <v>0.00707564842269774</v>
      </c>
      <c r="K374" s="27">
        <f t="shared" si="9"/>
        <v>1.50680786686838</v>
      </c>
      <c r="L374" s="30">
        <f t="shared" si="10"/>
        <v>10.6616427065158</v>
      </c>
      <c r="M374" s="37">
        <f t="shared" si="11"/>
        <v>0</v>
      </c>
      <c r="N374" s="31">
        <f t="shared" si="12"/>
        <v>0</v>
      </c>
    </row>
    <row r="375" s="2" customFormat="1" spans="1:14">
      <c r="A375" s="21">
        <v>45175</v>
      </c>
      <c r="B375" s="43">
        <v>598</v>
      </c>
      <c r="C375" s="41">
        <v>52996</v>
      </c>
      <c r="D375" s="42">
        <v>349</v>
      </c>
      <c r="E375" s="23">
        <v>0</v>
      </c>
      <c r="F375" s="35">
        <v>0</v>
      </c>
      <c r="G375" s="23">
        <v>2</v>
      </c>
      <c r="H375" s="23">
        <v>2</v>
      </c>
      <c r="I375" s="23">
        <v>0</v>
      </c>
      <c r="J375" s="36">
        <f t="shared" si="8"/>
        <v>0.00658540267189977</v>
      </c>
      <c r="K375" s="27">
        <f t="shared" si="9"/>
        <v>1.7134670487106</v>
      </c>
      <c r="L375" s="30">
        <f t="shared" si="10"/>
        <v>11.283870480791</v>
      </c>
      <c r="M375" s="37">
        <f t="shared" si="11"/>
        <v>0</v>
      </c>
      <c r="N375" s="31">
        <f t="shared" si="12"/>
        <v>0</v>
      </c>
    </row>
    <row r="376" s="2" customFormat="1" spans="1:14">
      <c r="A376" s="21">
        <v>45176</v>
      </c>
      <c r="B376" s="38">
        <v>597.96</v>
      </c>
      <c r="C376" s="39">
        <v>66060</v>
      </c>
      <c r="D376" s="40">
        <v>464</v>
      </c>
      <c r="E376" s="23">
        <v>0</v>
      </c>
      <c r="F376" s="35">
        <v>0</v>
      </c>
      <c r="G376" s="23">
        <v>8</v>
      </c>
      <c r="H376" s="23">
        <v>3</v>
      </c>
      <c r="I376" s="23">
        <v>1</v>
      </c>
      <c r="J376" s="36">
        <f t="shared" si="8"/>
        <v>0.00702391765062065</v>
      </c>
      <c r="K376" s="27">
        <f t="shared" si="9"/>
        <v>1.28870689655172</v>
      </c>
      <c r="L376" s="30">
        <f t="shared" si="10"/>
        <v>9.05177111716621</v>
      </c>
      <c r="M376" s="37">
        <f t="shared" si="11"/>
        <v>0</v>
      </c>
      <c r="N376" s="31">
        <f t="shared" si="12"/>
        <v>0</v>
      </c>
    </row>
    <row r="377" s="2" customFormat="1" spans="1:14">
      <c r="A377" s="21">
        <v>45177</v>
      </c>
      <c r="B377" s="38">
        <v>600</v>
      </c>
      <c r="C377" s="41">
        <v>54139</v>
      </c>
      <c r="D377" s="42">
        <v>364</v>
      </c>
      <c r="E377" s="44">
        <v>0</v>
      </c>
      <c r="F377" s="35">
        <v>0</v>
      </c>
      <c r="G377" s="23">
        <v>6</v>
      </c>
      <c r="H377" s="23">
        <v>1</v>
      </c>
      <c r="I377" s="23">
        <v>2</v>
      </c>
      <c r="J377" s="36">
        <f t="shared" si="8"/>
        <v>0.00672343412327527</v>
      </c>
      <c r="K377" s="27">
        <f t="shared" si="9"/>
        <v>1.64835164835165</v>
      </c>
      <c r="L377" s="30">
        <f t="shared" si="10"/>
        <v>11.0825837196845</v>
      </c>
      <c r="M377" s="37">
        <f t="shared" si="11"/>
        <v>0</v>
      </c>
      <c r="N377" s="31">
        <f t="shared" si="12"/>
        <v>0</v>
      </c>
    </row>
    <row r="378" s="2" customFormat="1" spans="1:14">
      <c r="A378" s="21">
        <v>45178</v>
      </c>
      <c r="B378" s="38">
        <v>599</v>
      </c>
      <c r="C378" s="41">
        <v>53535</v>
      </c>
      <c r="D378" s="42">
        <v>398</v>
      </c>
      <c r="E378" s="23">
        <v>0</v>
      </c>
      <c r="F378" s="35">
        <v>0</v>
      </c>
      <c r="G378" s="23">
        <v>9</v>
      </c>
      <c r="H378" s="23">
        <v>4</v>
      </c>
      <c r="I378" s="23">
        <v>1</v>
      </c>
      <c r="J378" s="36">
        <f t="shared" si="8"/>
        <v>0.00743438871766134</v>
      </c>
      <c r="K378" s="27">
        <f t="shared" si="9"/>
        <v>1.50502512562814</v>
      </c>
      <c r="L378" s="30">
        <f t="shared" si="10"/>
        <v>11.1889418137667</v>
      </c>
      <c r="M378" s="37">
        <f t="shared" si="11"/>
        <v>0</v>
      </c>
      <c r="N378" s="31">
        <f t="shared" si="12"/>
        <v>0</v>
      </c>
    </row>
    <row r="379" s="2" customFormat="1" spans="1:14">
      <c r="A379" s="45">
        <v>45179</v>
      </c>
      <c r="B379" s="46">
        <v>599</v>
      </c>
      <c r="C379" s="47">
        <v>54545</v>
      </c>
      <c r="D379" s="48">
        <v>376</v>
      </c>
      <c r="E379" s="23">
        <v>0</v>
      </c>
      <c r="F379" s="49">
        <v>0</v>
      </c>
      <c r="G379" s="50">
        <v>1</v>
      </c>
      <c r="H379" s="50">
        <v>5</v>
      </c>
      <c r="I379" s="50">
        <v>0</v>
      </c>
      <c r="J379" s="36">
        <f t="shared" si="8"/>
        <v>0.00689339077825649</v>
      </c>
      <c r="K379" s="27">
        <f t="shared" si="9"/>
        <v>1.59308510638298</v>
      </c>
      <c r="L379" s="30">
        <f t="shared" si="10"/>
        <v>10.9817581813182</v>
      </c>
      <c r="M379" s="37">
        <f t="shared" si="11"/>
        <v>0</v>
      </c>
      <c r="N379" s="31">
        <f t="shared" si="12"/>
        <v>0</v>
      </c>
    </row>
    <row r="380" s="2" customFormat="1" spans="1:14">
      <c r="A380" s="21">
        <v>45180</v>
      </c>
      <c r="B380" s="35">
        <v>800</v>
      </c>
      <c r="C380" s="41">
        <v>78486</v>
      </c>
      <c r="D380" s="42">
        <v>561</v>
      </c>
      <c r="E380" s="23">
        <v>0</v>
      </c>
      <c r="F380" s="35">
        <v>0</v>
      </c>
      <c r="G380" s="23">
        <v>5</v>
      </c>
      <c r="H380" s="23">
        <v>4</v>
      </c>
      <c r="I380" s="23">
        <v>0</v>
      </c>
      <c r="J380" s="36">
        <f t="shared" si="8"/>
        <v>0.00714777157709655</v>
      </c>
      <c r="K380" s="27">
        <f t="shared" si="9"/>
        <v>1.42602495543672</v>
      </c>
      <c r="L380" s="30">
        <f t="shared" si="10"/>
        <v>10.192900644701</v>
      </c>
      <c r="M380" s="37">
        <f t="shared" si="11"/>
        <v>0</v>
      </c>
      <c r="N380" s="31">
        <f t="shared" si="12"/>
        <v>0</v>
      </c>
    </row>
    <row r="381" s="2" customFormat="1" spans="1:14">
      <c r="A381" s="21">
        <v>45181</v>
      </c>
      <c r="B381" s="38">
        <v>599</v>
      </c>
      <c r="C381" s="41">
        <v>64340</v>
      </c>
      <c r="D381" s="42">
        <v>514</v>
      </c>
      <c r="E381" s="23">
        <v>0</v>
      </c>
      <c r="F381" s="35">
        <v>0</v>
      </c>
      <c r="G381" s="23">
        <v>6</v>
      </c>
      <c r="H381" s="23">
        <v>1</v>
      </c>
      <c r="I381" s="23">
        <v>0</v>
      </c>
      <c r="J381" s="36">
        <f t="shared" si="8"/>
        <v>0.00798880944979795</v>
      </c>
      <c r="K381" s="27">
        <f t="shared" si="9"/>
        <v>1.16536964980545</v>
      </c>
      <c r="L381" s="30">
        <f t="shared" si="10"/>
        <v>9.30991607087348</v>
      </c>
      <c r="M381" s="37">
        <f t="shared" si="11"/>
        <v>0</v>
      </c>
      <c r="N381" s="31">
        <f t="shared" si="12"/>
        <v>0</v>
      </c>
    </row>
    <row r="382" s="2" customFormat="1" spans="1:14">
      <c r="A382" s="21">
        <v>45182</v>
      </c>
      <c r="B382" s="51">
        <v>599</v>
      </c>
      <c r="C382" s="41">
        <v>93030</v>
      </c>
      <c r="D382" s="42">
        <v>502</v>
      </c>
      <c r="E382" s="23">
        <v>0</v>
      </c>
      <c r="F382" s="35">
        <v>0</v>
      </c>
      <c r="G382" s="23">
        <v>6</v>
      </c>
      <c r="H382" s="23">
        <v>5</v>
      </c>
      <c r="I382" s="23">
        <v>1</v>
      </c>
      <c r="J382" s="36">
        <f t="shared" si="8"/>
        <v>0.0053961087821133</v>
      </c>
      <c r="K382" s="27">
        <f t="shared" si="9"/>
        <v>1.19322709163347</v>
      </c>
      <c r="L382" s="30">
        <f t="shared" si="10"/>
        <v>6.43878318821885</v>
      </c>
      <c r="M382" s="37">
        <f t="shared" si="11"/>
        <v>0</v>
      </c>
      <c r="N382" s="31">
        <f t="shared" si="12"/>
        <v>0</v>
      </c>
    </row>
    <row r="383" s="2" customFormat="1" spans="1:14">
      <c r="A383" s="21">
        <v>45183</v>
      </c>
      <c r="B383" s="38">
        <v>597.68</v>
      </c>
      <c r="C383" s="52">
        <v>82856</v>
      </c>
      <c r="D383" s="42">
        <v>368</v>
      </c>
      <c r="E383" s="23">
        <v>0</v>
      </c>
      <c r="F383" s="35">
        <v>0</v>
      </c>
      <c r="G383" s="23">
        <v>0</v>
      </c>
      <c r="H383" s="23">
        <v>0</v>
      </c>
      <c r="I383" s="23">
        <v>0</v>
      </c>
      <c r="J383" s="36">
        <f t="shared" si="8"/>
        <v>0.00444144057159409</v>
      </c>
      <c r="K383" s="27">
        <f t="shared" si="9"/>
        <v>1.62413043478261</v>
      </c>
      <c r="L383" s="30">
        <f t="shared" si="10"/>
        <v>7.21347880660423</v>
      </c>
      <c r="M383" s="37">
        <f t="shared" si="11"/>
        <v>0</v>
      </c>
      <c r="N383" s="31">
        <f t="shared" si="12"/>
        <v>0</v>
      </c>
    </row>
    <row r="384" s="2" customFormat="1" spans="1:14">
      <c r="A384" s="21">
        <v>45184</v>
      </c>
      <c r="B384" s="35">
        <v>697.93</v>
      </c>
      <c r="C384" s="41">
        <v>66348</v>
      </c>
      <c r="D384" s="42">
        <v>383</v>
      </c>
      <c r="E384" s="23">
        <v>0</v>
      </c>
      <c r="F384" s="35">
        <v>0</v>
      </c>
      <c r="G384" s="23">
        <v>1</v>
      </c>
      <c r="H384" s="23">
        <v>2</v>
      </c>
      <c r="I384" s="23">
        <v>1</v>
      </c>
      <c r="J384" s="36">
        <f t="shared" si="8"/>
        <v>0.00577259299451378</v>
      </c>
      <c r="K384" s="27">
        <f t="shared" si="9"/>
        <v>1.82227154046997</v>
      </c>
      <c r="L384" s="30">
        <f t="shared" si="10"/>
        <v>10.5192319286188</v>
      </c>
      <c r="M384" s="37">
        <f t="shared" si="11"/>
        <v>0</v>
      </c>
      <c r="N384" s="31">
        <f t="shared" si="12"/>
        <v>0</v>
      </c>
    </row>
    <row r="385" s="2" customFormat="1" spans="1:14">
      <c r="A385" s="21">
        <v>45185</v>
      </c>
      <c r="B385" s="35">
        <v>699.34</v>
      </c>
      <c r="C385" s="41">
        <v>54980</v>
      </c>
      <c r="D385" s="42">
        <v>408</v>
      </c>
      <c r="E385" s="23">
        <v>0</v>
      </c>
      <c r="F385" s="35">
        <v>0</v>
      </c>
      <c r="G385" s="23">
        <v>6</v>
      </c>
      <c r="H385" s="23">
        <v>7</v>
      </c>
      <c r="I385" s="23">
        <v>2</v>
      </c>
      <c r="J385" s="36">
        <f t="shared" si="8"/>
        <v>0.00742088032011641</v>
      </c>
      <c r="K385" s="27">
        <f t="shared" si="9"/>
        <v>1.71406862745098</v>
      </c>
      <c r="L385" s="30">
        <f t="shared" si="10"/>
        <v>12.7198981447799</v>
      </c>
      <c r="M385" s="37">
        <f t="shared" si="11"/>
        <v>0</v>
      </c>
      <c r="N385" s="31">
        <f t="shared" si="12"/>
        <v>0</v>
      </c>
    </row>
    <row r="386" s="2" customFormat="1" spans="1:14">
      <c r="A386" s="21">
        <v>45186</v>
      </c>
      <c r="B386" s="35">
        <v>698.74</v>
      </c>
      <c r="C386" s="41">
        <v>50580</v>
      </c>
      <c r="D386" s="42">
        <v>438</v>
      </c>
      <c r="E386" s="23">
        <v>0</v>
      </c>
      <c r="F386" s="35">
        <v>0</v>
      </c>
      <c r="G386" s="23">
        <v>7</v>
      </c>
      <c r="H386" s="23">
        <v>1</v>
      </c>
      <c r="I386" s="23">
        <v>1</v>
      </c>
      <c r="J386" s="36">
        <f t="shared" si="8"/>
        <v>0.00865954922894425</v>
      </c>
      <c r="K386" s="27">
        <f t="shared" si="9"/>
        <v>1.59529680365297</v>
      </c>
      <c r="L386" s="30">
        <f t="shared" si="10"/>
        <v>13.8145512060103</v>
      </c>
      <c r="M386" s="37">
        <f t="shared" si="11"/>
        <v>0</v>
      </c>
      <c r="N386" s="31">
        <f t="shared" si="12"/>
        <v>0</v>
      </c>
    </row>
    <row r="387" s="2" customFormat="1" spans="1:14">
      <c r="A387" s="21">
        <v>45187</v>
      </c>
      <c r="B387" s="53">
        <v>696.6</v>
      </c>
      <c r="C387" s="47">
        <v>35104</v>
      </c>
      <c r="D387" s="48">
        <v>356</v>
      </c>
      <c r="E387" s="50">
        <v>0</v>
      </c>
      <c r="F387" s="49">
        <v>0</v>
      </c>
      <c r="G387" s="50">
        <v>7</v>
      </c>
      <c r="H387" s="50">
        <v>3</v>
      </c>
      <c r="I387" s="50">
        <v>2</v>
      </c>
      <c r="J387" s="36">
        <f t="shared" si="8"/>
        <v>0.0101412944393801</v>
      </c>
      <c r="K387" s="27">
        <f t="shared" si="9"/>
        <v>1.95674157303371</v>
      </c>
      <c r="L387" s="30">
        <f t="shared" si="10"/>
        <v>19.8438924339107</v>
      </c>
      <c r="M387" s="37">
        <f t="shared" si="11"/>
        <v>0</v>
      </c>
      <c r="N387" s="31">
        <f t="shared" si="12"/>
        <v>0</v>
      </c>
    </row>
    <row r="388" s="2" customFormat="1" spans="1:14">
      <c r="A388" s="45">
        <v>45188</v>
      </c>
      <c r="B388" s="54">
        <v>694.48</v>
      </c>
      <c r="C388" s="55">
        <v>48874</v>
      </c>
      <c r="D388" s="56">
        <v>353</v>
      </c>
      <c r="E388" s="57">
        <v>0</v>
      </c>
      <c r="F388" s="58">
        <v>0</v>
      </c>
      <c r="G388" s="57">
        <v>1</v>
      </c>
      <c r="H388" s="57">
        <v>1</v>
      </c>
      <c r="I388" s="57">
        <v>1</v>
      </c>
      <c r="J388" s="36">
        <f t="shared" si="8"/>
        <v>0.00722265417195237</v>
      </c>
      <c r="K388" s="27">
        <f t="shared" si="9"/>
        <v>1.96736543909348</v>
      </c>
      <c r="L388" s="30">
        <f t="shared" si="10"/>
        <v>14.2096001964235</v>
      </c>
      <c r="M388" s="37">
        <f t="shared" si="11"/>
        <v>0</v>
      </c>
      <c r="N388" s="31">
        <f t="shared" si="12"/>
        <v>0</v>
      </c>
    </row>
    <row r="389" s="2" customFormat="1" spans="1:14">
      <c r="A389" s="21">
        <v>45189</v>
      </c>
      <c r="B389" s="59">
        <v>698.71</v>
      </c>
      <c r="C389" s="60">
        <v>41941</v>
      </c>
      <c r="D389" s="61">
        <v>256</v>
      </c>
      <c r="E389" s="50">
        <v>0</v>
      </c>
      <c r="F389" s="49">
        <v>0</v>
      </c>
      <c r="G389" s="50">
        <v>6</v>
      </c>
      <c r="H389" s="50">
        <v>1</v>
      </c>
      <c r="I389" s="50">
        <v>1</v>
      </c>
      <c r="J389" s="36">
        <f t="shared" si="8"/>
        <v>0.00610381249850981</v>
      </c>
      <c r="K389" s="27">
        <f t="shared" si="9"/>
        <v>2.7293359375</v>
      </c>
      <c r="L389" s="30">
        <f t="shared" si="10"/>
        <v>16.6593548079445</v>
      </c>
      <c r="M389" s="37">
        <f t="shared" si="11"/>
        <v>0</v>
      </c>
      <c r="N389" s="31">
        <f t="shared" si="12"/>
        <v>0</v>
      </c>
    </row>
    <row r="390" s="2" customFormat="1" spans="1:14">
      <c r="A390" s="21">
        <v>45190</v>
      </c>
      <c r="B390" s="54">
        <v>694.88</v>
      </c>
      <c r="C390" s="55">
        <v>38046</v>
      </c>
      <c r="D390" s="56">
        <v>310</v>
      </c>
      <c r="E390" s="57">
        <v>0</v>
      </c>
      <c r="F390" s="58">
        <v>0</v>
      </c>
      <c r="G390" s="57">
        <v>3</v>
      </c>
      <c r="H390" s="57">
        <v>1</v>
      </c>
      <c r="I390" s="57">
        <v>1</v>
      </c>
      <c r="J390" s="36">
        <f t="shared" si="8"/>
        <v>0.00814803133049466</v>
      </c>
      <c r="K390" s="27">
        <f t="shared" si="9"/>
        <v>2.24154838709677</v>
      </c>
      <c r="L390" s="30">
        <f t="shared" si="10"/>
        <v>18.2642064868843</v>
      </c>
      <c r="M390" s="37">
        <f t="shared" si="11"/>
        <v>0</v>
      </c>
      <c r="N390" s="31">
        <f t="shared" si="12"/>
        <v>0</v>
      </c>
    </row>
    <row r="391" s="2" customFormat="1" spans="1:14">
      <c r="A391" s="21">
        <v>45191</v>
      </c>
      <c r="B391" s="51">
        <v>699.22</v>
      </c>
      <c r="C391" s="29">
        <v>42050</v>
      </c>
      <c r="D391" s="24">
        <v>229</v>
      </c>
      <c r="E391" s="23">
        <v>0</v>
      </c>
      <c r="F391" s="35">
        <v>0</v>
      </c>
      <c r="G391" s="23">
        <v>0</v>
      </c>
      <c r="H391" s="23">
        <v>1</v>
      </c>
      <c r="I391" s="23">
        <v>0</v>
      </c>
      <c r="J391" s="36">
        <f t="shared" si="8"/>
        <v>0.00544589774078478</v>
      </c>
      <c r="K391" s="27">
        <f t="shared" si="9"/>
        <v>3.05336244541485</v>
      </c>
      <c r="L391" s="30">
        <f t="shared" si="10"/>
        <v>16.6282996432818</v>
      </c>
      <c r="M391" s="37">
        <f t="shared" si="11"/>
        <v>0</v>
      </c>
      <c r="N391" s="31">
        <f t="shared" si="12"/>
        <v>0</v>
      </c>
    </row>
    <row r="392" s="2" customFormat="1" spans="1:14">
      <c r="A392" s="21">
        <v>45192</v>
      </c>
      <c r="B392" s="51">
        <v>696.31</v>
      </c>
      <c r="C392" s="29">
        <v>25659</v>
      </c>
      <c r="D392" s="24">
        <v>174</v>
      </c>
      <c r="E392" s="23">
        <v>0</v>
      </c>
      <c r="F392" s="35">
        <v>0</v>
      </c>
      <c r="G392" s="23">
        <v>0</v>
      </c>
      <c r="H392" s="23">
        <v>0</v>
      </c>
      <c r="I392" s="23">
        <v>0</v>
      </c>
      <c r="J392" s="36">
        <f t="shared" si="8"/>
        <v>0.00678124634631124</v>
      </c>
      <c r="K392" s="27">
        <f t="shared" si="9"/>
        <v>4.0017816091954</v>
      </c>
      <c r="L392" s="30">
        <f t="shared" si="10"/>
        <v>27.1370669160918</v>
      </c>
      <c r="M392" s="37">
        <f t="shared" si="11"/>
        <v>0</v>
      </c>
      <c r="N392" s="31">
        <f t="shared" si="12"/>
        <v>0</v>
      </c>
    </row>
    <row r="393" s="2" customFormat="1" spans="1:14">
      <c r="A393" s="21">
        <v>45193</v>
      </c>
      <c r="B393" s="51">
        <v>698.28</v>
      </c>
      <c r="C393" s="29">
        <v>28629</v>
      </c>
      <c r="D393" s="24">
        <v>201</v>
      </c>
      <c r="E393" s="23">
        <v>0</v>
      </c>
      <c r="F393" s="35">
        <v>0</v>
      </c>
      <c r="G393" s="23">
        <v>9</v>
      </c>
      <c r="H393" s="23">
        <v>0</v>
      </c>
      <c r="I393" s="23">
        <v>1</v>
      </c>
      <c r="J393" s="36">
        <f t="shared" si="8"/>
        <v>0.0070208529812428</v>
      </c>
      <c r="K393" s="27">
        <f t="shared" si="9"/>
        <v>3.47402985074627</v>
      </c>
      <c r="L393" s="30">
        <f t="shared" si="10"/>
        <v>24.3906528345384</v>
      </c>
      <c r="M393" s="37">
        <f t="shared" si="11"/>
        <v>0</v>
      </c>
      <c r="N393" s="31">
        <f t="shared" si="12"/>
        <v>0</v>
      </c>
    </row>
    <row r="394" s="2" customFormat="1" spans="1:14">
      <c r="A394" s="21">
        <v>45194</v>
      </c>
      <c r="B394" s="35">
        <v>697.48</v>
      </c>
      <c r="C394" s="29">
        <v>23518</v>
      </c>
      <c r="D394" s="24">
        <v>179</v>
      </c>
      <c r="E394" s="23">
        <v>0</v>
      </c>
      <c r="F394" s="35">
        <v>0</v>
      </c>
      <c r="G394" s="23">
        <v>1</v>
      </c>
      <c r="H394" s="23">
        <v>0</v>
      </c>
      <c r="I394" s="23">
        <v>0</v>
      </c>
      <c r="J394" s="36">
        <f t="shared" si="8"/>
        <v>0.0076111914278425</v>
      </c>
      <c r="K394" s="27">
        <f t="shared" si="9"/>
        <v>3.89653631284916</v>
      </c>
      <c r="L394" s="30">
        <f t="shared" si="10"/>
        <v>29.6572837826346</v>
      </c>
      <c r="M394" s="37">
        <f t="shared" si="11"/>
        <v>0</v>
      </c>
      <c r="N394" s="31">
        <f t="shared" si="12"/>
        <v>0</v>
      </c>
    </row>
    <row r="395" s="2" customFormat="1" spans="1:14">
      <c r="A395" s="21">
        <v>45195</v>
      </c>
      <c r="B395" s="38">
        <v>697.11</v>
      </c>
      <c r="C395" s="62">
        <v>30484</v>
      </c>
      <c r="D395" s="40">
        <v>188</v>
      </c>
      <c r="E395" s="63">
        <v>0</v>
      </c>
      <c r="F395" s="35">
        <v>0</v>
      </c>
      <c r="G395" s="23">
        <v>1</v>
      </c>
      <c r="H395" s="23">
        <v>1</v>
      </c>
      <c r="I395" s="23">
        <v>1</v>
      </c>
      <c r="J395" s="36">
        <f t="shared" si="8"/>
        <v>0.00616716966277391</v>
      </c>
      <c r="K395" s="27">
        <f t="shared" si="9"/>
        <v>3.70803191489362</v>
      </c>
      <c r="L395" s="30">
        <f t="shared" si="10"/>
        <v>22.8680619341294</v>
      </c>
      <c r="M395" s="37">
        <f t="shared" si="11"/>
        <v>0</v>
      </c>
      <c r="N395" s="31">
        <f t="shared" si="12"/>
        <v>0</v>
      </c>
    </row>
    <row r="396" s="2" customFormat="1" spans="1:14">
      <c r="A396" s="21">
        <v>45196</v>
      </c>
      <c r="B396" s="64">
        <v>696.2</v>
      </c>
      <c r="C396" s="65">
        <v>23318</v>
      </c>
      <c r="D396" s="66">
        <v>227</v>
      </c>
      <c r="E396" s="23">
        <v>0</v>
      </c>
      <c r="F396" s="35">
        <v>0</v>
      </c>
      <c r="G396" s="44">
        <v>0</v>
      </c>
      <c r="H396" s="44">
        <v>0</v>
      </c>
      <c r="I396" s="44">
        <v>0</v>
      </c>
      <c r="J396" s="36">
        <f t="shared" si="8"/>
        <v>0.00973496869371301</v>
      </c>
      <c r="K396" s="27">
        <f t="shared" si="9"/>
        <v>3.06696035242291</v>
      </c>
      <c r="L396" s="30">
        <f t="shared" si="10"/>
        <v>29.856763015696</v>
      </c>
      <c r="M396" s="37">
        <f t="shared" si="11"/>
        <v>0</v>
      </c>
      <c r="N396" s="31">
        <f t="shared" si="12"/>
        <v>0</v>
      </c>
    </row>
    <row r="397" s="2" customFormat="1" spans="1:14">
      <c r="A397" s="21">
        <v>45197</v>
      </c>
      <c r="B397" s="64">
        <v>699.39</v>
      </c>
      <c r="C397" s="65">
        <v>34380</v>
      </c>
      <c r="D397" s="66">
        <v>227</v>
      </c>
      <c r="E397" s="63">
        <v>0</v>
      </c>
      <c r="F397" s="35">
        <v>0</v>
      </c>
      <c r="G397" s="44">
        <v>4</v>
      </c>
      <c r="H397" s="44">
        <v>0</v>
      </c>
      <c r="I397" s="44">
        <v>0</v>
      </c>
      <c r="J397" s="36">
        <f t="shared" si="8"/>
        <v>0.00660267597440372</v>
      </c>
      <c r="K397" s="27">
        <f t="shared" si="9"/>
        <v>3.08101321585903</v>
      </c>
      <c r="L397" s="30">
        <f t="shared" si="10"/>
        <v>20.3429319371728</v>
      </c>
      <c r="M397" s="37">
        <f t="shared" si="11"/>
        <v>0</v>
      </c>
      <c r="N397" s="31">
        <f t="shared" si="12"/>
        <v>0</v>
      </c>
    </row>
    <row r="398" s="2" customFormat="1" spans="1:14">
      <c r="A398" s="21">
        <v>45198</v>
      </c>
      <c r="B398" s="67">
        <v>700</v>
      </c>
      <c r="C398" s="68">
        <v>22019</v>
      </c>
      <c r="D398" s="69">
        <v>219</v>
      </c>
      <c r="E398" s="23">
        <v>0</v>
      </c>
      <c r="F398" s="35">
        <v>0</v>
      </c>
      <c r="G398" s="44">
        <v>1</v>
      </c>
      <c r="H398" s="44">
        <v>2</v>
      </c>
      <c r="I398" s="44">
        <v>0</v>
      </c>
      <c r="J398" s="36">
        <f t="shared" si="8"/>
        <v>0.00994595576547527</v>
      </c>
      <c r="K398" s="27">
        <f t="shared" si="9"/>
        <v>3.19634703196347</v>
      </c>
      <c r="L398" s="30">
        <f t="shared" si="10"/>
        <v>31.7907261910168</v>
      </c>
      <c r="M398" s="37">
        <f t="shared" si="11"/>
        <v>0</v>
      </c>
      <c r="N398" s="31">
        <f t="shared" si="12"/>
        <v>0</v>
      </c>
    </row>
    <row r="399" s="2" customFormat="1" spans="1:14">
      <c r="A399" s="21">
        <v>45199</v>
      </c>
      <c r="B399" s="64">
        <v>698.25</v>
      </c>
      <c r="C399" s="65">
        <v>24936</v>
      </c>
      <c r="D399" s="66">
        <v>258</v>
      </c>
      <c r="E399" s="63">
        <v>0</v>
      </c>
      <c r="F399" s="35">
        <v>0</v>
      </c>
      <c r="G399" s="44">
        <v>4</v>
      </c>
      <c r="H399" s="44">
        <v>1</v>
      </c>
      <c r="I399" s="44">
        <v>0</v>
      </c>
      <c r="J399" s="36">
        <f t="shared" si="8"/>
        <v>0.0103464870067372</v>
      </c>
      <c r="K399" s="27">
        <f t="shared" si="9"/>
        <v>2.70639534883721</v>
      </c>
      <c r="L399" s="30">
        <f t="shared" si="10"/>
        <v>28.0016843118383</v>
      </c>
      <c r="M399" s="37">
        <f t="shared" si="11"/>
        <v>0</v>
      </c>
      <c r="N399" s="31">
        <f t="shared" si="12"/>
        <v>0</v>
      </c>
    </row>
    <row r="400" s="2" customFormat="1" spans="1:14">
      <c r="A400" s="21">
        <v>45200</v>
      </c>
      <c r="B400" s="67">
        <v>697.07</v>
      </c>
      <c r="C400" s="70">
        <v>23695</v>
      </c>
      <c r="D400" s="71">
        <v>289</v>
      </c>
      <c r="E400" s="23">
        <v>0</v>
      </c>
      <c r="F400" s="35">
        <v>0</v>
      </c>
      <c r="G400" s="44">
        <v>3</v>
      </c>
      <c r="H400" s="44">
        <v>1</v>
      </c>
      <c r="I400" s="44">
        <v>0</v>
      </c>
      <c r="J400" s="36">
        <f t="shared" si="8"/>
        <v>0.0121966659632834</v>
      </c>
      <c r="K400" s="27">
        <f t="shared" si="9"/>
        <v>2.41200692041523</v>
      </c>
      <c r="L400" s="30">
        <f t="shared" si="10"/>
        <v>29.4184427094324</v>
      </c>
      <c r="M400" s="37">
        <f t="shared" si="11"/>
        <v>0</v>
      </c>
      <c r="N400" s="31">
        <f t="shared" si="12"/>
        <v>0</v>
      </c>
    </row>
    <row r="401" s="2" customFormat="1" spans="1:14">
      <c r="A401" s="21">
        <v>45201</v>
      </c>
      <c r="B401" s="64">
        <v>693.74</v>
      </c>
      <c r="C401" s="72">
        <v>24200</v>
      </c>
      <c r="D401" s="66">
        <v>243</v>
      </c>
      <c r="E401" s="63">
        <v>2</v>
      </c>
      <c r="F401" s="35">
        <v>20</v>
      </c>
      <c r="G401" s="44">
        <v>4</v>
      </c>
      <c r="H401" s="44">
        <v>2</v>
      </c>
      <c r="I401" s="44">
        <v>2</v>
      </c>
      <c r="J401" s="36">
        <f t="shared" si="8"/>
        <v>0.0100413223140496</v>
      </c>
      <c r="K401" s="27">
        <f t="shared" si="9"/>
        <v>2.85489711934156</v>
      </c>
      <c r="L401" s="30">
        <f t="shared" si="10"/>
        <v>28.6669421487603</v>
      </c>
      <c r="M401" s="37">
        <f t="shared" si="11"/>
        <v>0.0288292443855047</v>
      </c>
      <c r="N401" s="31">
        <f t="shared" si="12"/>
        <v>0.00823045267489712</v>
      </c>
    </row>
    <row r="402" s="2" customFormat="1" spans="1:14">
      <c r="A402" s="21">
        <v>45202</v>
      </c>
      <c r="B402" s="64">
        <v>690.35</v>
      </c>
      <c r="C402" s="72">
        <v>23775</v>
      </c>
      <c r="D402" s="66">
        <v>303</v>
      </c>
      <c r="E402" s="23">
        <v>2</v>
      </c>
      <c r="F402" s="35">
        <v>20</v>
      </c>
      <c r="G402" s="44">
        <v>2</v>
      </c>
      <c r="H402" s="44">
        <v>1</v>
      </c>
      <c r="I402" s="44">
        <v>0</v>
      </c>
      <c r="J402" s="36">
        <f t="shared" si="8"/>
        <v>0.0127444794952681</v>
      </c>
      <c r="K402" s="27">
        <f t="shared" si="9"/>
        <v>2.27838283828383</v>
      </c>
      <c r="L402" s="30">
        <f t="shared" si="10"/>
        <v>29.0368033648791</v>
      </c>
      <c r="M402" s="37">
        <f t="shared" si="11"/>
        <v>0.0289708119070037</v>
      </c>
      <c r="N402" s="31">
        <f t="shared" si="12"/>
        <v>0.0066006600660066</v>
      </c>
    </row>
    <row r="403" s="2" customFormat="1" spans="1:14">
      <c r="A403" s="21">
        <v>45203</v>
      </c>
      <c r="B403" s="64">
        <v>684.89</v>
      </c>
      <c r="C403" s="72">
        <v>15146</v>
      </c>
      <c r="D403" s="66">
        <v>222</v>
      </c>
      <c r="E403" s="63">
        <v>2</v>
      </c>
      <c r="F403" s="35">
        <v>6000</v>
      </c>
      <c r="G403" s="44">
        <v>1</v>
      </c>
      <c r="H403" s="44">
        <v>1</v>
      </c>
      <c r="I403" s="44">
        <v>1</v>
      </c>
      <c r="J403" s="36">
        <f t="shared" si="8"/>
        <v>0.0146573352700383</v>
      </c>
      <c r="K403" s="27">
        <f t="shared" si="9"/>
        <v>3.08509009009009</v>
      </c>
      <c r="L403" s="30">
        <f t="shared" si="10"/>
        <v>45.2191997887231</v>
      </c>
      <c r="M403" s="37">
        <f t="shared" si="11"/>
        <v>8.76053088817182</v>
      </c>
      <c r="N403" s="31">
        <f t="shared" si="12"/>
        <v>0.00900900900900901</v>
      </c>
    </row>
    <row r="404" s="2" customFormat="1" spans="1:14">
      <c r="A404" s="21">
        <v>45204</v>
      </c>
      <c r="B404" s="64">
        <v>691.46</v>
      </c>
      <c r="C404" s="72">
        <v>22962</v>
      </c>
      <c r="D404" s="66">
        <v>308</v>
      </c>
      <c r="E404" s="23">
        <v>0</v>
      </c>
      <c r="F404" s="35">
        <v>0</v>
      </c>
      <c r="G404" s="44">
        <v>1</v>
      </c>
      <c r="H404" s="44">
        <v>0</v>
      </c>
      <c r="I404" s="44">
        <v>0</v>
      </c>
      <c r="J404" s="36">
        <f t="shared" si="8"/>
        <v>0.0134134657259821</v>
      </c>
      <c r="K404" s="27">
        <f t="shared" si="9"/>
        <v>2.245</v>
      </c>
      <c r="L404" s="30">
        <f t="shared" si="10"/>
        <v>30.1132305548297</v>
      </c>
      <c r="M404" s="37">
        <f t="shared" si="11"/>
        <v>0</v>
      </c>
      <c r="N404" s="31">
        <f t="shared" si="12"/>
        <v>0</v>
      </c>
    </row>
    <row r="405" s="2" customFormat="1" spans="1:14">
      <c r="A405" s="21">
        <v>45205</v>
      </c>
      <c r="B405" s="64">
        <v>687.2</v>
      </c>
      <c r="C405" s="72">
        <v>12697</v>
      </c>
      <c r="D405" s="73">
        <v>227</v>
      </c>
      <c r="E405" s="63">
        <v>0</v>
      </c>
      <c r="F405" s="35">
        <v>0</v>
      </c>
      <c r="G405" s="44">
        <v>0</v>
      </c>
      <c r="H405" s="44">
        <v>0</v>
      </c>
      <c r="I405" s="44">
        <v>0</v>
      </c>
      <c r="J405" s="36">
        <f t="shared" si="8"/>
        <v>0.0178782389540836</v>
      </c>
      <c r="K405" s="27">
        <f t="shared" si="9"/>
        <v>3.0273127753304</v>
      </c>
      <c r="L405" s="30">
        <f t="shared" si="10"/>
        <v>54.123021186107</v>
      </c>
      <c r="M405" s="37">
        <f t="shared" si="11"/>
        <v>0</v>
      </c>
      <c r="N405" s="31">
        <f t="shared" si="12"/>
        <v>0</v>
      </c>
    </row>
    <row r="406" s="2" customFormat="1" spans="1:14">
      <c r="A406" s="21">
        <v>45206</v>
      </c>
      <c r="B406" s="74">
        <v>700</v>
      </c>
      <c r="C406" s="75">
        <v>24491</v>
      </c>
      <c r="D406" s="76">
        <v>351</v>
      </c>
      <c r="E406" s="23">
        <v>0</v>
      </c>
      <c r="F406" s="35">
        <v>0</v>
      </c>
      <c r="G406" s="44">
        <v>4</v>
      </c>
      <c r="H406" s="44">
        <v>1</v>
      </c>
      <c r="I406" s="44">
        <v>1</v>
      </c>
      <c r="J406" s="36">
        <f t="shared" si="8"/>
        <v>0.0143317953533951</v>
      </c>
      <c r="K406" s="27">
        <f t="shared" si="9"/>
        <v>1.99430199430199</v>
      </c>
      <c r="L406" s="30">
        <f t="shared" si="10"/>
        <v>28.581928055204</v>
      </c>
      <c r="M406" s="37">
        <f t="shared" si="11"/>
        <v>0</v>
      </c>
      <c r="N406" s="31">
        <f t="shared" si="12"/>
        <v>0</v>
      </c>
    </row>
    <row r="407" s="2" customFormat="1" spans="1:14">
      <c r="A407" s="21">
        <v>45207</v>
      </c>
      <c r="B407" s="64">
        <v>697.59</v>
      </c>
      <c r="C407" s="65">
        <v>21002</v>
      </c>
      <c r="D407" s="66">
        <v>315</v>
      </c>
      <c r="E407" s="63">
        <v>0</v>
      </c>
      <c r="F407" s="35">
        <v>0</v>
      </c>
      <c r="G407" s="44">
        <v>2</v>
      </c>
      <c r="H407" s="44">
        <v>0</v>
      </c>
      <c r="I407" s="44">
        <v>0</v>
      </c>
      <c r="J407" s="36">
        <f t="shared" si="8"/>
        <v>0.0149985715646129</v>
      </c>
      <c r="K407" s="27">
        <f t="shared" si="9"/>
        <v>2.21457142857143</v>
      </c>
      <c r="L407" s="30">
        <f t="shared" si="10"/>
        <v>33.2154080563756</v>
      </c>
      <c r="M407" s="37">
        <f t="shared" si="11"/>
        <v>0</v>
      </c>
      <c r="N407" s="31">
        <f t="shared" si="12"/>
        <v>0</v>
      </c>
    </row>
    <row r="408" s="2" customFormat="1" spans="1:14">
      <c r="A408" s="21">
        <v>45208</v>
      </c>
      <c r="B408" s="64">
        <v>694.05</v>
      </c>
      <c r="C408" s="65">
        <v>25015</v>
      </c>
      <c r="D408" s="66">
        <v>332</v>
      </c>
      <c r="E408" s="23">
        <v>0</v>
      </c>
      <c r="F408" s="35">
        <v>0</v>
      </c>
      <c r="G408" s="44">
        <v>7</v>
      </c>
      <c r="H408" s="44">
        <v>1</v>
      </c>
      <c r="I408" s="44">
        <v>1</v>
      </c>
      <c r="J408" s="36">
        <f t="shared" si="8"/>
        <v>0.0132720367779332</v>
      </c>
      <c r="K408" s="27">
        <f t="shared" si="9"/>
        <v>2.09051204819277</v>
      </c>
      <c r="L408" s="30">
        <f t="shared" si="10"/>
        <v>27.745352788327</v>
      </c>
      <c r="M408" s="37">
        <f t="shared" si="11"/>
        <v>0</v>
      </c>
      <c r="N408" s="31">
        <f t="shared" si="12"/>
        <v>0</v>
      </c>
    </row>
    <row r="409" s="2" customFormat="1" spans="1:14">
      <c r="A409" s="21">
        <v>45209</v>
      </c>
      <c r="B409" s="77">
        <v>684.79</v>
      </c>
      <c r="C409" s="78">
        <v>27099</v>
      </c>
      <c r="D409" s="79">
        <v>444</v>
      </c>
      <c r="E409" s="44">
        <v>0</v>
      </c>
      <c r="F409" s="80">
        <v>0</v>
      </c>
      <c r="G409" s="44">
        <v>4</v>
      </c>
      <c r="H409" s="44">
        <v>0</v>
      </c>
      <c r="I409" s="44">
        <v>0</v>
      </c>
      <c r="J409" s="36">
        <f t="shared" si="8"/>
        <v>0.0163843684268792</v>
      </c>
      <c r="K409" s="27">
        <f t="shared" si="9"/>
        <v>1.54231981981982</v>
      </c>
      <c r="L409" s="30">
        <f t="shared" si="10"/>
        <v>25.2699361600059</v>
      </c>
      <c r="M409" s="37">
        <f t="shared" si="11"/>
        <v>0</v>
      </c>
      <c r="N409" s="31">
        <f t="shared" si="12"/>
        <v>0</v>
      </c>
    </row>
    <row r="410" s="2" customFormat="1" spans="1:14">
      <c r="A410" s="21">
        <v>45210</v>
      </c>
      <c r="B410" s="81">
        <v>686.99</v>
      </c>
      <c r="C410" s="41">
        <v>18651</v>
      </c>
      <c r="D410" s="42">
        <v>278</v>
      </c>
      <c r="E410" s="23">
        <v>0</v>
      </c>
      <c r="F410" s="35">
        <v>0</v>
      </c>
      <c r="G410" s="23">
        <v>2</v>
      </c>
      <c r="H410" s="23">
        <v>1</v>
      </c>
      <c r="I410" s="23">
        <v>0</v>
      </c>
      <c r="J410" s="36">
        <f t="shared" si="8"/>
        <v>0.0149053670044502</v>
      </c>
      <c r="K410" s="27">
        <f t="shared" si="9"/>
        <v>2.47118705035971</v>
      </c>
      <c r="L410" s="30">
        <f t="shared" si="10"/>
        <v>36.8339499222562</v>
      </c>
      <c r="M410" s="37">
        <f t="shared" si="11"/>
        <v>0</v>
      </c>
      <c r="N410" s="31">
        <f t="shared" si="12"/>
        <v>0</v>
      </c>
    </row>
    <row r="411" s="2" customFormat="1" spans="1:14">
      <c r="A411" s="21">
        <v>45211</v>
      </c>
      <c r="B411" s="35">
        <v>696</v>
      </c>
      <c r="C411" s="41">
        <v>17603</v>
      </c>
      <c r="D411" s="42">
        <v>325</v>
      </c>
      <c r="E411" s="23">
        <v>3</v>
      </c>
      <c r="F411" s="35">
        <v>8909.8</v>
      </c>
      <c r="G411" s="23">
        <v>6</v>
      </c>
      <c r="H411" s="23">
        <v>0</v>
      </c>
      <c r="I411" s="23">
        <v>2</v>
      </c>
      <c r="J411" s="36">
        <f t="shared" si="8"/>
        <v>0.0184627620291996</v>
      </c>
      <c r="K411" s="27">
        <f t="shared" si="9"/>
        <v>2.14153846153846</v>
      </c>
      <c r="L411" s="30">
        <f t="shared" si="10"/>
        <v>39.5387149917628</v>
      </c>
      <c r="M411" s="37">
        <f t="shared" si="11"/>
        <v>12.8014367816092</v>
      </c>
      <c r="N411" s="31">
        <f t="shared" si="12"/>
        <v>0.00923076923076923</v>
      </c>
    </row>
    <row r="412" s="2" customFormat="1" spans="1:14">
      <c r="A412" s="21">
        <v>45212</v>
      </c>
      <c r="B412" s="81">
        <v>699.89</v>
      </c>
      <c r="C412" s="41">
        <v>8432</v>
      </c>
      <c r="D412" s="42">
        <v>172</v>
      </c>
      <c r="E412" s="23">
        <v>0</v>
      </c>
      <c r="F412" s="35">
        <v>0</v>
      </c>
      <c r="G412" s="23">
        <v>2</v>
      </c>
      <c r="H412" s="23">
        <v>1</v>
      </c>
      <c r="I412" s="23">
        <v>2</v>
      </c>
      <c r="J412" s="36">
        <f t="shared" si="8"/>
        <v>0.0203984819734345</v>
      </c>
      <c r="K412" s="27">
        <f t="shared" si="9"/>
        <v>4.06912790697674</v>
      </c>
      <c r="L412" s="30">
        <f t="shared" si="10"/>
        <v>83.0040322580645</v>
      </c>
      <c r="M412" s="37">
        <f t="shared" si="11"/>
        <v>0</v>
      </c>
      <c r="N412" s="31">
        <f t="shared" si="12"/>
        <v>0</v>
      </c>
    </row>
    <row r="413" s="2" customFormat="1" spans="1:14">
      <c r="A413" s="21">
        <v>45213</v>
      </c>
      <c r="B413" s="81">
        <v>700</v>
      </c>
      <c r="C413" s="41">
        <v>10343</v>
      </c>
      <c r="D413" s="42">
        <v>176</v>
      </c>
      <c r="E413" s="23">
        <v>0</v>
      </c>
      <c r="F413" s="35">
        <v>0</v>
      </c>
      <c r="G413" s="23">
        <v>1</v>
      </c>
      <c r="H413" s="23">
        <v>0</v>
      </c>
      <c r="I413" s="23">
        <v>3</v>
      </c>
      <c r="J413" s="36">
        <f t="shared" si="8"/>
        <v>0.0170163395533211</v>
      </c>
      <c r="K413" s="27">
        <f t="shared" si="9"/>
        <v>3.97727272727273</v>
      </c>
      <c r="L413" s="30">
        <f t="shared" si="10"/>
        <v>67.6786232234361</v>
      </c>
      <c r="M413" s="37">
        <f t="shared" si="11"/>
        <v>0</v>
      </c>
      <c r="N413" s="31">
        <f t="shared" si="12"/>
        <v>0</v>
      </c>
    </row>
    <row r="414" s="2" customFormat="1" spans="1:14">
      <c r="A414" s="21">
        <v>45214</v>
      </c>
      <c r="B414" s="81">
        <v>696.39</v>
      </c>
      <c r="C414" s="41">
        <v>8449</v>
      </c>
      <c r="D414" s="42">
        <v>151</v>
      </c>
      <c r="E414" s="23">
        <v>0</v>
      </c>
      <c r="F414" s="35">
        <v>0</v>
      </c>
      <c r="G414" s="23">
        <v>0</v>
      </c>
      <c r="H414" s="23">
        <v>0</v>
      </c>
      <c r="I414" s="23">
        <v>1</v>
      </c>
      <c r="J414" s="36">
        <f t="shared" si="8"/>
        <v>0.0178719375073973</v>
      </c>
      <c r="K414" s="27">
        <f t="shared" si="9"/>
        <v>4.61185430463576</v>
      </c>
      <c r="L414" s="30">
        <f t="shared" si="10"/>
        <v>82.4227719256717</v>
      </c>
      <c r="M414" s="37">
        <f t="shared" si="11"/>
        <v>0</v>
      </c>
      <c r="N414" s="31">
        <f t="shared" si="12"/>
        <v>0</v>
      </c>
    </row>
    <row r="415" s="2" customFormat="1" spans="1:14">
      <c r="A415" s="21">
        <v>45215</v>
      </c>
      <c r="B415" s="81">
        <v>696.19</v>
      </c>
      <c r="C415" s="41">
        <v>12419</v>
      </c>
      <c r="D415" s="42">
        <v>163</v>
      </c>
      <c r="E415" s="23">
        <v>0</v>
      </c>
      <c r="F415" s="35">
        <v>0</v>
      </c>
      <c r="G415" s="23">
        <v>4</v>
      </c>
      <c r="H415" s="23">
        <v>1</v>
      </c>
      <c r="I415" s="23">
        <v>0</v>
      </c>
      <c r="J415" s="36">
        <f t="shared" si="8"/>
        <v>0.0131250503261132</v>
      </c>
      <c r="K415" s="27">
        <f t="shared" si="9"/>
        <v>4.27110429447853</v>
      </c>
      <c r="L415" s="30">
        <f t="shared" si="10"/>
        <v>56.058458813109</v>
      </c>
      <c r="M415" s="37">
        <f t="shared" si="11"/>
        <v>0</v>
      </c>
      <c r="N415" s="31">
        <f t="shared" si="12"/>
        <v>0</v>
      </c>
    </row>
    <row r="416" s="2" customFormat="1" spans="1:14">
      <c r="A416" s="21">
        <v>45216</v>
      </c>
      <c r="B416" s="81">
        <v>695.86</v>
      </c>
      <c r="C416" s="41">
        <v>7584</v>
      </c>
      <c r="D416" s="42">
        <v>151</v>
      </c>
      <c r="E416" s="23">
        <v>0</v>
      </c>
      <c r="F416" s="35">
        <v>0</v>
      </c>
      <c r="G416" s="23">
        <v>0</v>
      </c>
      <c r="H416" s="23">
        <v>1</v>
      </c>
      <c r="I416" s="23">
        <v>0</v>
      </c>
      <c r="J416" s="36">
        <f t="shared" si="8"/>
        <v>0.0199103375527426</v>
      </c>
      <c r="K416" s="27">
        <f t="shared" si="9"/>
        <v>4.60834437086093</v>
      </c>
      <c r="L416" s="30">
        <f t="shared" si="10"/>
        <v>91.7536919831224</v>
      </c>
      <c r="M416" s="37">
        <f t="shared" si="11"/>
        <v>0</v>
      </c>
      <c r="N416" s="31">
        <f t="shared" si="12"/>
        <v>0</v>
      </c>
    </row>
    <row r="417" s="2" customFormat="1" spans="1:14">
      <c r="A417" s="21">
        <v>45217</v>
      </c>
      <c r="B417" s="81">
        <v>898.81</v>
      </c>
      <c r="C417" s="41">
        <v>13386</v>
      </c>
      <c r="D417" s="42">
        <v>196</v>
      </c>
      <c r="E417" s="23">
        <v>0</v>
      </c>
      <c r="F417" s="35">
        <v>0</v>
      </c>
      <c r="G417" s="23">
        <v>1</v>
      </c>
      <c r="H417" s="23">
        <v>1</v>
      </c>
      <c r="I417" s="23">
        <v>0</v>
      </c>
      <c r="J417" s="36">
        <f t="shared" si="8"/>
        <v>0.0146421634543553</v>
      </c>
      <c r="K417" s="27">
        <f t="shared" si="9"/>
        <v>4.58576530612245</v>
      </c>
      <c r="L417" s="30">
        <f t="shared" si="10"/>
        <v>67.1455251755566</v>
      </c>
      <c r="M417" s="37">
        <f t="shared" si="11"/>
        <v>0</v>
      </c>
      <c r="N417" s="31">
        <f t="shared" si="12"/>
        <v>0</v>
      </c>
    </row>
    <row r="418" s="2" customFormat="1" spans="1:14">
      <c r="A418" s="21">
        <v>45218</v>
      </c>
      <c r="B418" s="82">
        <v>882.19</v>
      </c>
      <c r="C418" s="83">
        <v>13174</v>
      </c>
      <c r="D418" s="84">
        <v>275</v>
      </c>
      <c r="E418" s="23">
        <v>0</v>
      </c>
      <c r="F418" s="35">
        <v>0</v>
      </c>
      <c r="G418" s="23">
        <v>0</v>
      </c>
      <c r="H418" s="23">
        <v>0</v>
      </c>
      <c r="I418" s="23">
        <v>0</v>
      </c>
      <c r="J418" s="36">
        <f t="shared" si="8"/>
        <v>0.0208744496735995</v>
      </c>
      <c r="K418" s="27">
        <f t="shared" si="9"/>
        <v>3.20796363636364</v>
      </c>
      <c r="L418" s="30">
        <f t="shared" si="10"/>
        <v>66.96447548201</v>
      </c>
      <c r="M418" s="37">
        <f t="shared" si="11"/>
        <v>0</v>
      </c>
      <c r="N418" s="31">
        <f t="shared" si="12"/>
        <v>0</v>
      </c>
    </row>
    <row r="419" s="2" customFormat="1" spans="1:14">
      <c r="A419" s="21">
        <v>45219</v>
      </c>
      <c r="B419" s="82">
        <v>884.93</v>
      </c>
      <c r="C419" s="85">
        <v>23435</v>
      </c>
      <c r="D419" s="84">
        <v>320</v>
      </c>
      <c r="E419" s="23">
        <v>0</v>
      </c>
      <c r="F419" s="35">
        <v>0</v>
      </c>
      <c r="G419" s="23">
        <v>11</v>
      </c>
      <c r="H419" s="23">
        <v>3</v>
      </c>
      <c r="I419" s="23">
        <v>1</v>
      </c>
      <c r="J419" s="36">
        <f t="shared" si="8"/>
        <v>0.0136547898442501</v>
      </c>
      <c r="K419" s="27">
        <f t="shared" si="9"/>
        <v>2.76540625</v>
      </c>
      <c r="L419" s="30">
        <f t="shared" si="10"/>
        <v>37.7610411777256</v>
      </c>
      <c r="M419" s="37">
        <f t="shared" si="11"/>
        <v>0</v>
      </c>
      <c r="N419" s="31">
        <f t="shared" si="12"/>
        <v>0</v>
      </c>
    </row>
    <row r="420" s="2" customFormat="1" spans="1:14">
      <c r="A420" s="86">
        <v>45220</v>
      </c>
      <c r="B420" s="82">
        <v>888.88</v>
      </c>
      <c r="C420" s="85">
        <v>26456</v>
      </c>
      <c r="D420" s="84">
        <v>336</v>
      </c>
      <c r="E420" s="70">
        <v>0</v>
      </c>
      <c r="F420" s="87">
        <v>0</v>
      </c>
      <c r="G420" s="70">
        <v>6</v>
      </c>
      <c r="H420" s="70">
        <v>5</v>
      </c>
      <c r="I420" s="70">
        <v>1</v>
      </c>
      <c r="J420" s="88">
        <f t="shared" si="8"/>
        <v>0.0127003326277593</v>
      </c>
      <c r="K420" s="89">
        <f t="shared" si="9"/>
        <v>2.64547619047619</v>
      </c>
      <c r="L420" s="30">
        <f t="shared" si="10"/>
        <v>33.5984275778651</v>
      </c>
      <c r="M420" s="90">
        <f t="shared" si="11"/>
        <v>0</v>
      </c>
      <c r="N420" s="91">
        <f t="shared" si="12"/>
        <v>0</v>
      </c>
    </row>
    <row r="421" s="2" customFormat="1" spans="1:14">
      <c r="A421" s="86">
        <v>45221</v>
      </c>
      <c r="B421" s="82">
        <v>897.95</v>
      </c>
      <c r="C421" s="85">
        <v>29288</v>
      </c>
      <c r="D421" s="84">
        <v>344</v>
      </c>
      <c r="E421" s="70">
        <v>0</v>
      </c>
      <c r="F421" s="87">
        <v>0</v>
      </c>
      <c r="G421" s="70">
        <v>7</v>
      </c>
      <c r="H421" s="70">
        <v>3</v>
      </c>
      <c r="I421" s="70">
        <v>0</v>
      </c>
      <c r="J421" s="88">
        <f t="shared" si="8"/>
        <v>0.0117454247473368</v>
      </c>
      <c r="K421" s="89">
        <f t="shared" si="9"/>
        <v>2.61031976744186</v>
      </c>
      <c r="L421" s="30">
        <f t="shared" si="10"/>
        <v>30.6593143949741</v>
      </c>
      <c r="M421" s="90">
        <f t="shared" si="11"/>
        <v>0</v>
      </c>
      <c r="N421" s="91">
        <f t="shared" si="12"/>
        <v>0</v>
      </c>
    </row>
    <row r="422" s="2" customFormat="1" spans="1:14">
      <c r="A422" s="86">
        <v>45222</v>
      </c>
      <c r="B422" s="92">
        <v>891.34</v>
      </c>
      <c r="C422" s="93">
        <v>44231</v>
      </c>
      <c r="D422" s="94">
        <v>323</v>
      </c>
      <c r="E422" s="70">
        <v>0</v>
      </c>
      <c r="F422" s="87">
        <v>0</v>
      </c>
      <c r="G422" s="70">
        <v>13</v>
      </c>
      <c r="H422" s="70">
        <v>2</v>
      </c>
      <c r="I422" s="70">
        <v>2</v>
      </c>
      <c r="J422" s="88">
        <f t="shared" si="8"/>
        <v>0.00730257059528385</v>
      </c>
      <c r="K422" s="89">
        <f t="shared" si="9"/>
        <v>2.75956656346749</v>
      </c>
      <c r="L422" s="30">
        <f t="shared" si="10"/>
        <v>20.1519296421062</v>
      </c>
      <c r="M422" s="90">
        <f t="shared" si="11"/>
        <v>0</v>
      </c>
      <c r="N422" s="91">
        <f t="shared" si="12"/>
        <v>0</v>
      </c>
    </row>
    <row r="423" s="2" customFormat="1" spans="1:14">
      <c r="A423" s="86">
        <v>45223</v>
      </c>
      <c r="B423" s="95">
        <v>1268.72</v>
      </c>
      <c r="C423" s="96">
        <v>70816</v>
      </c>
      <c r="D423" s="71">
        <v>540</v>
      </c>
      <c r="E423" s="70">
        <v>22</v>
      </c>
      <c r="F423" s="87">
        <f>113374+138269</f>
        <v>251643</v>
      </c>
      <c r="G423" s="70">
        <v>10</v>
      </c>
      <c r="H423" s="70">
        <v>8</v>
      </c>
      <c r="I423" s="70">
        <v>10</v>
      </c>
      <c r="J423" s="88">
        <f t="shared" si="8"/>
        <v>0.00762539539087212</v>
      </c>
      <c r="K423" s="89">
        <f t="shared" si="9"/>
        <v>2.34948148148148</v>
      </c>
      <c r="L423" s="30">
        <f t="shared" si="10"/>
        <v>17.9157252598283</v>
      </c>
      <c r="M423" s="90">
        <f t="shared" si="11"/>
        <v>198.344000252223</v>
      </c>
      <c r="N423" s="91">
        <f t="shared" si="12"/>
        <v>0.0407407407407407</v>
      </c>
    </row>
    <row r="424" s="2" customFormat="1" spans="1:14">
      <c r="A424" s="86">
        <v>45224</v>
      </c>
      <c r="B424" s="95">
        <v>993.67</v>
      </c>
      <c r="C424" s="96">
        <v>34867</v>
      </c>
      <c r="D424" s="71">
        <v>331</v>
      </c>
      <c r="E424" s="70">
        <v>10</v>
      </c>
      <c r="F424" s="87">
        <f>45288+69081</f>
        <v>114369</v>
      </c>
      <c r="G424" s="70">
        <v>16</v>
      </c>
      <c r="H424" s="70">
        <v>8</v>
      </c>
      <c r="I424" s="70">
        <v>4</v>
      </c>
      <c r="J424" s="88">
        <f t="shared" si="8"/>
        <v>0.00949321708205467</v>
      </c>
      <c r="K424" s="89">
        <f t="shared" si="9"/>
        <v>3.00202416918429</v>
      </c>
      <c r="L424" s="30">
        <f t="shared" si="10"/>
        <v>28.4988671236413</v>
      </c>
      <c r="M424" s="90">
        <f t="shared" si="11"/>
        <v>115.097567602927</v>
      </c>
      <c r="N424" s="91">
        <f t="shared" si="12"/>
        <v>0.0302114803625378</v>
      </c>
    </row>
    <row r="425" s="2" customFormat="1" spans="1:14">
      <c r="A425" s="86">
        <v>45225</v>
      </c>
      <c r="B425" s="95">
        <v>590.72</v>
      </c>
      <c r="C425" s="96">
        <v>12147</v>
      </c>
      <c r="D425" s="71">
        <v>158</v>
      </c>
      <c r="E425" s="70">
        <v>0</v>
      </c>
      <c r="F425" s="87">
        <v>0</v>
      </c>
      <c r="G425" s="70">
        <v>3</v>
      </c>
      <c r="H425" s="70">
        <v>3</v>
      </c>
      <c r="I425" s="70">
        <v>1</v>
      </c>
      <c r="J425" s="88">
        <f t="shared" ref="J425:J488" si="13">D425/C425</f>
        <v>0.0130073269119947</v>
      </c>
      <c r="K425" s="89">
        <f t="shared" ref="K425:K488" si="14">B425/D425</f>
        <v>3.73873417721519</v>
      </c>
      <c r="L425" s="30">
        <f t="shared" ref="L425:L488" si="15">B425/C425*1000</f>
        <v>48.6309376800856</v>
      </c>
      <c r="M425" s="90">
        <f t="shared" ref="M425:M488" si="16">F425/B425</f>
        <v>0</v>
      </c>
      <c r="N425" s="91">
        <f t="shared" ref="N425:N488" si="17">E425/D425</f>
        <v>0</v>
      </c>
    </row>
    <row r="426" s="2" customFormat="1" spans="1:14">
      <c r="A426" s="86">
        <v>45226</v>
      </c>
      <c r="B426" s="95">
        <v>1464.16</v>
      </c>
      <c r="C426" s="96">
        <v>28357</v>
      </c>
      <c r="D426" s="71">
        <v>393</v>
      </c>
      <c r="E426" s="70">
        <v>2</v>
      </c>
      <c r="F426" s="87">
        <f>10997+11097</f>
        <v>22094</v>
      </c>
      <c r="G426" s="70">
        <v>11</v>
      </c>
      <c r="H426" s="70">
        <v>6</v>
      </c>
      <c r="I426" s="70">
        <v>6</v>
      </c>
      <c r="J426" s="88">
        <f t="shared" si="13"/>
        <v>0.0138590118841909</v>
      </c>
      <c r="K426" s="89">
        <f t="shared" si="14"/>
        <v>3.72559796437659</v>
      </c>
      <c r="L426" s="30">
        <f t="shared" si="15"/>
        <v>51.6331064640124</v>
      </c>
      <c r="M426" s="90">
        <f t="shared" si="16"/>
        <v>15.0898808873347</v>
      </c>
      <c r="N426" s="91">
        <f t="shared" si="17"/>
        <v>0.00508905852417303</v>
      </c>
    </row>
    <row r="427" s="2" customFormat="1" spans="1:14">
      <c r="A427" s="86">
        <v>45227</v>
      </c>
      <c r="B427" s="95">
        <v>1296.41</v>
      </c>
      <c r="C427" s="72">
        <v>34355</v>
      </c>
      <c r="D427" s="71">
        <v>355</v>
      </c>
      <c r="E427" s="70">
        <v>3</v>
      </c>
      <c r="F427" s="87">
        <f>12398+27859</f>
        <v>40257</v>
      </c>
      <c r="G427" s="70">
        <v>15</v>
      </c>
      <c r="H427" s="70">
        <v>7</v>
      </c>
      <c r="I427" s="70">
        <v>10</v>
      </c>
      <c r="J427" s="88">
        <f t="shared" si="13"/>
        <v>0.0103332848202591</v>
      </c>
      <c r="K427" s="89">
        <f t="shared" si="14"/>
        <v>3.65185915492958</v>
      </c>
      <c r="L427" s="30">
        <f t="shared" si="15"/>
        <v>37.7357007713579</v>
      </c>
      <c r="M427" s="90">
        <f t="shared" si="16"/>
        <v>31.0526762366844</v>
      </c>
      <c r="N427" s="91">
        <f t="shared" si="17"/>
        <v>0.00845070422535211</v>
      </c>
    </row>
    <row r="428" s="2" customFormat="1" spans="1:14">
      <c r="A428" s="86">
        <v>45228</v>
      </c>
      <c r="B428" s="95">
        <v>1380.41</v>
      </c>
      <c r="C428" s="73">
        <v>20524</v>
      </c>
      <c r="D428" s="71">
        <v>371</v>
      </c>
      <c r="E428" s="70">
        <v>6</v>
      </c>
      <c r="F428" s="87">
        <f>28793+53300</f>
        <v>82093</v>
      </c>
      <c r="G428" s="70">
        <v>20</v>
      </c>
      <c r="H428" s="70">
        <v>8</v>
      </c>
      <c r="I428" s="70">
        <v>4</v>
      </c>
      <c r="J428" s="88">
        <f t="shared" si="13"/>
        <v>0.0180763983628922</v>
      </c>
      <c r="K428" s="89">
        <f t="shared" si="14"/>
        <v>3.72078167115903</v>
      </c>
      <c r="L428" s="30">
        <f t="shared" si="15"/>
        <v>67.2583317092185</v>
      </c>
      <c r="M428" s="90">
        <f t="shared" si="16"/>
        <v>59.4700125325085</v>
      </c>
      <c r="N428" s="91">
        <f t="shared" si="17"/>
        <v>0.0161725067385445</v>
      </c>
    </row>
    <row r="429" s="2" customFormat="1" spans="1:14">
      <c r="A429" s="86">
        <v>45229</v>
      </c>
      <c r="B429" s="95">
        <v>1197.27</v>
      </c>
      <c r="C429" s="73">
        <v>23978</v>
      </c>
      <c r="D429" s="71">
        <v>300</v>
      </c>
      <c r="E429" s="70">
        <v>0</v>
      </c>
      <c r="F429" s="87">
        <v>0</v>
      </c>
      <c r="G429" s="70">
        <v>3</v>
      </c>
      <c r="H429" s="70">
        <v>5</v>
      </c>
      <c r="I429" s="70">
        <v>2</v>
      </c>
      <c r="J429" s="88">
        <f t="shared" si="13"/>
        <v>0.0125114688464426</v>
      </c>
      <c r="K429" s="89">
        <f t="shared" si="14"/>
        <v>3.9909</v>
      </c>
      <c r="L429" s="30">
        <f t="shared" si="15"/>
        <v>49.9320210192677</v>
      </c>
      <c r="M429" s="90">
        <f t="shared" si="16"/>
        <v>0</v>
      </c>
      <c r="N429" s="91">
        <f t="shared" si="17"/>
        <v>0</v>
      </c>
    </row>
    <row r="430" s="2" customFormat="1" spans="1:14">
      <c r="A430" s="86">
        <v>45230</v>
      </c>
      <c r="B430" s="95">
        <v>5129.72</v>
      </c>
      <c r="C430" s="73">
        <v>128319</v>
      </c>
      <c r="D430" s="71">
        <v>2206</v>
      </c>
      <c r="E430" s="70">
        <v>12</v>
      </c>
      <c r="F430" s="87">
        <f>46690+93079</f>
        <v>139769</v>
      </c>
      <c r="G430" s="70">
        <v>47</v>
      </c>
      <c r="H430" s="70">
        <v>24</v>
      </c>
      <c r="I430" s="70">
        <v>24</v>
      </c>
      <c r="J430" s="88">
        <f t="shared" si="13"/>
        <v>0.0171915304826253</v>
      </c>
      <c r="K430" s="89">
        <f t="shared" si="14"/>
        <v>2.32534904805077</v>
      </c>
      <c r="L430" s="30">
        <f t="shared" si="15"/>
        <v>39.9763090423086</v>
      </c>
      <c r="M430" s="90">
        <f t="shared" si="16"/>
        <v>27.2469062638896</v>
      </c>
      <c r="N430" s="91">
        <f t="shared" si="17"/>
        <v>0.00543970988213962</v>
      </c>
    </row>
    <row r="431" s="2" customFormat="1" spans="1:14">
      <c r="A431" s="86">
        <v>45231</v>
      </c>
      <c r="B431" s="95">
        <v>2220.29</v>
      </c>
      <c r="C431" s="73">
        <v>68420</v>
      </c>
      <c r="D431" s="71">
        <v>1360</v>
      </c>
      <c r="E431" s="70">
        <v>0</v>
      </c>
      <c r="F431" s="87">
        <v>0</v>
      </c>
      <c r="G431" s="70">
        <v>56</v>
      </c>
      <c r="H431" s="70">
        <v>9</v>
      </c>
      <c r="I431" s="70">
        <v>13</v>
      </c>
      <c r="J431" s="88">
        <f t="shared" si="13"/>
        <v>0.0198772288804443</v>
      </c>
      <c r="K431" s="89">
        <f t="shared" si="14"/>
        <v>1.63256617647059</v>
      </c>
      <c r="L431" s="30">
        <f t="shared" si="15"/>
        <v>32.4508915521777</v>
      </c>
      <c r="M431" s="90">
        <f t="shared" si="16"/>
        <v>0</v>
      </c>
      <c r="N431" s="91">
        <f t="shared" si="17"/>
        <v>0</v>
      </c>
    </row>
    <row r="432" s="2" customFormat="1" spans="1:14">
      <c r="A432" s="86">
        <v>45232</v>
      </c>
      <c r="B432" s="95">
        <v>1852.27</v>
      </c>
      <c r="C432" s="73">
        <v>96894</v>
      </c>
      <c r="D432" s="71">
        <v>1399</v>
      </c>
      <c r="E432" s="70">
        <v>15</v>
      </c>
      <c r="F432" s="87">
        <v>210744</v>
      </c>
      <c r="G432" s="70">
        <v>45</v>
      </c>
      <c r="H432" s="70">
        <v>9</v>
      </c>
      <c r="I432" s="70">
        <v>10</v>
      </c>
      <c r="J432" s="88">
        <f t="shared" si="13"/>
        <v>0.0144384585216835</v>
      </c>
      <c r="K432" s="89">
        <f t="shared" si="14"/>
        <v>1.3239957112223</v>
      </c>
      <c r="L432" s="30">
        <f t="shared" si="15"/>
        <v>19.11645715937</v>
      </c>
      <c r="M432" s="90">
        <f t="shared" si="16"/>
        <v>113.776069363538</v>
      </c>
      <c r="N432" s="91">
        <f t="shared" si="17"/>
        <v>0.0107219442458899</v>
      </c>
    </row>
    <row r="433" s="2" customFormat="1" spans="1:14">
      <c r="A433" s="86">
        <v>45233</v>
      </c>
      <c r="B433" s="95">
        <v>1757.44</v>
      </c>
      <c r="C433" s="73">
        <v>112427</v>
      </c>
      <c r="D433" s="71">
        <v>1480</v>
      </c>
      <c r="E433" s="70">
        <v>4</v>
      </c>
      <c r="F433" s="87">
        <v>48732</v>
      </c>
      <c r="G433" s="70">
        <v>37</v>
      </c>
      <c r="H433" s="70">
        <v>16</v>
      </c>
      <c r="I433" s="70">
        <v>10</v>
      </c>
      <c r="J433" s="88">
        <f t="shared" si="13"/>
        <v>0.0131640975922154</v>
      </c>
      <c r="K433" s="89">
        <f t="shared" si="14"/>
        <v>1.18745945945946</v>
      </c>
      <c r="L433" s="30">
        <f t="shared" si="15"/>
        <v>15.6318322111237</v>
      </c>
      <c r="M433" s="90">
        <f t="shared" si="16"/>
        <v>27.728969410051</v>
      </c>
      <c r="N433" s="91">
        <f t="shared" si="17"/>
        <v>0.0027027027027027</v>
      </c>
    </row>
    <row r="434" s="2" customFormat="1" spans="1:14">
      <c r="A434" s="86">
        <v>45234</v>
      </c>
      <c r="B434" s="95">
        <v>1562.58</v>
      </c>
      <c r="C434" s="73">
        <v>103860</v>
      </c>
      <c r="D434" s="71">
        <v>1579</v>
      </c>
      <c r="E434" s="70">
        <v>3</v>
      </c>
      <c r="F434" s="87">
        <v>63781</v>
      </c>
      <c r="G434" s="70">
        <v>41</v>
      </c>
      <c r="H434" s="70">
        <v>4</v>
      </c>
      <c r="I434" s="70">
        <v>5</v>
      </c>
      <c r="J434" s="88">
        <f t="shared" si="13"/>
        <v>0.0152031580974389</v>
      </c>
      <c r="K434" s="89">
        <f t="shared" si="14"/>
        <v>0.989601013299557</v>
      </c>
      <c r="L434" s="30">
        <f t="shared" si="15"/>
        <v>15.0450606585789</v>
      </c>
      <c r="M434" s="90">
        <f t="shared" si="16"/>
        <v>40.8177501311933</v>
      </c>
      <c r="N434" s="91">
        <f t="shared" si="17"/>
        <v>0.00189993666877771</v>
      </c>
    </row>
    <row r="435" s="2" customFormat="1" spans="1:14">
      <c r="A435" s="86">
        <v>45235</v>
      </c>
      <c r="B435" s="95">
        <v>1578.11</v>
      </c>
      <c r="C435" s="73">
        <v>101153</v>
      </c>
      <c r="D435" s="71">
        <v>1607</v>
      </c>
      <c r="E435" s="70">
        <v>4</v>
      </c>
      <c r="F435" s="87">
        <v>47389</v>
      </c>
      <c r="G435" s="70">
        <v>62</v>
      </c>
      <c r="H435" s="70">
        <v>10</v>
      </c>
      <c r="I435" s="70">
        <v>3</v>
      </c>
      <c r="J435" s="88">
        <f t="shared" si="13"/>
        <v>0.0158868249088015</v>
      </c>
      <c r="K435" s="89">
        <f t="shared" si="14"/>
        <v>0.982022401991288</v>
      </c>
      <c r="L435" s="30">
        <f t="shared" si="15"/>
        <v>15.6012179569563</v>
      </c>
      <c r="M435" s="90">
        <f t="shared" si="16"/>
        <v>30.0289586910925</v>
      </c>
      <c r="N435" s="91">
        <f t="shared" si="17"/>
        <v>0.00248911014312383</v>
      </c>
    </row>
    <row r="436" s="2" customFormat="1" spans="1:14">
      <c r="A436" s="86">
        <v>45236</v>
      </c>
      <c r="B436" s="95">
        <v>1768.28</v>
      </c>
      <c r="C436" s="73">
        <v>167156</v>
      </c>
      <c r="D436" s="71">
        <v>1706</v>
      </c>
      <c r="E436" s="70">
        <v>0</v>
      </c>
      <c r="F436" s="87">
        <v>0</v>
      </c>
      <c r="G436" s="70">
        <v>26</v>
      </c>
      <c r="H436" s="70">
        <v>14</v>
      </c>
      <c r="I436" s="70">
        <v>2</v>
      </c>
      <c r="J436" s="88">
        <f t="shared" si="13"/>
        <v>0.0102060350810022</v>
      </c>
      <c r="K436" s="89">
        <f t="shared" si="14"/>
        <v>1.03650644783118</v>
      </c>
      <c r="L436" s="30">
        <f t="shared" si="15"/>
        <v>10.57862116825</v>
      </c>
      <c r="M436" s="90">
        <f t="shared" si="16"/>
        <v>0</v>
      </c>
      <c r="N436" s="91">
        <f t="shared" si="17"/>
        <v>0</v>
      </c>
    </row>
    <row r="437" s="2" customFormat="1" spans="1:14">
      <c r="A437" s="97">
        <v>45237</v>
      </c>
      <c r="B437" s="98">
        <v>1780.53</v>
      </c>
      <c r="C437" s="76">
        <v>170437</v>
      </c>
      <c r="D437" s="76">
        <v>1737</v>
      </c>
      <c r="E437" s="75">
        <v>1</v>
      </c>
      <c r="F437" s="98">
        <v>9998</v>
      </c>
      <c r="G437" s="75">
        <v>12</v>
      </c>
      <c r="H437" s="75">
        <v>5</v>
      </c>
      <c r="I437" s="75">
        <v>5</v>
      </c>
      <c r="J437" s="99">
        <f t="shared" si="13"/>
        <v>0.0101914490398212</v>
      </c>
      <c r="K437" s="100">
        <f t="shared" si="14"/>
        <v>1.02506044905009</v>
      </c>
      <c r="L437" s="30">
        <f t="shared" si="15"/>
        <v>10.4468513292302</v>
      </c>
      <c r="M437" s="90">
        <f t="shared" si="16"/>
        <v>5.61518199637187</v>
      </c>
      <c r="N437" s="91">
        <f t="shared" si="17"/>
        <v>0.000575705238917674</v>
      </c>
    </row>
    <row r="438" s="2" customFormat="1" spans="1:14">
      <c r="A438" s="101">
        <v>45238</v>
      </c>
      <c r="B438" s="102">
        <v>1773.77</v>
      </c>
      <c r="C438" s="103">
        <v>150841</v>
      </c>
      <c r="D438" s="104">
        <v>1603</v>
      </c>
      <c r="E438" s="105">
        <v>0</v>
      </c>
      <c r="F438" s="106">
        <v>0</v>
      </c>
      <c r="G438" s="105">
        <v>18</v>
      </c>
      <c r="H438" s="105">
        <v>9</v>
      </c>
      <c r="I438" s="105">
        <v>3</v>
      </c>
      <c r="J438" s="107">
        <f t="shared" si="13"/>
        <v>0.010627084148209</v>
      </c>
      <c r="K438" s="108">
        <f t="shared" si="14"/>
        <v>1.10653150343107</v>
      </c>
      <c r="L438" s="30">
        <f t="shared" si="15"/>
        <v>11.7592033996062</v>
      </c>
      <c r="M438" s="109">
        <f t="shared" si="16"/>
        <v>0</v>
      </c>
      <c r="N438" s="91">
        <f t="shared" si="17"/>
        <v>0</v>
      </c>
    </row>
    <row r="439" s="2" customFormat="1" spans="1:14">
      <c r="A439" s="110">
        <v>45239</v>
      </c>
      <c r="B439" s="58">
        <v>1781.34</v>
      </c>
      <c r="C439" s="111">
        <v>213228</v>
      </c>
      <c r="D439" s="112">
        <v>1731</v>
      </c>
      <c r="E439" s="57">
        <v>1</v>
      </c>
      <c r="F439" s="113">
        <v>10997</v>
      </c>
      <c r="G439" s="57">
        <v>19</v>
      </c>
      <c r="H439" s="57">
        <v>6</v>
      </c>
      <c r="I439" s="57">
        <v>1</v>
      </c>
      <c r="J439" s="114">
        <f t="shared" si="13"/>
        <v>0.00811807079745624</v>
      </c>
      <c r="K439" s="115">
        <f t="shared" si="14"/>
        <v>1.02908145580589</v>
      </c>
      <c r="L439" s="30">
        <f t="shared" si="15"/>
        <v>8.35415611458157</v>
      </c>
      <c r="M439" s="116">
        <f t="shared" si="16"/>
        <v>6.17344246466144</v>
      </c>
      <c r="N439" s="117">
        <f t="shared" si="17"/>
        <v>0.000577700751010976</v>
      </c>
    </row>
    <row r="440" s="2" customFormat="1" spans="1:14">
      <c r="A440" s="101">
        <v>45240</v>
      </c>
      <c r="B440" s="118">
        <v>2184.47</v>
      </c>
      <c r="C440" s="119">
        <v>213260</v>
      </c>
      <c r="D440" s="119">
        <v>1981</v>
      </c>
      <c r="E440" s="120">
        <v>3</v>
      </c>
      <c r="F440" s="121">
        <v>0.03</v>
      </c>
      <c r="G440" s="122">
        <v>20</v>
      </c>
      <c r="H440" s="122">
        <v>6</v>
      </c>
      <c r="I440" s="122">
        <v>2</v>
      </c>
      <c r="J440" s="107">
        <f t="shared" si="13"/>
        <v>0.00928913063865704</v>
      </c>
      <c r="K440" s="108">
        <f t="shared" si="14"/>
        <v>1.10271075214538</v>
      </c>
      <c r="L440" s="30">
        <f t="shared" si="15"/>
        <v>10.2432242333302</v>
      </c>
      <c r="M440" s="123">
        <f t="shared" si="16"/>
        <v>1.37333083081938e-5</v>
      </c>
      <c r="N440" s="124">
        <f t="shared" si="17"/>
        <v>0.00151438667339727</v>
      </c>
    </row>
    <row r="441" s="2" customFormat="1" spans="1:14">
      <c r="A441" s="101">
        <v>45241</v>
      </c>
      <c r="B441" s="118">
        <v>2902.97</v>
      </c>
      <c r="C441" s="119">
        <v>284084</v>
      </c>
      <c r="D441" s="119">
        <v>2463</v>
      </c>
      <c r="E441" s="125">
        <v>11</v>
      </c>
      <c r="F441" s="126">
        <v>42889.07</v>
      </c>
      <c r="G441" s="122">
        <v>30</v>
      </c>
      <c r="H441" s="122">
        <v>12</v>
      </c>
      <c r="I441" s="122">
        <v>5</v>
      </c>
      <c r="J441" s="107">
        <f t="shared" si="13"/>
        <v>0.00866997085369116</v>
      </c>
      <c r="K441" s="108">
        <f t="shared" si="14"/>
        <v>1.1786317498985</v>
      </c>
      <c r="L441" s="30">
        <f t="shared" si="15"/>
        <v>10.218702918855</v>
      </c>
      <c r="M441" s="123">
        <f t="shared" si="16"/>
        <v>14.7742036603892</v>
      </c>
      <c r="N441" s="124">
        <f t="shared" si="17"/>
        <v>0.00446609825416159</v>
      </c>
    </row>
    <row r="442" s="2" customFormat="1" spans="1:14">
      <c r="A442" s="101">
        <v>45242</v>
      </c>
      <c r="B442" s="118">
        <v>1584.87</v>
      </c>
      <c r="C442" s="119">
        <v>263426</v>
      </c>
      <c r="D442" s="119">
        <v>2116</v>
      </c>
      <c r="E442" s="120">
        <v>3</v>
      </c>
      <c r="F442" s="127">
        <v>9998.02</v>
      </c>
      <c r="G442" s="122">
        <v>21</v>
      </c>
      <c r="H442" s="122">
        <v>5</v>
      </c>
      <c r="I442" s="122">
        <v>4</v>
      </c>
      <c r="J442" s="107">
        <f t="shared" si="13"/>
        <v>0.00803261637044179</v>
      </c>
      <c r="K442" s="108">
        <f t="shared" si="14"/>
        <v>0.748993383742911</v>
      </c>
      <c r="L442" s="30">
        <f t="shared" si="15"/>
        <v>6.0163765156059</v>
      </c>
      <c r="M442" s="123">
        <f t="shared" si="16"/>
        <v>6.30841646317995</v>
      </c>
      <c r="N442" s="124">
        <f t="shared" si="17"/>
        <v>0.00141776937618147</v>
      </c>
    </row>
    <row r="443" s="2" customFormat="1" spans="1:14">
      <c r="A443" s="101">
        <v>45243</v>
      </c>
      <c r="B443" s="102">
        <v>1594.74</v>
      </c>
      <c r="C443" s="103">
        <v>272087</v>
      </c>
      <c r="D443" s="104">
        <v>1915</v>
      </c>
      <c r="E443" s="105">
        <v>2</v>
      </c>
      <c r="F443" s="106">
        <v>28660</v>
      </c>
      <c r="G443" s="105">
        <v>18</v>
      </c>
      <c r="H443" s="105">
        <v>2</v>
      </c>
      <c r="I443" s="105">
        <v>1</v>
      </c>
      <c r="J443" s="107">
        <f t="shared" si="13"/>
        <v>0.0070381899907015</v>
      </c>
      <c r="K443" s="108">
        <f t="shared" si="14"/>
        <v>0.832762402088773</v>
      </c>
      <c r="L443" s="30">
        <f t="shared" si="15"/>
        <v>5.86114000301374</v>
      </c>
      <c r="M443" s="123">
        <f t="shared" si="16"/>
        <v>17.9715815744259</v>
      </c>
      <c r="N443" s="124">
        <f t="shared" si="17"/>
        <v>0.0010443864229765</v>
      </c>
    </row>
    <row r="444" s="2" customFormat="1" spans="1:14">
      <c r="A444" s="101">
        <v>45244</v>
      </c>
      <c r="B444" s="128">
        <v>1528.01</v>
      </c>
      <c r="C444" s="129">
        <v>80854</v>
      </c>
      <c r="D444" s="130">
        <v>955</v>
      </c>
      <c r="E444" s="131">
        <v>0</v>
      </c>
      <c r="F444" s="132">
        <v>0</v>
      </c>
      <c r="G444" s="131">
        <v>31</v>
      </c>
      <c r="H444" s="131">
        <v>3</v>
      </c>
      <c r="I444" s="131">
        <v>3</v>
      </c>
      <c r="J444" s="107">
        <f t="shared" si="13"/>
        <v>0.0118114131644693</v>
      </c>
      <c r="K444" s="108">
        <f t="shared" si="14"/>
        <v>1.60001047120419</v>
      </c>
      <c r="L444" s="30">
        <f t="shared" si="15"/>
        <v>18.8983847428699</v>
      </c>
      <c r="M444" s="123">
        <f t="shared" si="16"/>
        <v>0</v>
      </c>
      <c r="N444" s="124">
        <f t="shared" si="17"/>
        <v>0</v>
      </c>
    </row>
    <row r="445" s="2" customFormat="1" spans="1:14">
      <c r="A445" s="101">
        <v>45245</v>
      </c>
      <c r="B445" s="133">
        <v>1570.24</v>
      </c>
      <c r="C445" s="134">
        <v>96746</v>
      </c>
      <c r="D445" s="135">
        <v>1035</v>
      </c>
      <c r="E445" s="105">
        <v>0</v>
      </c>
      <c r="F445" s="106">
        <v>0</v>
      </c>
      <c r="G445" s="105">
        <v>22</v>
      </c>
      <c r="H445" s="105">
        <v>9</v>
      </c>
      <c r="I445" s="105">
        <v>4</v>
      </c>
      <c r="J445" s="107">
        <f t="shared" si="13"/>
        <v>0.0106981167180038</v>
      </c>
      <c r="K445" s="108">
        <f t="shared" si="14"/>
        <v>1.51714009661836</v>
      </c>
      <c r="L445" s="30">
        <f t="shared" si="15"/>
        <v>16.2305418311868</v>
      </c>
      <c r="M445" s="123">
        <f t="shared" si="16"/>
        <v>0</v>
      </c>
      <c r="N445" s="124">
        <f t="shared" si="17"/>
        <v>0</v>
      </c>
    </row>
    <row r="446" s="2" customFormat="1" spans="1:14">
      <c r="A446" s="101">
        <v>45246</v>
      </c>
      <c r="B446" s="136">
        <v>1269.92</v>
      </c>
      <c r="C446" s="137">
        <v>173831</v>
      </c>
      <c r="D446" s="138">
        <v>1083</v>
      </c>
      <c r="E446" s="57">
        <v>0</v>
      </c>
      <c r="F446" s="113">
        <v>0</v>
      </c>
      <c r="G446" s="57">
        <v>14</v>
      </c>
      <c r="H446" s="57">
        <v>4</v>
      </c>
      <c r="I446" s="57">
        <v>0</v>
      </c>
      <c r="J446" s="107">
        <f t="shared" si="13"/>
        <v>0.00623018909170401</v>
      </c>
      <c r="K446" s="108">
        <f t="shared" si="14"/>
        <v>1.172594644506</v>
      </c>
      <c r="L446" s="30">
        <f t="shared" si="15"/>
        <v>7.30548636319184</v>
      </c>
      <c r="M446" s="123">
        <f t="shared" si="16"/>
        <v>0</v>
      </c>
      <c r="N446" s="124">
        <f t="shared" si="17"/>
        <v>0</v>
      </c>
    </row>
    <row r="447" s="2" customFormat="1" spans="1:14">
      <c r="A447" s="101">
        <v>45247</v>
      </c>
      <c r="B447" s="139">
        <v>1296.19</v>
      </c>
      <c r="C447" s="140">
        <v>156221</v>
      </c>
      <c r="D447" s="141">
        <v>1085</v>
      </c>
      <c r="E447" s="142">
        <v>0</v>
      </c>
      <c r="F447" s="143">
        <v>0</v>
      </c>
      <c r="G447" s="144">
        <v>15</v>
      </c>
      <c r="H447" s="144">
        <v>6</v>
      </c>
      <c r="I447" s="144">
        <v>0</v>
      </c>
      <c r="J447" s="145">
        <f t="shared" si="13"/>
        <v>0.00694528904564687</v>
      </c>
      <c r="K447" s="108">
        <f t="shared" si="14"/>
        <v>1.19464516129032</v>
      </c>
      <c r="L447" s="30">
        <f t="shared" si="15"/>
        <v>8.29715595214472</v>
      </c>
      <c r="M447" s="123">
        <f t="shared" si="16"/>
        <v>0</v>
      </c>
      <c r="N447" s="124">
        <f t="shared" si="17"/>
        <v>0</v>
      </c>
    </row>
    <row r="448" s="2" customFormat="1" spans="1:14">
      <c r="A448" s="101">
        <v>45248</v>
      </c>
      <c r="B448" s="139">
        <v>1286.92</v>
      </c>
      <c r="C448" s="140">
        <v>123219</v>
      </c>
      <c r="D448" s="141">
        <v>1000</v>
      </c>
      <c r="E448" s="142">
        <v>0</v>
      </c>
      <c r="F448" s="143">
        <v>0</v>
      </c>
      <c r="G448" s="144">
        <v>8</v>
      </c>
      <c r="H448" s="144">
        <v>2</v>
      </c>
      <c r="I448" s="144">
        <v>0</v>
      </c>
      <c r="J448" s="145">
        <f t="shared" si="13"/>
        <v>0.00811563151786656</v>
      </c>
      <c r="K448" s="108">
        <f t="shared" si="14"/>
        <v>1.28692</v>
      </c>
      <c r="L448" s="30">
        <f t="shared" si="15"/>
        <v>10.4441685129728</v>
      </c>
      <c r="M448" s="123">
        <f t="shared" si="16"/>
        <v>0</v>
      </c>
      <c r="N448" s="124">
        <f t="shared" si="17"/>
        <v>0</v>
      </c>
    </row>
    <row r="449" s="2" customFormat="1" spans="1:14">
      <c r="A449" s="110">
        <v>45249</v>
      </c>
      <c r="B449" s="146">
        <v>1281.55</v>
      </c>
      <c r="C449" s="147">
        <v>114244</v>
      </c>
      <c r="D449" s="148">
        <v>1015</v>
      </c>
      <c r="E449" s="149">
        <v>0</v>
      </c>
      <c r="F449" s="150">
        <v>0</v>
      </c>
      <c r="G449" s="151">
        <v>10</v>
      </c>
      <c r="H449" s="151">
        <v>1</v>
      </c>
      <c r="I449" s="151">
        <v>0</v>
      </c>
      <c r="J449" s="152">
        <f t="shared" si="13"/>
        <v>0.00888449283988656</v>
      </c>
      <c r="K449" s="115">
        <f t="shared" si="14"/>
        <v>1.26261083743842</v>
      </c>
      <c r="L449" s="30">
        <f t="shared" si="15"/>
        <v>11.2176569447848</v>
      </c>
      <c r="M449" s="153">
        <f t="shared" si="16"/>
        <v>0</v>
      </c>
      <c r="N449" s="154">
        <f t="shared" si="17"/>
        <v>0</v>
      </c>
    </row>
    <row r="450" s="2" customFormat="1" spans="1:14">
      <c r="A450" s="101">
        <v>45250</v>
      </c>
      <c r="B450" s="102">
        <v>1274.69</v>
      </c>
      <c r="C450" s="103">
        <v>80741</v>
      </c>
      <c r="D450" s="104">
        <v>1132</v>
      </c>
      <c r="E450" s="105">
        <v>0</v>
      </c>
      <c r="F450" s="106">
        <v>0</v>
      </c>
      <c r="G450" s="105">
        <v>9</v>
      </c>
      <c r="H450" s="105">
        <v>1</v>
      </c>
      <c r="I450" s="105">
        <v>1</v>
      </c>
      <c r="J450" s="107">
        <f t="shared" si="13"/>
        <v>0.0140201384674453</v>
      </c>
      <c r="K450" s="108">
        <f t="shared" si="14"/>
        <v>1.12605123674912</v>
      </c>
      <c r="L450" s="30">
        <f t="shared" si="15"/>
        <v>15.7873942606606</v>
      </c>
      <c r="M450" s="123">
        <f t="shared" si="16"/>
        <v>0</v>
      </c>
      <c r="N450" s="124">
        <f t="shared" si="17"/>
        <v>0</v>
      </c>
    </row>
    <row r="451" s="2" customFormat="1" spans="1:14">
      <c r="A451" s="101">
        <v>45251</v>
      </c>
      <c r="B451" s="155">
        <v>1274.59</v>
      </c>
      <c r="C451" s="156">
        <v>64413</v>
      </c>
      <c r="D451" s="157">
        <v>1105</v>
      </c>
      <c r="E451" s="131">
        <v>0</v>
      </c>
      <c r="F451" s="132">
        <v>0</v>
      </c>
      <c r="G451" s="131">
        <v>6</v>
      </c>
      <c r="H451" s="131">
        <v>0</v>
      </c>
      <c r="I451" s="158">
        <v>0</v>
      </c>
      <c r="J451" s="107">
        <f t="shared" si="13"/>
        <v>0.0171549221430457</v>
      </c>
      <c r="K451" s="108">
        <f t="shared" si="14"/>
        <v>1.15347511312217</v>
      </c>
      <c r="L451" s="30">
        <f t="shared" si="15"/>
        <v>19.7877757595516</v>
      </c>
      <c r="M451" s="123">
        <f t="shared" si="16"/>
        <v>0</v>
      </c>
      <c r="N451" s="124">
        <f t="shared" si="17"/>
        <v>0</v>
      </c>
    </row>
    <row r="452" s="2" customFormat="1" spans="1:14">
      <c r="A452" s="101">
        <v>45252</v>
      </c>
      <c r="B452" s="159">
        <v>1259.54</v>
      </c>
      <c r="C452" s="134">
        <v>43992</v>
      </c>
      <c r="D452" s="135">
        <v>1039</v>
      </c>
      <c r="E452" s="105">
        <v>1</v>
      </c>
      <c r="F452" s="106">
        <v>16269</v>
      </c>
      <c r="G452" s="105">
        <v>4</v>
      </c>
      <c r="H452" s="105">
        <v>0</v>
      </c>
      <c r="I452" s="105">
        <v>0</v>
      </c>
      <c r="J452" s="107">
        <f t="shared" si="13"/>
        <v>0.0236179305328241</v>
      </c>
      <c r="K452" s="108">
        <f t="shared" si="14"/>
        <v>1.21226179018287</v>
      </c>
      <c r="L452" s="30">
        <f t="shared" si="15"/>
        <v>28.631114748136</v>
      </c>
      <c r="M452" s="123">
        <f t="shared" si="16"/>
        <v>12.9166203534624</v>
      </c>
      <c r="N452" s="124">
        <f t="shared" si="17"/>
        <v>0.000962463907603465</v>
      </c>
    </row>
    <row r="453" s="2" customFormat="1" spans="1:14">
      <c r="A453" s="101">
        <v>45253</v>
      </c>
      <c r="B453" s="160">
        <v>1275.28</v>
      </c>
      <c r="C453" s="134">
        <v>48274</v>
      </c>
      <c r="D453" s="135">
        <v>1086</v>
      </c>
      <c r="E453" s="105">
        <v>0</v>
      </c>
      <c r="F453" s="106">
        <v>0</v>
      </c>
      <c r="G453" s="105">
        <v>4</v>
      </c>
      <c r="H453" s="105">
        <v>3</v>
      </c>
      <c r="I453" s="105">
        <v>0</v>
      </c>
      <c r="J453" s="107">
        <f t="shared" si="13"/>
        <v>0.0224965820110204</v>
      </c>
      <c r="K453" s="108">
        <f t="shared" si="14"/>
        <v>1.17429097605893</v>
      </c>
      <c r="L453" s="30">
        <f t="shared" si="15"/>
        <v>26.417533247711</v>
      </c>
      <c r="M453" s="123">
        <f t="shared" si="16"/>
        <v>0</v>
      </c>
      <c r="N453" s="124">
        <f t="shared" si="17"/>
        <v>0</v>
      </c>
    </row>
    <row r="454" s="2" customFormat="1" spans="1:14">
      <c r="A454" s="101">
        <v>45254</v>
      </c>
      <c r="B454" s="161">
        <v>1287.33</v>
      </c>
      <c r="C454" s="162">
        <v>40651</v>
      </c>
      <c r="D454" s="163">
        <v>1199</v>
      </c>
      <c r="E454" s="131">
        <v>0</v>
      </c>
      <c r="F454" s="132">
        <v>0</v>
      </c>
      <c r="G454" s="131">
        <v>6</v>
      </c>
      <c r="H454" s="131">
        <v>4</v>
      </c>
      <c r="I454" s="131">
        <v>0</v>
      </c>
      <c r="J454" s="107">
        <f t="shared" si="13"/>
        <v>0.0294949693734471</v>
      </c>
      <c r="K454" s="108">
        <f t="shared" si="14"/>
        <v>1.07366972477064</v>
      </c>
      <c r="L454" s="30">
        <f t="shared" si="15"/>
        <v>31.6678556493075</v>
      </c>
      <c r="M454" s="123">
        <f t="shared" si="16"/>
        <v>0</v>
      </c>
      <c r="N454" s="124">
        <f t="shared" si="17"/>
        <v>0</v>
      </c>
    </row>
    <row r="455" s="2" customFormat="1" spans="1:14">
      <c r="A455" s="101">
        <v>45255</v>
      </c>
      <c r="B455" s="164">
        <v>1276.98</v>
      </c>
      <c r="C455" s="103">
        <v>47204</v>
      </c>
      <c r="D455" s="104">
        <v>1209</v>
      </c>
      <c r="E455" s="105">
        <v>0</v>
      </c>
      <c r="F455" s="106">
        <v>0</v>
      </c>
      <c r="G455" s="105">
        <v>15</v>
      </c>
      <c r="H455" s="105">
        <v>0</v>
      </c>
      <c r="I455" s="105">
        <v>0</v>
      </c>
      <c r="J455" s="107">
        <f t="shared" si="13"/>
        <v>0.0256122362511652</v>
      </c>
      <c r="K455" s="108">
        <f t="shared" si="14"/>
        <v>1.05622828784119</v>
      </c>
      <c r="L455" s="30">
        <f t="shared" si="15"/>
        <v>27.0523684433523</v>
      </c>
      <c r="M455" s="123">
        <f t="shared" si="16"/>
        <v>0</v>
      </c>
      <c r="N455" s="124">
        <f t="shared" si="17"/>
        <v>0</v>
      </c>
    </row>
    <row r="456" s="2" customFormat="1" spans="1:14">
      <c r="A456" s="101">
        <v>45256</v>
      </c>
      <c r="B456" s="164">
        <v>1280.68</v>
      </c>
      <c r="C456" s="103">
        <v>45527</v>
      </c>
      <c r="D456" s="104">
        <v>1220</v>
      </c>
      <c r="E456" s="105">
        <v>0</v>
      </c>
      <c r="F456" s="106">
        <v>0</v>
      </c>
      <c r="G456" s="105">
        <v>8</v>
      </c>
      <c r="H456" s="105">
        <v>2</v>
      </c>
      <c r="I456" s="105">
        <v>0</v>
      </c>
      <c r="J456" s="107">
        <f t="shared" si="13"/>
        <v>0.0267972851275068</v>
      </c>
      <c r="K456" s="108">
        <f t="shared" si="14"/>
        <v>1.04973770491803</v>
      </c>
      <c r="L456" s="30">
        <f t="shared" si="15"/>
        <v>28.1301205877831</v>
      </c>
      <c r="M456" s="123">
        <f t="shared" si="16"/>
        <v>0</v>
      </c>
      <c r="N456" s="124">
        <f t="shared" si="17"/>
        <v>0</v>
      </c>
    </row>
    <row r="457" s="2" customFormat="1" spans="1:14">
      <c r="A457" s="101">
        <v>45257</v>
      </c>
      <c r="B457" s="102">
        <v>1278.71</v>
      </c>
      <c r="C457" s="103">
        <v>55526</v>
      </c>
      <c r="D457" s="104">
        <v>1262</v>
      </c>
      <c r="E457" s="105">
        <v>0</v>
      </c>
      <c r="F457" s="106">
        <v>0</v>
      </c>
      <c r="G457" s="105">
        <v>6</v>
      </c>
      <c r="H457" s="105">
        <v>1</v>
      </c>
      <c r="I457" s="105">
        <v>1</v>
      </c>
      <c r="J457" s="107">
        <f t="shared" si="13"/>
        <v>0.0227280913445953</v>
      </c>
      <c r="K457" s="108">
        <f t="shared" si="14"/>
        <v>1.01324088748019</v>
      </c>
      <c r="L457" s="30">
        <f t="shared" si="15"/>
        <v>23.0290314447286</v>
      </c>
      <c r="M457" s="123">
        <f t="shared" si="16"/>
        <v>0</v>
      </c>
      <c r="N457" s="124">
        <f t="shared" si="17"/>
        <v>0</v>
      </c>
    </row>
    <row r="458" s="2" customFormat="1" spans="1:14">
      <c r="A458" s="101">
        <v>45258</v>
      </c>
      <c r="B458" s="136">
        <v>1563.42</v>
      </c>
      <c r="C458" s="137">
        <v>66257</v>
      </c>
      <c r="D458" s="138">
        <v>1391</v>
      </c>
      <c r="E458" s="105">
        <v>0</v>
      </c>
      <c r="F458" s="106">
        <v>0</v>
      </c>
      <c r="G458" s="105">
        <v>13</v>
      </c>
      <c r="H458" s="105">
        <v>4</v>
      </c>
      <c r="I458" s="105">
        <v>2</v>
      </c>
      <c r="J458" s="107">
        <f t="shared" si="13"/>
        <v>0.0209940081802677</v>
      </c>
      <c r="K458" s="108">
        <f t="shared" si="14"/>
        <v>1.1239539899353</v>
      </c>
      <c r="L458" s="30">
        <f t="shared" si="15"/>
        <v>23.5962992589462</v>
      </c>
      <c r="M458" s="123">
        <f t="shared" si="16"/>
        <v>0</v>
      </c>
      <c r="N458" s="124">
        <f t="shared" si="17"/>
        <v>0</v>
      </c>
    </row>
    <row r="459" s="2" customFormat="1" spans="1:14">
      <c r="A459" s="101">
        <v>45259</v>
      </c>
      <c r="B459" s="102">
        <v>1561.9</v>
      </c>
      <c r="C459" s="103">
        <v>128965</v>
      </c>
      <c r="D459" s="104">
        <v>1759</v>
      </c>
      <c r="E459" s="105">
        <v>0</v>
      </c>
      <c r="F459" s="106">
        <v>0</v>
      </c>
      <c r="G459" s="105">
        <v>15</v>
      </c>
      <c r="H459" s="105">
        <v>15</v>
      </c>
      <c r="I459" s="105">
        <v>2</v>
      </c>
      <c r="J459" s="107">
        <f t="shared" si="13"/>
        <v>0.0136393595161478</v>
      </c>
      <c r="K459" s="108">
        <f t="shared" si="14"/>
        <v>0.887947697555429</v>
      </c>
      <c r="L459" s="30">
        <f t="shared" si="15"/>
        <v>12.1110378784942</v>
      </c>
      <c r="M459" s="123">
        <f t="shared" si="16"/>
        <v>0</v>
      </c>
      <c r="N459" s="124">
        <f t="shared" si="17"/>
        <v>0</v>
      </c>
    </row>
    <row r="460" s="2" customFormat="1" spans="1:14">
      <c r="A460" s="101">
        <v>45260</v>
      </c>
      <c r="B460" s="164">
        <v>1560.51</v>
      </c>
      <c r="C460" s="103">
        <v>121320</v>
      </c>
      <c r="D460" s="104">
        <v>1824</v>
      </c>
      <c r="E460" s="105">
        <v>0</v>
      </c>
      <c r="F460" s="106">
        <v>0</v>
      </c>
      <c r="G460" s="105">
        <v>15</v>
      </c>
      <c r="H460" s="105">
        <v>13</v>
      </c>
      <c r="I460" s="105">
        <v>2</v>
      </c>
      <c r="J460" s="107">
        <f t="shared" si="13"/>
        <v>0.0150346191889219</v>
      </c>
      <c r="K460" s="108">
        <f t="shared" si="14"/>
        <v>0.855542763157895</v>
      </c>
      <c r="L460" s="30">
        <f t="shared" si="15"/>
        <v>12.8627596439169</v>
      </c>
      <c r="M460" s="123">
        <f t="shared" si="16"/>
        <v>0</v>
      </c>
      <c r="N460" s="124">
        <f t="shared" si="17"/>
        <v>0</v>
      </c>
    </row>
    <row r="461" s="2" customFormat="1" spans="1:14">
      <c r="A461" s="101">
        <v>45261</v>
      </c>
      <c r="B461" s="165">
        <v>2142.51</v>
      </c>
      <c r="C461" s="156">
        <v>208159</v>
      </c>
      <c r="D461" s="157">
        <v>2431</v>
      </c>
      <c r="E461" s="131">
        <v>0</v>
      </c>
      <c r="F461" s="166">
        <v>0</v>
      </c>
      <c r="G461" s="131">
        <v>13</v>
      </c>
      <c r="H461" s="131">
        <v>25</v>
      </c>
      <c r="I461" s="158">
        <v>1</v>
      </c>
      <c r="J461" s="167">
        <f t="shared" si="13"/>
        <v>0.0116785726295764</v>
      </c>
      <c r="K461" s="108">
        <f t="shared" si="14"/>
        <v>0.881328671328671</v>
      </c>
      <c r="L461" s="30">
        <f t="shared" si="15"/>
        <v>10.29266089864</v>
      </c>
      <c r="M461" s="123">
        <f t="shared" si="16"/>
        <v>0</v>
      </c>
      <c r="N461" s="124">
        <f t="shared" si="17"/>
        <v>0</v>
      </c>
    </row>
    <row r="462" s="2" customFormat="1" spans="1:14">
      <c r="A462" s="101">
        <v>45262</v>
      </c>
      <c r="B462" s="168">
        <v>3450.74</v>
      </c>
      <c r="C462" s="103">
        <v>286950</v>
      </c>
      <c r="D462" s="104">
        <v>4020</v>
      </c>
      <c r="E462" s="105">
        <v>0</v>
      </c>
      <c r="F462" s="169">
        <v>0</v>
      </c>
      <c r="G462" s="105">
        <v>28</v>
      </c>
      <c r="H462" s="105">
        <v>24</v>
      </c>
      <c r="I462" s="170">
        <v>7</v>
      </c>
      <c r="J462" s="167">
        <f t="shared" si="13"/>
        <v>0.0140094093047569</v>
      </c>
      <c r="K462" s="108">
        <f t="shared" si="14"/>
        <v>0.858393034825871</v>
      </c>
      <c r="L462" s="30">
        <f t="shared" si="15"/>
        <v>12.0255793692281</v>
      </c>
      <c r="M462" s="123">
        <f t="shared" si="16"/>
        <v>0</v>
      </c>
      <c r="N462" s="124">
        <f t="shared" si="17"/>
        <v>0</v>
      </c>
    </row>
    <row r="463" s="2" customFormat="1" spans="1:14">
      <c r="A463" s="101">
        <v>45263</v>
      </c>
      <c r="B463" s="168">
        <v>4477.45</v>
      </c>
      <c r="C463" s="103">
        <v>476133</v>
      </c>
      <c r="D463" s="104">
        <v>5957</v>
      </c>
      <c r="E463" s="105">
        <v>0</v>
      </c>
      <c r="F463" s="169">
        <v>0</v>
      </c>
      <c r="G463" s="105">
        <v>23</v>
      </c>
      <c r="H463" s="105">
        <v>33</v>
      </c>
      <c r="I463" s="170">
        <v>4</v>
      </c>
      <c r="J463" s="167">
        <f t="shared" si="13"/>
        <v>0.0125112101030594</v>
      </c>
      <c r="K463" s="108">
        <f t="shared" si="14"/>
        <v>0.751628336410945</v>
      </c>
      <c r="L463" s="30">
        <f t="shared" si="15"/>
        <v>9.40378003625037</v>
      </c>
      <c r="M463" s="123">
        <f t="shared" si="16"/>
        <v>0</v>
      </c>
      <c r="N463" s="124">
        <f t="shared" si="17"/>
        <v>0</v>
      </c>
    </row>
    <row r="464" s="2" customFormat="1" spans="1:14">
      <c r="A464" s="101">
        <v>45264</v>
      </c>
      <c r="B464" s="168">
        <v>2031.54</v>
      </c>
      <c r="C464" s="103">
        <v>242645</v>
      </c>
      <c r="D464" s="104">
        <v>2544</v>
      </c>
      <c r="E464" s="105">
        <v>0</v>
      </c>
      <c r="F464" s="169">
        <v>0</v>
      </c>
      <c r="G464" s="105">
        <v>14</v>
      </c>
      <c r="H464" s="105">
        <v>15</v>
      </c>
      <c r="I464" s="170">
        <v>2</v>
      </c>
      <c r="J464" s="167">
        <f t="shared" si="13"/>
        <v>0.0104844525953554</v>
      </c>
      <c r="K464" s="108">
        <f t="shared" si="14"/>
        <v>0.798561320754717</v>
      </c>
      <c r="L464" s="30">
        <f t="shared" si="15"/>
        <v>8.37247831193719</v>
      </c>
      <c r="M464" s="123">
        <f t="shared" si="16"/>
        <v>0</v>
      </c>
      <c r="N464" s="124">
        <f t="shared" si="17"/>
        <v>0</v>
      </c>
    </row>
    <row r="465" s="2" customFormat="1" spans="1:14">
      <c r="A465" s="101">
        <v>45265</v>
      </c>
      <c r="B465" s="168">
        <v>1770.97</v>
      </c>
      <c r="C465" s="103">
        <v>195342</v>
      </c>
      <c r="D465" s="104">
        <v>2545</v>
      </c>
      <c r="E465" s="105">
        <v>0</v>
      </c>
      <c r="F465" s="169">
        <v>0</v>
      </c>
      <c r="G465" s="105">
        <v>13</v>
      </c>
      <c r="H465" s="105">
        <v>9</v>
      </c>
      <c r="I465" s="170">
        <v>3</v>
      </c>
      <c r="J465" s="167">
        <f t="shared" si="13"/>
        <v>0.0130284321856027</v>
      </c>
      <c r="K465" s="108">
        <f t="shared" si="14"/>
        <v>0.695862475442043</v>
      </c>
      <c r="L465" s="30">
        <f t="shared" si="15"/>
        <v>9.06599707180228</v>
      </c>
      <c r="M465" s="123">
        <f t="shared" si="16"/>
        <v>0</v>
      </c>
      <c r="N465" s="124">
        <f t="shared" si="17"/>
        <v>0</v>
      </c>
    </row>
    <row r="466" s="2" customFormat="1" spans="1:14">
      <c r="A466" s="101">
        <v>45266</v>
      </c>
      <c r="B466" s="168">
        <v>1390.72</v>
      </c>
      <c r="C466" s="103">
        <v>189602</v>
      </c>
      <c r="D466" s="104">
        <v>1604</v>
      </c>
      <c r="E466" s="105">
        <v>0</v>
      </c>
      <c r="F466" s="169">
        <v>0</v>
      </c>
      <c r="G466" s="105">
        <v>12</v>
      </c>
      <c r="H466" s="105">
        <v>15</v>
      </c>
      <c r="I466" s="170">
        <v>4</v>
      </c>
      <c r="J466" s="167">
        <f t="shared" si="13"/>
        <v>0.00845982637313952</v>
      </c>
      <c r="K466" s="108">
        <f t="shared" si="14"/>
        <v>0.867032418952619</v>
      </c>
      <c r="L466" s="30">
        <f t="shared" si="15"/>
        <v>7.33494372422232</v>
      </c>
      <c r="M466" s="123">
        <f t="shared" si="16"/>
        <v>0</v>
      </c>
      <c r="N466" s="124">
        <f t="shared" si="17"/>
        <v>0</v>
      </c>
    </row>
    <row r="467" s="2" customFormat="1" spans="1:14">
      <c r="A467" s="101">
        <v>45267</v>
      </c>
      <c r="B467" s="168">
        <v>1338.59</v>
      </c>
      <c r="C467" s="103">
        <v>171791</v>
      </c>
      <c r="D467" s="104">
        <v>1946</v>
      </c>
      <c r="E467" s="105">
        <v>4</v>
      </c>
      <c r="F467" s="169">
        <v>9400</v>
      </c>
      <c r="G467" s="105">
        <v>26</v>
      </c>
      <c r="H467" s="105">
        <v>8</v>
      </c>
      <c r="I467" s="170">
        <v>3</v>
      </c>
      <c r="J467" s="167">
        <f t="shared" si="13"/>
        <v>0.0113277179828978</v>
      </c>
      <c r="K467" s="108">
        <f t="shared" si="14"/>
        <v>0.687867420349435</v>
      </c>
      <c r="L467" s="30">
        <f t="shared" si="15"/>
        <v>7.79196814734183</v>
      </c>
      <c r="M467" s="123">
        <f t="shared" si="16"/>
        <v>7.02231452498525</v>
      </c>
      <c r="N467" s="124">
        <f t="shared" si="17"/>
        <v>0.00205549845837616</v>
      </c>
    </row>
    <row r="468" s="2" customFormat="1" spans="1:14">
      <c r="A468" s="101">
        <v>45268</v>
      </c>
      <c r="B468" s="168">
        <v>2431.91</v>
      </c>
      <c r="C468" s="103">
        <v>237366</v>
      </c>
      <c r="D468" s="104">
        <v>1732</v>
      </c>
      <c r="E468" s="105">
        <v>2</v>
      </c>
      <c r="F468" s="169">
        <v>40486</v>
      </c>
      <c r="G468" s="105">
        <v>39</v>
      </c>
      <c r="H468" s="105">
        <v>25</v>
      </c>
      <c r="I468" s="170">
        <v>4</v>
      </c>
      <c r="J468" s="167">
        <f t="shared" si="13"/>
        <v>0.00729674848124837</v>
      </c>
      <c r="K468" s="108">
        <f t="shared" si="14"/>
        <v>1.40410508083141</v>
      </c>
      <c r="L468" s="30">
        <f t="shared" si="15"/>
        <v>10.2454016160697</v>
      </c>
      <c r="M468" s="123">
        <f t="shared" si="16"/>
        <v>16.6478200262345</v>
      </c>
      <c r="N468" s="124">
        <f t="shared" si="17"/>
        <v>0.00115473441108545</v>
      </c>
    </row>
    <row r="469" s="2" customFormat="1" spans="1:14">
      <c r="A469" s="101">
        <v>45269</v>
      </c>
      <c r="B469" s="168">
        <v>3774.14</v>
      </c>
      <c r="C469" s="103">
        <v>257683</v>
      </c>
      <c r="D469" s="104">
        <v>3267</v>
      </c>
      <c r="E469" s="105">
        <v>0</v>
      </c>
      <c r="F469" s="169">
        <v>0</v>
      </c>
      <c r="G469" s="105">
        <v>9</v>
      </c>
      <c r="H469" s="105">
        <v>21</v>
      </c>
      <c r="I469" s="170">
        <v>2</v>
      </c>
      <c r="J469" s="167">
        <f t="shared" si="13"/>
        <v>0.012678368382858</v>
      </c>
      <c r="K469" s="108">
        <f t="shared" si="14"/>
        <v>1.15523109886746</v>
      </c>
      <c r="L469" s="30">
        <f t="shared" si="15"/>
        <v>14.6464454387755</v>
      </c>
      <c r="M469" s="123">
        <f t="shared" si="16"/>
        <v>0</v>
      </c>
      <c r="N469" s="124">
        <f t="shared" si="17"/>
        <v>0</v>
      </c>
    </row>
    <row r="470" s="2" customFormat="1" spans="1:14">
      <c r="A470" s="101">
        <v>45270</v>
      </c>
      <c r="B470" s="168">
        <v>4969.68</v>
      </c>
      <c r="C470" s="103">
        <v>203853</v>
      </c>
      <c r="D470" s="104">
        <v>3535</v>
      </c>
      <c r="E470" s="105">
        <v>0</v>
      </c>
      <c r="F470" s="169">
        <v>0</v>
      </c>
      <c r="G470" s="105">
        <v>28</v>
      </c>
      <c r="H470" s="105">
        <v>55</v>
      </c>
      <c r="I470" s="170">
        <v>6</v>
      </c>
      <c r="J470" s="167">
        <f t="shared" si="13"/>
        <v>0.0173409270405635</v>
      </c>
      <c r="K470" s="108">
        <f t="shared" si="14"/>
        <v>1.40585007072136</v>
      </c>
      <c r="L470" s="30">
        <f t="shared" si="15"/>
        <v>24.3787435063502</v>
      </c>
      <c r="M470" s="123">
        <f t="shared" si="16"/>
        <v>0</v>
      </c>
      <c r="N470" s="124">
        <f t="shared" si="17"/>
        <v>0</v>
      </c>
    </row>
    <row r="471" s="2" customFormat="1" spans="1:14">
      <c r="A471" s="101">
        <v>45271</v>
      </c>
      <c r="B471" s="168">
        <v>5177.08</v>
      </c>
      <c r="C471" s="103">
        <v>193771</v>
      </c>
      <c r="D471" s="104">
        <v>5903</v>
      </c>
      <c r="E471" s="105">
        <v>0</v>
      </c>
      <c r="F471" s="169">
        <v>0</v>
      </c>
      <c r="G471" s="105">
        <v>19</v>
      </c>
      <c r="H471" s="105">
        <v>77</v>
      </c>
      <c r="I471" s="170">
        <v>4</v>
      </c>
      <c r="J471" s="167">
        <f t="shared" si="13"/>
        <v>0.0304637948919085</v>
      </c>
      <c r="K471" s="108">
        <f t="shared" si="14"/>
        <v>0.877025241402677</v>
      </c>
      <c r="L471" s="30">
        <f t="shared" si="15"/>
        <v>26.7175170691177</v>
      </c>
      <c r="M471" s="123">
        <f t="shared" si="16"/>
        <v>0</v>
      </c>
      <c r="N471" s="124">
        <f t="shared" si="17"/>
        <v>0</v>
      </c>
    </row>
    <row r="472" s="2" customFormat="1" spans="1:14">
      <c r="A472" s="101">
        <v>45272</v>
      </c>
      <c r="B472" s="168">
        <v>8216.16</v>
      </c>
      <c r="C472" s="103">
        <v>370796</v>
      </c>
      <c r="D472" s="104">
        <v>7693</v>
      </c>
      <c r="E472" s="105">
        <v>0</v>
      </c>
      <c r="F472" s="169">
        <v>0</v>
      </c>
      <c r="G472" s="105">
        <v>29</v>
      </c>
      <c r="H472" s="105">
        <v>96</v>
      </c>
      <c r="I472" s="170">
        <v>7</v>
      </c>
      <c r="J472" s="167">
        <f t="shared" si="13"/>
        <v>0.020747257251966</v>
      </c>
      <c r="K472" s="108">
        <f t="shared" si="14"/>
        <v>1.06800467957884</v>
      </c>
      <c r="L472" s="30">
        <f t="shared" si="15"/>
        <v>22.1581678335257</v>
      </c>
      <c r="M472" s="123">
        <f t="shared" si="16"/>
        <v>0</v>
      </c>
      <c r="N472" s="124">
        <f t="shared" si="17"/>
        <v>0</v>
      </c>
    </row>
    <row r="473" s="2" customFormat="1" spans="1:14">
      <c r="A473" s="101">
        <v>45273</v>
      </c>
      <c r="B473" s="168">
        <v>8331.55</v>
      </c>
      <c r="C473" s="103">
        <v>480247</v>
      </c>
      <c r="D473" s="104">
        <v>10342</v>
      </c>
      <c r="E473" s="105">
        <v>0</v>
      </c>
      <c r="F473" s="169">
        <v>0</v>
      </c>
      <c r="G473" s="105">
        <v>30</v>
      </c>
      <c r="H473" s="105">
        <v>110</v>
      </c>
      <c r="I473" s="170">
        <v>6</v>
      </c>
      <c r="J473" s="167">
        <f t="shared" si="13"/>
        <v>0.0215347519089135</v>
      </c>
      <c r="K473" s="108">
        <f t="shared" si="14"/>
        <v>0.805603364919745</v>
      </c>
      <c r="L473" s="30">
        <f t="shared" si="15"/>
        <v>17.3484686005326</v>
      </c>
      <c r="M473" s="123">
        <f t="shared" si="16"/>
        <v>0</v>
      </c>
      <c r="N473" s="124">
        <f t="shared" si="17"/>
        <v>0</v>
      </c>
    </row>
    <row r="474" s="2" customFormat="1" spans="1:14">
      <c r="A474" s="101">
        <v>45274</v>
      </c>
      <c r="B474" s="171">
        <v>5103.34</v>
      </c>
      <c r="C474" s="103">
        <v>214535</v>
      </c>
      <c r="D474" s="112">
        <v>8630</v>
      </c>
      <c r="E474" s="57">
        <v>0</v>
      </c>
      <c r="F474" s="172">
        <v>0</v>
      </c>
      <c r="G474" s="105">
        <v>0</v>
      </c>
      <c r="H474" s="105">
        <v>0</v>
      </c>
      <c r="I474" s="105">
        <v>0</v>
      </c>
      <c r="J474" s="167">
        <f t="shared" si="13"/>
        <v>0.0402265364625819</v>
      </c>
      <c r="K474" s="108">
        <f t="shared" si="14"/>
        <v>0.591348783314021</v>
      </c>
      <c r="L474" s="30">
        <f t="shared" si="15"/>
        <v>23.7879133940849</v>
      </c>
      <c r="M474" s="123">
        <f t="shared" si="16"/>
        <v>0</v>
      </c>
      <c r="N474" s="124">
        <f t="shared" si="17"/>
        <v>0</v>
      </c>
    </row>
    <row r="475" s="2" customFormat="1" spans="1:14">
      <c r="A475" s="101">
        <v>45275</v>
      </c>
      <c r="B475" s="173">
        <v>5076.99</v>
      </c>
      <c r="C475" s="174">
        <v>300101</v>
      </c>
      <c r="D475" s="175">
        <v>9921</v>
      </c>
      <c r="E475" s="23">
        <v>0</v>
      </c>
      <c r="F475" s="25">
        <v>0</v>
      </c>
      <c r="G475" s="176">
        <v>13</v>
      </c>
      <c r="H475" s="131">
        <v>0</v>
      </c>
      <c r="I475" s="158">
        <v>0</v>
      </c>
      <c r="J475" s="167">
        <f t="shared" si="13"/>
        <v>0.0330588701803726</v>
      </c>
      <c r="K475" s="108">
        <f t="shared" si="14"/>
        <v>0.511741759903236</v>
      </c>
      <c r="L475" s="30">
        <f t="shared" si="15"/>
        <v>16.9176044065165</v>
      </c>
      <c r="M475" s="123">
        <f t="shared" si="16"/>
        <v>0</v>
      </c>
      <c r="N475" s="124">
        <f t="shared" si="17"/>
        <v>0</v>
      </c>
    </row>
    <row r="476" s="2" customFormat="1" spans="1:14">
      <c r="A476" s="101">
        <v>45276</v>
      </c>
      <c r="B476" s="177">
        <v>5083.69</v>
      </c>
      <c r="C476" s="178">
        <v>249751</v>
      </c>
      <c r="D476" s="175">
        <v>9131</v>
      </c>
      <c r="E476" s="23">
        <v>0</v>
      </c>
      <c r="F476" s="25">
        <v>0</v>
      </c>
      <c r="G476" s="179">
        <v>13</v>
      </c>
      <c r="H476" s="105">
        <v>3</v>
      </c>
      <c r="I476" s="170">
        <v>1</v>
      </c>
      <c r="J476" s="167">
        <f t="shared" si="13"/>
        <v>0.0365604141725158</v>
      </c>
      <c r="K476" s="108">
        <f t="shared" si="14"/>
        <v>0.556750629722922</v>
      </c>
      <c r="L476" s="30">
        <f t="shared" si="15"/>
        <v>20.355033613479</v>
      </c>
      <c r="M476" s="123">
        <f t="shared" si="16"/>
        <v>0</v>
      </c>
      <c r="N476" s="124">
        <f t="shared" si="17"/>
        <v>0</v>
      </c>
    </row>
    <row r="477" s="2" customFormat="1" spans="1:14">
      <c r="A477" s="101">
        <v>45277</v>
      </c>
      <c r="B477" s="177">
        <v>5090.01</v>
      </c>
      <c r="C477" s="178">
        <v>261839</v>
      </c>
      <c r="D477" s="180">
        <v>8093</v>
      </c>
      <c r="E477" s="50">
        <v>0</v>
      </c>
      <c r="F477" s="181">
        <v>0</v>
      </c>
      <c r="G477" s="182">
        <v>7</v>
      </c>
      <c r="H477" s="57">
        <v>2</v>
      </c>
      <c r="I477" s="183">
        <v>1</v>
      </c>
      <c r="J477" s="184">
        <f t="shared" si="13"/>
        <v>0.03090830624926</v>
      </c>
      <c r="K477" s="115">
        <f t="shared" si="14"/>
        <v>0.628939824539726</v>
      </c>
      <c r="L477" s="30">
        <f t="shared" si="15"/>
        <v>19.4394647092297</v>
      </c>
      <c r="M477" s="123">
        <f t="shared" si="16"/>
        <v>0</v>
      </c>
      <c r="N477" s="124">
        <f t="shared" si="17"/>
        <v>0</v>
      </c>
    </row>
    <row r="478" s="2" customFormat="1" spans="1:14">
      <c r="A478" s="101">
        <v>45278</v>
      </c>
      <c r="B478" s="168">
        <v>4040.3</v>
      </c>
      <c r="C478" s="103">
        <v>218062</v>
      </c>
      <c r="D478" s="104">
        <v>6800</v>
      </c>
      <c r="E478" s="105">
        <v>0</v>
      </c>
      <c r="F478" s="169">
        <v>0</v>
      </c>
      <c r="G478" s="105">
        <v>7</v>
      </c>
      <c r="H478" s="105">
        <v>1</v>
      </c>
      <c r="I478" s="105">
        <v>1</v>
      </c>
      <c r="J478" s="167">
        <f t="shared" si="13"/>
        <v>0.0311837917656446</v>
      </c>
      <c r="K478" s="108">
        <f t="shared" si="14"/>
        <v>0.594161764705882</v>
      </c>
      <c r="L478" s="30">
        <f t="shared" si="15"/>
        <v>18.5282167456962</v>
      </c>
      <c r="M478" s="123">
        <f t="shared" si="16"/>
        <v>0</v>
      </c>
      <c r="N478" s="124">
        <f t="shared" si="17"/>
        <v>0</v>
      </c>
    </row>
    <row r="479" s="2" customFormat="1" spans="1:14">
      <c r="A479" s="101">
        <v>45279</v>
      </c>
      <c r="B479" s="168">
        <v>4107.82</v>
      </c>
      <c r="C479" s="103">
        <v>220974</v>
      </c>
      <c r="D479" s="104">
        <v>6775</v>
      </c>
      <c r="E479" s="105">
        <v>0</v>
      </c>
      <c r="F479" s="169">
        <v>0</v>
      </c>
      <c r="G479" s="105">
        <v>19</v>
      </c>
      <c r="H479" s="105">
        <v>1</v>
      </c>
      <c r="I479" s="105">
        <v>0</v>
      </c>
      <c r="J479" s="167">
        <f t="shared" si="13"/>
        <v>0.0306597156226524</v>
      </c>
      <c r="K479" s="108">
        <f t="shared" si="14"/>
        <v>0.606320295202952</v>
      </c>
      <c r="L479" s="30">
        <f t="shared" si="15"/>
        <v>18.5896078271652</v>
      </c>
      <c r="M479" s="123">
        <f t="shared" si="16"/>
        <v>0</v>
      </c>
      <c r="N479" s="124">
        <f t="shared" si="17"/>
        <v>0</v>
      </c>
    </row>
    <row r="480" s="2" customFormat="1" spans="1:14">
      <c r="A480" s="101">
        <v>45280</v>
      </c>
      <c r="B480" s="165">
        <v>1630.81</v>
      </c>
      <c r="C480" s="156">
        <v>56285</v>
      </c>
      <c r="D480" s="157">
        <v>1699</v>
      </c>
      <c r="E480" s="131">
        <v>0</v>
      </c>
      <c r="F480" s="166">
        <v>0</v>
      </c>
      <c r="G480" s="131">
        <v>6</v>
      </c>
      <c r="H480" s="131">
        <v>0</v>
      </c>
      <c r="I480" s="158">
        <v>0</v>
      </c>
      <c r="J480" s="167">
        <f t="shared" si="13"/>
        <v>0.0301856622545971</v>
      </c>
      <c r="K480" s="108">
        <f t="shared" si="14"/>
        <v>0.959864626250736</v>
      </c>
      <c r="L480" s="30">
        <f t="shared" si="15"/>
        <v>28.9741494181398</v>
      </c>
      <c r="M480" s="123">
        <f t="shared" si="16"/>
        <v>0</v>
      </c>
      <c r="N480" s="124">
        <f t="shared" si="17"/>
        <v>0</v>
      </c>
    </row>
    <row r="481" s="2" customFormat="1" spans="1:14">
      <c r="A481" s="101">
        <v>45281</v>
      </c>
      <c r="B481" s="168">
        <v>1163.46</v>
      </c>
      <c r="C481" s="103">
        <v>44456</v>
      </c>
      <c r="D481" s="104">
        <v>1022</v>
      </c>
      <c r="E481" s="105">
        <v>0</v>
      </c>
      <c r="F481" s="169">
        <v>0</v>
      </c>
      <c r="G481" s="105">
        <v>6</v>
      </c>
      <c r="H481" s="105">
        <v>0</v>
      </c>
      <c r="I481" s="105">
        <v>0</v>
      </c>
      <c r="J481" s="167">
        <f t="shared" si="13"/>
        <v>0.0229890228540579</v>
      </c>
      <c r="K481" s="108">
        <f t="shared" si="14"/>
        <v>1.13841487279843</v>
      </c>
      <c r="L481" s="30">
        <f t="shared" si="15"/>
        <v>26.1710455281627</v>
      </c>
      <c r="M481" s="123">
        <f t="shared" si="16"/>
        <v>0</v>
      </c>
      <c r="N481" s="124">
        <f t="shared" si="17"/>
        <v>0</v>
      </c>
    </row>
    <row r="482" s="2" customFormat="1" spans="1:14">
      <c r="A482" s="101">
        <v>45282</v>
      </c>
      <c r="B482" s="165">
        <v>1179.8</v>
      </c>
      <c r="C482" s="156">
        <v>57610</v>
      </c>
      <c r="D482" s="157">
        <v>1641</v>
      </c>
      <c r="E482" s="131">
        <v>0</v>
      </c>
      <c r="F482" s="166">
        <v>0</v>
      </c>
      <c r="G482" s="131">
        <v>2</v>
      </c>
      <c r="H482" s="131">
        <v>2</v>
      </c>
      <c r="I482" s="158">
        <v>1</v>
      </c>
      <c r="J482" s="167">
        <f t="shared" si="13"/>
        <v>0.028484638083666</v>
      </c>
      <c r="K482" s="108">
        <f t="shared" si="14"/>
        <v>0.718951858622791</v>
      </c>
      <c r="L482" s="30">
        <f t="shared" si="15"/>
        <v>20.4790834924492</v>
      </c>
      <c r="M482" s="123">
        <f t="shared" si="16"/>
        <v>0</v>
      </c>
      <c r="N482" s="124">
        <f t="shared" si="17"/>
        <v>0</v>
      </c>
    </row>
    <row r="483" s="2" customFormat="1" spans="1:14">
      <c r="A483" s="101">
        <v>45283</v>
      </c>
      <c r="B483" s="168">
        <v>1177.29</v>
      </c>
      <c r="C483" s="103">
        <v>53157</v>
      </c>
      <c r="D483" s="104">
        <v>1398</v>
      </c>
      <c r="E483" s="105">
        <v>0</v>
      </c>
      <c r="F483" s="169">
        <v>0</v>
      </c>
      <c r="G483" s="105">
        <v>8</v>
      </c>
      <c r="H483" s="105">
        <v>4</v>
      </c>
      <c r="I483" s="170">
        <v>0</v>
      </c>
      <c r="J483" s="167">
        <f t="shared" si="13"/>
        <v>0.0262994525650432</v>
      </c>
      <c r="K483" s="108">
        <f t="shared" si="14"/>
        <v>0.842124463519313</v>
      </c>
      <c r="L483" s="30">
        <f t="shared" si="15"/>
        <v>22.1474123821886</v>
      </c>
      <c r="M483" s="123">
        <f t="shared" si="16"/>
        <v>0</v>
      </c>
      <c r="N483" s="124">
        <f t="shared" si="17"/>
        <v>0</v>
      </c>
    </row>
    <row r="484" s="2" customFormat="1" spans="1:14">
      <c r="A484" s="101">
        <v>45284</v>
      </c>
      <c r="B484" s="168">
        <v>1186.03</v>
      </c>
      <c r="C484" s="103">
        <v>50425</v>
      </c>
      <c r="D484" s="104">
        <v>1481</v>
      </c>
      <c r="E484" s="105">
        <v>0</v>
      </c>
      <c r="F484" s="169">
        <v>0</v>
      </c>
      <c r="G484" s="105">
        <v>2</v>
      </c>
      <c r="H484" s="105">
        <v>2</v>
      </c>
      <c r="I484" s="170">
        <v>0</v>
      </c>
      <c r="J484" s="167">
        <f t="shared" si="13"/>
        <v>0.0293703520079326</v>
      </c>
      <c r="K484" s="108">
        <f t="shared" si="14"/>
        <v>0.800830519918974</v>
      </c>
      <c r="L484" s="30">
        <f t="shared" si="15"/>
        <v>23.5206742687159</v>
      </c>
      <c r="M484" s="123">
        <f t="shared" si="16"/>
        <v>0</v>
      </c>
      <c r="N484" s="124">
        <f t="shared" si="17"/>
        <v>0</v>
      </c>
    </row>
    <row r="485" s="2" customFormat="1" spans="1:14">
      <c r="A485" s="101">
        <v>45285</v>
      </c>
      <c r="B485" s="171">
        <v>1409.24</v>
      </c>
      <c r="C485" s="103">
        <v>55063</v>
      </c>
      <c r="D485" s="104">
        <v>1487</v>
      </c>
      <c r="E485" s="105">
        <v>0</v>
      </c>
      <c r="F485" s="169">
        <v>0</v>
      </c>
      <c r="G485" s="105">
        <v>3</v>
      </c>
      <c r="H485" s="105">
        <v>0</v>
      </c>
      <c r="I485" s="105">
        <v>0</v>
      </c>
      <c r="J485" s="167">
        <f t="shared" si="13"/>
        <v>0.0270054301436536</v>
      </c>
      <c r="K485" s="108">
        <f t="shared" si="14"/>
        <v>0.947706792199059</v>
      </c>
      <c r="L485" s="30">
        <f t="shared" si="15"/>
        <v>25.5932295733977</v>
      </c>
      <c r="M485" s="123">
        <f t="shared" si="16"/>
        <v>0</v>
      </c>
      <c r="N485" s="124">
        <f t="shared" si="17"/>
        <v>0</v>
      </c>
    </row>
    <row r="486" s="2" customFormat="1" spans="1:14">
      <c r="A486" s="101">
        <v>45286</v>
      </c>
      <c r="B486" s="165">
        <v>1358.5</v>
      </c>
      <c r="C486" s="156">
        <v>52715</v>
      </c>
      <c r="D486" s="157">
        <v>1045</v>
      </c>
      <c r="E486" s="131">
        <v>0</v>
      </c>
      <c r="F486" s="166">
        <v>0</v>
      </c>
      <c r="G486" s="131">
        <v>12</v>
      </c>
      <c r="H486" s="131">
        <v>9</v>
      </c>
      <c r="I486" s="158">
        <v>1</v>
      </c>
      <c r="J486" s="167">
        <f t="shared" si="13"/>
        <v>0.0198235796262923</v>
      </c>
      <c r="K486" s="108">
        <f t="shared" si="14"/>
        <v>1.3</v>
      </c>
      <c r="L486" s="30">
        <f t="shared" si="15"/>
        <v>25.77065351418</v>
      </c>
      <c r="M486" s="123">
        <f t="shared" si="16"/>
        <v>0</v>
      </c>
      <c r="N486" s="124">
        <f t="shared" si="17"/>
        <v>0</v>
      </c>
    </row>
    <row r="487" s="2" customFormat="1" spans="1:14">
      <c r="A487" s="101">
        <v>45287</v>
      </c>
      <c r="B487" s="168">
        <v>1369.39</v>
      </c>
      <c r="C487" s="103">
        <v>93745</v>
      </c>
      <c r="D487" s="104">
        <v>1140</v>
      </c>
      <c r="E487" s="105">
        <v>0</v>
      </c>
      <c r="F487" s="169">
        <v>0</v>
      </c>
      <c r="G487" s="105">
        <v>13</v>
      </c>
      <c r="H487" s="105">
        <v>5</v>
      </c>
      <c r="I487" s="170">
        <v>5</v>
      </c>
      <c r="J487" s="167">
        <f t="shared" si="13"/>
        <v>0.0121606485679236</v>
      </c>
      <c r="K487" s="108">
        <f t="shared" si="14"/>
        <v>1.20121929824561</v>
      </c>
      <c r="L487" s="30">
        <f t="shared" si="15"/>
        <v>14.6076057389727</v>
      </c>
      <c r="M487" s="123">
        <f t="shared" si="16"/>
        <v>0</v>
      </c>
      <c r="N487" s="124">
        <f t="shared" si="17"/>
        <v>0</v>
      </c>
    </row>
    <row r="488" s="2" customFormat="1" spans="1:14">
      <c r="A488" s="101">
        <v>45288</v>
      </c>
      <c r="B488" s="165">
        <v>1335.16</v>
      </c>
      <c r="C488" s="156">
        <v>70964</v>
      </c>
      <c r="D488" s="157">
        <v>1720</v>
      </c>
      <c r="E488" s="131">
        <v>0</v>
      </c>
      <c r="F488" s="166">
        <v>0</v>
      </c>
      <c r="G488" s="131">
        <v>9</v>
      </c>
      <c r="H488" s="131">
        <v>1</v>
      </c>
      <c r="I488" s="158">
        <v>1</v>
      </c>
      <c r="J488" s="167">
        <f t="shared" si="13"/>
        <v>0.0242376416211037</v>
      </c>
      <c r="K488" s="108">
        <f t="shared" si="14"/>
        <v>0.776255813953488</v>
      </c>
      <c r="L488" s="30">
        <f t="shared" si="15"/>
        <v>18.8146102249028</v>
      </c>
      <c r="M488" s="123">
        <f t="shared" si="16"/>
        <v>0</v>
      </c>
      <c r="N488" s="124">
        <f t="shared" si="17"/>
        <v>0</v>
      </c>
    </row>
    <row r="489" s="2" customFormat="1" spans="1:14">
      <c r="A489" s="101">
        <v>45289</v>
      </c>
      <c r="B489" s="168">
        <v>1363.78</v>
      </c>
      <c r="C489" s="103">
        <v>82597</v>
      </c>
      <c r="D489" s="104">
        <v>1693</v>
      </c>
      <c r="E489" s="105">
        <v>0</v>
      </c>
      <c r="F489" s="169">
        <v>0</v>
      </c>
      <c r="G489" s="105">
        <v>5</v>
      </c>
      <c r="H489" s="105">
        <v>1</v>
      </c>
      <c r="I489" s="105">
        <v>1</v>
      </c>
      <c r="J489" s="167">
        <f t="shared" ref="J489:J552" si="18">D489/C489</f>
        <v>0.0204971124859256</v>
      </c>
      <c r="K489" s="108">
        <f t="shared" ref="K489:K552" si="19">B489/D489</f>
        <v>0.805540460720614</v>
      </c>
      <c r="L489" s="30">
        <f t="shared" ref="L489:L552" si="20">B489/C489*1000</f>
        <v>16.5112534353548</v>
      </c>
      <c r="M489" s="123">
        <f t="shared" ref="M489:M552" si="21">F489/B489</f>
        <v>0</v>
      </c>
      <c r="N489" s="124">
        <f t="shared" ref="N489:N552" si="22">E489/D489</f>
        <v>0</v>
      </c>
    </row>
    <row r="490" s="2" customFormat="1" spans="1:14">
      <c r="A490" s="101">
        <v>45290</v>
      </c>
      <c r="B490" s="168">
        <v>1370.65</v>
      </c>
      <c r="C490" s="103">
        <v>69354</v>
      </c>
      <c r="D490" s="104">
        <v>1934</v>
      </c>
      <c r="E490" s="105">
        <v>0</v>
      </c>
      <c r="F490" s="169">
        <v>0</v>
      </c>
      <c r="G490" s="105">
        <v>10</v>
      </c>
      <c r="H490" s="105">
        <v>0</v>
      </c>
      <c r="I490" s="105">
        <v>0</v>
      </c>
      <c r="J490" s="167">
        <f t="shared" si="18"/>
        <v>0.0278859186204112</v>
      </c>
      <c r="K490" s="108">
        <f t="shared" si="19"/>
        <v>0.708712512926577</v>
      </c>
      <c r="L490" s="30">
        <f t="shared" si="20"/>
        <v>19.7630994607377</v>
      </c>
      <c r="M490" s="123">
        <f t="shared" si="21"/>
        <v>0</v>
      </c>
      <c r="N490" s="124">
        <f t="shared" si="22"/>
        <v>0</v>
      </c>
    </row>
    <row r="491" s="2" customFormat="1" spans="1:14">
      <c r="A491" s="101">
        <v>45291</v>
      </c>
      <c r="B491" s="168">
        <v>1374.65</v>
      </c>
      <c r="C491" s="103">
        <v>42995</v>
      </c>
      <c r="D491" s="104">
        <v>1415</v>
      </c>
      <c r="E491" s="105">
        <v>0</v>
      </c>
      <c r="F491" s="169">
        <v>0</v>
      </c>
      <c r="G491" s="105">
        <v>11</v>
      </c>
      <c r="H491" s="105">
        <v>2</v>
      </c>
      <c r="I491" s="105">
        <v>1</v>
      </c>
      <c r="J491" s="167">
        <f t="shared" si="18"/>
        <v>0.0329108035818118</v>
      </c>
      <c r="K491" s="108">
        <f t="shared" si="19"/>
        <v>0.971484098939929</v>
      </c>
      <c r="L491" s="30">
        <f t="shared" si="20"/>
        <v>31.9723223630655</v>
      </c>
      <c r="M491" s="123">
        <f t="shared" si="21"/>
        <v>0</v>
      </c>
      <c r="N491" s="124">
        <f t="shared" si="22"/>
        <v>0</v>
      </c>
    </row>
    <row r="492" s="2" customFormat="1" spans="1:14">
      <c r="A492" s="101">
        <v>45292</v>
      </c>
      <c r="B492" s="168">
        <v>1372.52</v>
      </c>
      <c r="C492" s="103">
        <v>43855</v>
      </c>
      <c r="D492" s="104">
        <v>1654</v>
      </c>
      <c r="E492" s="105">
        <v>0</v>
      </c>
      <c r="F492" s="169">
        <v>0</v>
      </c>
      <c r="G492" s="105">
        <v>7</v>
      </c>
      <c r="H492" s="105">
        <v>5</v>
      </c>
      <c r="I492" s="105">
        <v>1</v>
      </c>
      <c r="J492" s="167">
        <f t="shared" si="18"/>
        <v>0.037715197810968</v>
      </c>
      <c r="K492" s="108">
        <f t="shared" si="19"/>
        <v>0.829818621523579</v>
      </c>
      <c r="L492" s="30">
        <f t="shared" si="20"/>
        <v>31.2967734579865</v>
      </c>
      <c r="M492" s="123">
        <f t="shared" si="21"/>
        <v>0</v>
      </c>
      <c r="N492" s="124">
        <f t="shared" si="22"/>
        <v>0</v>
      </c>
    </row>
    <row r="493" s="2" customFormat="1" spans="1:14">
      <c r="A493" s="101">
        <v>45293</v>
      </c>
      <c r="B493" s="165">
        <v>1363.09</v>
      </c>
      <c r="C493" s="156">
        <v>77956</v>
      </c>
      <c r="D493" s="157">
        <v>1502</v>
      </c>
      <c r="E493" s="131">
        <v>0</v>
      </c>
      <c r="F493" s="166">
        <v>0</v>
      </c>
      <c r="G493" s="131">
        <v>9</v>
      </c>
      <c r="H493" s="131">
        <v>2</v>
      </c>
      <c r="I493" s="158">
        <v>3</v>
      </c>
      <c r="J493" s="167">
        <f t="shared" si="18"/>
        <v>0.019267278977885</v>
      </c>
      <c r="K493" s="108">
        <f t="shared" si="19"/>
        <v>0.907516644474035</v>
      </c>
      <c r="L493" s="30">
        <f t="shared" si="20"/>
        <v>17.4853763661553</v>
      </c>
      <c r="M493" s="123">
        <f t="shared" si="21"/>
        <v>0</v>
      </c>
      <c r="N493" s="124">
        <f t="shared" si="22"/>
        <v>0</v>
      </c>
    </row>
    <row r="494" s="2" customFormat="1" spans="1:14">
      <c r="A494" s="101">
        <v>45294</v>
      </c>
      <c r="B494" s="168">
        <v>1360.46</v>
      </c>
      <c r="C494" s="103">
        <v>71435</v>
      </c>
      <c r="D494" s="104">
        <v>1740</v>
      </c>
      <c r="E494" s="105">
        <v>0</v>
      </c>
      <c r="F494" s="169">
        <v>0</v>
      </c>
      <c r="G494" s="105">
        <v>12</v>
      </c>
      <c r="H494" s="105">
        <v>2</v>
      </c>
      <c r="I494" s="105">
        <v>1</v>
      </c>
      <c r="J494" s="167">
        <f t="shared" si="18"/>
        <v>0.0243578077972982</v>
      </c>
      <c r="K494" s="108">
        <f t="shared" si="19"/>
        <v>0.781873563218391</v>
      </c>
      <c r="L494" s="30">
        <f t="shared" si="20"/>
        <v>19.0447259746623</v>
      </c>
      <c r="M494" s="123">
        <f t="shared" si="21"/>
        <v>0</v>
      </c>
      <c r="N494" s="124">
        <f t="shared" si="22"/>
        <v>0</v>
      </c>
    </row>
    <row r="495" s="2" customFormat="1" spans="1:14">
      <c r="A495" s="101">
        <v>45295</v>
      </c>
      <c r="B495" s="165">
        <v>1362.6</v>
      </c>
      <c r="C495" s="156">
        <v>56741</v>
      </c>
      <c r="D495" s="157">
        <v>1718</v>
      </c>
      <c r="E495" s="131">
        <v>0</v>
      </c>
      <c r="F495" s="166">
        <v>0</v>
      </c>
      <c r="G495" s="131">
        <v>4</v>
      </c>
      <c r="H495" s="131">
        <v>2</v>
      </c>
      <c r="I495" s="158">
        <v>1</v>
      </c>
      <c r="J495" s="167">
        <f t="shared" si="18"/>
        <v>0.0302779295394864</v>
      </c>
      <c r="K495" s="108">
        <f t="shared" si="19"/>
        <v>0.793131548311991</v>
      </c>
      <c r="L495" s="30">
        <f t="shared" si="20"/>
        <v>24.0143811353342</v>
      </c>
      <c r="M495" s="123">
        <f t="shared" si="21"/>
        <v>0</v>
      </c>
      <c r="N495" s="124">
        <f t="shared" si="22"/>
        <v>0</v>
      </c>
    </row>
    <row r="496" s="2" customFormat="1" spans="1:14">
      <c r="A496" s="101">
        <v>45296</v>
      </c>
      <c r="B496" s="168">
        <v>1273.91</v>
      </c>
      <c r="C496" s="103">
        <v>106653</v>
      </c>
      <c r="D496" s="104">
        <v>2624</v>
      </c>
      <c r="E496" s="105">
        <v>0</v>
      </c>
      <c r="F496" s="169">
        <v>0</v>
      </c>
      <c r="G496" s="105">
        <v>14</v>
      </c>
      <c r="H496" s="105">
        <v>2</v>
      </c>
      <c r="I496" s="105">
        <v>0</v>
      </c>
      <c r="J496" s="167">
        <f t="shared" si="18"/>
        <v>0.0246031522788857</v>
      </c>
      <c r="K496" s="108">
        <f t="shared" si="19"/>
        <v>0.485483993902439</v>
      </c>
      <c r="L496" s="30">
        <f t="shared" si="20"/>
        <v>11.9444366309433</v>
      </c>
      <c r="M496" s="123">
        <f t="shared" si="21"/>
        <v>0</v>
      </c>
      <c r="N496" s="124">
        <f t="shared" si="22"/>
        <v>0</v>
      </c>
    </row>
    <row r="497" s="2" customFormat="1" spans="1:14">
      <c r="A497" s="101">
        <v>45297</v>
      </c>
      <c r="B497" s="168">
        <v>1350.9</v>
      </c>
      <c r="C497" s="103">
        <v>701549</v>
      </c>
      <c r="D497" s="104">
        <v>6591</v>
      </c>
      <c r="E497" s="105">
        <v>0</v>
      </c>
      <c r="F497" s="169">
        <v>0</v>
      </c>
      <c r="G497" s="105">
        <v>21</v>
      </c>
      <c r="H497" s="105">
        <v>3</v>
      </c>
      <c r="I497" s="105">
        <v>0</v>
      </c>
      <c r="J497" s="167">
        <f t="shared" si="18"/>
        <v>0.00939492465957474</v>
      </c>
      <c r="K497" s="108">
        <f t="shared" si="19"/>
        <v>0.204961310878471</v>
      </c>
      <c r="L497" s="30">
        <f t="shared" si="20"/>
        <v>1.92559607383091</v>
      </c>
      <c r="M497" s="123">
        <f t="shared" si="21"/>
        <v>0</v>
      </c>
      <c r="N497" s="124">
        <f t="shared" si="22"/>
        <v>0</v>
      </c>
    </row>
    <row r="498" s="2" customFormat="1" spans="1:14">
      <c r="A498" s="101">
        <v>45298</v>
      </c>
      <c r="B498" s="168">
        <v>1303.64</v>
      </c>
      <c r="C498" s="103">
        <v>859177</v>
      </c>
      <c r="D498" s="104">
        <v>6289</v>
      </c>
      <c r="E498" s="105">
        <v>0</v>
      </c>
      <c r="F498" s="169">
        <v>0</v>
      </c>
      <c r="G498" s="105">
        <v>24</v>
      </c>
      <c r="H498" s="105">
        <v>4</v>
      </c>
      <c r="I498" s="105">
        <v>3</v>
      </c>
      <c r="J498" s="167">
        <f t="shared" si="18"/>
        <v>0.00731979557180884</v>
      </c>
      <c r="K498" s="108">
        <f t="shared" si="19"/>
        <v>0.207288917156941</v>
      </c>
      <c r="L498" s="30">
        <f t="shared" si="20"/>
        <v>1.51731249789042</v>
      </c>
      <c r="M498" s="123">
        <f t="shared" si="21"/>
        <v>0</v>
      </c>
      <c r="N498" s="124">
        <f t="shared" si="22"/>
        <v>0</v>
      </c>
    </row>
    <row r="499" s="2" customFormat="1" spans="1:14">
      <c r="A499" s="101">
        <v>45299</v>
      </c>
      <c r="B499" s="171">
        <v>1281.12</v>
      </c>
      <c r="C499" s="103">
        <v>843784</v>
      </c>
      <c r="D499" s="104">
        <v>7945</v>
      </c>
      <c r="E499" s="105">
        <v>0</v>
      </c>
      <c r="F499" s="169">
        <v>0</v>
      </c>
      <c r="G499" s="105">
        <v>7</v>
      </c>
      <c r="H499" s="105">
        <v>5</v>
      </c>
      <c r="I499" s="105">
        <v>3</v>
      </c>
      <c r="J499" s="167">
        <f t="shared" si="18"/>
        <v>0.00941591686972021</v>
      </c>
      <c r="K499" s="108">
        <f t="shared" si="19"/>
        <v>0.161248584015104</v>
      </c>
      <c r="L499" s="30">
        <f t="shared" si="20"/>
        <v>1.51830326244631</v>
      </c>
      <c r="M499" s="123">
        <f t="shared" si="21"/>
        <v>0</v>
      </c>
      <c r="N499" s="124">
        <f t="shared" si="22"/>
        <v>0</v>
      </c>
    </row>
    <row r="500" s="2" customFormat="1" spans="1:14">
      <c r="A500" s="101">
        <v>45300</v>
      </c>
      <c r="B500" s="168">
        <v>1314.95</v>
      </c>
      <c r="C500" s="103">
        <v>952080</v>
      </c>
      <c r="D500" s="104">
        <v>7264</v>
      </c>
      <c r="E500" s="105">
        <v>0</v>
      </c>
      <c r="F500" s="169">
        <v>0</v>
      </c>
      <c r="G500" s="105">
        <v>12</v>
      </c>
      <c r="H500" s="105">
        <v>2</v>
      </c>
      <c r="I500" s="105">
        <v>1</v>
      </c>
      <c r="J500" s="167">
        <f t="shared" si="18"/>
        <v>0.00762961095706243</v>
      </c>
      <c r="K500" s="108">
        <f t="shared" si="19"/>
        <v>0.181022852422907</v>
      </c>
      <c r="L500" s="30">
        <f t="shared" si="20"/>
        <v>1.38113393832451</v>
      </c>
      <c r="M500" s="123">
        <f t="shared" si="21"/>
        <v>0</v>
      </c>
      <c r="N500" s="124">
        <f t="shared" si="22"/>
        <v>0</v>
      </c>
    </row>
    <row r="501" s="2" customFormat="1" spans="1:14">
      <c r="A501" s="101">
        <v>45301</v>
      </c>
      <c r="B501" s="168">
        <v>1311.68</v>
      </c>
      <c r="C501" s="103">
        <v>855370</v>
      </c>
      <c r="D501" s="104">
        <v>7408</v>
      </c>
      <c r="E501" s="105">
        <v>0</v>
      </c>
      <c r="F501" s="169">
        <v>0</v>
      </c>
      <c r="G501" s="105">
        <v>10</v>
      </c>
      <c r="H501" s="105">
        <v>1</v>
      </c>
      <c r="I501" s="105">
        <v>0</v>
      </c>
      <c r="J501" s="167">
        <f t="shared" si="18"/>
        <v>0.00866057963220595</v>
      </c>
      <c r="K501" s="108">
        <f t="shared" si="19"/>
        <v>0.177062634989201</v>
      </c>
      <c r="L501" s="30">
        <f t="shared" si="20"/>
        <v>1.53346505021219</v>
      </c>
      <c r="M501" s="123">
        <f t="shared" si="21"/>
        <v>0</v>
      </c>
      <c r="N501" s="124">
        <f t="shared" si="22"/>
        <v>0</v>
      </c>
    </row>
    <row r="502" s="2" customFormat="1" spans="1:14">
      <c r="A502" s="101">
        <v>45302</v>
      </c>
      <c r="B502" s="168">
        <v>1358.32</v>
      </c>
      <c r="C502" s="103">
        <v>767868</v>
      </c>
      <c r="D502" s="104">
        <v>6795</v>
      </c>
      <c r="E502" s="105">
        <v>0</v>
      </c>
      <c r="F502" s="169">
        <v>0</v>
      </c>
      <c r="G502" s="105">
        <v>13</v>
      </c>
      <c r="H502" s="105">
        <v>7</v>
      </c>
      <c r="I502" s="105">
        <v>0</v>
      </c>
      <c r="J502" s="167">
        <f t="shared" si="18"/>
        <v>0.00884917720233165</v>
      </c>
      <c r="K502" s="108">
        <f t="shared" si="19"/>
        <v>0.199899926416483</v>
      </c>
      <c r="L502" s="30">
        <f t="shared" si="20"/>
        <v>1.76894987159251</v>
      </c>
      <c r="M502" s="123">
        <f t="shared" si="21"/>
        <v>0</v>
      </c>
      <c r="N502" s="124">
        <f t="shared" si="22"/>
        <v>0</v>
      </c>
    </row>
    <row r="503" s="2" customFormat="1" spans="1:14">
      <c r="A503" s="101">
        <v>45303</v>
      </c>
      <c r="B503" s="165">
        <v>1365.64</v>
      </c>
      <c r="C503" s="156">
        <v>1201257</v>
      </c>
      <c r="D503" s="157">
        <v>7974</v>
      </c>
      <c r="E503" s="131">
        <v>0</v>
      </c>
      <c r="F503" s="166">
        <v>0</v>
      </c>
      <c r="G503" s="131">
        <v>5</v>
      </c>
      <c r="H503" s="131">
        <v>3</v>
      </c>
      <c r="I503" s="158">
        <v>0</v>
      </c>
      <c r="J503" s="167">
        <f t="shared" si="18"/>
        <v>0.00663804664613817</v>
      </c>
      <c r="K503" s="108">
        <f t="shared" si="19"/>
        <v>0.171261600200652</v>
      </c>
      <c r="L503" s="30">
        <f t="shared" si="20"/>
        <v>1.13684249082419</v>
      </c>
      <c r="M503" s="123">
        <f t="shared" si="21"/>
        <v>0</v>
      </c>
      <c r="N503" s="124">
        <f t="shared" si="22"/>
        <v>0</v>
      </c>
    </row>
    <row r="504" s="2" customFormat="1" spans="1:14">
      <c r="A504" s="101">
        <v>45304</v>
      </c>
      <c r="B504" s="168">
        <v>1377.47</v>
      </c>
      <c r="C504" s="103">
        <v>1668911</v>
      </c>
      <c r="D504" s="104">
        <v>9331</v>
      </c>
      <c r="E504" s="105">
        <v>0</v>
      </c>
      <c r="F504" s="169">
        <v>0</v>
      </c>
      <c r="G504" s="105">
        <v>7</v>
      </c>
      <c r="H504" s="105">
        <v>2</v>
      </c>
      <c r="I504" s="170">
        <v>1</v>
      </c>
      <c r="J504" s="167">
        <f t="shared" si="18"/>
        <v>0.00559107106370561</v>
      </c>
      <c r="K504" s="108">
        <f t="shared" si="19"/>
        <v>0.147622977172865</v>
      </c>
      <c r="L504" s="30">
        <f t="shared" si="20"/>
        <v>0.825370556009278</v>
      </c>
      <c r="M504" s="123">
        <f t="shared" si="21"/>
        <v>0</v>
      </c>
      <c r="N504" s="124">
        <f t="shared" si="22"/>
        <v>0</v>
      </c>
    </row>
    <row r="505" s="2" customFormat="1" spans="1:14">
      <c r="A505" s="101">
        <v>45305</v>
      </c>
      <c r="B505" s="168">
        <v>1363.39</v>
      </c>
      <c r="C505" s="103">
        <v>1421027</v>
      </c>
      <c r="D505" s="104">
        <v>8865</v>
      </c>
      <c r="E505" s="105">
        <v>0</v>
      </c>
      <c r="F505" s="169">
        <v>0</v>
      </c>
      <c r="G505" s="105">
        <v>9</v>
      </c>
      <c r="H505" s="105">
        <v>4</v>
      </c>
      <c r="I505" s="170">
        <v>1</v>
      </c>
      <c r="J505" s="167">
        <f t="shared" si="18"/>
        <v>0.0062384458564123</v>
      </c>
      <c r="K505" s="108">
        <f t="shared" si="19"/>
        <v>0.153794698251551</v>
      </c>
      <c r="L505" s="30">
        <f t="shared" si="20"/>
        <v>0.959439898045569</v>
      </c>
      <c r="M505" s="123">
        <f t="shared" si="21"/>
        <v>0</v>
      </c>
      <c r="N505" s="124">
        <f t="shared" si="22"/>
        <v>0</v>
      </c>
    </row>
    <row r="506" s="2" customFormat="1" spans="1:14">
      <c r="A506" s="101">
        <v>45306</v>
      </c>
      <c r="B506" s="168">
        <v>1368.59</v>
      </c>
      <c r="C506" s="103">
        <v>1255480</v>
      </c>
      <c r="D506" s="104">
        <v>8278</v>
      </c>
      <c r="E506" s="105">
        <v>0</v>
      </c>
      <c r="F506" s="169">
        <v>0</v>
      </c>
      <c r="G506" s="105">
        <v>2</v>
      </c>
      <c r="H506" s="105">
        <v>1</v>
      </c>
      <c r="I506" s="105">
        <v>2</v>
      </c>
      <c r="J506" s="167">
        <f t="shared" si="18"/>
        <v>0.00659349412177016</v>
      </c>
      <c r="K506" s="108">
        <f t="shared" si="19"/>
        <v>0.165328581783039</v>
      </c>
      <c r="L506" s="30">
        <f t="shared" si="20"/>
        <v>1.09009303214707</v>
      </c>
      <c r="M506" s="123">
        <f t="shared" si="21"/>
        <v>0</v>
      </c>
      <c r="N506" s="124">
        <f t="shared" si="22"/>
        <v>0</v>
      </c>
    </row>
    <row r="507" s="2" customFormat="1" spans="1:14">
      <c r="A507" s="101">
        <v>45307</v>
      </c>
      <c r="B507" s="165">
        <v>1372.73</v>
      </c>
      <c r="C507" s="156">
        <v>1577001</v>
      </c>
      <c r="D507" s="157">
        <v>8615</v>
      </c>
      <c r="E507" s="131">
        <v>0</v>
      </c>
      <c r="F507" s="166">
        <v>0</v>
      </c>
      <c r="G507" s="131">
        <v>5</v>
      </c>
      <c r="H507" s="131">
        <v>6</v>
      </c>
      <c r="I507" s="131">
        <v>3</v>
      </c>
      <c r="J507" s="167">
        <f t="shared" si="18"/>
        <v>0.00546290078446368</v>
      </c>
      <c r="K507" s="108">
        <f t="shared" si="19"/>
        <v>0.159341845618108</v>
      </c>
      <c r="L507" s="30">
        <f t="shared" si="20"/>
        <v>0.870468693425052</v>
      </c>
      <c r="M507" s="123">
        <f t="shared" si="21"/>
        <v>0</v>
      </c>
      <c r="N507" s="124">
        <f t="shared" si="22"/>
        <v>0</v>
      </c>
    </row>
    <row r="508" s="2" customFormat="1" spans="1:14">
      <c r="A508" s="101">
        <v>45308</v>
      </c>
      <c r="B508" s="168">
        <v>1350.5</v>
      </c>
      <c r="C508" s="103">
        <v>1106518</v>
      </c>
      <c r="D508" s="104">
        <v>6807</v>
      </c>
      <c r="E508" s="105">
        <v>0</v>
      </c>
      <c r="F508" s="169">
        <v>0</v>
      </c>
      <c r="G508" s="105">
        <v>5</v>
      </c>
      <c r="H508" s="105">
        <v>2</v>
      </c>
      <c r="I508" s="105">
        <v>0</v>
      </c>
      <c r="J508" s="167">
        <f t="shared" si="18"/>
        <v>0.00615173002156314</v>
      </c>
      <c r="K508" s="108">
        <f t="shared" si="19"/>
        <v>0.198398707213163</v>
      </c>
      <c r="L508" s="30">
        <f t="shared" si="20"/>
        <v>1.22049528340253</v>
      </c>
      <c r="M508" s="123">
        <f t="shared" si="21"/>
        <v>0</v>
      </c>
      <c r="N508" s="124">
        <f t="shared" si="22"/>
        <v>0</v>
      </c>
    </row>
    <row r="509" s="2" customFormat="1" spans="1:14">
      <c r="A509" s="101">
        <v>45309</v>
      </c>
      <c r="B509" s="168">
        <v>1378.55</v>
      </c>
      <c r="C509" s="103">
        <v>1383159</v>
      </c>
      <c r="D509" s="104">
        <v>7675</v>
      </c>
      <c r="E509" s="105">
        <v>0</v>
      </c>
      <c r="F509" s="169">
        <v>0</v>
      </c>
      <c r="G509" s="105">
        <v>5</v>
      </c>
      <c r="H509" s="105">
        <v>2</v>
      </c>
      <c r="I509" s="105">
        <v>1</v>
      </c>
      <c r="J509" s="167">
        <f t="shared" si="18"/>
        <v>0.00554889206519279</v>
      </c>
      <c r="K509" s="108">
        <f t="shared" si="19"/>
        <v>0.179615635179153</v>
      </c>
      <c r="L509" s="30">
        <f t="shared" si="20"/>
        <v>0.996667772830166</v>
      </c>
      <c r="M509" s="123">
        <f t="shared" si="21"/>
        <v>0</v>
      </c>
      <c r="N509" s="124">
        <f t="shared" si="22"/>
        <v>0</v>
      </c>
    </row>
    <row r="510" s="2" customFormat="1" spans="1:14">
      <c r="A510" s="101">
        <v>45310</v>
      </c>
      <c r="B510" s="165">
        <v>1371.95</v>
      </c>
      <c r="C510" s="156">
        <v>1339468</v>
      </c>
      <c r="D510" s="157">
        <v>7759</v>
      </c>
      <c r="E510" s="131">
        <v>0</v>
      </c>
      <c r="F510" s="166">
        <v>0</v>
      </c>
      <c r="G510" s="131">
        <v>2</v>
      </c>
      <c r="H510" s="131">
        <v>7</v>
      </c>
      <c r="I510" s="158">
        <v>2</v>
      </c>
      <c r="J510" s="167">
        <f t="shared" si="18"/>
        <v>0.00579259825542678</v>
      </c>
      <c r="K510" s="108">
        <f t="shared" si="19"/>
        <v>0.176820466554968</v>
      </c>
      <c r="L510" s="30">
        <f t="shared" si="20"/>
        <v>1.02424992609006</v>
      </c>
      <c r="M510" s="123">
        <f t="shared" si="21"/>
        <v>0</v>
      </c>
      <c r="N510" s="124">
        <f t="shared" si="22"/>
        <v>0</v>
      </c>
    </row>
    <row r="511" s="2" customFormat="1" spans="1:14">
      <c r="A511" s="101">
        <v>45311</v>
      </c>
      <c r="B511" s="168">
        <v>1373.96</v>
      </c>
      <c r="C511" s="103">
        <v>1433587</v>
      </c>
      <c r="D511" s="104">
        <v>8971</v>
      </c>
      <c r="E511" s="105">
        <v>0</v>
      </c>
      <c r="F511" s="169">
        <v>0</v>
      </c>
      <c r="G511" s="105">
        <v>17</v>
      </c>
      <c r="H511" s="105">
        <v>8</v>
      </c>
      <c r="I511" s="170">
        <v>0</v>
      </c>
      <c r="J511" s="167">
        <f t="shared" si="18"/>
        <v>0.00625772973666753</v>
      </c>
      <c r="K511" s="108">
        <f t="shared" si="19"/>
        <v>0.153155723999554</v>
      </c>
      <c r="L511" s="30">
        <f t="shared" si="20"/>
        <v>0.958407128412855</v>
      </c>
      <c r="M511" s="123">
        <f t="shared" si="21"/>
        <v>0</v>
      </c>
      <c r="N511" s="124">
        <f t="shared" si="22"/>
        <v>0</v>
      </c>
    </row>
    <row r="512" s="2" customFormat="1" spans="1:14">
      <c r="A512" s="101">
        <v>45312</v>
      </c>
      <c r="B512" s="168">
        <v>1369.93</v>
      </c>
      <c r="C512" s="103">
        <v>1622832</v>
      </c>
      <c r="D512" s="104">
        <v>9134</v>
      </c>
      <c r="E512" s="105">
        <v>0</v>
      </c>
      <c r="F512" s="169">
        <v>0</v>
      </c>
      <c r="G512" s="105">
        <v>5</v>
      </c>
      <c r="H512" s="105">
        <v>9</v>
      </c>
      <c r="I512" s="170">
        <v>2</v>
      </c>
      <c r="J512" s="167">
        <f t="shared" si="18"/>
        <v>0.0056284322714859</v>
      </c>
      <c r="K512" s="108">
        <f t="shared" si="19"/>
        <v>0.149981388219838</v>
      </c>
      <c r="L512" s="30">
        <f t="shared" si="20"/>
        <v>0.844160085578791</v>
      </c>
      <c r="M512" s="123">
        <f t="shared" si="21"/>
        <v>0</v>
      </c>
      <c r="N512" s="124">
        <f t="shared" si="22"/>
        <v>0</v>
      </c>
    </row>
    <row r="513" s="2" customFormat="1" spans="1:14">
      <c r="A513" s="101">
        <v>45313</v>
      </c>
      <c r="B513" s="168">
        <v>1365.11</v>
      </c>
      <c r="C513" s="103">
        <v>1484159</v>
      </c>
      <c r="D513" s="104">
        <v>8276</v>
      </c>
      <c r="E513" s="105">
        <v>0</v>
      </c>
      <c r="F513" s="169">
        <v>0</v>
      </c>
      <c r="G513" s="105">
        <v>4</v>
      </c>
      <c r="H513" s="105">
        <v>9</v>
      </c>
      <c r="I513" s="105">
        <v>2</v>
      </c>
      <c r="J513" s="167">
        <f t="shared" si="18"/>
        <v>0.0055762219546558</v>
      </c>
      <c r="K513" s="108">
        <f t="shared" si="19"/>
        <v>0.164948042532624</v>
      </c>
      <c r="L513" s="30">
        <f t="shared" si="20"/>
        <v>0.919786896147919</v>
      </c>
      <c r="M513" s="123">
        <f t="shared" si="21"/>
        <v>0</v>
      </c>
      <c r="N513" s="124">
        <f t="shared" si="22"/>
        <v>0</v>
      </c>
    </row>
    <row r="514" s="2" customFormat="1" spans="1:14">
      <c r="A514" s="101">
        <v>45314</v>
      </c>
      <c r="B514" s="168">
        <v>1076.31</v>
      </c>
      <c r="C514" s="103">
        <v>1505934</v>
      </c>
      <c r="D514" s="104">
        <v>8570</v>
      </c>
      <c r="E514" s="105">
        <v>0</v>
      </c>
      <c r="F514" s="169">
        <v>0</v>
      </c>
      <c r="G514" s="105">
        <v>9</v>
      </c>
      <c r="H514" s="105">
        <v>4</v>
      </c>
      <c r="I514" s="105">
        <v>0</v>
      </c>
      <c r="J514" s="167">
        <f t="shared" si="18"/>
        <v>0.00569082044764246</v>
      </c>
      <c r="K514" s="108">
        <f t="shared" si="19"/>
        <v>0.125590431738623</v>
      </c>
      <c r="L514" s="30">
        <f t="shared" si="20"/>
        <v>0.714712596966401</v>
      </c>
      <c r="M514" s="123">
        <f t="shared" si="21"/>
        <v>0</v>
      </c>
      <c r="N514" s="124">
        <f t="shared" si="22"/>
        <v>0</v>
      </c>
    </row>
    <row r="515" s="2" customFormat="1" spans="1:14">
      <c r="A515" s="101">
        <v>45315</v>
      </c>
      <c r="B515" s="165">
        <v>1008.92</v>
      </c>
      <c r="C515" s="156">
        <v>1479151</v>
      </c>
      <c r="D515" s="157">
        <v>7714</v>
      </c>
      <c r="E515" s="131">
        <v>0</v>
      </c>
      <c r="F515" s="166">
        <v>0</v>
      </c>
      <c r="G515" s="131">
        <v>5</v>
      </c>
      <c r="H515" s="131">
        <v>9</v>
      </c>
      <c r="I515" s="158">
        <v>0</v>
      </c>
      <c r="J515" s="167">
        <f t="shared" si="18"/>
        <v>0.00521515382810815</v>
      </c>
      <c r="K515" s="108">
        <f t="shared" si="19"/>
        <v>0.13079077002852</v>
      </c>
      <c r="L515" s="30">
        <f t="shared" si="20"/>
        <v>0.682093984995447</v>
      </c>
      <c r="M515" s="123">
        <f t="shared" si="21"/>
        <v>0</v>
      </c>
      <c r="N515" s="124">
        <f t="shared" si="22"/>
        <v>0</v>
      </c>
    </row>
    <row r="516" s="2" customFormat="1" spans="1:14">
      <c r="A516" s="101">
        <v>45316</v>
      </c>
      <c r="B516" s="168">
        <v>952.7</v>
      </c>
      <c r="C516" s="103">
        <v>1205388</v>
      </c>
      <c r="D516" s="104">
        <v>4522</v>
      </c>
      <c r="E516" s="105">
        <v>0</v>
      </c>
      <c r="F516" s="169">
        <v>0</v>
      </c>
      <c r="G516" s="105">
        <v>8</v>
      </c>
      <c r="H516" s="105">
        <v>10</v>
      </c>
      <c r="I516" s="105">
        <v>2</v>
      </c>
      <c r="J516" s="167">
        <f t="shared" si="18"/>
        <v>0.00375148914706302</v>
      </c>
      <c r="K516" s="108">
        <f t="shared" si="19"/>
        <v>0.210681114551084</v>
      </c>
      <c r="L516" s="30">
        <f t="shared" si="20"/>
        <v>0.790367914729531</v>
      </c>
      <c r="M516" s="123">
        <f t="shared" si="21"/>
        <v>0</v>
      </c>
      <c r="N516" s="124">
        <f t="shared" si="22"/>
        <v>0</v>
      </c>
    </row>
    <row r="517" s="2" customFormat="1" spans="1:14">
      <c r="A517" s="101">
        <v>45317</v>
      </c>
      <c r="B517" s="168">
        <v>940.46</v>
      </c>
      <c r="C517" s="103">
        <v>1209135</v>
      </c>
      <c r="D517" s="104">
        <v>4738</v>
      </c>
      <c r="E517" s="105">
        <v>0</v>
      </c>
      <c r="F517" s="169">
        <v>0</v>
      </c>
      <c r="G517" s="105">
        <v>14</v>
      </c>
      <c r="H517" s="105">
        <v>9</v>
      </c>
      <c r="I517" s="105">
        <v>3</v>
      </c>
      <c r="J517" s="167">
        <f t="shared" si="18"/>
        <v>0.00391850372373639</v>
      </c>
      <c r="K517" s="108">
        <f t="shared" si="19"/>
        <v>0.19849303503588</v>
      </c>
      <c r="L517" s="30">
        <f t="shared" si="20"/>
        <v>0.777795696923834</v>
      </c>
      <c r="M517" s="123">
        <f t="shared" si="21"/>
        <v>0</v>
      </c>
      <c r="N517" s="124">
        <f t="shared" si="22"/>
        <v>0</v>
      </c>
    </row>
    <row r="518" s="2" customFormat="1" spans="1:14">
      <c r="A518" s="101">
        <v>45318</v>
      </c>
      <c r="B518" s="168">
        <v>977.11</v>
      </c>
      <c r="C518" s="103">
        <v>869364</v>
      </c>
      <c r="D518" s="104">
        <v>4605</v>
      </c>
      <c r="E518" s="105">
        <v>0</v>
      </c>
      <c r="F518" s="169">
        <v>0</v>
      </c>
      <c r="G518" s="105">
        <v>13</v>
      </c>
      <c r="H518" s="105">
        <v>7</v>
      </c>
      <c r="I518" s="105">
        <v>4</v>
      </c>
      <c r="J518" s="167">
        <f t="shared" si="18"/>
        <v>0.00529697572018165</v>
      </c>
      <c r="K518" s="108">
        <f t="shared" si="19"/>
        <v>0.212184581976113</v>
      </c>
      <c r="L518" s="30">
        <f t="shared" si="20"/>
        <v>1.12393657892436</v>
      </c>
      <c r="M518" s="123">
        <f t="shared" si="21"/>
        <v>0</v>
      </c>
      <c r="N518" s="124">
        <f t="shared" si="22"/>
        <v>0</v>
      </c>
    </row>
    <row r="519" s="2" customFormat="1" spans="1:14">
      <c r="A519" s="101">
        <v>45319</v>
      </c>
      <c r="B519" s="168">
        <v>943.42</v>
      </c>
      <c r="C519" s="103">
        <v>864139</v>
      </c>
      <c r="D519" s="104">
        <v>4510</v>
      </c>
      <c r="E519" s="105">
        <v>0</v>
      </c>
      <c r="F519" s="169">
        <v>0</v>
      </c>
      <c r="G519" s="105">
        <v>10</v>
      </c>
      <c r="H519" s="105">
        <v>22</v>
      </c>
      <c r="I519" s="105">
        <v>4</v>
      </c>
      <c r="J519" s="167">
        <f t="shared" si="18"/>
        <v>0.00521906776571825</v>
      </c>
      <c r="K519" s="108">
        <f t="shared" si="19"/>
        <v>0.209184035476718</v>
      </c>
      <c r="L519" s="30">
        <f t="shared" si="20"/>
        <v>1.0917456566594</v>
      </c>
      <c r="M519" s="123">
        <f t="shared" si="21"/>
        <v>0</v>
      </c>
      <c r="N519" s="124">
        <f t="shared" si="22"/>
        <v>0</v>
      </c>
    </row>
    <row r="520" s="2" customFormat="1" spans="1:14">
      <c r="A520" s="101">
        <v>45320</v>
      </c>
      <c r="B520" s="168">
        <v>884.68</v>
      </c>
      <c r="C520" s="103">
        <v>1072908</v>
      </c>
      <c r="D520" s="104">
        <v>3964</v>
      </c>
      <c r="E520" s="105">
        <v>0</v>
      </c>
      <c r="F520" s="169">
        <v>0</v>
      </c>
      <c r="G520" s="105">
        <v>5</v>
      </c>
      <c r="H520" s="105">
        <v>10</v>
      </c>
      <c r="I520" s="105">
        <v>1</v>
      </c>
      <c r="J520" s="167">
        <f t="shared" si="18"/>
        <v>0.00369463178576355</v>
      </c>
      <c r="K520" s="108">
        <f t="shared" si="19"/>
        <v>0.223178607467205</v>
      </c>
      <c r="L520" s="30">
        <f t="shared" si="20"/>
        <v>0.824562777050782</v>
      </c>
      <c r="M520" s="123">
        <f t="shared" si="21"/>
        <v>0</v>
      </c>
      <c r="N520" s="124">
        <f t="shared" si="22"/>
        <v>0</v>
      </c>
    </row>
    <row r="521" s="2" customFormat="1" spans="1:14">
      <c r="A521" s="101">
        <v>45321</v>
      </c>
      <c r="B521" s="168">
        <v>497.62</v>
      </c>
      <c r="C521" s="103">
        <v>918710</v>
      </c>
      <c r="D521" s="104">
        <v>2731</v>
      </c>
      <c r="E521" s="105">
        <v>0</v>
      </c>
      <c r="F521" s="169">
        <v>0</v>
      </c>
      <c r="G521" s="105">
        <v>7</v>
      </c>
      <c r="H521" s="105">
        <v>3</v>
      </c>
      <c r="I521" s="105">
        <v>1</v>
      </c>
      <c r="J521" s="167">
        <f t="shared" si="18"/>
        <v>0.00297264642814381</v>
      </c>
      <c r="K521" s="108">
        <f t="shared" si="19"/>
        <v>0.182211644086415</v>
      </c>
      <c r="L521" s="30">
        <f t="shared" si="20"/>
        <v>0.541650792959694</v>
      </c>
      <c r="M521" s="123">
        <f t="shared" si="21"/>
        <v>0</v>
      </c>
      <c r="N521" s="124">
        <f t="shared" si="22"/>
        <v>0</v>
      </c>
    </row>
    <row r="522" s="2" customFormat="1" spans="1:14">
      <c r="A522" s="101">
        <v>45322</v>
      </c>
      <c r="B522" s="165">
        <v>596.42</v>
      </c>
      <c r="C522" s="156">
        <v>1141239</v>
      </c>
      <c r="D522" s="157">
        <v>4108</v>
      </c>
      <c r="E522" s="131">
        <v>0</v>
      </c>
      <c r="F522" s="166">
        <v>0</v>
      </c>
      <c r="G522" s="131">
        <v>10</v>
      </c>
      <c r="H522" s="131">
        <v>7</v>
      </c>
      <c r="I522" s="158">
        <v>1</v>
      </c>
      <c r="J522" s="167">
        <f t="shared" si="18"/>
        <v>0.00359959657880602</v>
      </c>
      <c r="K522" s="108">
        <f t="shared" si="19"/>
        <v>0.145185004868549</v>
      </c>
      <c r="L522" s="30">
        <f t="shared" si="20"/>
        <v>0.522607446818764</v>
      </c>
      <c r="M522" s="123">
        <f t="shared" si="21"/>
        <v>0</v>
      </c>
      <c r="N522" s="124">
        <f t="shared" si="22"/>
        <v>0</v>
      </c>
    </row>
    <row r="523" s="2" customFormat="1" spans="1:14">
      <c r="A523" s="101">
        <v>45323</v>
      </c>
      <c r="B523" s="168">
        <v>593.84</v>
      </c>
      <c r="C523" s="103">
        <v>1773292</v>
      </c>
      <c r="D523" s="104">
        <v>4666</v>
      </c>
      <c r="E523" s="105">
        <v>0</v>
      </c>
      <c r="F523" s="169">
        <v>0</v>
      </c>
      <c r="G523" s="105">
        <v>3</v>
      </c>
      <c r="H523" s="105">
        <v>3</v>
      </c>
      <c r="I523" s="105">
        <v>2</v>
      </c>
      <c r="J523" s="167">
        <f t="shared" si="18"/>
        <v>0.0026312643377402</v>
      </c>
      <c r="K523" s="108">
        <f t="shared" si="19"/>
        <v>0.127269609944278</v>
      </c>
      <c r="L523" s="30">
        <f t="shared" si="20"/>
        <v>0.334879985924484</v>
      </c>
      <c r="M523" s="123">
        <f t="shared" si="21"/>
        <v>0</v>
      </c>
      <c r="N523" s="124">
        <f t="shared" si="22"/>
        <v>0</v>
      </c>
    </row>
    <row r="524" s="2" customFormat="1" spans="1:14">
      <c r="A524" s="101">
        <v>45324</v>
      </c>
      <c r="B524" s="4">
        <v>596.35</v>
      </c>
      <c r="C524" s="5">
        <v>1811719</v>
      </c>
      <c r="D524" s="6">
        <v>4930</v>
      </c>
      <c r="E524" s="185">
        <v>0</v>
      </c>
      <c r="F524" s="186">
        <v>0</v>
      </c>
      <c r="G524" s="185">
        <v>3</v>
      </c>
      <c r="H524" s="185">
        <v>2</v>
      </c>
      <c r="I524" s="3">
        <v>3</v>
      </c>
      <c r="J524" s="167">
        <f t="shared" si="18"/>
        <v>0.0027211725438658</v>
      </c>
      <c r="K524" s="108">
        <f t="shared" si="19"/>
        <v>0.120963488843813</v>
      </c>
      <c r="L524" s="30">
        <f t="shared" si="20"/>
        <v>0.329162524652002</v>
      </c>
      <c r="M524" s="123">
        <f t="shared" si="21"/>
        <v>0</v>
      </c>
      <c r="N524" s="124">
        <f t="shared" si="22"/>
        <v>0</v>
      </c>
    </row>
    <row r="525" s="2" customFormat="1" spans="1:14">
      <c r="A525" s="101">
        <v>45325</v>
      </c>
      <c r="B525" s="168">
        <v>598.32</v>
      </c>
      <c r="C525" s="103">
        <v>1849135</v>
      </c>
      <c r="D525" s="104">
        <v>5366</v>
      </c>
      <c r="E525" s="105">
        <v>0</v>
      </c>
      <c r="F525" s="169">
        <v>0</v>
      </c>
      <c r="G525" s="105">
        <v>0</v>
      </c>
      <c r="H525" s="105">
        <v>4</v>
      </c>
      <c r="I525" s="105">
        <v>0</v>
      </c>
      <c r="J525" s="167">
        <f t="shared" si="18"/>
        <v>0.00290189737363686</v>
      </c>
      <c r="K525" s="108">
        <f t="shared" si="19"/>
        <v>0.111502049944092</v>
      </c>
      <c r="L525" s="30">
        <f t="shared" si="20"/>
        <v>0.323567505887888</v>
      </c>
      <c r="M525" s="123">
        <f t="shared" si="21"/>
        <v>0</v>
      </c>
      <c r="N525" s="124">
        <f t="shared" si="22"/>
        <v>0</v>
      </c>
    </row>
    <row r="526" s="2" customFormat="1" spans="1:14">
      <c r="A526" s="101">
        <v>45326</v>
      </c>
      <c r="B526" s="165">
        <v>594.03</v>
      </c>
      <c r="C526" s="156">
        <v>2230514</v>
      </c>
      <c r="D526" s="157">
        <v>5638</v>
      </c>
      <c r="E526" s="131">
        <v>0</v>
      </c>
      <c r="F526" s="166">
        <v>0</v>
      </c>
      <c r="G526" s="131">
        <v>8</v>
      </c>
      <c r="H526" s="131">
        <v>3</v>
      </c>
      <c r="I526" s="158">
        <v>4</v>
      </c>
      <c r="J526" s="167">
        <f t="shared" si="18"/>
        <v>0.00252766851048682</v>
      </c>
      <c r="K526" s="108">
        <f t="shared" si="19"/>
        <v>0.105361830436325</v>
      </c>
      <c r="L526" s="30">
        <f t="shared" si="20"/>
        <v>0.26631978100115</v>
      </c>
      <c r="M526" s="123">
        <f t="shared" si="21"/>
        <v>0</v>
      </c>
      <c r="N526" s="124">
        <f t="shared" si="22"/>
        <v>0</v>
      </c>
    </row>
    <row r="527" s="2" customFormat="1" spans="1:14">
      <c r="A527" s="101">
        <v>45327</v>
      </c>
      <c r="B527" s="168">
        <v>596.43</v>
      </c>
      <c r="C527" s="103">
        <v>2372045</v>
      </c>
      <c r="D527" s="104">
        <v>6075</v>
      </c>
      <c r="E527" s="105">
        <v>0</v>
      </c>
      <c r="F527" s="169">
        <v>0</v>
      </c>
      <c r="G527" s="105">
        <v>3</v>
      </c>
      <c r="H527" s="105">
        <v>3</v>
      </c>
      <c r="I527" s="170">
        <v>1</v>
      </c>
      <c r="J527" s="167">
        <f t="shared" si="18"/>
        <v>0.00256108126110592</v>
      </c>
      <c r="K527" s="108">
        <f t="shared" si="19"/>
        <v>0.0981777777777778</v>
      </c>
      <c r="L527" s="30">
        <f t="shared" si="20"/>
        <v>0.251441266923688</v>
      </c>
      <c r="M527" s="123">
        <f t="shared" si="21"/>
        <v>0</v>
      </c>
      <c r="N527" s="124">
        <f t="shared" si="22"/>
        <v>0</v>
      </c>
    </row>
    <row r="528" s="2" customFormat="1" spans="1:14">
      <c r="A528" s="101">
        <v>45328</v>
      </c>
      <c r="B528" s="165">
        <v>597.01</v>
      </c>
      <c r="C528" s="156">
        <v>2280669</v>
      </c>
      <c r="D528" s="157">
        <v>6696</v>
      </c>
      <c r="E528" s="131">
        <v>0</v>
      </c>
      <c r="F528" s="166">
        <v>0</v>
      </c>
      <c r="G528" s="131">
        <v>3</v>
      </c>
      <c r="H528" s="131">
        <v>6</v>
      </c>
      <c r="I528" s="158">
        <v>0</v>
      </c>
      <c r="J528" s="167">
        <f t="shared" si="18"/>
        <v>0.00293598062673715</v>
      </c>
      <c r="K528" s="108">
        <f t="shared" si="19"/>
        <v>0.0891591995221027</v>
      </c>
      <c r="L528" s="30">
        <f t="shared" si="20"/>
        <v>0.261769682492286</v>
      </c>
      <c r="M528" s="123">
        <f t="shared" si="21"/>
        <v>0</v>
      </c>
      <c r="N528" s="124">
        <f t="shared" si="22"/>
        <v>0</v>
      </c>
    </row>
    <row r="529" s="2" customFormat="1" spans="1:14">
      <c r="A529" s="101">
        <v>45329</v>
      </c>
      <c r="B529" s="168">
        <v>587.01</v>
      </c>
      <c r="C529" s="103">
        <v>2361709</v>
      </c>
      <c r="D529" s="104">
        <v>7247</v>
      </c>
      <c r="E529" s="105">
        <v>0</v>
      </c>
      <c r="F529" s="169">
        <v>0</v>
      </c>
      <c r="G529" s="105">
        <v>1</v>
      </c>
      <c r="H529" s="105">
        <v>4</v>
      </c>
      <c r="I529" s="105">
        <v>3</v>
      </c>
      <c r="J529" s="167">
        <f t="shared" si="18"/>
        <v>0.00306854062037279</v>
      </c>
      <c r="K529" s="108">
        <f t="shared" si="19"/>
        <v>0.0810004139643991</v>
      </c>
      <c r="L529" s="30">
        <f t="shared" si="20"/>
        <v>0.24855306051677</v>
      </c>
      <c r="M529" s="123">
        <f t="shared" si="21"/>
        <v>0</v>
      </c>
      <c r="N529" s="124">
        <f t="shared" si="22"/>
        <v>0</v>
      </c>
    </row>
    <row r="530" s="2" customFormat="1" spans="1:14">
      <c r="A530" s="101">
        <v>45330</v>
      </c>
      <c r="B530" s="165">
        <v>591.39</v>
      </c>
      <c r="C530" s="156">
        <v>2070887</v>
      </c>
      <c r="D530" s="157">
        <v>5939</v>
      </c>
      <c r="E530" s="131">
        <v>0</v>
      </c>
      <c r="F530" s="166">
        <v>0</v>
      </c>
      <c r="G530" s="131">
        <v>2</v>
      </c>
      <c r="H530" s="131">
        <v>4</v>
      </c>
      <c r="I530" s="158">
        <v>2</v>
      </c>
      <c r="J530" s="167">
        <f t="shared" si="18"/>
        <v>0.00286785324356182</v>
      </c>
      <c r="K530" s="108">
        <f t="shared" si="19"/>
        <v>0.0995773699275972</v>
      </c>
      <c r="L530" s="30">
        <f t="shared" si="20"/>
        <v>0.285573283332215</v>
      </c>
      <c r="M530" s="123">
        <f t="shared" si="21"/>
        <v>0</v>
      </c>
      <c r="N530" s="124">
        <f t="shared" si="22"/>
        <v>0</v>
      </c>
    </row>
    <row r="531" s="2" customFormat="1" spans="1:14">
      <c r="A531" s="101">
        <v>45331</v>
      </c>
      <c r="B531" s="168">
        <v>598.27</v>
      </c>
      <c r="C531" s="103">
        <v>2258133</v>
      </c>
      <c r="D531" s="104">
        <v>5669</v>
      </c>
      <c r="E531" s="105">
        <v>0</v>
      </c>
      <c r="F531" s="169">
        <v>0</v>
      </c>
      <c r="G531" s="105">
        <v>1</v>
      </c>
      <c r="H531" s="105">
        <v>2</v>
      </c>
      <c r="I531" s="170">
        <v>2</v>
      </c>
      <c r="J531" s="167">
        <f t="shared" si="18"/>
        <v>0.00251048100355471</v>
      </c>
      <c r="K531" s="108">
        <f t="shared" si="19"/>
        <v>0.105533603810196</v>
      </c>
      <c r="L531" s="30">
        <f t="shared" si="20"/>
        <v>0.264940107602165</v>
      </c>
      <c r="M531" s="123">
        <f t="shared" si="21"/>
        <v>0</v>
      </c>
      <c r="N531" s="124">
        <f t="shared" si="22"/>
        <v>0</v>
      </c>
    </row>
    <row r="532" s="2" customFormat="1" spans="1:14">
      <c r="A532" s="101">
        <v>45332</v>
      </c>
      <c r="B532" s="168">
        <v>598.01</v>
      </c>
      <c r="C532" s="103">
        <v>2355296</v>
      </c>
      <c r="D532" s="104">
        <v>5966</v>
      </c>
      <c r="E532" s="105">
        <v>0</v>
      </c>
      <c r="F532" s="169">
        <v>0</v>
      </c>
      <c r="G532" s="105">
        <v>2</v>
      </c>
      <c r="H532" s="105">
        <v>2</v>
      </c>
      <c r="I532" s="105">
        <v>1</v>
      </c>
      <c r="J532" s="167">
        <f t="shared" si="18"/>
        <v>0.0025330149586294</v>
      </c>
      <c r="K532" s="108">
        <f t="shared" si="19"/>
        <v>0.100236339255783</v>
      </c>
      <c r="L532" s="30">
        <f t="shared" si="20"/>
        <v>0.253900146733149</v>
      </c>
      <c r="M532" s="123">
        <f t="shared" si="21"/>
        <v>0</v>
      </c>
      <c r="N532" s="124">
        <f t="shared" si="22"/>
        <v>0</v>
      </c>
    </row>
    <row r="533" s="2" customFormat="1" spans="1:14">
      <c r="A533" s="101">
        <v>45333</v>
      </c>
      <c r="B533" s="168">
        <v>593.13</v>
      </c>
      <c r="C533" s="103">
        <v>2741222</v>
      </c>
      <c r="D533" s="104">
        <v>7101</v>
      </c>
      <c r="E533" s="105">
        <v>0</v>
      </c>
      <c r="F533" s="169">
        <v>0</v>
      </c>
      <c r="G533" s="105">
        <v>1</v>
      </c>
      <c r="H533" s="105">
        <v>3</v>
      </c>
      <c r="I533" s="105">
        <v>0</v>
      </c>
      <c r="J533" s="167">
        <f t="shared" si="18"/>
        <v>0.00259045053629367</v>
      </c>
      <c r="K533" s="108">
        <f t="shared" si="19"/>
        <v>0.0835276721588509</v>
      </c>
      <c r="L533" s="30">
        <f t="shared" si="20"/>
        <v>0.216374303139257</v>
      </c>
      <c r="M533" s="123">
        <f t="shared" si="21"/>
        <v>0</v>
      </c>
      <c r="N533" s="124">
        <f t="shared" si="22"/>
        <v>0</v>
      </c>
    </row>
    <row r="534" s="2" customFormat="1" spans="1:14">
      <c r="A534" s="101">
        <v>45334</v>
      </c>
      <c r="B534" s="168">
        <v>586.09</v>
      </c>
      <c r="C534" s="103">
        <v>2737381</v>
      </c>
      <c r="D534" s="104">
        <v>7090</v>
      </c>
      <c r="E534" s="105">
        <v>0</v>
      </c>
      <c r="F534" s="169">
        <v>0</v>
      </c>
      <c r="G534" s="105">
        <v>2</v>
      </c>
      <c r="H534" s="105">
        <v>3</v>
      </c>
      <c r="I534" s="105">
        <v>1</v>
      </c>
      <c r="J534" s="167">
        <f t="shared" si="18"/>
        <v>0.00259006692893682</v>
      </c>
      <c r="K534" s="108">
        <f t="shared" si="19"/>
        <v>0.0826643159379408</v>
      </c>
      <c r="L534" s="30">
        <f t="shared" si="20"/>
        <v>0.214106110914045</v>
      </c>
      <c r="M534" s="123">
        <f t="shared" si="21"/>
        <v>0</v>
      </c>
      <c r="N534" s="124">
        <f t="shared" si="22"/>
        <v>0</v>
      </c>
    </row>
    <row r="535" s="2" customFormat="1" spans="1:14">
      <c r="A535" s="101">
        <v>45335</v>
      </c>
      <c r="B535" s="168">
        <v>596.27</v>
      </c>
      <c r="C535" s="103">
        <v>1864516</v>
      </c>
      <c r="D535" s="104">
        <v>6603</v>
      </c>
      <c r="E535" s="105">
        <v>0</v>
      </c>
      <c r="F535" s="169">
        <v>0</v>
      </c>
      <c r="G535" s="105">
        <v>3</v>
      </c>
      <c r="H535" s="105">
        <v>4</v>
      </c>
      <c r="I535" s="105">
        <v>0</v>
      </c>
      <c r="J535" s="167">
        <f t="shared" si="18"/>
        <v>0.00354140162916274</v>
      </c>
      <c r="K535" s="108">
        <f t="shared" si="19"/>
        <v>0.0903028926245646</v>
      </c>
      <c r="L535" s="30">
        <f t="shared" si="20"/>
        <v>0.319798811058741</v>
      </c>
      <c r="M535" s="123">
        <f t="shared" si="21"/>
        <v>0</v>
      </c>
      <c r="N535" s="124">
        <f t="shared" si="22"/>
        <v>0</v>
      </c>
    </row>
    <row r="536" s="2" customFormat="1" spans="1:14">
      <c r="A536" s="101">
        <v>45336</v>
      </c>
      <c r="B536" s="168">
        <v>590.28</v>
      </c>
      <c r="C536" s="103">
        <v>1584612</v>
      </c>
      <c r="D536" s="104">
        <v>6720</v>
      </c>
      <c r="E536" s="105">
        <v>0</v>
      </c>
      <c r="F536" s="169">
        <v>0</v>
      </c>
      <c r="G536" s="105">
        <v>7</v>
      </c>
      <c r="H536" s="105">
        <v>1</v>
      </c>
      <c r="I536" s="105">
        <v>0</v>
      </c>
      <c r="J536" s="167">
        <f t="shared" si="18"/>
        <v>0.00424078575701812</v>
      </c>
      <c r="K536" s="108">
        <f t="shared" si="19"/>
        <v>0.0878392857142857</v>
      </c>
      <c r="L536" s="30">
        <f t="shared" si="20"/>
        <v>0.372507591763788</v>
      </c>
      <c r="M536" s="123">
        <f t="shared" si="21"/>
        <v>0</v>
      </c>
      <c r="N536" s="124">
        <f t="shared" si="22"/>
        <v>0</v>
      </c>
    </row>
    <row r="537" s="2" customFormat="1" spans="1:14">
      <c r="A537" s="101">
        <v>45337</v>
      </c>
      <c r="B537" s="168">
        <v>591.73</v>
      </c>
      <c r="C537" s="103">
        <v>1521323</v>
      </c>
      <c r="D537" s="104">
        <v>6985</v>
      </c>
      <c r="E537" s="105">
        <v>0</v>
      </c>
      <c r="F537" s="169">
        <v>0</v>
      </c>
      <c r="G537" s="105">
        <v>5</v>
      </c>
      <c r="H537" s="105">
        <v>3</v>
      </c>
      <c r="I537" s="105">
        <v>0</v>
      </c>
      <c r="J537" s="167">
        <f t="shared" si="18"/>
        <v>0.00459139840783318</v>
      </c>
      <c r="K537" s="108">
        <f t="shared" si="19"/>
        <v>0.0847143879742305</v>
      </c>
      <c r="L537" s="30">
        <f t="shared" si="20"/>
        <v>0.388957506065444</v>
      </c>
      <c r="M537" s="123">
        <f t="shared" si="21"/>
        <v>0</v>
      </c>
      <c r="N537" s="124">
        <f t="shared" si="22"/>
        <v>0</v>
      </c>
    </row>
    <row r="538" s="2" customFormat="1" spans="1:14">
      <c r="A538" s="101">
        <v>45338</v>
      </c>
      <c r="B538" s="168">
        <v>598.65</v>
      </c>
      <c r="C538" s="103">
        <v>2544266</v>
      </c>
      <c r="D538" s="104">
        <v>7059</v>
      </c>
      <c r="E538" s="105">
        <v>0</v>
      </c>
      <c r="F538" s="169">
        <v>0</v>
      </c>
      <c r="G538" s="105">
        <v>7</v>
      </c>
      <c r="H538" s="105">
        <v>3</v>
      </c>
      <c r="I538" s="105">
        <v>0</v>
      </c>
      <c r="J538" s="167">
        <f t="shared" si="18"/>
        <v>0.00277447405263443</v>
      </c>
      <c r="K538" s="108">
        <f t="shared" si="19"/>
        <v>0.0848066298342541</v>
      </c>
      <c r="L538" s="30">
        <f t="shared" si="20"/>
        <v>0.235293793966511</v>
      </c>
      <c r="M538" s="123">
        <f t="shared" si="21"/>
        <v>0</v>
      </c>
      <c r="N538" s="124">
        <f t="shared" si="22"/>
        <v>0</v>
      </c>
    </row>
    <row r="539" s="2" customFormat="1" spans="1:14">
      <c r="A539" s="101">
        <v>45339</v>
      </c>
      <c r="B539" s="168">
        <v>597.48</v>
      </c>
      <c r="C539" s="103">
        <v>2685122</v>
      </c>
      <c r="D539" s="104">
        <v>6709</v>
      </c>
      <c r="E539" s="105">
        <v>0</v>
      </c>
      <c r="F539" s="169">
        <v>0</v>
      </c>
      <c r="G539" s="105">
        <v>3</v>
      </c>
      <c r="H539" s="105">
        <v>11</v>
      </c>
      <c r="I539" s="105">
        <v>3</v>
      </c>
      <c r="J539" s="167">
        <f t="shared" si="18"/>
        <v>0.00249858293217217</v>
      </c>
      <c r="K539" s="108">
        <f t="shared" si="19"/>
        <v>0.0890564912803697</v>
      </c>
      <c r="L539" s="30">
        <f t="shared" si="20"/>
        <v>0.222515029112271</v>
      </c>
      <c r="M539" s="123">
        <f t="shared" si="21"/>
        <v>0</v>
      </c>
      <c r="N539" s="124">
        <f t="shared" si="22"/>
        <v>0</v>
      </c>
    </row>
    <row r="540" s="2" customFormat="1" spans="1:14">
      <c r="A540" s="101">
        <v>45340</v>
      </c>
      <c r="B540" s="168">
        <v>597.66</v>
      </c>
      <c r="C540" s="103">
        <v>2739362</v>
      </c>
      <c r="D540" s="104">
        <v>6695</v>
      </c>
      <c r="E540" s="105">
        <v>0</v>
      </c>
      <c r="F540" s="169">
        <v>0</v>
      </c>
      <c r="G540" s="105">
        <v>4</v>
      </c>
      <c r="H540" s="105">
        <v>6</v>
      </c>
      <c r="I540" s="105">
        <v>5</v>
      </c>
      <c r="J540" s="167">
        <f t="shared" si="18"/>
        <v>0.00244399973424469</v>
      </c>
      <c r="K540" s="108">
        <f t="shared" si="19"/>
        <v>0.0892696041822255</v>
      </c>
      <c r="L540" s="30">
        <f t="shared" si="20"/>
        <v>0.218174888897488</v>
      </c>
      <c r="M540" s="123">
        <f t="shared" si="21"/>
        <v>0</v>
      </c>
      <c r="N540" s="124">
        <f t="shared" si="22"/>
        <v>0</v>
      </c>
    </row>
    <row r="541" s="2" customFormat="1" spans="1:14">
      <c r="A541" s="101">
        <v>45341</v>
      </c>
      <c r="B541" s="168">
        <v>490.73</v>
      </c>
      <c r="C541" s="103">
        <v>2459258</v>
      </c>
      <c r="D541" s="104">
        <v>5488</v>
      </c>
      <c r="E541" s="105">
        <v>0</v>
      </c>
      <c r="F541" s="169">
        <v>0</v>
      </c>
      <c r="G541" s="105">
        <v>3</v>
      </c>
      <c r="H541" s="105">
        <v>3</v>
      </c>
      <c r="I541" s="105">
        <v>4</v>
      </c>
      <c r="J541" s="167">
        <f t="shared" si="18"/>
        <v>0.0022315674077303</v>
      </c>
      <c r="K541" s="108">
        <f t="shared" si="19"/>
        <v>0.0894187317784257</v>
      </c>
      <c r="L541" s="30">
        <f t="shared" si="20"/>
        <v>0.199543927477312</v>
      </c>
      <c r="M541" s="123">
        <f t="shared" si="21"/>
        <v>0</v>
      </c>
      <c r="N541" s="124">
        <f t="shared" si="22"/>
        <v>0</v>
      </c>
    </row>
    <row r="542" s="2" customFormat="1" spans="1:14">
      <c r="A542" s="101">
        <v>45342</v>
      </c>
      <c r="B542" s="168">
        <v>399.16</v>
      </c>
      <c r="C542" s="103">
        <v>2176678</v>
      </c>
      <c r="D542" s="104">
        <v>4317</v>
      </c>
      <c r="E542" s="105">
        <v>0</v>
      </c>
      <c r="F542" s="169">
        <v>0</v>
      </c>
      <c r="G542" s="105">
        <v>5</v>
      </c>
      <c r="H542" s="105">
        <v>1</v>
      </c>
      <c r="I542" s="105">
        <v>2</v>
      </c>
      <c r="J542" s="167">
        <f t="shared" si="18"/>
        <v>0.00198329748359656</v>
      </c>
      <c r="K542" s="108">
        <f t="shared" si="19"/>
        <v>0.0924623581190642</v>
      </c>
      <c r="L542" s="30">
        <f t="shared" si="20"/>
        <v>0.183380362184944</v>
      </c>
      <c r="M542" s="123">
        <f t="shared" si="21"/>
        <v>0</v>
      </c>
      <c r="N542" s="124">
        <f t="shared" si="22"/>
        <v>0</v>
      </c>
    </row>
    <row r="543" s="2" customFormat="1" spans="1:14">
      <c r="A543" s="101">
        <v>45343</v>
      </c>
      <c r="B543" s="168">
        <v>397.74</v>
      </c>
      <c r="C543" s="103">
        <v>761589</v>
      </c>
      <c r="D543" s="104">
        <v>3831</v>
      </c>
      <c r="E543" s="105">
        <v>0</v>
      </c>
      <c r="F543" s="169">
        <v>0</v>
      </c>
      <c r="G543" s="105">
        <v>4</v>
      </c>
      <c r="H543" s="105">
        <v>3</v>
      </c>
      <c r="I543" s="105">
        <v>0</v>
      </c>
      <c r="J543" s="167">
        <f t="shared" si="18"/>
        <v>0.00503027223344875</v>
      </c>
      <c r="K543" s="108">
        <f t="shared" si="19"/>
        <v>0.103821456538763</v>
      </c>
      <c r="L543" s="30">
        <f t="shared" si="20"/>
        <v>0.522250190063144</v>
      </c>
      <c r="M543" s="123">
        <f t="shared" si="21"/>
        <v>0</v>
      </c>
      <c r="N543" s="124">
        <f t="shared" si="22"/>
        <v>0</v>
      </c>
    </row>
    <row r="544" s="2" customFormat="1" spans="1:14">
      <c r="A544" s="101">
        <v>45344</v>
      </c>
      <c r="B544" s="168">
        <v>398.09</v>
      </c>
      <c r="C544" s="103">
        <v>682057</v>
      </c>
      <c r="D544" s="104">
        <v>3394</v>
      </c>
      <c r="E544" s="105">
        <v>0</v>
      </c>
      <c r="F544" s="169">
        <v>0</v>
      </c>
      <c r="G544" s="105">
        <v>0</v>
      </c>
      <c r="H544" s="105">
        <v>1</v>
      </c>
      <c r="I544" s="105">
        <v>1</v>
      </c>
      <c r="J544" s="167">
        <f t="shared" si="18"/>
        <v>0.0049761236964066</v>
      </c>
      <c r="K544" s="108">
        <f t="shared" si="19"/>
        <v>0.117292280494991</v>
      </c>
      <c r="L544" s="30">
        <f t="shared" si="20"/>
        <v>0.583660896376696</v>
      </c>
      <c r="M544" s="123">
        <f t="shared" si="21"/>
        <v>0</v>
      </c>
      <c r="N544" s="124">
        <f t="shared" si="22"/>
        <v>0</v>
      </c>
    </row>
    <row r="545" s="2" customFormat="1" spans="1:14">
      <c r="A545" s="101">
        <v>45345</v>
      </c>
      <c r="B545" s="168">
        <v>395.7</v>
      </c>
      <c r="C545" s="103">
        <v>651735</v>
      </c>
      <c r="D545" s="104">
        <v>3140</v>
      </c>
      <c r="E545" s="105">
        <v>0</v>
      </c>
      <c r="F545" s="169">
        <v>0</v>
      </c>
      <c r="G545" s="105">
        <v>2</v>
      </c>
      <c r="H545" s="105">
        <v>1</v>
      </c>
      <c r="I545" s="105">
        <v>1</v>
      </c>
      <c r="J545" s="167">
        <f t="shared" si="18"/>
        <v>0.00481790911950409</v>
      </c>
      <c r="K545" s="108">
        <f t="shared" si="19"/>
        <v>0.126019108280255</v>
      </c>
      <c r="L545" s="30">
        <f t="shared" si="20"/>
        <v>0.607148611015213</v>
      </c>
      <c r="M545" s="123">
        <f t="shared" si="21"/>
        <v>0</v>
      </c>
      <c r="N545" s="124">
        <f t="shared" si="22"/>
        <v>0</v>
      </c>
    </row>
    <row r="546" s="2" customFormat="1" spans="1:14">
      <c r="A546" s="101">
        <v>45346</v>
      </c>
      <c r="B546" s="168">
        <v>397.42</v>
      </c>
      <c r="C546" s="103">
        <v>694378</v>
      </c>
      <c r="D546" s="104">
        <v>3388</v>
      </c>
      <c r="E546" s="105">
        <v>0</v>
      </c>
      <c r="F546" s="169">
        <v>0</v>
      </c>
      <c r="G546" s="105">
        <v>1</v>
      </c>
      <c r="H546" s="105">
        <v>2</v>
      </c>
      <c r="I546" s="105">
        <v>0</v>
      </c>
      <c r="J546" s="167">
        <f t="shared" si="18"/>
        <v>0.00487918684059691</v>
      </c>
      <c r="K546" s="108">
        <f t="shared" si="19"/>
        <v>0.117302243211334</v>
      </c>
      <c r="L546" s="30">
        <f t="shared" si="20"/>
        <v>0.572339561449239</v>
      </c>
      <c r="M546" s="123">
        <f t="shared" si="21"/>
        <v>0</v>
      </c>
      <c r="N546" s="124">
        <f t="shared" si="22"/>
        <v>0</v>
      </c>
    </row>
    <row r="547" s="2" customFormat="1" spans="1:14">
      <c r="A547" s="101">
        <v>45347</v>
      </c>
      <c r="B547" s="168">
        <v>398.16</v>
      </c>
      <c r="C547" s="103">
        <v>661919</v>
      </c>
      <c r="D547" s="104">
        <v>3338</v>
      </c>
      <c r="E547" s="105">
        <v>0</v>
      </c>
      <c r="F547" s="169">
        <v>0</v>
      </c>
      <c r="G547" s="105">
        <v>2</v>
      </c>
      <c r="H547" s="105">
        <v>0</v>
      </c>
      <c r="I547" s="105">
        <v>1</v>
      </c>
      <c r="J547" s="167">
        <f t="shared" si="18"/>
        <v>0.00504291310568212</v>
      </c>
      <c r="K547" s="108">
        <f t="shared" si="19"/>
        <v>0.119281006590773</v>
      </c>
      <c r="L547" s="30">
        <f t="shared" si="20"/>
        <v>0.601523751395564</v>
      </c>
      <c r="M547" s="123">
        <f t="shared" si="21"/>
        <v>0</v>
      </c>
      <c r="N547" s="124">
        <f t="shared" si="22"/>
        <v>0</v>
      </c>
    </row>
    <row r="548" s="2" customFormat="1" spans="1:14">
      <c r="A548" s="101">
        <v>45348</v>
      </c>
      <c r="B548" s="168">
        <v>395.59</v>
      </c>
      <c r="C548" s="103">
        <v>778039</v>
      </c>
      <c r="D548" s="104">
        <v>3373</v>
      </c>
      <c r="E548" s="105">
        <v>0</v>
      </c>
      <c r="F548" s="169">
        <v>0</v>
      </c>
      <c r="G548" s="105">
        <v>4</v>
      </c>
      <c r="H548" s="105">
        <v>1</v>
      </c>
      <c r="I548" s="105">
        <v>0</v>
      </c>
      <c r="J548" s="167">
        <f t="shared" si="18"/>
        <v>0.00433525825826212</v>
      </c>
      <c r="K548" s="108">
        <f t="shared" si="19"/>
        <v>0.117281351912244</v>
      </c>
      <c r="L548" s="30">
        <f t="shared" si="20"/>
        <v>0.508444949417703</v>
      </c>
      <c r="M548" s="123">
        <f t="shared" si="21"/>
        <v>0</v>
      </c>
      <c r="N548" s="124">
        <f t="shared" si="22"/>
        <v>0</v>
      </c>
    </row>
    <row r="549" s="2" customFormat="1" spans="1:14">
      <c r="A549" s="101">
        <v>45349</v>
      </c>
      <c r="B549" s="168">
        <v>147.21</v>
      </c>
      <c r="C549" s="103">
        <v>339751</v>
      </c>
      <c r="D549" s="104">
        <v>1353</v>
      </c>
      <c r="E549" s="105">
        <v>0</v>
      </c>
      <c r="F549" s="169">
        <v>0</v>
      </c>
      <c r="G549" s="105">
        <v>2</v>
      </c>
      <c r="H549" s="105">
        <v>0</v>
      </c>
      <c r="I549" s="105">
        <v>0</v>
      </c>
      <c r="J549" s="167">
        <f t="shared" si="18"/>
        <v>0.00398232823450115</v>
      </c>
      <c r="K549" s="108">
        <f t="shared" si="19"/>
        <v>0.10880266075388</v>
      </c>
      <c r="L549" s="30">
        <f t="shared" si="20"/>
        <v>0.433287907909027</v>
      </c>
      <c r="M549" s="123">
        <f t="shared" si="21"/>
        <v>0</v>
      </c>
      <c r="N549" s="124">
        <f t="shared" si="22"/>
        <v>0</v>
      </c>
    </row>
    <row r="550" s="2" customFormat="1" spans="1:14">
      <c r="A550" s="101">
        <v>45350</v>
      </c>
      <c r="B550" s="168">
        <v>149.12</v>
      </c>
      <c r="C550" s="103">
        <v>402714</v>
      </c>
      <c r="D550" s="104">
        <v>1306</v>
      </c>
      <c r="E550" s="105">
        <v>0</v>
      </c>
      <c r="F550" s="169">
        <v>0</v>
      </c>
      <c r="G550" s="105">
        <v>0</v>
      </c>
      <c r="H550" s="105">
        <v>1</v>
      </c>
      <c r="I550" s="105">
        <v>0</v>
      </c>
      <c r="J550" s="167">
        <f t="shared" si="18"/>
        <v>0.00324299627030597</v>
      </c>
      <c r="K550" s="108">
        <f t="shared" si="19"/>
        <v>0.114180704441041</v>
      </c>
      <c r="L550" s="30">
        <f t="shared" si="20"/>
        <v>0.370287598643206</v>
      </c>
      <c r="M550" s="123">
        <f t="shared" si="21"/>
        <v>0</v>
      </c>
      <c r="N550" s="124">
        <f t="shared" si="22"/>
        <v>0</v>
      </c>
    </row>
    <row r="551" s="2" customFormat="1" spans="1:14">
      <c r="A551" s="101">
        <v>45351</v>
      </c>
      <c r="B551" s="187">
        <v>148.74</v>
      </c>
      <c r="C551" s="111">
        <v>396018</v>
      </c>
      <c r="D551" s="112">
        <v>1247</v>
      </c>
      <c r="E551" s="57">
        <v>0</v>
      </c>
      <c r="F551" s="172">
        <v>0</v>
      </c>
      <c r="G551" s="57">
        <v>4</v>
      </c>
      <c r="H551" s="57">
        <v>2</v>
      </c>
      <c r="I551" s="57">
        <v>0</v>
      </c>
      <c r="J551" s="184">
        <f t="shared" si="18"/>
        <v>0.00314884676959128</v>
      </c>
      <c r="K551" s="115">
        <f t="shared" si="19"/>
        <v>0.119278267842823</v>
      </c>
      <c r="L551" s="30">
        <f t="shared" si="20"/>
        <v>0.375588988379316</v>
      </c>
      <c r="M551" s="153">
        <f t="shared" si="21"/>
        <v>0</v>
      </c>
      <c r="N551" s="154">
        <f t="shared" si="22"/>
        <v>0</v>
      </c>
    </row>
    <row r="552" s="2" customFormat="1" spans="1:14">
      <c r="A552" s="188">
        <v>45352</v>
      </c>
      <c r="B552" s="22">
        <v>148.42</v>
      </c>
      <c r="C552" s="29">
        <v>337644</v>
      </c>
      <c r="D552" s="24">
        <v>1145</v>
      </c>
      <c r="E552" s="23">
        <v>0</v>
      </c>
      <c r="F552" s="25">
        <v>0</v>
      </c>
      <c r="G552" s="23">
        <v>1</v>
      </c>
      <c r="H552" s="23">
        <v>0</v>
      </c>
      <c r="I552" s="23">
        <v>2</v>
      </c>
      <c r="J552" s="189">
        <f t="shared" si="18"/>
        <v>0.00339114570375899</v>
      </c>
      <c r="K552" s="89">
        <f t="shared" si="19"/>
        <v>0.129624454148472</v>
      </c>
      <c r="L552" s="30">
        <f t="shared" si="20"/>
        <v>0.439575410787694</v>
      </c>
      <c r="M552" s="90">
        <f t="shared" si="21"/>
        <v>0</v>
      </c>
      <c r="N552" s="91">
        <f t="shared" si="22"/>
        <v>0</v>
      </c>
    </row>
    <row r="553" s="2" customFormat="1" spans="1:14">
      <c r="A553" s="188">
        <v>45353</v>
      </c>
      <c r="B553" s="22">
        <v>990.99</v>
      </c>
      <c r="C553" s="29">
        <v>1043968</v>
      </c>
      <c r="D553" s="24">
        <v>6072</v>
      </c>
      <c r="E553" s="29">
        <v>0</v>
      </c>
      <c r="F553" s="25">
        <v>0</v>
      </c>
      <c r="G553" s="23">
        <v>6</v>
      </c>
      <c r="H553" s="23">
        <v>6</v>
      </c>
      <c r="I553" s="23">
        <v>0</v>
      </c>
      <c r="J553" s="189">
        <f t="shared" ref="J553:J616" si="23">D553/C553</f>
        <v>0.00581627023050515</v>
      </c>
      <c r="K553" s="89">
        <f t="shared" ref="K553:K616" si="24">B553/D553</f>
        <v>0.16320652173913</v>
      </c>
      <c r="L553" s="30">
        <f t="shared" ref="L553:L616" si="25">B553/C553*1000</f>
        <v>0.949253233815596</v>
      </c>
      <c r="M553" s="90">
        <f t="shared" ref="M553:M616" si="26">F553/B553</f>
        <v>0</v>
      </c>
      <c r="N553" s="91">
        <f t="shared" ref="N553:N616" si="27">E553/D553</f>
        <v>0</v>
      </c>
    </row>
    <row r="554" s="2" customFormat="1" spans="1:14">
      <c r="A554" s="188">
        <v>45354</v>
      </c>
      <c r="B554" s="4">
        <v>991.35</v>
      </c>
      <c r="C554" s="5">
        <v>1517741</v>
      </c>
      <c r="D554" s="6">
        <v>7112</v>
      </c>
      <c r="E554" s="29">
        <v>0</v>
      </c>
      <c r="F554" s="25">
        <v>0</v>
      </c>
      <c r="G554" s="3">
        <v>4</v>
      </c>
      <c r="H554" s="3">
        <v>9</v>
      </c>
      <c r="I554" s="3">
        <v>0</v>
      </c>
      <c r="J554" s="189">
        <f t="shared" si="23"/>
        <v>0.00468591149609848</v>
      </c>
      <c r="K554" s="89">
        <f t="shared" si="24"/>
        <v>0.139391169853768</v>
      </c>
      <c r="L554" s="30">
        <f t="shared" si="25"/>
        <v>0.653174685272388</v>
      </c>
      <c r="M554" s="90">
        <f t="shared" si="26"/>
        <v>0</v>
      </c>
      <c r="N554" s="91">
        <f t="shared" si="27"/>
        <v>0</v>
      </c>
    </row>
    <row r="555" s="2" customFormat="1" spans="1:14">
      <c r="A555" s="101">
        <v>45355</v>
      </c>
      <c r="B555" s="22">
        <v>989.52</v>
      </c>
      <c r="C555" s="29">
        <v>1586164</v>
      </c>
      <c r="D555" s="24">
        <v>6650</v>
      </c>
      <c r="E555" s="23">
        <v>0</v>
      </c>
      <c r="F555" s="25">
        <v>0</v>
      </c>
      <c r="G555" s="29">
        <v>4</v>
      </c>
      <c r="H555" s="29">
        <v>3</v>
      </c>
      <c r="I555" s="23">
        <v>0</v>
      </c>
      <c r="J555" s="189">
        <f t="shared" si="23"/>
        <v>0.00419250468425711</v>
      </c>
      <c r="K555" s="89">
        <f t="shared" si="24"/>
        <v>0.1488</v>
      </c>
      <c r="L555" s="30">
        <f t="shared" si="25"/>
        <v>0.623844697017458</v>
      </c>
      <c r="M555" s="90">
        <f t="shared" si="26"/>
        <v>0</v>
      </c>
      <c r="N555" s="91">
        <f t="shared" si="27"/>
        <v>0</v>
      </c>
    </row>
    <row r="556" s="2" customFormat="1" spans="1:14">
      <c r="A556" s="188">
        <v>45356</v>
      </c>
      <c r="B556" s="22">
        <v>964.81</v>
      </c>
      <c r="C556" s="29">
        <v>1527961</v>
      </c>
      <c r="D556" s="24">
        <v>7292</v>
      </c>
      <c r="E556" s="29">
        <v>0</v>
      </c>
      <c r="F556" s="25">
        <v>0</v>
      </c>
      <c r="G556" s="23">
        <v>2</v>
      </c>
      <c r="H556" s="23">
        <v>6</v>
      </c>
      <c r="I556" s="23">
        <v>0</v>
      </c>
      <c r="J556" s="189">
        <f t="shared" si="23"/>
        <v>0.00477237311685311</v>
      </c>
      <c r="K556" s="89">
        <f t="shared" si="24"/>
        <v>0.132310751508502</v>
      </c>
      <c r="L556" s="30">
        <f t="shared" si="25"/>
        <v>0.63143627356981</v>
      </c>
      <c r="M556" s="90">
        <f t="shared" si="26"/>
        <v>0</v>
      </c>
      <c r="N556" s="91">
        <f t="shared" si="27"/>
        <v>0</v>
      </c>
    </row>
    <row r="557" s="2" customFormat="1" spans="1:14">
      <c r="A557" s="188">
        <v>45357</v>
      </c>
      <c r="B557" s="22">
        <v>1537.28</v>
      </c>
      <c r="C557" s="29">
        <v>2132609</v>
      </c>
      <c r="D557" s="24">
        <v>10741</v>
      </c>
      <c r="E557" s="29">
        <v>0</v>
      </c>
      <c r="F557" s="25">
        <v>0</v>
      </c>
      <c r="G557" s="23">
        <v>2</v>
      </c>
      <c r="H557" s="23">
        <v>6</v>
      </c>
      <c r="I557" s="23">
        <v>0</v>
      </c>
      <c r="J557" s="189">
        <f t="shared" si="23"/>
        <v>0.00503655381741332</v>
      </c>
      <c r="K557" s="89">
        <f t="shared" si="24"/>
        <v>0.143122614281724</v>
      </c>
      <c r="L557" s="30">
        <f t="shared" si="25"/>
        <v>0.720844749318792</v>
      </c>
      <c r="M557" s="90">
        <f t="shared" si="26"/>
        <v>0</v>
      </c>
      <c r="N557" s="91">
        <f t="shared" si="27"/>
        <v>0</v>
      </c>
    </row>
    <row r="558" s="2" customFormat="1" spans="1:14">
      <c r="A558" s="188">
        <v>45358</v>
      </c>
      <c r="B558" s="22">
        <v>1971.4</v>
      </c>
      <c r="C558" s="29">
        <v>2156228</v>
      </c>
      <c r="D558" s="24">
        <v>9966</v>
      </c>
      <c r="E558" s="29">
        <v>1</v>
      </c>
      <c r="F558" s="25">
        <v>1</v>
      </c>
      <c r="G558" s="23">
        <v>11</v>
      </c>
      <c r="H558" s="23">
        <v>7</v>
      </c>
      <c r="I558" s="23">
        <v>2</v>
      </c>
      <c r="J558" s="189">
        <f t="shared" si="23"/>
        <v>0.0046219602008693</v>
      </c>
      <c r="K558" s="89">
        <f t="shared" si="24"/>
        <v>0.197812562713225</v>
      </c>
      <c r="L558" s="30">
        <f t="shared" si="25"/>
        <v>0.914281792092487</v>
      </c>
      <c r="M558" s="90">
        <f t="shared" si="26"/>
        <v>0.000507253728314903</v>
      </c>
      <c r="N558" s="91">
        <f t="shared" si="27"/>
        <v>0.000100341159943809</v>
      </c>
    </row>
    <row r="559" s="2" customFormat="1" spans="1:14">
      <c r="A559" s="188">
        <v>45359</v>
      </c>
      <c r="B559" s="22">
        <v>1420.36</v>
      </c>
      <c r="C559" s="29">
        <v>1623433</v>
      </c>
      <c r="D559" s="24">
        <v>7668</v>
      </c>
      <c r="E559" s="29">
        <v>2</v>
      </c>
      <c r="F559" s="25">
        <v>30352</v>
      </c>
      <c r="G559" s="23">
        <v>8</v>
      </c>
      <c r="H559" s="23">
        <v>6</v>
      </c>
      <c r="I559" s="23">
        <v>5</v>
      </c>
      <c r="J559" s="189">
        <f t="shared" si="23"/>
        <v>0.00472332396840523</v>
      </c>
      <c r="K559" s="89">
        <f t="shared" si="24"/>
        <v>0.185232133541993</v>
      </c>
      <c r="L559" s="30">
        <f t="shared" si="25"/>
        <v>0.874911376077732</v>
      </c>
      <c r="M559" s="90">
        <f t="shared" si="26"/>
        <v>21.3692303359712</v>
      </c>
      <c r="N559" s="91">
        <f t="shared" si="27"/>
        <v>0.000260824204486176</v>
      </c>
    </row>
    <row r="560" s="2" customFormat="1" spans="1:14">
      <c r="A560" s="188">
        <v>45360</v>
      </c>
      <c r="B560" s="22">
        <v>1126.58</v>
      </c>
      <c r="C560" s="29">
        <v>1412306</v>
      </c>
      <c r="D560" s="24">
        <v>6961</v>
      </c>
      <c r="E560" s="29">
        <v>0</v>
      </c>
      <c r="F560" s="25">
        <v>0</v>
      </c>
      <c r="G560" s="23">
        <v>5</v>
      </c>
      <c r="H560" s="23">
        <v>8</v>
      </c>
      <c r="I560" s="23">
        <v>0</v>
      </c>
      <c r="J560" s="189">
        <f t="shared" si="23"/>
        <v>0.00492881854215729</v>
      </c>
      <c r="K560" s="89">
        <f t="shared" si="24"/>
        <v>0.161841689412441</v>
      </c>
      <c r="L560" s="30">
        <f t="shared" si="25"/>
        <v>0.7976883196701</v>
      </c>
      <c r="M560" s="90">
        <f t="shared" si="26"/>
        <v>0</v>
      </c>
      <c r="N560" s="91">
        <f t="shared" si="27"/>
        <v>0</v>
      </c>
    </row>
    <row r="561" s="2" customFormat="1" spans="1:14">
      <c r="A561" s="188">
        <v>45361</v>
      </c>
      <c r="B561" s="22">
        <v>1295.44</v>
      </c>
      <c r="C561" s="29">
        <v>1633138</v>
      </c>
      <c r="D561" s="24">
        <v>7762</v>
      </c>
      <c r="E561" s="29">
        <v>0</v>
      </c>
      <c r="F561" s="25">
        <v>0</v>
      </c>
      <c r="G561" s="23">
        <v>4</v>
      </c>
      <c r="H561" s="23">
        <v>5</v>
      </c>
      <c r="I561" s="23">
        <v>0</v>
      </c>
      <c r="J561" s="189">
        <f t="shared" si="23"/>
        <v>0.00475281329563087</v>
      </c>
      <c r="K561" s="89">
        <f t="shared" si="24"/>
        <v>0.166895130121103</v>
      </c>
      <c r="L561" s="30">
        <f t="shared" si="25"/>
        <v>0.793221393415621</v>
      </c>
      <c r="M561" s="90">
        <f t="shared" si="26"/>
        <v>0</v>
      </c>
      <c r="N561" s="91">
        <f t="shared" si="27"/>
        <v>0</v>
      </c>
    </row>
    <row r="562" s="2" customFormat="1" spans="1:14">
      <c r="A562" s="188">
        <v>45362</v>
      </c>
      <c r="B562" s="22">
        <v>995.85</v>
      </c>
      <c r="C562" s="29">
        <v>1358790</v>
      </c>
      <c r="D562" s="24">
        <v>6560</v>
      </c>
      <c r="E562" s="29">
        <v>0</v>
      </c>
      <c r="F562" s="25">
        <v>0</v>
      </c>
      <c r="G562" s="23">
        <v>3</v>
      </c>
      <c r="H562" s="23">
        <v>3</v>
      </c>
      <c r="I562" s="23">
        <v>0</v>
      </c>
      <c r="J562" s="189">
        <f t="shared" si="23"/>
        <v>0.00482782475584895</v>
      </c>
      <c r="K562" s="89">
        <f t="shared" si="24"/>
        <v>0.151806402439024</v>
      </c>
      <c r="L562" s="30">
        <f t="shared" si="25"/>
        <v>0.732894707791491</v>
      </c>
      <c r="M562" s="90">
        <f t="shared" si="26"/>
        <v>0</v>
      </c>
      <c r="N562" s="91">
        <f t="shared" si="27"/>
        <v>0</v>
      </c>
    </row>
    <row r="563" s="2" customFormat="1" spans="1:14">
      <c r="A563" s="188">
        <v>45363</v>
      </c>
      <c r="B563" s="22">
        <v>998.29</v>
      </c>
      <c r="C563" s="29">
        <v>1352183</v>
      </c>
      <c r="D563" s="24">
        <v>6745</v>
      </c>
      <c r="E563" s="29">
        <v>0</v>
      </c>
      <c r="F563" s="25">
        <v>0</v>
      </c>
      <c r="G563" s="23">
        <v>1</v>
      </c>
      <c r="H563" s="23">
        <v>11</v>
      </c>
      <c r="I563" s="23">
        <v>0</v>
      </c>
      <c r="J563" s="189">
        <f t="shared" si="23"/>
        <v>0.00498823014340515</v>
      </c>
      <c r="K563" s="89">
        <f t="shared" si="24"/>
        <v>0.148004447739066</v>
      </c>
      <c r="L563" s="30">
        <f t="shared" si="25"/>
        <v>0.73828024757004</v>
      </c>
      <c r="M563" s="90">
        <f t="shared" si="26"/>
        <v>0</v>
      </c>
      <c r="N563" s="91">
        <f t="shared" si="27"/>
        <v>0</v>
      </c>
    </row>
    <row r="564" s="2" customFormat="1" spans="1:14">
      <c r="A564" s="188">
        <v>45364</v>
      </c>
      <c r="B564" s="22">
        <v>994.85</v>
      </c>
      <c r="C564" s="29">
        <v>1169133</v>
      </c>
      <c r="D564" s="24">
        <v>6619</v>
      </c>
      <c r="E564" s="29">
        <v>0</v>
      </c>
      <c r="F564" s="25">
        <v>0</v>
      </c>
      <c r="G564" s="23">
        <v>1</v>
      </c>
      <c r="H564" s="23">
        <v>3</v>
      </c>
      <c r="I564" s="23">
        <v>1</v>
      </c>
      <c r="J564" s="189">
        <f t="shared" si="23"/>
        <v>0.00566146024447176</v>
      </c>
      <c r="K564" s="89">
        <f t="shared" si="24"/>
        <v>0.150302160447197</v>
      </c>
      <c r="L564" s="30">
        <f t="shared" si="25"/>
        <v>0.850929706030024</v>
      </c>
      <c r="M564" s="90">
        <f t="shared" si="26"/>
        <v>0</v>
      </c>
      <c r="N564" s="91">
        <f t="shared" si="27"/>
        <v>0</v>
      </c>
    </row>
    <row r="565" s="2" customFormat="1" spans="1:14">
      <c r="A565" s="188">
        <v>45365</v>
      </c>
      <c r="B565" s="22">
        <v>999.4</v>
      </c>
      <c r="C565" s="29">
        <v>1864329</v>
      </c>
      <c r="D565" s="24">
        <v>8066</v>
      </c>
      <c r="E565" s="29">
        <v>0</v>
      </c>
      <c r="F565" s="25">
        <v>0</v>
      </c>
      <c r="G565" s="23">
        <v>8</v>
      </c>
      <c r="H565" s="23">
        <v>10</v>
      </c>
      <c r="I565" s="23">
        <v>1</v>
      </c>
      <c r="J565" s="189">
        <f t="shared" si="23"/>
        <v>0.0043264895841882</v>
      </c>
      <c r="K565" s="89">
        <f t="shared" si="24"/>
        <v>0.123902801884453</v>
      </c>
      <c r="L565" s="30">
        <f t="shared" si="25"/>
        <v>0.536064181804821</v>
      </c>
      <c r="M565" s="90">
        <f t="shared" si="26"/>
        <v>0</v>
      </c>
      <c r="N565" s="91">
        <f t="shared" si="27"/>
        <v>0</v>
      </c>
    </row>
    <row r="566" s="2" customFormat="1" spans="1:14">
      <c r="A566" s="188">
        <v>45366</v>
      </c>
      <c r="B566" s="22">
        <v>996.34</v>
      </c>
      <c r="C566" s="29">
        <v>1530390</v>
      </c>
      <c r="D566" s="24">
        <v>7654</v>
      </c>
      <c r="E566" s="23">
        <v>0</v>
      </c>
      <c r="F566" s="25">
        <v>0</v>
      </c>
      <c r="G566" s="23">
        <v>9</v>
      </c>
      <c r="H566" s="23">
        <v>4</v>
      </c>
      <c r="I566" s="23">
        <v>0</v>
      </c>
      <c r="J566" s="189">
        <f t="shared" si="23"/>
        <v>0.00500133952783277</v>
      </c>
      <c r="K566" s="89">
        <f t="shared" si="24"/>
        <v>0.130172458845048</v>
      </c>
      <c r="L566" s="30">
        <f t="shared" si="25"/>
        <v>0.651036663856925</v>
      </c>
      <c r="M566" s="90">
        <f t="shared" si="26"/>
        <v>0</v>
      </c>
      <c r="N566" s="91">
        <f t="shared" si="27"/>
        <v>0</v>
      </c>
    </row>
    <row r="567" s="2" customFormat="1" spans="1:14">
      <c r="A567" s="188">
        <v>45367</v>
      </c>
      <c r="B567" s="22">
        <v>2187.49</v>
      </c>
      <c r="C567" s="29">
        <v>2828293</v>
      </c>
      <c r="D567" s="24">
        <v>16062</v>
      </c>
      <c r="E567" s="23">
        <v>0</v>
      </c>
      <c r="F567" s="25">
        <v>0</v>
      </c>
      <c r="G567" s="23">
        <v>9</v>
      </c>
      <c r="H567" s="23">
        <v>15</v>
      </c>
      <c r="I567" s="23">
        <v>3</v>
      </c>
      <c r="J567" s="189">
        <f t="shared" si="23"/>
        <v>0.00567904386143868</v>
      </c>
      <c r="K567" s="89">
        <f t="shared" si="24"/>
        <v>0.136190387249409</v>
      </c>
      <c r="L567" s="30">
        <f t="shared" si="25"/>
        <v>0.773431182695711</v>
      </c>
      <c r="M567" s="90">
        <f t="shared" si="26"/>
        <v>0</v>
      </c>
      <c r="N567" s="91">
        <f t="shared" si="27"/>
        <v>0</v>
      </c>
    </row>
    <row r="568" s="2" customFormat="1" spans="1:14">
      <c r="A568" s="188">
        <v>45368</v>
      </c>
      <c r="B568" s="22">
        <v>2193.43</v>
      </c>
      <c r="C568" s="29">
        <v>2920444</v>
      </c>
      <c r="D568" s="24">
        <v>15731</v>
      </c>
      <c r="E568" s="23">
        <v>0</v>
      </c>
      <c r="F568" s="25">
        <v>0</v>
      </c>
      <c r="G568" s="23">
        <v>20</v>
      </c>
      <c r="H568" s="23">
        <v>18</v>
      </c>
      <c r="I568" s="23">
        <v>4</v>
      </c>
      <c r="J568" s="189">
        <f t="shared" si="23"/>
        <v>0.00538650972249425</v>
      </c>
      <c r="K568" s="89">
        <f t="shared" si="24"/>
        <v>0.13943360244104</v>
      </c>
      <c r="L568" s="30">
        <f t="shared" si="25"/>
        <v>0.75106045519106</v>
      </c>
      <c r="M568" s="90">
        <f t="shared" si="26"/>
        <v>0</v>
      </c>
      <c r="N568" s="91">
        <f t="shared" si="27"/>
        <v>0</v>
      </c>
    </row>
    <row r="569" s="2" customFormat="1" spans="1:14">
      <c r="A569" s="188">
        <v>45369</v>
      </c>
      <c r="B569" s="22">
        <v>2196.25</v>
      </c>
      <c r="C569" s="29">
        <v>2962665</v>
      </c>
      <c r="D569" s="24">
        <v>16137</v>
      </c>
      <c r="E569" s="23">
        <v>0</v>
      </c>
      <c r="F569" s="25">
        <v>0</v>
      </c>
      <c r="G569" s="23">
        <v>19</v>
      </c>
      <c r="H569" s="23">
        <v>17</v>
      </c>
      <c r="I569" s="23">
        <v>1</v>
      </c>
      <c r="J569" s="189">
        <f t="shared" si="23"/>
        <v>0.00544678524234093</v>
      </c>
      <c r="K569" s="89">
        <f t="shared" si="24"/>
        <v>0.136100266468365</v>
      </c>
      <c r="L569" s="30">
        <f t="shared" si="25"/>
        <v>0.741308922878557</v>
      </c>
      <c r="M569" s="90">
        <f t="shared" si="26"/>
        <v>0</v>
      </c>
      <c r="N569" s="91">
        <f t="shared" si="27"/>
        <v>0</v>
      </c>
    </row>
    <row r="570" s="2" customFormat="1" spans="1:14">
      <c r="A570" s="188">
        <v>45370</v>
      </c>
      <c r="B570" s="22">
        <v>2183.14</v>
      </c>
      <c r="C570" s="29">
        <v>2697605</v>
      </c>
      <c r="D570" s="24">
        <v>15444</v>
      </c>
      <c r="E570" s="23">
        <v>0</v>
      </c>
      <c r="F570" s="25">
        <v>0</v>
      </c>
      <c r="G570" s="23">
        <v>11</v>
      </c>
      <c r="H570" s="23">
        <v>7</v>
      </c>
      <c r="I570" s="23">
        <v>2</v>
      </c>
      <c r="J570" s="189">
        <f t="shared" si="23"/>
        <v>0.00572507835654219</v>
      </c>
      <c r="K570" s="89">
        <f t="shared" si="24"/>
        <v>0.141358456358456</v>
      </c>
      <c r="L570" s="30">
        <f t="shared" si="25"/>
        <v>0.809288239012012</v>
      </c>
      <c r="M570" s="90">
        <f t="shared" si="26"/>
        <v>0</v>
      </c>
      <c r="N570" s="91">
        <f t="shared" si="27"/>
        <v>0</v>
      </c>
    </row>
    <row r="571" s="2" customFormat="1" spans="1:14">
      <c r="A571" s="188">
        <v>45371</v>
      </c>
      <c r="B571" s="22">
        <v>2191.05</v>
      </c>
      <c r="C571" s="5">
        <v>3131974</v>
      </c>
      <c r="D571" s="24">
        <v>15941</v>
      </c>
      <c r="E571" s="23">
        <v>0</v>
      </c>
      <c r="F571" s="25">
        <v>0</v>
      </c>
      <c r="G571" s="23">
        <v>14</v>
      </c>
      <c r="H571" s="23">
        <v>20</v>
      </c>
      <c r="I571" s="23">
        <v>4</v>
      </c>
      <c r="J571" s="189">
        <f t="shared" si="23"/>
        <v>0.00508976128154321</v>
      </c>
      <c r="K571" s="89">
        <f t="shared" si="24"/>
        <v>0.137447462518035</v>
      </c>
      <c r="L571" s="30">
        <f t="shared" si="25"/>
        <v>0.699574772970657</v>
      </c>
      <c r="M571" s="90">
        <f t="shared" si="26"/>
        <v>0</v>
      </c>
      <c r="N571" s="91">
        <f t="shared" si="27"/>
        <v>0</v>
      </c>
    </row>
    <row r="572" s="2" customFormat="1" spans="1:14">
      <c r="A572" s="188">
        <v>45372</v>
      </c>
      <c r="B572" s="22">
        <v>2180.11</v>
      </c>
      <c r="C572" s="29">
        <v>3212548</v>
      </c>
      <c r="D572" s="24">
        <v>15660</v>
      </c>
      <c r="E572" s="23">
        <v>0</v>
      </c>
      <c r="F572" s="25">
        <v>0</v>
      </c>
      <c r="G572" s="23">
        <v>16</v>
      </c>
      <c r="H572" s="23">
        <v>19</v>
      </c>
      <c r="I572" s="23">
        <v>3</v>
      </c>
      <c r="J572" s="189">
        <f t="shared" si="23"/>
        <v>0.00487463533618797</v>
      </c>
      <c r="K572" s="89">
        <f t="shared" si="24"/>
        <v>0.139215197956577</v>
      </c>
      <c r="L572" s="30">
        <f t="shared" si="25"/>
        <v>0.678623323293535</v>
      </c>
      <c r="M572" s="90">
        <f t="shared" si="26"/>
        <v>0</v>
      </c>
      <c r="N572" s="91">
        <f t="shared" si="27"/>
        <v>0</v>
      </c>
    </row>
    <row r="573" s="2" customFormat="1" spans="1:14">
      <c r="A573" s="188">
        <v>45373</v>
      </c>
      <c r="B573" s="22">
        <v>2173.24</v>
      </c>
      <c r="C573" s="29">
        <v>2619116</v>
      </c>
      <c r="D573" s="24">
        <v>14315</v>
      </c>
      <c r="E573" s="23">
        <v>0</v>
      </c>
      <c r="F573" s="25">
        <v>0</v>
      </c>
      <c r="G573" s="23">
        <v>4</v>
      </c>
      <c r="H573" s="23">
        <v>10</v>
      </c>
      <c r="I573" s="23">
        <v>1</v>
      </c>
      <c r="J573" s="189">
        <f t="shared" si="23"/>
        <v>0.00546558457128283</v>
      </c>
      <c r="K573" s="89">
        <f t="shared" si="24"/>
        <v>0.151815578064967</v>
      </c>
      <c r="L573" s="30">
        <f t="shared" si="25"/>
        <v>0.829760881152267</v>
      </c>
      <c r="M573" s="90">
        <f t="shared" si="26"/>
        <v>0</v>
      </c>
      <c r="N573" s="91">
        <f t="shared" si="27"/>
        <v>0</v>
      </c>
    </row>
    <row r="574" s="2" customFormat="1" spans="1:14">
      <c r="A574" s="188">
        <v>45374</v>
      </c>
      <c r="B574" s="22">
        <v>2180.57</v>
      </c>
      <c r="C574" s="29">
        <v>2996562</v>
      </c>
      <c r="D574" s="24">
        <v>15325</v>
      </c>
      <c r="E574" s="23">
        <v>0</v>
      </c>
      <c r="F574" s="25">
        <v>0</v>
      </c>
      <c r="G574" s="23">
        <v>11</v>
      </c>
      <c r="H574" s="23">
        <v>16</v>
      </c>
      <c r="I574" s="23">
        <v>3</v>
      </c>
      <c r="J574" s="189">
        <f t="shared" si="23"/>
        <v>0.0051141941998864</v>
      </c>
      <c r="K574" s="89">
        <f t="shared" si="24"/>
        <v>0.142288417618271</v>
      </c>
      <c r="L574" s="30">
        <f t="shared" si="25"/>
        <v>0.727690600094375</v>
      </c>
      <c r="M574" s="90">
        <f t="shared" si="26"/>
        <v>0</v>
      </c>
      <c r="N574" s="91">
        <f t="shared" si="27"/>
        <v>0</v>
      </c>
    </row>
    <row r="575" s="2" customFormat="1" spans="1:14">
      <c r="A575" s="188">
        <v>45375</v>
      </c>
      <c r="B575" s="22">
        <v>2194.89</v>
      </c>
      <c r="C575" s="29">
        <v>2851341</v>
      </c>
      <c r="D575" s="24">
        <v>16052</v>
      </c>
      <c r="E575" s="23">
        <v>0</v>
      </c>
      <c r="F575" s="25">
        <v>0</v>
      </c>
      <c r="G575" s="23">
        <v>5</v>
      </c>
      <c r="H575" s="23">
        <v>23</v>
      </c>
      <c r="I575" s="23">
        <v>3</v>
      </c>
      <c r="J575" s="189">
        <f t="shared" si="23"/>
        <v>0.00562963181183871</v>
      </c>
      <c r="K575" s="89">
        <f t="shared" si="24"/>
        <v>0.136736232245203</v>
      </c>
      <c r="L575" s="30">
        <f t="shared" si="25"/>
        <v>0.769774642878561</v>
      </c>
      <c r="M575" s="90">
        <f t="shared" si="26"/>
        <v>0</v>
      </c>
      <c r="N575" s="91">
        <f t="shared" si="27"/>
        <v>0</v>
      </c>
    </row>
    <row r="576" s="2" customFormat="1" spans="1:14">
      <c r="A576" s="188">
        <v>45376</v>
      </c>
      <c r="B576" s="22">
        <v>2195.77</v>
      </c>
      <c r="C576" s="29">
        <v>2924952</v>
      </c>
      <c r="D576" s="24">
        <v>15963</v>
      </c>
      <c r="E576" s="23">
        <v>0</v>
      </c>
      <c r="F576" s="25">
        <v>0</v>
      </c>
      <c r="G576" s="23">
        <v>6</v>
      </c>
      <c r="H576" s="23">
        <v>11</v>
      </c>
      <c r="I576" s="23">
        <v>3</v>
      </c>
      <c r="J576" s="189">
        <f t="shared" si="23"/>
        <v>0.00545752545682801</v>
      </c>
      <c r="K576" s="89">
        <f t="shared" si="24"/>
        <v>0.137553717972812</v>
      </c>
      <c r="L576" s="30">
        <f t="shared" si="25"/>
        <v>0.750702917517963</v>
      </c>
      <c r="M576" s="90">
        <f t="shared" si="26"/>
        <v>0</v>
      </c>
      <c r="N576" s="91">
        <f t="shared" si="27"/>
        <v>0</v>
      </c>
    </row>
    <row r="577" s="2" customFormat="1" spans="1:14">
      <c r="A577" s="188">
        <v>45377</v>
      </c>
      <c r="B577" s="22">
        <v>2156.38</v>
      </c>
      <c r="C577" s="29">
        <v>3134310</v>
      </c>
      <c r="D577" s="24">
        <v>16162</v>
      </c>
      <c r="E577" s="23">
        <v>0</v>
      </c>
      <c r="F577" s="25">
        <v>0</v>
      </c>
      <c r="G577" s="23">
        <v>18</v>
      </c>
      <c r="H577" s="23">
        <v>16</v>
      </c>
      <c r="I577" s="23">
        <v>1</v>
      </c>
      <c r="J577" s="189">
        <f t="shared" si="23"/>
        <v>0.00515647782127486</v>
      </c>
      <c r="K577" s="89">
        <f t="shared" si="24"/>
        <v>0.133422843707462</v>
      </c>
      <c r="L577" s="30">
        <f t="shared" si="25"/>
        <v>0.687991934428949</v>
      </c>
      <c r="M577" s="90">
        <f t="shared" si="26"/>
        <v>0</v>
      </c>
      <c r="N577" s="91">
        <f t="shared" si="27"/>
        <v>0</v>
      </c>
    </row>
    <row r="578" s="2" customFormat="1" spans="1:14">
      <c r="A578" s="188">
        <v>45378</v>
      </c>
      <c r="B578" s="22">
        <v>1685.48</v>
      </c>
      <c r="C578" s="29">
        <v>2558090</v>
      </c>
      <c r="D578" s="24">
        <v>13392</v>
      </c>
      <c r="E578" s="23">
        <v>0</v>
      </c>
      <c r="F578" s="25">
        <v>0</v>
      </c>
      <c r="G578" s="23">
        <v>7</v>
      </c>
      <c r="H578" s="23">
        <v>16</v>
      </c>
      <c r="I578" s="23">
        <v>0</v>
      </c>
      <c r="J578" s="189">
        <f t="shared" si="23"/>
        <v>0.00523515591711003</v>
      </c>
      <c r="K578" s="89">
        <f t="shared" si="24"/>
        <v>0.125857228195938</v>
      </c>
      <c r="L578" s="30">
        <f t="shared" si="25"/>
        <v>0.658882212901032</v>
      </c>
      <c r="M578" s="90">
        <f t="shared" si="26"/>
        <v>0</v>
      </c>
      <c r="N578" s="91">
        <f t="shared" si="27"/>
        <v>0</v>
      </c>
    </row>
    <row r="579" s="2" customFormat="1" spans="1:14">
      <c r="A579" s="188">
        <v>45379</v>
      </c>
      <c r="B579" s="22">
        <v>1698.28</v>
      </c>
      <c r="C579" s="29">
        <v>2524055</v>
      </c>
      <c r="D579" s="24">
        <v>13284</v>
      </c>
      <c r="E579" s="23">
        <v>0</v>
      </c>
      <c r="F579" s="25">
        <v>0</v>
      </c>
      <c r="G579" s="23">
        <v>2</v>
      </c>
      <c r="H579" s="23">
        <v>13</v>
      </c>
      <c r="I579" s="23">
        <v>0</v>
      </c>
      <c r="J579" s="189">
        <f t="shared" si="23"/>
        <v>0.00526295980079673</v>
      </c>
      <c r="K579" s="89">
        <f t="shared" si="24"/>
        <v>0.127844022884673</v>
      </c>
      <c r="L579" s="30">
        <f t="shared" si="25"/>
        <v>0.672837953214173</v>
      </c>
      <c r="M579" s="90">
        <f t="shared" si="26"/>
        <v>0</v>
      </c>
      <c r="N579" s="91">
        <f t="shared" si="27"/>
        <v>0</v>
      </c>
    </row>
    <row r="580" s="2" customFormat="1" spans="1:14">
      <c r="A580" s="188">
        <v>45380</v>
      </c>
      <c r="B580" s="22">
        <v>1696.2</v>
      </c>
      <c r="C580" s="29">
        <v>3139010</v>
      </c>
      <c r="D580" s="24">
        <v>16574</v>
      </c>
      <c r="E580" s="23">
        <v>0</v>
      </c>
      <c r="F580" s="25">
        <v>0</v>
      </c>
      <c r="G580" s="23">
        <v>11</v>
      </c>
      <c r="H580" s="23">
        <v>16</v>
      </c>
      <c r="I580" s="23">
        <v>3</v>
      </c>
      <c r="J580" s="189">
        <f t="shared" si="23"/>
        <v>0.00528000866515239</v>
      </c>
      <c r="K580" s="89">
        <f t="shared" si="24"/>
        <v>0.102341016049234</v>
      </c>
      <c r="L580" s="30">
        <f t="shared" si="25"/>
        <v>0.540361451540454</v>
      </c>
      <c r="M580" s="90">
        <f t="shared" si="26"/>
        <v>0</v>
      </c>
      <c r="N580" s="91">
        <f t="shared" si="27"/>
        <v>0</v>
      </c>
    </row>
    <row r="581" s="2" customFormat="1" spans="1:14">
      <c r="A581" s="188">
        <v>45381</v>
      </c>
      <c r="B581" s="22">
        <v>641.03</v>
      </c>
      <c r="C581" s="29">
        <v>2020412</v>
      </c>
      <c r="D581" s="24">
        <v>6391</v>
      </c>
      <c r="E581" s="23">
        <v>0</v>
      </c>
      <c r="F581" s="25">
        <v>0</v>
      </c>
      <c r="G581" s="23">
        <v>7</v>
      </c>
      <c r="H581" s="23">
        <v>8</v>
      </c>
      <c r="I581" s="23">
        <v>1</v>
      </c>
      <c r="J581" s="189">
        <f t="shared" si="23"/>
        <v>0.00316321621530658</v>
      </c>
      <c r="K581" s="89">
        <f t="shared" si="24"/>
        <v>0.100301987169457</v>
      </c>
      <c r="L581" s="30">
        <f t="shared" si="25"/>
        <v>0.317276872241899</v>
      </c>
      <c r="M581" s="90">
        <f t="shared" si="26"/>
        <v>0</v>
      </c>
      <c r="N581" s="91">
        <f t="shared" si="27"/>
        <v>0</v>
      </c>
    </row>
    <row r="582" s="2" customFormat="1" spans="1:14">
      <c r="A582" s="188">
        <v>45382</v>
      </c>
      <c r="B582" s="22">
        <v>640.06</v>
      </c>
      <c r="C582" s="29">
        <v>1942008</v>
      </c>
      <c r="D582" s="24">
        <v>6389</v>
      </c>
      <c r="E582" s="23">
        <v>0</v>
      </c>
      <c r="F582" s="25">
        <v>0</v>
      </c>
      <c r="G582" s="23">
        <v>3</v>
      </c>
      <c r="H582" s="23">
        <v>2</v>
      </c>
      <c r="I582" s="23">
        <v>0</v>
      </c>
      <c r="J582" s="189">
        <f t="shared" si="23"/>
        <v>0.00328989375944898</v>
      </c>
      <c r="K582" s="89">
        <f t="shared" si="24"/>
        <v>0.10018156205979</v>
      </c>
      <c r="L582" s="30">
        <f t="shared" si="25"/>
        <v>0.329586695832355</v>
      </c>
      <c r="M582" s="90">
        <f t="shared" si="26"/>
        <v>0</v>
      </c>
      <c r="N582" s="91">
        <f t="shared" si="27"/>
        <v>0</v>
      </c>
    </row>
    <row r="583" s="2" customFormat="1" spans="1:14">
      <c r="A583" s="188">
        <v>45383</v>
      </c>
      <c r="B583" s="22">
        <v>777.41</v>
      </c>
      <c r="C583" s="29">
        <v>1416906</v>
      </c>
      <c r="D583" s="24">
        <v>4707</v>
      </c>
      <c r="E583" s="23">
        <v>0</v>
      </c>
      <c r="F583" s="25">
        <v>0</v>
      </c>
      <c r="G583" s="23">
        <v>3</v>
      </c>
      <c r="H583" s="23">
        <v>3</v>
      </c>
      <c r="I583" s="23">
        <v>0</v>
      </c>
      <c r="J583" s="189">
        <f t="shared" si="23"/>
        <v>0.00332202700814309</v>
      </c>
      <c r="K583" s="89">
        <f t="shared" si="24"/>
        <v>0.165160399405141</v>
      </c>
      <c r="L583" s="30">
        <f t="shared" si="25"/>
        <v>0.54866730749958</v>
      </c>
      <c r="M583" s="90">
        <f t="shared" si="26"/>
        <v>0</v>
      </c>
      <c r="N583" s="91">
        <f t="shared" si="27"/>
        <v>0</v>
      </c>
    </row>
    <row r="584" s="2" customFormat="1" spans="1:14">
      <c r="A584" s="188">
        <v>45384</v>
      </c>
      <c r="B584" s="22">
        <v>784.92</v>
      </c>
      <c r="C584" s="29">
        <v>1186983</v>
      </c>
      <c r="D584" s="24">
        <v>4522</v>
      </c>
      <c r="E584" s="23">
        <v>0</v>
      </c>
      <c r="F584" s="25">
        <v>0</v>
      </c>
      <c r="G584" s="23">
        <v>2</v>
      </c>
      <c r="H584" s="23">
        <v>1</v>
      </c>
      <c r="I584" s="23">
        <v>1</v>
      </c>
      <c r="J584" s="189">
        <f t="shared" si="23"/>
        <v>0.00380965860505163</v>
      </c>
      <c r="K584" s="89">
        <f t="shared" si="24"/>
        <v>0.173578062804069</v>
      </c>
      <c r="L584" s="30">
        <f t="shared" si="25"/>
        <v>0.661273160609714</v>
      </c>
      <c r="M584" s="90">
        <f t="shared" si="26"/>
        <v>0</v>
      </c>
      <c r="N584" s="91">
        <f t="shared" si="27"/>
        <v>0</v>
      </c>
    </row>
    <row r="585" s="2" customFormat="1" spans="1:14">
      <c r="A585" s="188">
        <v>45385</v>
      </c>
      <c r="B585" s="22">
        <v>892.24</v>
      </c>
      <c r="C585" s="29">
        <v>1333328</v>
      </c>
      <c r="D585" s="24">
        <v>4636</v>
      </c>
      <c r="E585" s="23">
        <v>0</v>
      </c>
      <c r="F585" s="25">
        <v>0</v>
      </c>
      <c r="G585" s="23">
        <v>1</v>
      </c>
      <c r="H585" s="23">
        <v>1</v>
      </c>
      <c r="I585" s="23">
        <v>3</v>
      </c>
      <c r="J585" s="189">
        <f t="shared" si="23"/>
        <v>0.00347701390805563</v>
      </c>
      <c r="K585" s="89">
        <f t="shared" si="24"/>
        <v>0.192459016393443</v>
      </c>
      <c r="L585" s="30">
        <f t="shared" si="25"/>
        <v>0.669182676730707</v>
      </c>
      <c r="M585" s="90">
        <f t="shared" si="26"/>
        <v>0</v>
      </c>
      <c r="N585" s="91">
        <f t="shared" si="27"/>
        <v>0</v>
      </c>
    </row>
    <row r="586" s="2" customFormat="1" spans="1:14">
      <c r="A586" s="188">
        <v>45386</v>
      </c>
      <c r="B586" s="22">
        <v>898.56</v>
      </c>
      <c r="C586" s="29">
        <v>1169372</v>
      </c>
      <c r="D586" s="24">
        <v>5094</v>
      </c>
      <c r="E586" s="23">
        <v>0</v>
      </c>
      <c r="F586" s="25">
        <v>0</v>
      </c>
      <c r="G586" s="23">
        <v>4</v>
      </c>
      <c r="H586" s="23">
        <v>7</v>
      </c>
      <c r="I586" s="23">
        <v>8</v>
      </c>
      <c r="J586" s="189">
        <f t="shared" si="23"/>
        <v>0.00435618434510147</v>
      </c>
      <c r="K586" s="89">
        <f t="shared" si="24"/>
        <v>0.176395759717314</v>
      </c>
      <c r="L586" s="30">
        <f t="shared" si="25"/>
        <v>0.768412447022846</v>
      </c>
      <c r="M586" s="90">
        <f t="shared" si="26"/>
        <v>0</v>
      </c>
      <c r="N586" s="91">
        <f t="shared" si="27"/>
        <v>0</v>
      </c>
    </row>
    <row r="587" s="2" customFormat="1" spans="1:14">
      <c r="A587" s="188">
        <v>45387</v>
      </c>
      <c r="B587" s="22">
        <v>871.17</v>
      </c>
      <c r="C587" s="29">
        <v>1402983</v>
      </c>
      <c r="D587" s="24">
        <v>5161</v>
      </c>
      <c r="E587" s="23">
        <v>0</v>
      </c>
      <c r="F587" s="25">
        <v>0</v>
      </c>
      <c r="G587" s="23">
        <v>1</v>
      </c>
      <c r="H587" s="23">
        <v>3</v>
      </c>
      <c r="I587" s="23">
        <v>6</v>
      </c>
      <c r="J587" s="189">
        <f t="shared" si="23"/>
        <v>0.00367859054600091</v>
      </c>
      <c r="K587" s="89">
        <f t="shared" si="24"/>
        <v>0.168798682425886</v>
      </c>
      <c r="L587" s="30">
        <f t="shared" si="25"/>
        <v>0.620941237349277</v>
      </c>
      <c r="M587" s="90">
        <f t="shared" si="26"/>
        <v>0</v>
      </c>
      <c r="N587" s="91">
        <f t="shared" si="27"/>
        <v>0</v>
      </c>
    </row>
    <row r="588" s="2" customFormat="1" spans="1:14">
      <c r="A588" s="190">
        <v>45388</v>
      </c>
      <c r="B588" s="191">
        <v>870.79</v>
      </c>
      <c r="C588" s="192">
        <v>1255974</v>
      </c>
      <c r="D588" s="193">
        <v>5067</v>
      </c>
      <c r="E588" s="50">
        <v>0</v>
      </c>
      <c r="F588" s="181">
        <v>0</v>
      </c>
      <c r="G588" s="50">
        <v>3</v>
      </c>
      <c r="H588" s="50">
        <v>9</v>
      </c>
      <c r="I588" s="50">
        <v>9</v>
      </c>
      <c r="J588" s="194">
        <f t="shared" si="23"/>
        <v>0.0040343191817665</v>
      </c>
      <c r="K588" s="100">
        <f t="shared" si="24"/>
        <v>0.171855141109138</v>
      </c>
      <c r="L588" s="30">
        <f t="shared" si="25"/>
        <v>0.693318492261783</v>
      </c>
      <c r="M588" s="195">
        <f t="shared" si="26"/>
        <v>0</v>
      </c>
      <c r="N588" s="117">
        <f t="shared" si="27"/>
        <v>0</v>
      </c>
    </row>
    <row r="589" s="2" customFormat="1" spans="1:14">
      <c r="A589" s="86">
        <v>45389</v>
      </c>
      <c r="B589" s="22">
        <v>887.27</v>
      </c>
      <c r="C589" s="29">
        <v>1409911</v>
      </c>
      <c r="D589" s="24">
        <v>5464</v>
      </c>
      <c r="E589" s="23">
        <v>0</v>
      </c>
      <c r="F589" s="25">
        <v>0</v>
      </c>
      <c r="G589" s="23">
        <v>1</v>
      </c>
      <c r="H589" s="23">
        <v>4</v>
      </c>
      <c r="I589" s="23">
        <v>5</v>
      </c>
      <c r="J589" s="189">
        <f t="shared" si="23"/>
        <v>0.00387542192379519</v>
      </c>
      <c r="K589" s="89">
        <f t="shared" si="24"/>
        <v>0.162384699853587</v>
      </c>
      <c r="L589" s="30">
        <f t="shared" si="25"/>
        <v>0.629309225901493</v>
      </c>
      <c r="M589" s="90">
        <f t="shared" si="26"/>
        <v>0</v>
      </c>
      <c r="N589" s="91">
        <f t="shared" si="27"/>
        <v>0</v>
      </c>
    </row>
    <row r="590" s="2" customFormat="1" spans="1:14">
      <c r="A590" s="86">
        <v>45390</v>
      </c>
      <c r="B590" s="22">
        <v>899.52</v>
      </c>
      <c r="C590" s="29">
        <v>1289496</v>
      </c>
      <c r="D590" s="24">
        <v>5449</v>
      </c>
      <c r="E590" s="23">
        <v>0</v>
      </c>
      <c r="F590" s="25">
        <v>0</v>
      </c>
      <c r="G590" s="23">
        <v>5</v>
      </c>
      <c r="H590" s="23">
        <v>3</v>
      </c>
      <c r="I590" s="23">
        <v>8</v>
      </c>
      <c r="J590" s="189">
        <f t="shared" si="23"/>
        <v>0.00422568197187118</v>
      </c>
      <c r="K590" s="89">
        <f t="shared" si="24"/>
        <v>0.165079831161681</v>
      </c>
      <c r="L590" s="30">
        <f t="shared" si="25"/>
        <v>0.697574866459454</v>
      </c>
      <c r="M590" s="90">
        <f t="shared" si="26"/>
        <v>0</v>
      </c>
      <c r="N590" s="91">
        <f t="shared" si="27"/>
        <v>0</v>
      </c>
    </row>
    <row r="591" s="2" customFormat="1" spans="1:14">
      <c r="A591" s="86">
        <v>45391</v>
      </c>
      <c r="B591" s="22">
        <v>881.29</v>
      </c>
      <c r="C591" s="29">
        <v>1469057</v>
      </c>
      <c r="D591" s="24">
        <v>5500</v>
      </c>
      <c r="E591" s="23">
        <v>0</v>
      </c>
      <c r="F591" s="25">
        <v>0</v>
      </c>
      <c r="G591" s="23">
        <v>0</v>
      </c>
      <c r="H591" s="23">
        <v>2</v>
      </c>
      <c r="I591" s="23">
        <v>5</v>
      </c>
      <c r="J591" s="189">
        <f t="shared" si="23"/>
        <v>0.00374389829666242</v>
      </c>
      <c r="K591" s="89">
        <f t="shared" si="24"/>
        <v>0.160234545454545</v>
      </c>
      <c r="L591" s="30">
        <f t="shared" si="25"/>
        <v>0.599901841793749</v>
      </c>
      <c r="M591" s="90">
        <f t="shared" si="26"/>
        <v>0</v>
      </c>
      <c r="N591" s="91">
        <f t="shared" si="27"/>
        <v>0</v>
      </c>
    </row>
    <row r="592" s="2" customFormat="1" spans="1:14">
      <c r="A592" s="196">
        <v>45392</v>
      </c>
      <c r="B592" s="22">
        <v>1186.15</v>
      </c>
      <c r="C592" s="29">
        <v>1542277</v>
      </c>
      <c r="D592" s="24">
        <v>6621</v>
      </c>
      <c r="E592" s="23">
        <v>0</v>
      </c>
      <c r="F592" s="25">
        <v>0</v>
      </c>
      <c r="G592" s="23">
        <v>1</v>
      </c>
      <c r="H592" s="23">
        <v>6</v>
      </c>
      <c r="I592" s="23">
        <v>5</v>
      </c>
      <c r="J592" s="197">
        <f t="shared" si="23"/>
        <v>0.00429300313756867</v>
      </c>
      <c r="K592" s="89">
        <f t="shared" si="24"/>
        <v>0.179149675275638</v>
      </c>
      <c r="L592" s="30">
        <f t="shared" si="25"/>
        <v>0.769090118052723</v>
      </c>
      <c r="M592" s="90">
        <f t="shared" si="26"/>
        <v>0</v>
      </c>
      <c r="N592" s="91">
        <f t="shared" si="27"/>
        <v>0</v>
      </c>
    </row>
    <row r="593" s="2" customFormat="1" spans="1:14">
      <c r="A593" s="198">
        <v>45393</v>
      </c>
      <c r="B593" s="22">
        <v>1194.5</v>
      </c>
      <c r="C593" s="29">
        <v>1755610</v>
      </c>
      <c r="D593" s="24">
        <v>6669</v>
      </c>
      <c r="E593" s="23">
        <v>0</v>
      </c>
      <c r="F593" s="25">
        <v>0</v>
      </c>
      <c r="G593" s="23">
        <v>2</v>
      </c>
      <c r="H593" s="23">
        <v>3</v>
      </c>
      <c r="I593" s="23">
        <v>2</v>
      </c>
      <c r="J593" s="189">
        <f t="shared" si="23"/>
        <v>0.00379867966120038</v>
      </c>
      <c r="K593" s="89">
        <f t="shared" si="24"/>
        <v>0.179112310691258</v>
      </c>
      <c r="L593" s="30">
        <f t="shared" si="25"/>
        <v>0.680390291693485</v>
      </c>
      <c r="M593" s="90">
        <f t="shared" si="26"/>
        <v>0</v>
      </c>
      <c r="N593" s="91">
        <f t="shared" si="27"/>
        <v>0</v>
      </c>
    </row>
    <row r="594" s="2" customFormat="1" spans="1:14">
      <c r="A594" s="101">
        <v>45394</v>
      </c>
      <c r="B594" s="187">
        <v>1192.11</v>
      </c>
      <c r="C594" s="111">
        <v>1804460</v>
      </c>
      <c r="D594" s="112">
        <v>7101</v>
      </c>
      <c r="E594" s="57">
        <v>0</v>
      </c>
      <c r="F594" s="172">
        <v>0</v>
      </c>
      <c r="G594" s="57">
        <v>3</v>
      </c>
      <c r="H594" s="57">
        <v>6</v>
      </c>
      <c r="I594" s="57">
        <v>9</v>
      </c>
      <c r="J594" s="197">
        <f t="shared" si="23"/>
        <v>0.00393524932666837</v>
      </c>
      <c r="K594" s="89">
        <f t="shared" si="24"/>
        <v>0.167879171947613</v>
      </c>
      <c r="L594" s="30">
        <f t="shared" si="25"/>
        <v>0.660646398368487</v>
      </c>
      <c r="M594" s="90">
        <f t="shared" si="26"/>
        <v>0</v>
      </c>
      <c r="N594" s="91">
        <f t="shared" si="27"/>
        <v>0</v>
      </c>
    </row>
    <row r="595" s="2" customFormat="1" spans="1:14">
      <c r="A595" s="101">
        <v>45395</v>
      </c>
      <c r="B595" s="187">
        <v>1616.18</v>
      </c>
      <c r="C595" s="111">
        <v>1799216</v>
      </c>
      <c r="D595" s="112">
        <v>7120</v>
      </c>
      <c r="E595" s="57">
        <v>0</v>
      </c>
      <c r="F595" s="172">
        <v>0</v>
      </c>
      <c r="G595" s="57">
        <v>8</v>
      </c>
      <c r="H595" s="57">
        <v>43</v>
      </c>
      <c r="I595" s="57">
        <v>6</v>
      </c>
      <c r="J595" s="194">
        <f t="shared" si="23"/>
        <v>0.00395727917048314</v>
      </c>
      <c r="K595" s="100">
        <f t="shared" si="24"/>
        <v>0.226991573033708</v>
      </c>
      <c r="L595" s="30">
        <f t="shared" si="25"/>
        <v>0.898269023841495</v>
      </c>
      <c r="M595" s="195">
        <f t="shared" si="26"/>
        <v>0</v>
      </c>
      <c r="N595" s="117">
        <f t="shared" si="27"/>
        <v>0</v>
      </c>
    </row>
    <row r="596" s="2" customFormat="1" spans="1:14">
      <c r="A596" s="188">
        <v>45396</v>
      </c>
      <c r="B596" s="22">
        <v>1780.15</v>
      </c>
      <c r="C596" s="29">
        <v>1861844</v>
      </c>
      <c r="D596" s="24">
        <v>7778</v>
      </c>
      <c r="E596" s="23">
        <v>0</v>
      </c>
      <c r="F596" s="25">
        <v>0</v>
      </c>
      <c r="G596" s="23">
        <v>18</v>
      </c>
      <c r="H596" s="23">
        <v>83</v>
      </c>
      <c r="I596" s="23">
        <v>12</v>
      </c>
      <c r="J596" s="189">
        <f t="shared" si="23"/>
        <v>0.00417757878748166</v>
      </c>
      <c r="K596" s="89">
        <f t="shared" si="24"/>
        <v>0.228869889431731</v>
      </c>
      <c r="L596" s="30">
        <f t="shared" si="25"/>
        <v>0.95612199518327</v>
      </c>
      <c r="M596" s="90">
        <f t="shared" si="26"/>
        <v>0</v>
      </c>
      <c r="N596" s="91">
        <f t="shared" si="27"/>
        <v>0</v>
      </c>
    </row>
    <row r="597" s="2" customFormat="1" spans="1:14">
      <c r="A597" s="101">
        <v>45397</v>
      </c>
      <c r="B597" s="187">
        <v>1359.26</v>
      </c>
      <c r="C597" s="111">
        <v>1292101</v>
      </c>
      <c r="D597" s="112">
        <v>5258</v>
      </c>
      <c r="E597" s="57">
        <v>0</v>
      </c>
      <c r="F597" s="172">
        <v>0</v>
      </c>
      <c r="G597" s="57">
        <v>14</v>
      </c>
      <c r="H597" s="57">
        <v>58</v>
      </c>
      <c r="I597" s="57">
        <v>6</v>
      </c>
      <c r="J597" s="194">
        <f t="shared" si="23"/>
        <v>0.00406934132858035</v>
      </c>
      <c r="K597" s="100">
        <f t="shared" si="24"/>
        <v>0.258512742487638</v>
      </c>
      <c r="L597" s="30">
        <f t="shared" si="25"/>
        <v>1.05197658696959</v>
      </c>
      <c r="M597" s="195">
        <f t="shared" si="26"/>
        <v>0</v>
      </c>
      <c r="N597" s="117">
        <f t="shared" si="27"/>
        <v>0</v>
      </c>
    </row>
    <row r="598" s="2" customFormat="1" spans="1:14">
      <c r="A598" s="101">
        <v>45398</v>
      </c>
      <c r="B598" s="187">
        <v>1701.24</v>
      </c>
      <c r="C598" s="111">
        <v>1494776</v>
      </c>
      <c r="D598" s="112">
        <v>7083</v>
      </c>
      <c r="E598" s="57">
        <v>0</v>
      </c>
      <c r="F598" s="172">
        <v>0</v>
      </c>
      <c r="G598" s="57">
        <v>14</v>
      </c>
      <c r="H598" s="57">
        <v>41</v>
      </c>
      <c r="I598" s="57">
        <v>14</v>
      </c>
      <c r="J598" s="194">
        <f t="shared" si="23"/>
        <v>0.0047385026251425</v>
      </c>
      <c r="K598" s="100">
        <f t="shared" si="24"/>
        <v>0.240186361711139</v>
      </c>
      <c r="L598" s="30">
        <f t="shared" si="25"/>
        <v>1.13812370549166</v>
      </c>
      <c r="M598" s="195">
        <f t="shared" si="26"/>
        <v>0</v>
      </c>
      <c r="N598" s="117">
        <f t="shared" si="27"/>
        <v>0</v>
      </c>
    </row>
    <row r="599" s="2" customFormat="1" spans="1:14">
      <c r="A599" s="188">
        <v>45399</v>
      </c>
      <c r="B599" s="22">
        <v>1700.72</v>
      </c>
      <c r="C599" s="29">
        <v>1636790</v>
      </c>
      <c r="D599" s="24">
        <v>6685</v>
      </c>
      <c r="E599" s="23">
        <v>0</v>
      </c>
      <c r="F599" s="25">
        <v>0</v>
      </c>
      <c r="G599" s="23">
        <v>13</v>
      </c>
      <c r="H599" s="23">
        <v>47</v>
      </c>
      <c r="I599" s="23">
        <v>11</v>
      </c>
      <c r="J599" s="189">
        <f t="shared" si="23"/>
        <v>0.00408421361323077</v>
      </c>
      <c r="K599" s="89">
        <f t="shared" si="24"/>
        <v>0.254408376963351</v>
      </c>
      <c r="L599" s="30">
        <f t="shared" si="25"/>
        <v>1.03905815651366</v>
      </c>
      <c r="M599" s="90">
        <f t="shared" si="26"/>
        <v>0</v>
      </c>
      <c r="N599" s="91">
        <f t="shared" si="27"/>
        <v>0</v>
      </c>
    </row>
    <row r="600" s="2" customFormat="1" spans="1:14">
      <c r="A600" s="188">
        <v>45400</v>
      </c>
      <c r="B600" s="22">
        <v>1823.01</v>
      </c>
      <c r="C600" s="29">
        <v>1742945</v>
      </c>
      <c r="D600" s="24">
        <v>6734</v>
      </c>
      <c r="E600" s="23">
        <v>0</v>
      </c>
      <c r="F600" s="25">
        <v>0</v>
      </c>
      <c r="G600" s="23">
        <v>13</v>
      </c>
      <c r="H600" s="23">
        <v>36</v>
      </c>
      <c r="I600" s="23">
        <v>5</v>
      </c>
      <c r="J600" s="189">
        <f t="shared" si="23"/>
        <v>0.00386357572958412</v>
      </c>
      <c r="K600" s="89">
        <f t="shared" si="24"/>
        <v>0.270717255717256</v>
      </c>
      <c r="L600" s="30">
        <f t="shared" si="25"/>
        <v>1.04593661876881</v>
      </c>
      <c r="M600" s="90">
        <f t="shared" si="26"/>
        <v>0</v>
      </c>
      <c r="N600" s="91">
        <f t="shared" si="27"/>
        <v>0</v>
      </c>
    </row>
    <row r="601" s="2" customFormat="1" spans="1:14">
      <c r="A601" s="188">
        <v>45401</v>
      </c>
      <c r="B601" s="22">
        <v>1830.97</v>
      </c>
      <c r="C601" s="29">
        <v>1730124</v>
      </c>
      <c r="D601" s="24">
        <v>7425</v>
      </c>
      <c r="E601" s="23">
        <v>0</v>
      </c>
      <c r="F601" s="25">
        <v>0</v>
      </c>
      <c r="G601" s="23">
        <v>17</v>
      </c>
      <c r="H601" s="23">
        <v>39</v>
      </c>
      <c r="I601" s="23">
        <v>5</v>
      </c>
      <c r="J601" s="189">
        <f t="shared" si="23"/>
        <v>0.00429159990844587</v>
      </c>
      <c r="K601" s="89">
        <f t="shared" si="24"/>
        <v>0.246595286195286</v>
      </c>
      <c r="L601" s="30">
        <f t="shared" si="25"/>
        <v>1.05828830765887</v>
      </c>
      <c r="M601" s="90">
        <f t="shared" si="26"/>
        <v>0</v>
      </c>
      <c r="N601" s="91">
        <f t="shared" si="27"/>
        <v>0</v>
      </c>
    </row>
    <row r="602" s="2" customFormat="1" spans="1:14">
      <c r="A602" s="188">
        <v>45402</v>
      </c>
      <c r="B602" s="22">
        <v>1824.03</v>
      </c>
      <c r="C602" s="29">
        <v>1664846</v>
      </c>
      <c r="D602" s="24">
        <v>7223</v>
      </c>
      <c r="E602" s="23">
        <v>0</v>
      </c>
      <c r="F602" s="25">
        <v>0</v>
      </c>
      <c r="G602" s="23">
        <v>10</v>
      </c>
      <c r="H602" s="23">
        <v>43</v>
      </c>
      <c r="I602" s="23">
        <v>10</v>
      </c>
      <c r="J602" s="189">
        <f t="shared" si="23"/>
        <v>0.00433853942046291</v>
      </c>
      <c r="K602" s="89">
        <f t="shared" si="24"/>
        <v>0.252530804374913</v>
      </c>
      <c r="L602" s="30">
        <f t="shared" si="25"/>
        <v>1.09561484966177</v>
      </c>
      <c r="M602" s="90">
        <f t="shared" si="26"/>
        <v>0</v>
      </c>
      <c r="N602" s="91">
        <f t="shared" si="27"/>
        <v>0</v>
      </c>
    </row>
    <row r="603" s="2" customFormat="1" spans="1:14">
      <c r="A603" s="188">
        <v>45403</v>
      </c>
      <c r="B603" s="22">
        <v>1817.57</v>
      </c>
      <c r="C603" s="29">
        <v>1517208</v>
      </c>
      <c r="D603" s="24">
        <v>6922</v>
      </c>
      <c r="E603" s="23">
        <v>0</v>
      </c>
      <c r="F603" s="25">
        <v>0</v>
      </c>
      <c r="G603" s="23">
        <v>8</v>
      </c>
      <c r="H603" s="23">
        <v>56</v>
      </c>
      <c r="I603" s="23">
        <v>3</v>
      </c>
      <c r="J603" s="189">
        <f t="shared" si="23"/>
        <v>0.00456232764393544</v>
      </c>
      <c r="K603" s="89">
        <f t="shared" si="24"/>
        <v>0.262578734469806</v>
      </c>
      <c r="L603" s="30">
        <f t="shared" si="25"/>
        <v>1.19797021898118</v>
      </c>
      <c r="M603" s="90">
        <f t="shared" si="26"/>
        <v>0</v>
      </c>
      <c r="N603" s="91">
        <f t="shared" si="27"/>
        <v>0</v>
      </c>
    </row>
    <row r="604" s="2" customFormat="1" spans="1:14">
      <c r="A604" s="188">
        <v>45404</v>
      </c>
      <c r="B604" s="22">
        <v>1812.88</v>
      </c>
      <c r="C604" s="29">
        <v>1604496</v>
      </c>
      <c r="D604" s="24">
        <v>7289</v>
      </c>
      <c r="E604" s="23">
        <v>0</v>
      </c>
      <c r="F604" s="25">
        <v>0</v>
      </c>
      <c r="G604" s="23">
        <v>7</v>
      </c>
      <c r="H604" s="23">
        <v>45</v>
      </c>
      <c r="I604" s="23">
        <v>12</v>
      </c>
      <c r="J604" s="189">
        <f t="shared" si="23"/>
        <v>0.00454285956462341</v>
      </c>
      <c r="K604" s="89">
        <f t="shared" si="24"/>
        <v>0.248714501303334</v>
      </c>
      <c r="L604" s="30">
        <f t="shared" si="25"/>
        <v>1.12987505110639</v>
      </c>
      <c r="M604" s="90">
        <f t="shared" si="26"/>
        <v>0</v>
      </c>
      <c r="N604" s="91">
        <f t="shared" si="27"/>
        <v>0</v>
      </c>
    </row>
    <row r="605" s="2" customFormat="1" spans="1:14">
      <c r="A605" s="188">
        <v>45405</v>
      </c>
      <c r="B605" s="22">
        <v>1870.93</v>
      </c>
      <c r="C605" s="29">
        <v>1670978</v>
      </c>
      <c r="D605" s="24">
        <v>7357</v>
      </c>
      <c r="E605" s="23">
        <v>0</v>
      </c>
      <c r="F605" s="25">
        <v>0</v>
      </c>
      <c r="G605" s="23">
        <v>8</v>
      </c>
      <c r="H605" s="23">
        <v>33</v>
      </c>
      <c r="I605" s="23">
        <v>12</v>
      </c>
      <c r="J605" s="189">
        <f t="shared" si="23"/>
        <v>0.00440281080899928</v>
      </c>
      <c r="K605" s="89">
        <f t="shared" si="24"/>
        <v>0.254306103031127</v>
      </c>
      <c r="L605" s="30">
        <f t="shared" si="25"/>
        <v>1.11966165921993</v>
      </c>
      <c r="M605" s="90">
        <f t="shared" si="26"/>
        <v>0</v>
      </c>
      <c r="N605" s="91">
        <f t="shared" si="27"/>
        <v>0</v>
      </c>
    </row>
    <row r="606" s="2" customFormat="1" spans="1:14">
      <c r="A606" s="101">
        <v>45406</v>
      </c>
      <c r="B606" s="4">
        <v>1812.67</v>
      </c>
      <c r="C606" s="5">
        <v>1684527</v>
      </c>
      <c r="D606" s="24">
        <v>7866</v>
      </c>
      <c r="E606" s="23">
        <v>0</v>
      </c>
      <c r="F606" s="25">
        <v>0</v>
      </c>
      <c r="G606" s="23">
        <v>3</v>
      </c>
      <c r="H606" s="23">
        <v>39</v>
      </c>
      <c r="I606" s="23">
        <v>19</v>
      </c>
      <c r="J606" s="189">
        <f t="shared" si="23"/>
        <v>0.00466956006047989</v>
      </c>
      <c r="K606" s="89">
        <f t="shared" si="24"/>
        <v>0.230443681667938</v>
      </c>
      <c r="L606" s="30">
        <f t="shared" si="25"/>
        <v>1.07607061210654</v>
      </c>
      <c r="M606" s="90">
        <f t="shared" si="26"/>
        <v>0</v>
      </c>
      <c r="N606" s="91">
        <f t="shared" si="27"/>
        <v>0</v>
      </c>
    </row>
    <row r="607" s="2" customFormat="1" spans="1:14">
      <c r="A607" s="101">
        <v>45407</v>
      </c>
      <c r="B607" s="22">
        <v>1845.38</v>
      </c>
      <c r="C607" s="29">
        <v>1070774</v>
      </c>
      <c r="D607" s="24">
        <v>5809</v>
      </c>
      <c r="E607" s="23">
        <v>0</v>
      </c>
      <c r="F607" s="25">
        <v>0</v>
      </c>
      <c r="G607" s="23">
        <v>14</v>
      </c>
      <c r="H607" s="23">
        <v>43</v>
      </c>
      <c r="I607" s="23">
        <v>8</v>
      </c>
      <c r="J607" s="189">
        <f t="shared" si="23"/>
        <v>0.0054250476757934</v>
      </c>
      <c r="K607" s="89">
        <f t="shared" si="24"/>
        <v>0.317676019969014</v>
      </c>
      <c r="L607" s="30">
        <f t="shared" si="25"/>
        <v>1.72340755378819</v>
      </c>
      <c r="M607" s="90">
        <f t="shared" si="26"/>
        <v>0</v>
      </c>
      <c r="N607" s="91">
        <f t="shared" si="27"/>
        <v>0</v>
      </c>
    </row>
    <row r="608" s="2" customFormat="1" spans="1:14">
      <c r="A608" s="101">
        <v>45408</v>
      </c>
      <c r="B608" s="22">
        <v>1840.78</v>
      </c>
      <c r="C608" s="29">
        <v>1133317</v>
      </c>
      <c r="D608" s="24">
        <v>6020</v>
      </c>
      <c r="E608" s="23">
        <v>0</v>
      </c>
      <c r="F608" s="25">
        <v>0</v>
      </c>
      <c r="G608" s="23">
        <v>12</v>
      </c>
      <c r="H608" s="23">
        <v>50</v>
      </c>
      <c r="I608" s="23">
        <v>14</v>
      </c>
      <c r="J608" s="189">
        <f t="shared" si="23"/>
        <v>0.00531184125888873</v>
      </c>
      <c r="K608" s="89">
        <f t="shared" si="24"/>
        <v>0.305777408637874</v>
      </c>
      <c r="L608" s="30">
        <f t="shared" si="25"/>
        <v>1.62424105523874</v>
      </c>
      <c r="M608" s="90">
        <f t="shared" si="26"/>
        <v>0</v>
      </c>
      <c r="N608" s="91">
        <f t="shared" si="27"/>
        <v>0</v>
      </c>
    </row>
    <row r="609" s="2" customFormat="1" spans="1:14">
      <c r="A609" s="110">
        <v>45409</v>
      </c>
      <c r="B609" s="191">
        <v>1678.27</v>
      </c>
      <c r="C609" s="192">
        <v>1073748</v>
      </c>
      <c r="D609" s="193">
        <v>5832</v>
      </c>
      <c r="E609" s="50">
        <v>0</v>
      </c>
      <c r="F609" s="181">
        <v>0</v>
      </c>
      <c r="G609" s="50">
        <v>14</v>
      </c>
      <c r="H609" s="50">
        <v>52</v>
      </c>
      <c r="I609" s="50">
        <v>13</v>
      </c>
      <c r="J609" s="194">
        <f t="shared" si="23"/>
        <v>0.00543144201432738</v>
      </c>
      <c r="K609" s="100">
        <f t="shared" si="24"/>
        <v>0.287769204389575</v>
      </c>
      <c r="L609" s="30">
        <f t="shared" si="25"/>
        <v>1.5630017471511</v>
      </c>
      <c r="M609" s="195">
        <f t="shared" si="26"/>
        <v>0</v>
      </c>
      <c r="N609" s="117">
        <f t="shared" si="27"/>
        <v>0</v>
      </c>
    </row>
    <row r="610" s="2" customFormat="1" spans="1:14">
      <c r="A610" s="86">
        <v>45410</v>
      </c>
      <c r="B610" s="22">
        <v>1693.51</v>
      </c>
      <c r="C610" s="29">
        <v>1414956</v>
      </c>
      <c r="D610" s="24">
        <v>6397</v>
      </c>
      <c r="E610" s="23">
        <v>0</v>
      </c>
      <c r="F610" s="25">
        <v>0</v>
      </c>
      <c r="G610" s="23">
        <v>11</v>
      </c>
      <c r="H610" s="23">
        <v>60</v>
      </c>
      <c r="I610" s="23">
        <v>8</v>
      </c>
      <c r="J610" s="189">
        <f t="shared" si="23"/>
        <v>0.00452098863851597</v>
      </c>
      <c r="K610" s="89">
        <f t="shared" si="24"/>
        <v>0.264735032046272</v>
      </c>
      <c r="L610" s="30">
        <f t="shared" si="25"/>
        <v>1.19686407209835</v>
      </c>
      <c r="M610" s="90">
        <f t="shared" si="26"/>
        <v>0</v>
      </c>
      <c r="N610" s="91">
        <f t="shared" si="27"/>
        <v>0</v>
      </c>
    </row>
    <row r="611" s="2" customFormat="1" spans="1:14">
      <c r="A611" s="86">
        <v>45411</v>
      </c>
      <c r="B611" s="22">
        <v>1612.88</v>
      </c>
      <c r="C611" s="29">
        <v>1345869</v>
      </c>
      <c r="D611" s="24">
        <v>6527</v>
      </c>
      <c r="E611" s="23">
        <v>0</v>
      </c>
      <c r="F611" s="25">
        <v>0</v>
      </c>
      <c r="G611" s="23">
        <v>10</v>
      </c>
      <c r="H611" s="23">
        <v>57</v>
      </c>
      <c r="I611" s="23">
        <v>4</v>
      </c>
      <c r="J611" s="194">
        <f t="shared" si="23"/>
        <v>0.00484965475837544</v>
      </c>
      <c r="K611" s="100">
        <f t="shared" si="24"/>
        <v>0.247108932128083</v>
      </c>
      <c r="L611" s="30">
        <f t="shared" si="25"/>
        <v>1.19839300853203</v>
      </c>
      <c r="M611" s="195">
        <f t="shared" si="26"/>
        <v>0</v>
      </c>
      <c r="N611" s="117">
        <f t="shared" si="27"/>
        <v>0</v>
      </c>
    </row>
    <row r="612" s="2" customFormat="1" spans="1:14">
      <c r="A612" s="86">
        <v>45412</v>
      </c>
      <c r="B612" s="22">
        <v>1670.3</v>
      </c>
      <c r="C612" s="29">
        <v>1729855</v>
      </c>
      <c r="D612" s="24">
        <v>7338</v>
      </c>
      <c r="E612" s="23">
        <v>0</v>
      </c>
      <c r="F612" s="25">
        <v>0</v>
      </c>
      <c r="G612" s="23">
        <v>11</v>
      </c>
      <c r="H612" s="23">
        <v>49</v>
      </c>
      <c r="I612" s="23">
        <v>9</v>
      </c>
      <c r="J612" s="189">
        <f t="shared" si="23"/>
        <v>0.00424197403828645</v>
      </c>
      <c r="K612" s="89">
        <f t="shared" si="24"/>
        <v>0.227623330607795</v>
      </c>
      <c r="L612" s="30">
        <f t="shared" si="25"/>
        <v>0.965572258946559</v>
      </c>
      <c r="M612" s="90">
        <f t="shared" si="26"/>
        <v>0</v>
      </c>
      <c r="N612" s="91">
        <f t="shared" si="27"/>
        <v>0</v>
      </c>
    </row>
    <row r="613" s="2" customFormat="1" spans="1:14">
      <c r="A613" s="86">
        <v>45413</v>
      </c>
      <c r="B613" s="22">
        <v>1695.32</v>
      </c>
      <c r="C613" s="29">
        <v>1793557</v>
      </c>
      <c r="D613" s="24">
        <v>7502</v>
      </c>
      <c r="E613" s="23">
        <v>0</v>
      </c>
      <c r="F613" s="25">
        <v>0</v>
      </c>
      <c r="G613" s="23">
        <v>17</v>
      </c>
      <c r="H613" s="23">
        <v>57</v>
      </c>
      <c r="I613" s="23">
        <v>8</v>
      </c>
      <c r="J613" s="194">
        <f t="shared" si="23"/>
        <v>0.00418274969794659</v>
      </c>
      <c r="K613" s="100">
        <f t="shared" si="24"/>
        <v>0.225982404692082</v>
      </c>
      <c r="L613" s="30">
        <f t="shared" si="25"/>
        <v>0.945227834967051</v>
      </c>
      <c r="M613" s="195">
        <f t="shared" si="26"/>
        <v>0</v>
      </c>
      <c r="N613" s="117">
        <f t="shared" si="27"/>
        <v>0</v>
      </c>
    </row>
    <row r="614" s="2" customFormat="1" spans="1:14">
      <c r="A614" s="86">
        <v>45414</v>
      </c>
      <c r="B614" s="22">
        <v>1693.39</v>
      </c>
      <c r="C614" s="29">
        <v>1805797</v>
      </c>
      <c r="D614" s="24">
        <v>7768</v>
      </c>
      <c r="E614" s="23">
        <v>0</v>
      </c>
      <c r="F614" s="25">
        <v>0</v>
      </c>
      <c r="G614" s="23">
        <v>15</v>
      </c>
      <c r="H614" s="23">
        <v>35</v>
      </c>
      <c r="I614" s="23">
        <v>13</v>
      </c>
      <c r="J614" s="189">
        <f t="shared" si="23"/>
        <v>0.00430170168629143</v>
      </c>
      <c r="K614" s="89">
        <f t="shared" si="24"/>
        <v>0.217995623069001</v>
      </c>
      <c r="L614" s="30">
        <f t="shared" si="25"/>
        <v>0.937752139360072</v>
      </c>
      <c r="M614" s="90">
        <f t="shared" si="26"/>
        <v>0</v>
      </c>
      <c r="N614" s="91">
        <f t="shared" si="27"/>
        <v>0</v>
      </c>
    </row>
    <row r="615" s="2" customFormat="1" spans="1:14">
      <c r="A615" s="86">
        <v>45415</v>
      </c>
      <c r="B615" s="22">
        <v>1695.49</v>
      </c>
      <c r="C615" s="29">
        <v>1789372</v>
      </c>
      <c r="D615" s="24">
        <v>8232</v>
      </c>
      <c r="E615" s="23">
        <v>0</v>
      </c>
      <c r="F615" s="25">
        <v>0</v>
      </c>
      <c r="G615" s="23">
        <v>15</v>
      </c>
      <c r="H615" s="23">
        <v>50</v>
      </c>
      <c r="I615" s="23">
        <v>9</v>
      </c>
      <c r="J615" s="194">
        <f t="shared" si="23"/>
        <v>0.00460049671057779</v>
      </c>
      <c r="K615" s="100">
        <f t="shared" si="24"/>
        <v>0.205963313896987</v>
      </c>
      <c r="L615" s="30">
        <f t="shared" si="25"/>
        <v>0.947533548082791</v>
      </c>
      <c r="M615" s="195">
        <f t="shared" si="26"/>
        <v>0</v>
      </c>
      <c r="N615" s="117">
        <f t="shared" si="27"/>
        <v>0</v>
      </c>
    </row>
    <row r="616" s="2" customFormat="1" spans="1:14">
      <c r="A616" s="86">
        <v>45416</v>
      </c>
      <c r="B616" s="22">
        <v>1572.38</v>
      </c>
      <c r="C616" s="29">
        <v>1757614</v>
      </c>
      <c r="D616" s="24">
        <v>7730</v>
      </c>
      <c r="E616" s="23">
        <v>0</v>
      </c>
      <c r="F616" s="25">
        <v>0</v>
      </c>
      <c r="G616" s="23">
        <v>14</v>
      </c>
      <c r="H616" s="23">
        <v>49</v>
      </c>
      <c r="I616" s="23">
        <v>8</v>
      </c>
      <c r="J616" s="189">
        <f t="shared" si="23"/>
        <v>0.00439800775369336</v>
      </c>
      <c r="K616" s="89">
        <f t="shared" si="24"/>
        <v>0.203412677878396</v>
      </c>
      <c r="L616" s="30">
        <f t="shared" si="25"/>
        <v>0.894610534508715</v>
      </c>
      <c r="M616" s="90">
        <f t="shared" si="26"/>
        <v>0</v>
      </c>
      <c r="N616" s="91">
        <f t="shared" si="27"/>
        <v>0</v>
      </c>
    </row>
    <row r="617" s="2" customFormat="1" spans="1:14">
      <c r="A617" s="86">
        <v>45417</v>
      </c>
      <c r="B617" s="22">
        <v>1674.59</v>
      </c>
      <c r="C617" s="29">
        <v>1740519</v>
      </c>
      <c r="D617" s="24">
        <v>7979</v>
      </c>
      <c r="E617" s="23">
        <v>0</v>
      </c>
      <c r="F617" s="25">
        <v>0</v>
      </c>
      <c r="G617" s="23">
        <v>15</v>
      </c>
      <c r="H617" s="23">
        <v>35</v>
      </c>
      <c r="I617" s="23">
        <v>10</v>
      </c>
      <c r="J617" s="194">
        <f t="shared" ref="J617:J649" si="28">D617/C617</f>
        <v>0.00458426480837038</v>
      </c>
      <c r="K617" s="100">
        <f t="shared" ref="K617:K649" si="29">B617/D617</f>
        <v>0.209874671011405</v>
      </c>
      <c r="L617" s="30">
        <f t="shared" ref="L617:L680" si="30">B617/C617*1000</f>
        <v>0.962121068485894</v>
      </c>
      <c r="M617" s="195">
        <f t="shared" ref="M617:M649" si="31">F617/B617</f>
        <v>0</v>
      </c>
      <c r="N617" s="117">
        <f t="shared" ref="N617:N649" si="32">E617/D617</f>
        <v>0</v>
      </c>
    </row>
    <row r="618" s="2" customFormat="1" spans="1:14">
      <c r="A618" s="86">
        <v>45418</v>
      </c>
      <c r="B618" s="22">
        <v>1684.74</v>
      </c>
      <c r="C618" s="29">
        <v>1811084</v>
      </c>
      <c r="D618" s="24">
        <v>7893</v>
      </c>
      <c r="E618" s="23">
        <v>0</v>
      </c>
      <c r="F618" s="25">
        <v>0</v>
      </c>
      <c r="G618" s="23">
        <v>18</v>
      </c>
      <c r="H618" s="23">
        <v>29</v>
      </c>
      <c r="I618" s="23">
        <v>8</v>
      </c>
      <c r="J618" s="189">
        <f t="shared" si="28"/>
        <v>0.00435816339827418</v>
      </c>
      <c r="K618" s="89">
        <f t="shared" si="29"/>
        <v>0.213447358418852</v>
      </c>
      <c r="L618" s="30">
        <f t="shared" si="30"/>
        <v>0.930238464919352</v>
      </c>
      <c r="M618" s="90">
        <f t="shared" si="31"/>
        <v>0</v>
      </c>
      <c r="N618" s="91">
        <f t="shared" si="32"/>
        <v>0</v>
      </c>
    </row>
    <row r="619" s="2" customFormat="1" spans="1:14">
      <c r="A619" s="86">
        <v>45419</v>
      </c>
      <c r="B619" s="22">
        <v>1273.51</v>
      </c>
      <c r="C619" s="29">
        <v>1341091</v>
      </c>
      <c r="D619" s="24">
        <v>5493</v>
      </c>
      <c r="E619" s="23">
        <v>0</v>
      </c>
      <c r="F619" s="25">
        <v>0</v>
      </c>
      <c r="G619" s="23">
        <v>13</v>
      </c>
      <c r="H619" s="23">
        <v>38</v>
      </c>
      <c r="I619" s="23">
        <v>8</v>
      </c>
      <c r="J619" s="189">
        <f t="shared" si="28"/>
        <v>0.00409591891974519</v>
      </c>
      <c r="K619" s="89">
        <f t="shared" si="29"/>
        <v>0.231842344802476</v>
      </c>
      <c r="L619" s="30">
        <f t="shared" si="30"/>
        <v>0.94960744647455</v>
      </c>
      <c r="M619" s="90">
        <f t="shared" si="31"/>
        <v>0</v>
      </c>
      <c r="N619" s="91">
        <f t="shared" si="32"/>
        <v>0</v>
      </c>
    </row>
    <row r="620" s="2" customFormat="1" spans="1:14">
      <c r="A620" s="86">
        <v>45420</v>
      </c>
      <c r="B620" s="22">
        <v>1264.99</v>
      </c>
      <c r="C620" s="29">
        <v>1322250</v>
      </c>
      <c r="D620" s="24">
        <v>5093</v>
      </c>
      <c r="E620" s="29">
        <v>0</v>
      </c>
      <c r="F620" s="25">
        <v>0</v>
      </c>
      <c r="G620" s="23">
        <v>16</v>
      </c>
      <c r="H620" s="23">
        <v>29</v>
      </c>
      <c r="I620" s="23">
        <v>5</v>
      </c>
      <c r="J620" s="189">
        <f t="shared" si="28"/>
        <v>0.00385176782000378</v>
      </c>
      <c r="K620" s="89">
        <f t="shared" si="29"/>
        <v>0.248378166110348</v>
      </c>
      <c r="L620" s="30">
        <f t="shared" si="30"/>
        <v>0.95669502741539</v>
      </c>
      <c r="M620" s="90">
        <f t="shared" si="31"/>
        <v>0</v>
      </c>
      <c r="N620" s="91">
        <f t="shared" si="32"/>
        <v>0</v>
      </c>
    </row>
    <row r="621" s="2" customFormat="1" spans="1:14">
      <c r="A621" s="86">
        <v>45421</v>
      </c>
      <c r="B621" s="22">
        <v>1021.55</v>
      </c>
      <c r="C621" s="29">
        <v>1291351</v>
      </c>
      <c r="D621" s="24">
        <v>4439</v>
      </c>
      <c r="E621" s="29">
        <v>0</v>
      </c>
      <c r="F621" s="25">
        <v>0</v>
      </c>
      <c r="G621" s="23">
        <v>13</v>
      </c>
      <c r="H621" s="23">
        <v>27</v>
      </c>
      <c r="I621" s="23">
        <v>2</v>
      </c>
      <c r="J621" s="189">
        <f t="shared" si="28"/>
        <v>0.00343748523832792</v>
      </c>
      <c r="K621" s="89">
        <f t="shared" si="29"/>
        <v>0.230130660058572</v>
      </c>
      <c r="L621" s="30">
        <f t="shared" si="30"/>
        <v>0.791070746838001</v>
      </c>
      <c r="M621" s="90">
        <f t="shared" si="31"/>
        <v>0</v>
      </c>
      <c r="N621" s="91">
        <f t="shared" si="32"/>
        <v>0</v>
      </c>
    </row>
    <row r="622" s="2" customFormat="1" spans="1:14">
      <c r="A622" s="86">
        <v>45422</v>
      </c>
      <c r="B622" s="22">
        <v>1026.58</v>
      </c>
      <c r="C622" s="24">
        <v>1178274</v>
      </c>
      <c r="D622" s="24">
        <v>4329</v>
      </c>
      <c r="E622" s="23">
        <v>0</v>
      </c>
      <c r="F622" s="25">
        <v>0</v>
      </c>
      <c r="G622" s="23">
        <v>9</v>
      </c>
      <c r="H622" s="23">
        <v>25</v>
      </c>
      <c r="I622" s="23">
        <v>1</v>
      </c>
      <c r="J622" s="189">
        <f t="shared" si="28"/>
        <v>0.0036740180976581</v>
      </c>
      <c r="K622" s="89">
        <f t="shared" si="29"/>
        <v>0.237140217140217</v>
      </c>
      <c r="L622" s="30">
        <f t="shared" si="30"/>
        <v>0.871257449455729</v>
      </c>
      <c r="M622" s="90">
        <f t="shared" si="31"/>
        <v>0</v>
      </c>
      <c r="N622" s="91">
        <f t="shared" si="32"/>
        <v>0</v>
      </c>
    </row>
    <row r="623" s="2" customFormat="1" spans="1:14">
      <c r="A623" s="86">
        <v>45423</v>
      </c>
      <c r="B623" s="22">
        <v>1018.05</v>
      </c>
      <c r="C623" s="24">
        <v>1210739</v>
      </c>
      <c r="D623" s="24">
        <v>4287</v>
      </c>
      <c r="E623" s="23">
        <v>0</v>
      </c>
      <c r="F623" s="25">
        <v>0</v>
      </c>
      <c r="G623" s="23">
        <v>12</v>
      </c>
      <c r="H623" s="23">
        <v>30</v>
      </c>
      <c r="I623" s="23">
        <v>1</v>
      </c>
      <c r="J623" s="189">
        <f t="shared" si="28"/>
        <v>0.00354081267721615</v>
      </c>
      <c r="K623" s="89">
        <f t="shared" si="29"/>
        <v>0.237473757872638</v>
      </c>
      <c r="L623" s="30">
        <f t="shared" si="30"/>
        <v>0.840850092381595</v>
      </c>
      <c r="M623" s="90">
        <f t="shared" si="31"/>
        <v>0</v>
      </c>
      <c r="N623" s="91">
        <f t="shared" si="32"/>
        <v>0</v>
      </c>
    </row>
    <row r="624" s="2" customFormat="1" spans="1:14">
      <c r="A624" s="86">
        <v>45424</v>
      </c>
      <c r="B624" s="22">
        <v>1023.49</v>
      </c>
      <c r="C624" s="24">
        <v>1220466</v>
      </c>
      <c r="D624" s="24">
        <v>4688</v>
      </c>
      <c r="E624" s="23">
        <v>0</v>
      </c>
      <c r="F624" s="25">
        <v>0</v>
      </c>
      <c r="G624" s="23">
        <v>10</v>
      </c>
      <c r="H624" s="23">
        <v>35</v>
      </c>
      <c r="I624" s="23">
        <v>3</v>
      </c>
      <c r="J624" s="189">
        <f t="shared" si="28"/>
        <v>0.0038411557552607</v>
      </c>
      <c r="K624" s="89">
        <f t="shared" si="29"/>
        <v>0.218321245733788</v>
      </c>
      <c r="L624" s="30">
        <f t="shared" si="30"/>
        <v>0.838605909546026</v>
      </c>
      <c r="M624" s="90">
        <f t="shared" si="31"/>
        <v>0</v>
      </c>
      <c r="N624" s="91">
        <f t="shared" si="32"/>
        <v>0</v>
      </c>
    </row>
    <row r="625" s="2" customFormat="1" spans="1:14">
      <c r="A625" s="86">
        <v>45425</v>
      </c>
      <c r="B625" s="22">
        <v>1017.57</v>
      </c>
      <c r="C625" s="24">
        <v>1129852</v>
      </c>
      <c r="D625" s="24">
        <v>4414</v>
      </c>
      <c r="E625" s="23">
        <v>0</v>
      </c>
      <c r="F625" s="25">
        <v>0</v>
      </c>
      <c r="G625" s="23">
        <v>7</v>
      </c>
      <c r="H625" s="23">
        <v>33</v>
      </c>
      <c r="I625" s="23">
        <v>1</v>
      </c>
      <c r="J625" s="189">
        <f t="shared" si="28"/>
        <v>0.00390670636508144</v>
      </c>
      <c r="K625" s="89">
        <f t="shared" si="29"/>
        <v>0.230532396918894</v>
      </c>
      <c r="L625" s="30">
        <f t="shared" si="30"/>
        <v>0.900622382400527</v>
      </c>
      <c r="M625" s="90">
        <f t="shared" si="31"/>
        <v>0</v>
      </c>
      <c r="N625" s="91">
        <f t="shared" si="32"/>
        <v>0</v>
      </c>
    </row>
    <row r="626" s="2" customFormat="1" spans="1:14">
      <c r="A626" s="86">
        <v>45426</v>
      </c>
      <c r="B626" s="22">
        <v>1012.52</v>
      </c>
      <c r="C626" s="24">
        <v>1152501</v>
      </c>
      <c r="D626" s="24">
        <v>4443</v>
      </c>
      <c r="E626" s="23">
        <v>0</v>
      </c>
      <c r="F626" s="25">
        <v>0</v>
      </c>
      <c r="G626" s="23">
        <v>17</v>
      </c>
      <c r="H626" s="23">
        <v>52</v>
      </c>
      <c r="I626" s="23">
        <v>2</v>
      </c>
      <c r="J626" s="189">
        <f t="shared" si="28"/>
        <v>0.00385509426889868</v>
      </c>
      <c r="K626" s="89">
        <f t="shared" si="29"/>
        <v>0.227891064595994</v>
      </c>
      <c r="L626" s="30">
        <f t="shared" si="30"/>
        <v>0.878541537057235</v>
      </c>
      <c r="M626" s="90">
        <f t="shared" si="31"/>
        <v>0</v>
      </c>
      <c r="N626" s="91">
        <f t="shared" si="32"/>
        <v>0</v>
      </c>
    </row>
    <row r="627" s="2" customFormat="1" spans="1:14">
      <c r="A627" s="86">
        <v>45427</v>
      </c>
      <c r="B627" s="22">
        <v>990.77</v>
      </c>
      <c r="C627" s="24">
        <v>1150797</v>
      </c>
      <c r="D627" s="24">
        <v>3951</v>
      </c>
      <c r="E627" s="23">
        <v>0</v>
      </c>
      <c r="F627" s="25">
        <v>0</v>
      </c>
      <c r="G627" s="23">
        <v>7</v>
      </c>
      <c r="H627" s="23">
        <v>70</v>
      </c>
      <c r="I627" s="23">
        <v>3</v>
      </c>
      <c r="J627" s="189">
        <f t="shared" si="28"/>
        <v>0.00343327276661305</v>
      </c>
      <c r="K627" s="89">
        <f t="shared" si="29"/>
        <v>0.250764363452291</v>
      </c>
      <c r="L627" s="30">
        <f t="shared" si="30"/>
        <v>0.860942459877806</v>
      </c>
      <c r="M627" s="90">
        <f t="shared" si="31"/>
        <v>0</v>
      </c>
      <c r="N627" s="91">
        <f t="shared" si="32"/>
        <v>0</v>
      </c>
    </row>
    <row r="628" s="2" customFormat="1" spans="1:14">
      <c r="A628" s="86">
        <v>45428</v>
      </c>
      <c r="B628" s="22">
        <v>757.55</v>
      </c>
      <c r="C628" s="24">
        <v>988431</v>
      </c>
      <c r="D628" s="24">
        <v>3353</v>
      </c>
      <c r="E628" s="23">
        <v>0</v>
      </c>
      <c r="F628" s="25">
        <v>0</v>
      </c>
      <c r="G628" s="23">
        <v>6</v>
      </c>
      <c r="H628" s="23">
        <v>35</v>
      </c>
      <c r="I628" s="23">
        <v>0</v>
      </c>
      <c r="J628" s="189">
        <f t="shared" si="28"/>
        <v>0.00339224488102862</v>
      </c>
      <c r="K628" s="89">
        <f t="shared" si="29"/>
        <v>0.225932001192962</v>
      </c>
      <c r="L628" s="30">
        <f t="shared" si="30"/>
        <v>0.766416674507376</v>
      </c>
      <c r="M628" s="90">
        <f t="shared" si="31"/>
        <v>0</v>
      </c>
      <c r="N628" s="91">
        <f t="shared" si="32"/>
        <v>0</v>
      </c>
    </row>
    <row r="629" s="2" customFormat="1" spans="1:14">
      <c r="A629" s="86">
        <v>45429</v>
      </c>
      <c r="B629" s="199">
        <v>769.59</v>
      </c>
      <c r="C629" s="24">
        <v>924162</v>
      </c>
      <c r="D629" s="24">
        <v>3006</v>
      </c>
      <c r="E629" s="23">
        <v>0</v>
      </c>
      <c r="F629" s="25">
        <v>0</v>
      </c>
      <c r="G629" s="23">
        <v>8</v>
      </c>
      <c r="H629" s="23">
        <v>33</v>
      </c>
      <c r="I629" s="23">
        <v>0</v>
      </c>
      <c r="J629" s="189">
        <f t="shared" si="28"/>
        <v>0.00325267647879917</v>
      </c>
      <c r="K629" s="89">
        <f t="shared" si="29"/>
        <v>0.256017964071856</v>
      </c>
      <c r="L629" s="30">
        <f t="shared" si="30"/>
        <v>0.832743609886578</v>
      </c>
      <c r="M629" s="90">
        <f t="shared" si="31"/>
        <v>0</v>
      </c>
      <c r="N629" s="91">
        <f t="shared" si="32"/>
        <v>0</v>
      </c>
    </row>
    <row r="630" s="2" customFormat="1" spans="1:14">
      <c r="A630" s="86">
        <v>45430</v>
      </c>
      <c r="B630" s="199">
        <v>766.28</v>
      </c>
      <c r="C630" s="24">
        <v>933606</v>
      </c>
      <c r="D630" s="24">
        <v>3061</v>
      </c>
      <c r="E630" s="23">
        <v>0</v>
      </c>
      <c r="F630" s="25">
        <v>0</v>
      </c>
      <c r="G630" s="23">
        <v>8</v>
      </c>
      <c r="H630" s="23">
        <v>51</v>
      </c>
      <c r="I630" s="23">
        <v>2</v>
      </c>
      <c r="J630" s="189">
        <f t="shared" si="28"/>
        <v>0.00327868501273557</v>
      </c>
      <c r="K630" s="89">
        <f t="shared" si="29"/>
        <v>0.250336491342698</v>
      </c>
      <c r="L630" s="30">
        <f t="shared" si="30"/>
        <v>0.820774502306112</v>
      </c>
      <c r="M630" s="90">
        <f t="shared" si="31"/>
        <v>0</v>
      </c>
      <c r="N630" s="91">
        <f t="shared" si="32"/>
        <v>0</v>
      </c>
    </row>
    <row r="631" s="2" customFormat="1" spans="1:14">
      <c r="A631" s="86">
        <v>45431</v>
      </c>
      <c r="B631" s="199">
        <v>761.01</v>
      </c>
      <c r="C631" s="24">
        <v>949583</v>
      </c>
      <c r="D631" s="24">
        <v>2984</v>
      </c>
      <c r="E631" s="23">
        <v>0</v>
      </c>
      <c r="F631" s="25">
        <v>0</v>
      </c>
      <c r="G631" s="23">
        <v>15</v>
      </c>
      <c r="H631" s="23">
        <v>34</v>
      </c>
      <c r="I631" s="23">
        <v>1</v>
      </c>
      <c r="J631" s="189">
        <f t="shared" si="28"/>
        <v>0.00314243199383308</v>
      </c>
      <c r="K631" s="89">
        <f t="shared" si="29"/>
        <v>0.255030160857909</v>
      </c>
      <c r="L631" s="30">
        <f t="shared" si="30"/>
        <v>0.80141493687229</v>
      </c>
      <c r="M631" s="90">
        <f t="shared" si="31"/>
        <v>0</v>
      </c>
      <c r="N631" s="91">
        <f t="shared" si="32"/>
        <v>0</v>
      </c>
    </row>
    <row r="632" s="2" customFormat="1" spans="1:14">
      <c r="A632" s="86">
        <v>45432</v>
      </c>
      <c r="B632" s="199">
        <v>756.32</v>
      </c>
      <c r="C632" s="24">
        <v>1071320</v>
      </c>
      <c r="D632" s="24">
        <v>2673</v>
      </c>
      <c r="E632" s="23">
        <v>0</v>
      </c>
      <c r="F632" s="25">
        <v>0</v>
      </c>
      <c r="G632" s="23">
        <v>9</v>
      </c>
      <c r="H632" s="23">
        <v>22</v>
      </c>
      <c r="I632" s="23">
        <v>2</v>
      </c>
      <c r="J632" s="189">
        <f t="shared" si="28"/>
        <v>0.00249505283202031</v>
      </c>
      <c r="K632" s="89">
        <f t="shared" si="29"/>
        <v>0.282947998503554</v>
      </c>
      <c r="L632" s="30">
        <f t="shared" si="30"/>
        <v>0.705970204980771</v>
      </c>
      <c r="M632" s="90">
        <f t="shared" si="31"/>
        <v>0</v>
      </c>
      <c r="N632" s="91">
        <f t="shared" si="32"/>
        <v>0</v>
      </c>
    </row>
    <row r="633" s="2" customFormat="1" spans="1:14">
      <c r="A633" s="86">
        <v>45433</v>
      </c>
      <c r="B633" s="199">
        <v>770.75</v>
      </c>
      <c r="C633" s="24">
        <v>1086213</v>
      </c>
      <c r="D633" s="24">
        <v>3098</v>
      </c>
      <c r="E633" s="23">
        <v>0</v>
      </c>
      <c r="F633" s="25">
        <v>0</v>
      </c>
      <c r="G633" s="23">
        <v>10</v>
      </c>
      <c r="H633" s="23">
        <v>41</v>
      </c>
      <c r="I633" s="23">
        <v>2</v>
      </c>
      <c r="J633" s="189">
        <f t="shared" si="28"/>
        <v>0.0028521109579797</v>
      </c>
      <c r="K633" s="89">
        <f t="shared" si="29"/>
        <v>0.248789541639768</v>
      </c>
      <c r="L633" s="30">
        <f t="shared" si="30"/>
        <v>0.709575377941527</v>
      </c>
      <c r="M633" s="90">
        <f t="shared" si="31"/>
        <v>0</v>
      </c>
      <c r="N633" s="91">
        <f t="shared" si="32"/>
        <v>0</v>
      </c>
    </row>
    <row r="634" s="2" customFormat="1" spans="1:14">
      <c r="A634" s="86">
        <v>45434</v>
      </c>
      <c r="B634" s="199">
        <v>602.89</v>
      </c>
      <c r="C634" s="24">
        <v>943762</v>
      </c>
      <c r="D634" s="24">
        <v>2635</v>
      </c>
      <c r="E634" s="23">
        <v>0</v>
      </c>
      <c r="F634" s="25">
        <v>0</v>
      </c>
      <c r="G634" s="23">
        <v>4</v>
      </c>
      <c r="H634" s="23">
        <v>20</v>
      </c>
      <c r="I634" s="23">
        <v>0</v>
      </c>
      <c r="J634" s="189">
        <f t="shared" si="28"/>
        <v>0.00279201747898305</v>
      </c>
      <c r="K634" s="89">
        <f t="shared" si="29"/>
        <v>0.228800759013283</v>
      </c>
      <c r="L634" s="30">
        <f t="shared" si="30"/>
        <v>0.638815718369674</v>
      </c>
      <c r="M634" s="90">
        <f t="shared" si="31"/>
        <v>0</v>
      </c>
      <c r="N634" s="91">
        <f t="shared" si="32"/>
        <v>0</v>
      </c>
    </row>
    <row r="635" s="2" customFormat="1" spans="1:14">
      <c r="A635" s="86">
        <v>45435</v>
      </c>
      <c r="B635" s="199">
        <v>468.02</v>
      </c>
      <c r="C635" s="23">
        <v>904757</v>
      </c>
      <c r="D635" s="23">
        <v>2780</v>
      </c>
      <c r="E635" s="23">
        <v>0</v>
      </c>
      <c r="F635" s="25">
        <v>0</v>
      </c>
      <c r="G635" s="23">
        <v>0</v>
      </c>
      <c r="H635" s="23">
        <v>1</v>
      </c>
      <c r="I635" s="23">
        <v>0</v>
      </c>
      <c r="J635" s="189">
        <f t="shared" si="28"/>
        <v>0.00307264823593517</v>
      </c>
      <c r="K635" s="89">
        <f t="shared" si="29"/>
        <v>0.168352517985612</v>
      </c>
      <c r="L635" s="30">
        <f t="shared" si="30"/>
        <v>0.517288067403734</v>
      </c>
      <c r="M635" s="90">
        <f t="shared" si="31"/>
        <v>0</v>
      </c>
      <c r="N635" s="91">
        <f t="shared" si="32"/>
        <v>0</v>
      </c>
    </row>
    <row r="636" s="2" customFormat="1" spans="1:14">
      <c r="A636" s="86">
        <v>45436</v>
      </c>
      <c r="B636" s="199">
        <v>765.35</v>
      </c>
      <c r="C636" s="23">
        <v>592270</v>
      </c>
      <c r="D636" s="23">
        <v>2096</v>
      </c>
      <c r="E636" s="23">
        <v>0</v>
      </c>
      <c r="F636" s="25">
        <v>0</v>
      </c>
      <c r="G636" s="23">
        <v>2</v>
      </c>
      <c r="H636" s="23">
        <v>4</v>
      </c>
      <c r="I636" s="23">
        <v>1</v>
      </c>
      <c r="J636" s="189">
        <f t="shared" si="28"/>
        <v>0.00353892650311513</v>
      </c>
      <c r="K636" s="89">
        <f t="shared" si="29"/>
        <v>0.365147900763359</v>
      </c>
      <c r="L636" s="30">
        <f t="shared" si="30"/>
        <v>1.2922315835683</v>
      </c>
      <c r="M636" s="90">
        <f t="shared" si="31"/>
        <v>0</v>
      </c>
      <c r="N636" s="91">
        <f t="shared" si="32"/>
        <v>0</v>
      </c>
    </row>
    <row r="637" s="2" customFormat="1" spans="1:14">
      <c r="A637" s="86">
        <v>45437</v>
      </c>
      <c r="B637" s="199">
        <v>758.51</v>
      </c>
      <c r="C637" s="23">
        <v>973973</v>
      </c>
      <c r="D637" s="23">
        <v>3136</v>
      </c>
      <c r="E637" s="23">
        <v>0</v>
      </c>
      <c r="F637" s="25">
        <v>0</v>
      </c>
      <c r="G637" s="23">
        <v>4</v>
      </c>
      <c r="H637" s="23">
        <v>27</v>
      </c>
      <c r="I637" s="23">
        <v>0</v>
      </c>
      <c r="J637" s="189">
        <f t="shared" si="28"/>
        <v>0.00321980178095286</v>
      </c>
      <c r="K637" s="89">
        <f t="shared" si="29"/>
        <v>0.24187181122449</v>
      </c>
      <c r="L637" s="30">
        <f t="shared" si="30"/>
        <v>0.778779288542906</v>
      </c>
      <c r="M637" s="90">
        <f t="shared" si="31"/>
        <v>0</v>
      </c>
      <c r="N637" s="91">
        <f t="shared" si="32"/>
        <v>0</v>
      </c>
    </row>
    <row r="638" s="2" customFormat="1" spans="1:14">
      <c r="A638" s="86">
        <v>45438</v>
      </c>
      <c r="B638" s="199">
        <v>631.18</v>
      </c>
      <c r="C638" s="23">
        <v>615451</v>
      </c>
      <c r="D638" s="23">
        <v>2109</v>
      </c>
      <c r="E638" s="23">
        <v>0</v>
      </c>
      <c r="F638" s="25">
        <v>0</v>
      </c>
      <c r="G638" s="23">
        <v>2</v>
      </c>
      <c r="H638" s="23">
        <v>70</v>
      </c>
      <c r="I638" s="23">
        <v>0</v>
      </c>
      <c r="J638" s="189">
        <f t="shared" si="28"/>
        <v>0.00342675533876783</v>
      </c>
      <c r="K638" s="89">
        <f t="shared" si="29"/>
        <v>0.299279279279279</v>
      </c>
      <c r="L638" s="30">
        <f t="shared" si="30"/>
        <v>1.02555686805286</v>
      </c>
      <c r="M638" s="90">
        <f t="shared" si="31"/>
        <v>0</v>
      </c>
      <c r="N638" s="91">
        <f t="shared" si="32"/>
        <v>0</v>
      </c>
    </row>
    <row r="639" s="2" customFormat="1" spans="1:14">
      <c r="A639" s="86">
        <v>45439</v>
      </c>
      <c r="B639" s="199">
        <v>1114.31</v>
      </c>
      <c r="C639" s="23">
        <v>188454</v>
      </c>
      <c r="D639" s="23">
        <v>1289</v>
      </c>
      <c r="E639" s="23">
        <v>0</v>
      </c>
      <c r="F639" s="25">
        <v>0</v>
      </c>
      <c r="G639" s="23">
        <v>9</v>
      </c>
      <c r="H639" s="23">
        <v>71</v>
      </c>
      <c r="I639" s="23">
        <v>0</v>
      </c>
      <c r="J639" s="189">
        <f t="shared" si="28"/>
        <v>0.00683986543135195</v>
      </c>
      <c r="K639" s="89">
        <f t="shared" si="29"/>
        <v>0.864476338246703</v>
      </c>
      <c r="L639" s="30">
        <f t="shared" si="30"/>
        <v>5.91290182219534</v>
      </c>
      <c r="M639" s="90">
        <f t="shared" si="31"/>
        <v>0</v>
      </c>
      <c r="N639" s="91">
        <f t="shared" si="32"/>
        <v>0</v>
      </c>
    </row>
    <row r="640" s="2" customFormat="1" spans="1:14">
      <c r="A640" s="86">
        <v>45440</v>
      </c>
      <c r="B640" s="199">
        <v>1175.32</v>
      </c>
      <c r="C640" s="29">
        <v>965903</v>
      </c>
      <c r="D640" s="24">
        <v>2978</v>
      </c>
      <c r="E640" s="23">
        <v>0</v>
      </c>
      <c r="F640" s="25">
        <v>0</v>
      </c>
      <c r="G640" s="23">
        <v>6</v>
      </c>
      <c r="H640" s="23">
        <v>88</v>
      </c>
      <c r="I640" s="23">
        <v>2</v>
      </c>
      <c r="J640" s="189">
        <f t="shared" si="28"/>
        <v>0.00308312532417851</v>
      </c>
      <c r="K640" s="89">
        <f t="shared" si="29"/>
        <v>0.39466756212223</v>
      </c>
      <c r="L640" s="30">
        <f t="shared" si="30"/>
        <v>1.21680955541084</v>
      </c>
      <c r="M640" s="90">
        <f t="shared" si="31"/>
        <v>0</v>
      </c>
      <c r="N640" s="91">
        <f t="shared" si="32"/>
        <v>0</v>
      </c>
    </row>
    <row r="641" s="2" customFormat="1" spans="1:14">
      <c r="A641" s="86">
        <v>45441</v>
      </c>
      <c r="B641" s="199">
        <v>1178.02</v>
      </c>
      <c r="C641" s="23">
        <v>1239796</v>
      </c>
      <c r="D641" s="23">
        <v>3537</v>
      </c>
      <c r="E641" s="23">
        <v>0</v>
      </c>
      <c r="F641" s="25">
        <v>0</v>
      </c>
      <c r="G641" s="23">
        <v>7</v>
      </c>
      <c r="H641" s="23">
        <v>67</v>
      </c>
      <c r="I641" s="23">
        <v>0</v>
      </c>
      <c r="J641" s="189">
        <f t="shared" si="28"/>
        <v>0.00285288870104437</v>
      </c>
      <c r="K641" s="89">
        <f t="shared" si="29"/>
        <v>0.333056262369239</v>
      </c>
      <c r="L641" s="30">
        <f t="shared" si="30"/>
        <v>0.950172447725271</v>
      </c>
      <c r="M641" s="90">
        <f t="shared" si="31"/>
        <v>0</v>
      </c>
      <c r="N641" s="91">
        <f t="shared" si="32"/>
        <v>0</v>
      </c>
    </row>
    <row r="642" s="2" customFormat="1" spans="1:14">
      <c r="A642" s="86">
        <v>45442</v>
      </c>
      <c r="B642" s="199">
        <v>1180.94</v>
      </c>
      <c r="C642" s="29">
        <v>838434</v>
      </c>
      <c r="D642" s="23">
        <v>2742</v>
      </c>
      <c r="E642" s="23">
        <v>0</v>
      </c>
      <c r="F642" s="25">
        <v>0</v>
      </c>
      <c r="G642" s="23">
        <v>2</v>
      </c>
      <c r="H642" s="23">
        <v>77</v>
      </c>
      <c r="I642" s="23">
        <v>0</v>
      </c>
      <c r="J642" s="189">
        <f t="shared" si="28"/>
        <v>0.0032703826419253</v>
      </c>
      <c r="K642" s="89">
        <f t="shared" si="29"/>
        <v>0.430685630926331</v>
      </c>
      <c r="L642" s="30">
        <f t="shared" si="30"/>
        <v>1.40850681150812</v>
      </c>
      <c r="M642" s="90">
        <f t="shared" si="31"/>
        <v>0</v>
      </c>
      <c r="N642" s="91">
        <f t="shared" si="32"/>
        <v>0</v>
      </c>
    </row>
    <row r="643" s="2" customFormat="1" spans="1:14">
      <c r="A643" s="86">
        <v>45443</v>
      </c>
      <c r="B643" s="199">
        <v>1177.3</v>
      </c>
      <c r="C643" s="23">
        <v>987672</v>
      </c>
      <c r="D643" s="23">
        <v>2808</v>
      </c>
      <c r="E643" s="23">
        <v>0</v>
      </c>
      <c r="F643" s="25">
        <v>0</v>
      </c>
      <c r="G643" s="23">
        <v>3</v>
      </c>
      <c r="H643" s="23">
        <v>56</v>
      </c>
      <c r="I643" s="23">
        <v>0</v>
      </c>
      <c r="J643" s="189">
        <f t="shared" si="28"/>
        <v>0.00284304910942094</v>
      </c>
      <c r="K643" s="89">
        <f t="shared" si="29"/>
        <v>0.419266381766382</v>
      </c>
      <c r="L643" s="30">
        <f t="shared" si="30"/>
        <v>1.19199491329105</v>
      </c>
      <c r="M643" s="90">
        <f t="shared" si="31"/>
        <v>0</v>
      </c>
      <c r="N643" s="91">
        <f t="shared" si="32"/>
        <v>0</v>
      </c>
    </row>
    <row r="644" s="2" customFormat="1" spans="1:14">
      <c r="A644" s="86">
        <v>45444</v>
      </c>
      <c r="B644" s="199">
        <v>1460.97</v>
      </c>
      <c r="C644" s="23">
        <v>1232754</v>
      </c>
      <c r="D644" s="23">
        <v>3522</v>
      </c>
      <c r="E644" s="23">
        <v>0</v>
      </c>
      <c r="F644" s="25">
        <v>0</v>
      </c>
      <c r="G644" s="23">
        <v>8</v>
      </c>
      <c r="H644" s="23">
        <v>162</v>
      </c>
      <c r="I644" s="23">
        <v>1</v>
      </c>
      <c r="J644" s="189">
        <f t="shared" si="28"/>
        <v>0.00285701770182859</v>
      </c>
      <c r="K644" s="89">
        <f t="shared" si="29"/>
        <v>0.414812606473595</v>
      </c>
      <c r="L644" s="30">
        <f t="shared" si="30"/>
        <v>1.18512695963672</v>
      </c>
      <c r="M644" s="90">
        <f t="shared" si="31"/>
        <v>0</v>
      </c>
      <c r="N644" s="91">
        <f t="shared" si="32"/>
        <v>0</v>
      </c>
    </row>
    <row r="645" s="2" customFormat="1" spans="1:14">
      <c r="A645" s="86">
        <v>45445</v>
      </c>
      <c r="B645" s="199">
        <v>1475.13</v>
      </c>
      <c r="C645" s="23">
        <v>1055296</v>
      </c>
      <c r="D645" s="23">
        <v>3382</v>
      </c>
      <c r="E645" s="23">
        <v>0</v>
      </c>
      <c r="F645" s="25">
        <v>0</v>
      </c>
      <c r="G645" s="23">
        <v>7</v>
      </c>
      <c r="H645" s="23">
        <v>159</v>
      </c>
      <c r="I645" s="23">
        <v>2</v>
      </c>
      <c r="J645" s="189">
        <f t="shared" si="28"/>
        <v>0.00320478804051186</v>
      </c>
      <c r="K645" s="89">
        <f t="shared" si="29"/>
        <v>0.436170904790065</v>
      </c>
      <c r="L645" s="30">
        <f t="shared" si="30"/>
        <v>1.39783529929044</v>
      </c>
      <c r="M645" s="90">
        <f t="shared" si="31"/>
        <v>0</v>
      </c>
      <c r="N645" s="91">
        <f t="shared" si="32"/>
        <v>0</v>
      </c>
    </row>
    <row r="646" s="2" customFormat="1" spans="1:14">
      <c r="A646" s="86">
        <v>45446</v>
      </c>
      <c r="B646" s="199">
        <v>1444.9</v>
      </c>
      <c r="C646" s="23">
        <v>1222089</v>
      </c>
      <c r="D646" s="23">
        <v>3579</v>
      </c>
      <c r="E646" s="23">
        <v>0</v>
      </c>
      <c r="F646" s="25">
        <v>0</v>
      </c>
      <c r="G646" s="23">
        <v>13</v>
      </c>
      <c r="H646" s="23">
        <v>97</v>
      </c>
      <c r="I646" s="23">
        <v>4</v>
      </c>
      <c r="J646" s="189">
        <f t="shared" si="28"/>
        <v>0.0029285919437946</v>
      </c>
      <c r="K646" s="89">
        <f t="shared" si="29"/>
        <v>0.403716121821738</v>
      </c>
      <c r="L646" s="30">
        <f t="shared" si="30"/>
        <v>1.18231978194714</v>
      </c>
      <c r="M646" s="90">
        <f t="shared" si="31"/>
        <v>0</v>
      </c>
      <c r="N646" s="91">
        <f t="shared" si="32"/>
        <v>0</v>
      </c>
    </row>
    <row r="647" s="2" customFormat="1" spans="1:14">
      <c r="A647" s="86">
        <v>45447</v>
      </c>
      <c r="B647" s="199">
        <v>1466.35</v>
      </c>
      <c r="C647" s="29">
        <v>1264956</v>
      </c>
      <c r="D647" s="24">
        <v>4115</v>
      </c>
      <c r="E647" s="23">
        <v>0</v>
      </c>
      <c r="F647" s="25">
        <v>0</v>
      </c>
      <c r="G647" s="23">
        <v>5</v>
      </c>
      <c r="H647" s="23">
        <v>118</v>
      </c>
      <c r="I647" s="23">
        <v>1</v>
      </c>
      <c r="J647" s="189">
        <f t="shared" si="28"/>
        <v>0.0032530775774019</v>
      </c>
      <c r="K647" s="89">
        <f t="shared" si="29"/>
        <v>0.356342648845687</v>
      </c>
      <c r="L647" s="30">
        <f t="shared" si="30"/>
        <v>1.1592102808319</v>
      </c>
      <c r="M647" s="90">
        <f t="shared" si="31"/>
        <v>0</v>
      </c>
      <c r="N647" s="91">
        <f t="shared" si="32"/>
        <v>0</v>
      </c>
    </row>
    <row r="648" s="2" customFormat="1" spans="1:14">
      <c r="A648" s="86">
        <v>45448</v>
      </c>
      <c r="B648" s="22">
        <v>1001.37</v>
      </c>
      <c r="C648" s="29">
        <v>1199257</v>
      </c>
      <c r="D648" s="24">
        <v>3098</v>
      </c>
      <c r="E648" s="23">
        <v>0</v>
      </c>
      <c r="F648" s="25">
        <v>0</v>
      </c>
      <c r="G648" s="23">
        <v>3</v>
      </c>
      <c r="H648" s="23">
        <v>123</v>
      </c>
      <c r="I648" s="23">
        <v>1</v>
      </c>
      <c r="J648" s="189">
        <f t="shared" si="28"/>
        <v>0.00258326613895103</v>
      </c>
      <c r="K648" s="89">
        <f t="shared" si="29"/>
        <v>0.32323111684958</v>
      </c>
      <c r="L648" s="30">
        <f t="shared" si="30"/>
        <v>0.834991999212846</v>
      </c>
      <c r="M648" s="90">
        <f t="shared" si="31"/>
        <v>0</v>
      </c>
      <c r="N648" s="91">
        <f t="shared" si="32"/>
        <v>0</v>
      </c>
    </row>
    <row r="649" s="2" customFormat="1" spans="1:14">
      <c r="A649" s="86">
        <v>45449</v>
      </c>
      <c r="B649" s="22">
        <v>1019.79</v>
      </c>
      <c r="C649" s="29">
        <v>1064460</v>
      </c>
      <c r="D649" s="24">
        <v>2997</v>
      </c>
      <c r="E649" s="23">
        <v>0</v>
      </c>
      <c r="F649" s="25">
        <v>0</v>
      </c>
      <c r="G649" s="23">
        <v>5</v>
      </c>
      <c r="H649" s="23">
        <v>102</v>
      </c>
      <c r="I649" s="23">
        <v>0</v>
      </c>
      <c r="J649" s="189">
        <f t="shared" si="28"/>
        <v>0.00281551209063751</v>
      </c>
      <c r="K649" s="89">
        <f t="shared" si="29"/>
        <v>0.34027027027027</v>
      </c>
      <c r="L649" s="30">
        <f t="shared" si="30"/>
        <v>0.958035060030438</v>
      </c>
      <c r="M649" s="90">
        <f t="shared" si="31"/>
        <v>0</v>
      </c>
      <c r="N649" s="91">
        <f t="shared" si="32"/>
        <v>0</v>
      </c>
    </row>
    <row r="650" s="2" customFormat="1" spans="1:14">
      <c r="A650" s="86">
        <v>45450</v>
      </c>
      <c r="B650" s="22">
        <v>730.58</v>
      </c>
      <c r="C650" s="29">
        <v>611152</v>
      </c>
      <c r="D650" s="29">
        <v>1944</v>
      </c>
      <c r="E650" s="23">
        <v>0</v>
      </c>
      <c r="F650" s="25">
        <v>0</v>
      </c>
      <c r="G650" s="23">
        <v>2</v>
      </c>
      <c r="H650" s="23">
        <v>88</v>
      </c>
      <c r="I650" s="23">
        <v>1</v>
      </c>
      <c r="J650" s="189">
        <v>0.00318087807943032</v>
      </c>
      <c r="K650" s="89">
        <v>0.375812757201646</v>
      </c>
      <c r="L650" s="30">
        <f t="shared" si="30"/>
        <v>1.19541456135299</v>
      </c>
      <c r="M650" s="90">
        <v>0</v>
      </c>
      <c r="N650" s="91">
        <v>0</v>
      </c>
    </row>
    <row r="651" s="2" customFormat="1" spans="1:14">
      <c r="A651" s="86">
        <v>45451</v>
      </c>
      <c r="B651" s="22">
        <v>732.74</v>
      </c>
      <c r="C651" s="29">
        <v>682825</v>
      </c>
      <c r="D651" s="29">
        <v>2071</v>
      </c>
      <c r="E651" s="23">
        <v>0</v>
      </c>
      <c r="F651" s="25">
        <v>0</v>
      </c>
      <c r="G651" s="23">
        <v>7</v>
      </c>
      <c r="H651" s="23">
        <v>112</v>
      </c>
      <c r="I651" s="23">
        <v>1</v>
      </c>
      <c r="J651" s="189">
        <v>0.00303298795445392</v>
      </c>
      <c r="K651" s="89">
        <v>0.353809753742154</v>
      </c>
      <c r="L651" s="30">
        <f t="shared" si="30"/>
        <v>1.07310072126826</v>
      </c>
      <c r="M651" s="90">
        <v>0</v>
      </c>
      <c r="N651" s="91">
        <v>0</v>
      </c>
    </row>
    <row r="652" s="2" customFormat="1" spans="1:14">
      <c r="A652" s="86">
        <v>45452</v>
      </c>
      <c r="B652" s="22">
        <v>729.96</v>
      </c>
      <c r="C652" s="29">
        <v>691960</v>
      </c>
      <c r="D652" s="29">
        <v>2205</v>
      </c>
      <c r="E652" s="23">
        <v>0</v>
      </c>
      <c r="F652" s="25">
        <v>0</v>
      </c>
      <c r="G652" s="23">
        <v>3</v>
      </c>
      <c r="H652" s="23">
        <v>92</v>
      </c>
      <c r="I652" s="23">
        <v>0</v>
      </c>
      <c r="J652" s="189">
        <v>0.00318660038152494</v>
      </c>
      <c r="K652" s="89">
        <v>0.331047619047619</v>
      </c>
      <c r="L652" s="30">
        <f t="shared" si="30"/>
        <v>1.05491646916007</v>
      </c>
      <c r="M652" s="90">
        <v>0</v>
      </c>
      <c r="N652" s="91">
        <v>0</v>
      </c>
    </row>
    <row r="653" s="2" customFormat="1" spans="1:14">
      <c r="A653" s="86">
        <v>45453</v>
      </c>
      <c r="B653" s="22">
        <v>741.08</v>
      </c>
      <c r="C653" s="29">
        <v>665496</v>
      </c>
      <c r="D653" s="29">
        <v>2316</v>
      </c>
      <c r="E653" s="23">
        <v>0</v>
      </c>
      <c r="F653" s="25">
        <v>0</v>
      </c>
      <c r="G653" s="23">
        <v>6</v>
      </c>
      <c r="H653" s="23">
        <v>70</v>
      </c>
      <c r="I653" s="23">
        <v>3</v>
      </c>
      <c r="J653" s="189">
        <v>0.00348011107504778</v>
      </c>
      <c r="K653" s="89">
        <v>0.319982728842832</v>
      </c>
      <c r="L653" s="30">
        <f t="shared" si="30"/>
        <v>1.11357543846995</v>
      </c>
      <c r="M653" s="90">
        <v>0</v>
      </c>
      <c r="N653" s="91">
        <v>0</v>
      </c>
    </row>
    <row r="654" s="2" customFormat="1" spans="1:14">
      <c r="A654" s="86">
        <v>45454</v>
      </c>
      <c r="B654" s="22">
        <v>723.22</v>
      </c>
      <c r="C654" s="29">
        <v>684717</v>
      </c>
      <c r="D654" s="29">
        <v>2177</v>
      </c>
      <c r="E654" s="23">
        <v>0</v>
      </c>
      <c r="F654" s="25">
        <v>0</v>
      </c>
      <c r="G654" s="23">
        <v>4</v>
      </c>
      <c r="H654" s="23">
        <v>64</v>
      </c>
      <c r="I654" s="23">
        <v>1</v>
      </c>
      <c r="J654" s="189">
        <f t="shared" ref="J654:J663" si="33">D654/C654</f>
        <v>0.00317941572941814</v>
      </c>
      <c r="K654" s="89">
        <f t="shared" ref="K654:K663" si="34">B654/D654</f>
        <v>0.33220946256316</v>
      </c>
      <c r="L654" s="30">
        <f t="shared" si="30"/>
        <v>1.05623199073486</v>
      </c>
      <c r="M654" s="90">
        <f t="shared" ref="M654:M663" si="35">F654/B654</f>
        <v>0</v>
      </c>
      <c r="N654" s="91">
        <f t="shared" ref="N654:N663" si="36">E654/D654</f>
        <v>0</v>
      </c>
    </row>
    <row r="655" s="2" customFormat="1" spans="1:14">
      <c r="A655" s="86">
        <v>45455</v>
      </c>
      <c r="B655" s="22">
        <v>722.78</v>
      </c>
      <c r="C655" s="29">
        <v>747866</v>
      </c>
      <c r="D655" s="29">
        <v>2400</v>
      </c>
      <c r="E655" s="23">
        <v>0</v>
      </c>
      <c r="F655" s="25">
        <v>0</v>
      </c>
      <c r="G655" s="23">
        <v>6</v>
      </c>
      <c r="H655" s="23">
        <v>53</v>
      </c>
      <c r="I655" s="23">
        <v>2</v>
      </c>
      <c r="J655" s="189">
        <f t="shared" si="33"/>
        <v>0.0032091310475406</v>
      </c>
      <c r="K655" s="89">
        <f t="shared" si="34"/>
        <v>0.301158333333333</v>
      </c>
      <c r="L655" s="30">
        <f t="shared" si="30"/>
        <v>0.966456557725582</v>
      </c>
      <c r="M655" s="90">
        <f t="shared" si="35"/>
        <v>0</v>
      </c>
      <c r="N655" s="91">
        <f t="shared" si="36"/>
        <v>0</v>
      </c>
    </row>
    <row r="656" s="2" customFormat="1" spans="1:14">
      <c r="A656" s="86">
        <v>45456</v>
      </c>
      <c r="B656" s="22">
        <v>735.04</v>
      </c>
      <c r="C656" s="29">
        <v>708348</v>
      </c>
      <c r="D656" s="29">
        <v>2360</v>
      </c>
      <c r="E656" s="23">
        <v>0</v>
      </c>
      <c r="F656" s="25">
        <v>0</v>
      </c>
      <c r="G656" s="23">
        <v>6</v>
      </c>
      <c r="H656" s="23">
        <v>80</v>
      </c>
      <c r="I656" s="23">
        <v>0</v>
      </c>
      <c r="J656" s="189">
        <f t="shared" si="33"/>
        <v>0.00333169572018274</v>
      </c>
      <c r="K656" s="89">
        <f t="shared" si="34"/>
        <v>0.311457627118644</v>
      </c>
      <c r="L656" s="30">
        <f t="shared" si="30"/>
        <v>1.03768204328946</v>
      </c>
      <c r="M656" s="90">
        <f t="shared" si="35"/>
        <v>0</v>
      </c>
      <c r="N656" s="91">
        <f t="shared" si="36"/>
        <v>0</v>
      </c>
    </row>
    <row r="657" s="2" customFormat="1" spans="1:14">
      <c r="A657" s="86">
        <v>45457</v>
      </c>
      <c r="B657" s="22">
        <v>721.6</v>
      </c>
      <c r="C657" s="29">
        <v>588404</v>
      </c>
      <c r="D657" s="29">
        <v>2298</v>
      </c>
      <c r="E657" s="23">
        <v>0</v>
      </c>
      <c r="F657" s="25">
        <v>0</v>
      </c>
      <c r="G657" s="23">
        <v>7</v>
      </c>
      <c r="H657" s="23">
        <v>73</v>
      </c>
      <c r="I657" s="23">
        <v>1</v>
      </c>
      <c r="J657" s="189">
        <f t="shared" si="33"/>
        <v>0.00390547990836228</v>
      </c>
      <c r="K657" s="89">
        <f t="shared" si="34"/>
        <v>0.314012184508268</v>
      </c>
      <c r="L657" s="30">
        <f t="shared" si="30"/>
        <v>1.22636827757799</v>
      </c>
      <c r="M657" s="90">
        <f t="shared" si="35"/>
        <v>0</v>
      </c>
      <c r="N657" s="91">
        <f t="shared" si="36"/>
        <v>0</v>
      </c>
    </row>
    <row r="658" s="2" customFormat="1" spans="1:14">
      <c r="A658" s="86">
        <v>45458</v>
      </c>
      <c r="B658" s="22">
        <v>743.97</v>
      </c>
      <c r="C658" s="29">
        <v>547009</v>
      </c>
      <c r="D658" s="29">
        <v>2085</v>
      </c>
      <c r="E658" s="23">
        <v>0</v>
      </c>
      <c r="F658" s="25">
        <v>0</v>
      </c>
      <c r="G658" s="23">
        <v>4</v>
      </c>
      <c r="H658" s="23">
        <v>88</v>
      </c>
      <c r="I658" s="23">
        <v>2</v>
      </c>
      <c r="J658" s="189">
        <f t="shared" si="33"/>
        <v>0.00381163746848772</v>
      </c>
      <c r="K658" s="89">
        <f t="shared" si="34"/>
        <v>0.356820143884892</v>
      </c>
      <c r="L658" s="30">
        <f t="shared" si="30"/>
        <v>1.36006902994283</v>
      </c>
      <c r="M658" s="90">
        <f t="shared" si="35"/>
        <v>0</v>
      </c>
      <c r="N658" s="91">
        <f t="shared" si="36"/>
        <v>0</v>
      </c>
    </row>
    <row r="659" s="2" customFormat="1" spans="1:14">
      <c r="A659" s="86">
        <v>45459</v>
      </c>
      <c r="B659" s="22">
        <v>714.16</v>
      </c>
      <c r="C659" s="29">
        <v>721234</v>
      </c>
      <c r="D659" s="29">
        <v>2514</v>
      </c>
      <c r="E659" s="23">
        <v>0</v>
      </c>
      <c r="F659" s="25">
        <v>0</v>
      </c>
      <c r="G659" s="23">
        <v>16</v>
      </c>
      <c r="H659" s="23">
        <v>88</v>
      </c>
      <c r="I659" s="23">
        <v>1</v>
      </c>
      <c r="J659" s="189">
        <f t="shared" si="33"/>
        <v>0.00348569257688905</v>
      </c>
      <c r="K659" s="89">
        <f t="shared" si="34"/>
        <v>0.284073190135243</v>
      </c>
      <c r="L659" s="30">
        <f t="shared" si="30"/>
        <v>0.990191810147608</v>
      </c>
      <c r="M659" s="90">
        <f t="shared" si="35"/>
        <v>0</v>
      </c>
      <c r="N659" s="91">
        <f t="shared" si="36"/>
        <v>0</v>
      </c>
    </row>
    <row r="660" s="2" customFormat="1" spans="1:14">
      <c r="A660" s="86">
        <v>45460</v>
      </c>
      <c r="B660" s="22">
        <v>982.42</v>
      </c>
      <c r="C660" s="29">
        <v>748800</v>
      </c>
      <c r="D660" s="29">
        <v>2674</v>
      </c>
      <c r="E660" s="23">
        <v>0</v>
      </c>
      <c r="F660" s="25">
        <v>0</v>
      </c>
      <c r="G660" s="23">
        <v>15</v>
      </c>
      <c r="H660" s="23">
        <v>101</v>
      </c>
      <c r="I660" s="23">
        <v>1</v>
      </c>
      <c r="J660" s="189">
        <f t="shared" si="33"/>
        <v>0.00357104700854701</v>
      </c>
      <c r="K660" s="89">
        <f t="shared" si="34"/>
        <v>0.367397157816006</v>
      </c>
      <c r="L660" s="30">
        <f t="shared" si="30"/>
        <v>1.31199252136752</v>
      </c>
      <c r="M660" s="90">
        <f t="shared" si="35"/>
        <v>0</v>
      </c>
      <c r="N660" s="91">
        <f t="shared" si="36"/>
        <v>0</v>
      </c>
    </row>
    <row r="661" s="2" customFormat="1" spans="1:14">
      <c r="A661" s="86">
        <v>45461</v>
      </c>
      <c r="B661" s="22">
        <v>777.49</v>
      </c>
      <c r="C661" s="29">
        <v>708388</v>
      </c>
      <c r="D661" s="29">
        <v>2340</v>
      </c>
      <c r="E661" s="23">
        <v>0</v>
      </c>
      <c r="F661" s="25">
        <v>0</v>
      </c>
      <c r="G661" s="23">
        <v>14</v>
      </c>
      <c r="H661" s="23">
        <v>42</v>
      </c>
      <c r="I661" s="23">
        <v>1</v>
      </c>
      <c r="J661" s="189">
        <f t="shared" si="33"/>
        <v>0.00330327447669921</v>
      </c>
      <c r="K661" s="89">
        <f t="shared" si="34"/>
        <v>0.332260683760684</v>
      </c>
      <c r="L661" s="30">
        <f t="shared" si="30"/>
        <v>1.09754823627729</v>
      </c>
      <c r="M661" s="90">
        <f t="shared" si="35"/>
        <v>0</v>
      </c>
      <c r="N661" s="91">
        <f t="shared" si="36"/>
        <v>0</v>
      </c>
    </row>
    <row r="662" s="2" customFormat="1" spans="1:14">
      <c r="A662" s="86">
        <v>45462</v>
      </c>
      <c r="B662" s="22">
        <v>348.25</v>
      </c>
      <c r="C662" s="29">
        <v>402263</v>
      </c>
      <c r="D662" s="29">
        <v>1350</v>
      </c>
      <c r="E662" s="23">
        <v>0</v>
      </c>
      <c r="F662" s="25">
        <v>0</v>
      </c>
      <c r="G662" s="23">
        <v>1</v>
      </c>
      <c r="H662" s="23">
        <v>1</v>
      </c>
      <c r="I662" s="23">
        <v>1</v>
      </c>
      <c r="J662" s="189">
        <f t="shared" si="33"/>
        <v>0.00335601335444721</v>
      </c>
      <c r="K662" s="89">
        <f t="shared" si="34"/>
        <v>0.257962962962963</v>
      </c>
      <c r="L662" s="30">
        <f t="shared" si="30"/>
        <v>0.865727148656476</v>
      </c>
      <c r="M662" s="90">
        <f t="shared" si="35"/>
        <v>0</v>
      </c>
      <c r="N662" s="91">
        <f t="shared" si="36"/>
        <v>0</v>
      </c>
    </row>
    <row r="663" s="2" customFormat="1" spans="1:14">
      <c r="A663" s="86">
        <v>45463</v>
      </c>
      <c r="B663" s="22">
        <v>346.33</v>
      </c>
      <c r="C663" s="29">
        <v>475672</v>
      </c>
      <c r="D663" s="29">
        <v>1719</v>
      </c>
      <c r="E663" s="23">
        <v>0</v>
      </c>
      <c r="F663" s="25">
        <v>0</v>
      </c>
      <c r="G663" s="23">
        <v>0</v>
      </c>
      <c r="H663" s="23">
        <v>0</v>
      </c>
      <c r="I663" s="23">
        <v>0</v>
      </c>
      <c r="J663" s="189">
        <f t="shared" si="33"/>
        <v>0.00361383474326847</v>
      </c>
      <c r="K663" s="89">
        <f t="shared" si="34"/>
        <v>0.201471785922048</v>
      </c>
      <c r="L663" s="30">
        <f t="shared" si="30"/>
        <v>0.728085739753444</v>
      </c>
      <c r="M663" s="90">
        <f t="shared" si="35"/>
        <v>0</v>
      </c>
      <c r="N663" s="91">
        <f t="shared" si="36"/>
        <v>0</v>
      </c>
    </row>
    <row r="664" s="2" customFormat="1" spans="1:14">
      <c r="A664" s="86">
        <v>45464</v>
      </c>
      <c r="B664" s="22">
        <v>673.3</v>
      </c>
      <c r="C664" s="29">
        <v>639457</v>
      </c>
      <c r="D664" s="29">
        <v>2535</v>
      </c>
      <c r="E664" s="23">
        <v>0</v>
      </c>
      <c r="F664" s="25">
        <v>0</v>
      </c>
      <c r="G664" s="23">
        <v>14</v>
      </c>
      <c r="H664" s="23">
        <v>47</v>
      </c>
      <c r="I664" s="23">
        <v>1</v>
      </c>
      <c r="J664" s="189">
        <v>0.00396430096159711</v>
      </c>
      <c r="K664" s="89">
        <v>0.26560157790927</v>
      </c>
      <c r="L664" s="30">
        <f t="shared" si="30"/>
        <v>1.05292459070743</v>
      </c>
      <c r="M664" s="90">
        <v>0</v>
      </c>
      <c r="N664" s="91">
        <v>0</v>
      </c>
    </row>
    <row r="665" s="2" customFormat="1" spans="1:14">
      <c r="A665" s="86">
        <v>45465</v>
      </c>
      <c r="B665" s="22">
        <v>629.23</v>
      </c>
      <c r="C665" s="29">
        <v>636938</v>
      </c>
      <c r="D665" s="29">
        <v>2300</v>
      </c>
      <c r="E665" s="23">
        <v>0</v>
      </c>
      <c r="F665" s="25">
        <v>0</v>
      </c>
      <c r="G665" s="23">
        <v>8</v>
      </c>
      <c r="H665" s="23">
        <v>72</v>
      </c>
      <c r="I665" s="23">
        <v>1</v>
      </c>
      <c r="J665" s="189">
        <v>0.00361102650493455</v>
      </c>
      <c r="K665" s="89">
        <v>0.273578260869565</v>
      </c>
      <c r="L665" s="30">
        <f t="shared" si="30"/>
        <v>0.987898351173898</v>
      </c>
      <c r="M665" s="90">
        <v>0</v>
      </c>
      <c r="N665" s="91">
        <v>0</v>
      </c>
    </row>
    <row r="666" s="2" customFormat="1" spans="1:14">
      <c r="A666" s="86">
        <v>45466</v>
      </c>
      <c r="B666" s="22">
        <v>680.33</v>
      </c>
      <c r="C666" s="29">
        <v>596120</v>
      </c>
      <c r="D666" s="29">
        <v>2477</v>
      </c>
      <c r="E666" s="23">
        <v>0</v>
      </c>
      <c r="F666" s="25">
        <v>0</v>
      </c>
      <c r="G666" s="23">
        <v>15</v>
      </c>
      <c r="H666" s="23">
        <v>87</v>
      </c>
      <c r="I666" s="23">
        <v>0</v>
      </c>
      <c r="J666" s="189">
        <v>0.00415520365027176</v>
      </c>
      <c r="K666" s="89">
        <v>0.27465886152604</v>
      </c>
      <c r="L666" s="30">
        <f t="shared" si="30"/>
        <v>1.14126350399248</v>
      </c>
      <c r="M666" s="90">
        <v>0</v>
      </c>
      <c r="N666" s="91">
        <v>0</v>
      </c>
    </row>
    <row r="667" s="2" customFormat="1" spans="1:14">
      <c r="A667" s="86">
        <v>45467</v>
      </c>
      <c r="B667" s="22">
        <v>965.35</v>
      </c>
      <c r="C667" s="29">
        <v>732673</v>
      </c>
      <c r="D667" s="29">
        <v>3264</v>
      </c>
      <c r="E667" s="23">
        <v>0</v>
      </c>
      <c r="F667" s="25">
        <v>0</v>
      </c>
      <c r="G667" s="23">
        <v>9</v>
      </c>
      <c r="H667" s="23">
        <v>88</v>
      </c>
      <c r="I667" s="23">
        <v>2</v>
      </c>
      <c r="J667" s="189">
        <v>0.0044549205443629</v>
      </c>
      <c r="K667" s="89">
        <v>0.295756740196078</v>
      </c>
      <c r="L667" s="30">
        <f t="shared" si="30"/>
        <v>1.31757277803331</v>
      </c>
      <c r="M667" s="90">
        <v>0</v>
      </c>
      <c r="N667" s="91">
        <v>0</v>
      </c>
    </row>
    <row r="668" s="2" customFormat="1" spans="1:14">
      <c r="A668" s="86">
        <v>45468</v>
      </c>
      <c r="B668" s="22">
        <v>959.14</v>
      </c>
      <c r="C668" s="29">
        <v>891984</v>
      </c>
      <c r="D668" s="29">
        <v>3495</v>
      </c>
      <c r="E668" s="23">
        <v>0</v>
      </c>
      <c r="F668" s="25">
        <v>0</v>
      </c>
      <c r="G668" s="23">
        <v>9</v>
      </c>
      <c r="H668" s="23">
        <v>94</v>
      </c>
      <c r="I668" s="23">
        <v>0</v>
      </c>
      <c r="J668" s="189">
        <f t="shared" ref="J668:J673" si="37">D668/C668</f>
        <v>0.00391823171716085</v>
      </c>
      <c r="K668" s="89">
        <f t="shared" ref="K668:K673" si="38">B668/D668</f>
        <v>0.274432045779685</v>
      </c>
      <c r="L668" s="30">
        <f t="shared" si="30"/>
        <v>1.0752883459793</v>
      </c>
      <c r="M668" s="90">
        <f t="shared" ref="M668:M673" si="39">F668/B668</f>
        <v>0</v>
      </c>
      <c r="N668" s="91">
        <f t="shared" ref="N668:N673" si="40">E668/D668</f>
        <v>0</v>
      </c>
    </row>
    <row r="669" s="2" customFormat="1" spans="1:14">
      <c r="A669" s="86">
        <v>45469</v>
      </c>
      <c r="B669" s="22">
        <v>986.89</v>
      </c>
      <c r="C669" s="29">
        <v>917324</v>
      </c>
      <c r="D669" s="29">
        <v>3727</v>
      </c>
      <c r="E669" s="23">
        <v>0</v>
      </c>
      <c r="F669" s="25">
        <v>0</v>
      </c>
      <c r="G669" s="23">
        <v>18</v>
      </c>
      <c r="H669" s="23">
        <v>87</v>
      </c>
      <c r="I669" s="23">
        <v>3</v>
      </c>
      <c r="J669" s="189">
        <f t="shared" si="37"/>
        <v>0.00406290470978629</v>
      </c>
      <c r="K669" s="89">
        <f t="shared" si="38"/>
        <v>0.264794741078616</v>
      </c>
      <c r="L669" s="30">
        <f t="shared" si="30"/>
        <v>1.07583580065495</v>
      </c>
      <c r="M669" s="90">
        <f t="shared" si="39"/>
        <v>0</v>
      </c>
      <c r="N669" s="91">
        <f t="shared" si="40"/>
        <v>0</v>
      </c>
    </row>
    <row r="670" s="2" customFormat="1" spans="1:14">
      <c r="A670" s="86">
        <v>45470</v>
      </c>
      <c r="B670" s="22">
        <v>977.12</v>
      </c>
      <c r="C670" s="29">
        <v>847663</v>
      </c>
      <c r="D670" s="29">
        <v>3588</v>
      </c>
      <c r="E670" s="23">
        <v>0</v>
      </c>
      <c r="F670" s="25">
        <v>0</v>
      </c>
      <c r="G670" s="23">
        <v>12</v>
      </c>
      <c r="H670" s="23">
        <v>104</v>
      </c>
      <c r="I670" s="23">
        <v>0</v>
      </c>
      <c r="J670" s="189">
        <f t="shared" si="37"/>
        <v>0.00423281421980197</v>
      </c>
      <c r="K670" s="89">
        <f t="shared" si="38"/>
        <v>0.272329988851728</v>
      </c>
      <c r="L670" s="30">
        <f t="shared" si="30"/>
        <v>1.15272224929011</v>
      </c>
      <c r="M670" s="90">
        <f t="shared" si="39"/>
        <v>0</v>
      </c>
      <c r="N670" s="91">
        <f t="shared" si="40"/>
        <v>0</v>
      </c>
    </row>
    <row r="671" s="2" customFormat="1" spans="1:14">
      <c r="A671" s="86">
        <v>45471</v>
      </c>
      <c r="B671" s="22">
        <v>986.52</v>
      </c>
      <c r="C671" s="29">
        <v>871188</v>
      </c>
      <c r="D671" s="29">
        <v>3930</v>
      </c>
      <c r="E671" s="23">
        <v>0</v>
      </c>
      <c r="F671" s="25">
        <v>0</v>
      </c>
      <c r="G671" s="23">
        <v>17</v>
      </c>
      <c r="H671" s="23">
        <v>119</v>
      </c>
      <c r="I671" s="23">
        <v>3</v>
      </c>
      <c r="J671" s="189">
        <f t="shared" si="37"/>
        <v>0.00451108141985427</v>
      </c>
      <c r="K671" s="89">
        <f t="shared" si="38"/>
        <v>0.251022900763359</v>
      </c>
      <c r="L671" s="30">
        <f t="shared" si="30"/>
        <v>1.13238474359151</v>
      </c>
      <c r="M671" s="90">
        <f t="shared" si="39"/>
        <v>0</v>
      </c>
      <c r="N671" s="91">
        <f t="shared" si="40"/>
        <v>0</v>
      </c>
    </row>
    <row r="672" s="2" customFormat="1" spans="1:14">
      <c r="A672" s="86">
        <v>45472</v>
      </c>
      <c r="B672" s="22">
        <v>991.88</v>
      </c>
      <c r="C672" s="29">
        <v>1078555</v>
      </c>
      <c r="D672" s="29">
        <v>3790</v>
      </c>
      <c r="E672" s="23">
        <v>0</v>
      </c>
      <c r="F672" s="25">
        <v>0</v>
      </c>
      <c r="G672" s="23">
        <v>24</v>
      </c>
      <c r="H672" s="23">
        <v>101</v>
      </c>
      <c r="I672" s="23">
        <v>1</v>
      </c>
      <c r="J672" s="189">
        <f t="shared" si="37"/>
        <v>0.00351396080867457</v>
      </c>
      <c r="K672" s="89">
        <f t="shared" si="38"/>
        <v>0.261709762532982</v>
      </c>
      <c r="L672" s="30">
        <f t="shared" si="30"/>
        <v>0.919637848788425</v>
      </c>
      <c r="M672" s="90">
        <f t="shared" si="39"/>
        <v>0</v>
      </c>
      <c r="N672" s="91">
        <f t="shared" si="40"/>
        <v>0</v>
      </c>
    </row>
    <row r="673" s="2" customFormat="1" spans="1:14">
      <c r="A673" s="86">
        <v>45473</v>
      </c>
      <c r="B673" s="22">
        <v>987.98</v>
      </c>
      <c r="C673" s="29">
        <v>1110496</v>
      </c>
      <c r="D673" s="29">
        <v>4180</v>
      </c>
      <c r="E673" s="23">
        <v>0</v>
      </c>
      <c r="F673" s="25">
        <v>0</v>
      </c>
      <c r="G673" s="23">
        <v>17</v>
      </c>
      <c r="H673" s="23">
        <v>111</v>
      </c>
      <c r="I673" s="23">
        <v>2</v>
      </c>
      <c r="J673" s="189">
        <f t="shared" si="37"/>
        <v>0.0037640837967899</v>
      </c>
      <c r="K673" s="89">
        <f t="shared" si="38"/>
        <v>0.236358851674641</v>
      </c>
      <c r="L673" s="30">
        <f t="shared" si="30"/>
        <v>0.889674523816385</v>
      </c>
      <c r="M673" s="90">
        <f t="shared" si="39"/>
        <v>0</v>
      </c>
      <c r="N673" s="91">
        <f t="shared" si="40"/>
        <v>0</v>
      </c>
    </row>
    <row r="674" s="2" customFormat="1" spans="1:14">
      <c r="A674" s="86">
        <v>45474</v>
      </c>
      <c r="B674" s="22">
        <v>779.71</v>
      </c>
      <c r="C674" s="29">
        <v>789172</v>
      </c>
      <c r="D674" s="29">
        <v>3141</v>
      </c>
      <c r="E674" s="23">
        <v>0</v>
      </c>
      <c r="F674" s="25">
        <v>0</v>
      </c>
      <c r="G674" s="23">
        <v>16</v>
      </c>
      <c r="H674" s="23">
        <v>61</v>
      </c>
      <c r="I674" s="23">
        <v>2</v>
      </c>
      <c r="J674" s="189">
        <v>0.00398012093688068</v>
      </c>
      <c r="K674" s="89">
        <v>0.248236230499841</v>
      </c>
      <c r="L674" s="30">
        <f t="shared" si="30"/>
        <v>0.988010218304755</v>
      </c>
      <c r="M674" s="90">
        <v>0</v>
      </c>
      <c r="N674" s="91">
        <v>0</v>
      </c>
    </row>
    <row r="675" s="2" customFormat="1" spans="1:14">
      <c r="A675" s="86">
        <v>45475</v>
      </c>
      <c r="B675" s="22">
        <v>778.4</v>
      </c>
      <c r="C675" s="29">
        <v>862572</v>
      </c>
      <c r="D675" s="29">
        <v>3181</v>
      </c>
      <c r="E675" s="23">
        <v>0</v>
      </c>
      <c r="F675" s="25">
        <v>0</v>
      </c>
      <c r="G675" s="23">
        <v>17</v>
      </c>
      <c r="H675" s="23">
        <v>70</v>
      </c>
      <c r="I675" s="23">
        <v>1</v>
      </c>
      <c r="J675" s="189">
        <f t="shared" ref="J675:J684" si="41">D675/C675</f>
        <v>0.00368780809022319</v>
      </c>
      <c r="K675" s="89">
        <f t="shared" ref="K675:K684" si="42">B675/D675</f>
        <v>0.244702923608928</v>
      </c>
      <c r="L675" s="30">
        <f t="shared" si="30"/>
        <v>0.902417421386273</v>
      </c>
      <c r="M675" s="90">
        <f t="shared" ref="M675:M684" si="43">F675/B675</f>
        <v>0</v>
      </c>
      <c r="N675" s="91">
        <f t="shared" ref="N675:N684" si="44">E675/D675</f>
        <v>0</v>
      </c>
    </row>
    <row r="676" s="2" customFormat="1" spans="1:14">
      <c r="A676" s="86">
        <v>45476</v>
      </c>
      <c r="B676" s="22">
        <v>772.59</v>
      </c>
      <c r="C676" s="29">
        <v>789566</v>
      </c>
      <c r="D676" s="29">
        <v>3025</v>
      </c>
      <c r="E676" s="23">
        <v>0</v>
      </c>
      <c r="F676" s="25">
        <v>0</v>
      </c>
      <c r="G676" s="23">
        <v>14</v>
      </c>
      <c r="H676" s="23">
        <v>63</v>
      </c>
      <c r="I676" s="23">
        <v>2</v>
      </c>
      <c r="J676" s="189">
        <f t="shared" si="41"/>
        <v>0.00383121866949691</v>
      </c>
      <c r="K676" s="89">
        <f t="shared" si="42"/>
        <v>0.255401652892562</v>
      </c>
      <c r="L676" s="30">
        <f t="shared" si="30"/>
        <v>0.978499580782354</v>
      </c>
      <c r="M676" s="90">
        <f t="shared" si="43"/>
        <v>0</v>
      </c>
      <c r="N676" s="91">
        <f t="shared" si="44"/>
        <v>0</v>
      </c>
    </row>
    <row r="677" s="2" customFormat="1" spans="1:14">
      <c r="A677" s="86">
        <v>45477</v>
      </c>
      <c r="B677" s="22">
        <v>495.28</v>
      </c>
      <c r="C677" s="29">
        <v>494415</v>
      </c>
      <c r="D677" s="29">
        <v>1994</v>
      </c>
      <c r="E677" s="23">
        <v>0</v>
      </c>
      <c r="F677" s="25">
        <v>0</v>
      </c>
      <c r="G677" s="23">
        <v>14</v>
      </c>
      <c r="H677" s="23">
        <v>53</v>
      </c>
      <c r="I677" s="23">
        <v>1</v>
      </c>
      <c r="J677" s="189">
        <f t="shared" si="41"/>
        <v>0.00403304915910723</v>
      </c>
      <c r="K677" s="89">
        <f t="shared" si="42"/>
        <v>0.248385155466399</v>
      </c>
      <c r="L677" s="30">
        <f t="shared" si="30"/>
        <v>1.00174954238848</v>
      </c>
      <c r="M677" s="90">
        <f t="shared" si="43"/>
        <v>0</v>
      </c>
      <c r="N677" s="91">
        <f t="shared" si="44"/>
        <v>0</v>
      </c>
    </row>
    <row r="678" s="2" customFormat="1" spans="1:14">
      <c r="A678" s="86">
        <v>45478</v>
      </c>
      <c r="B678" s="22">
        <v>493.52</v>
      </c>
      <c r="C678" s="29">
        <v>417333</v>
      </c>
      <c r="D678" s="29">
        <v>1852</v>
      </c>
      <c r="E678" s="23">
        <v>0</v>
      </c>
      <c r="F678" s="25">
        <v>0</v>
      </c>
      <c r="G678" s="23">
        <v>18</v>
      </c>
      <c r="H678" s="23">
        <v>68</v>
      </c>
      <c r="I678" s="23">
        <v>1</v>
      </c>
      <c r="J678" s="189">
        <f t="shared" si="41"/>
        <v>0.00443770322500258</v>
      </c>
      <c r="K678" s="89">
        <f t="shared" si="42"/>
        <v>0.266479481641469</v>
      </c>
      <c r="L678" s="30">
        <f t="shared" si="30"/>
        <v>1.18255685507736</v>
      </c>
      <c r="M678" s="90">
        <f t="shared" si="43"/>
        <v>0</v>
      </c>
      <c r="N678" s="91">
        <f t="shared" si="44"/>
        <v>0</v>
      </c>
    </row>
    <row r="679" s="2" customFormat="1" spans="1:14">
      <c r="A679" s="86">
        <v>45479</v>
      </c>
      <c r="B679" s="22">
        <v>492.14</v>
      </c>
      <c r="C679" s="29">
        <v>509843</v>
      </c>
      <c r="D679" s="29">
        <v>2047</v>
      </c>
      <c r="E679" s="23">
        <v>0</v>
      </c>
      <c r="F679" s="25">
        <v>0</v>
      </c>
      <c r="G679" s="23">
        <v>11</v>
      </c>
      <c r="H679" s="23">
        <v>86</v>
      </c>
      <c r="I679" s="23">
        <v>1</v>
      </c>
      <c r="J679" s="189">
        <f t="shared" si="41"/>
        <v>0.00401496146853051</v>
      </c>
      <c r="K679" s="89">
        <f t="shared" si="42"/>
        <v>0.240420127015144</v>
      </c>
      <c r="L679" s="30">
        <f t="shared" si="30"/>
        <v>0.965277546225014</v>
      </c>
      <c r="M679" s="90">
        <f t="shared" si="43"/>
        <v>0</v>
      </c>
      <c r="N679" s="91">
        <f t="shared" si="44"/>
        <v>0</v>
      </c>
    </row>
    <row r="680" s="2" customFormat="1" spans="1:14">
      <c r="A680" s="86">
        <v>45480</v>
      </c>
      <c r="B680" s="22">
        <v>495.15</v>
      </c>
      <c r="C680" s="29">
        <v>424341</v>
      </c>
      <c r="D680" s="29">
        <v>2096</v>
      </c>
      <c r="E680" s="23">
        <v>0</v>
      </c>
      <c r="F680" s="25">
        <v>0</v>
      </c>
      <c r="G680" s="23">
        <v>8</v>
      </c>
      <c r="H680" s="23">
        <v>76</v>
      </c>
      <c r="I680" s="23">
        <v>1</v>
      </c>
      <c r="J680" s="189">
        <f t="shared" si="41"/>
        <v>0.00493942371818891</v>
      </c>
      <c r="K680" s="89">
        <f t="shared" si="42"/>
        <v>0.236235687022901</v>
      </c>
      <c r="L680" s="30">
        <f t="shared" si="30"/>
        <v>1.16686815556357</v>
      </c>
      <c r="M680" s="90">
        <f t="shared" si="43"/>
        <v>0</v>
      </c>
      <c r="N680" s="91">
        <f t="shared" si="44"/>
        <v>0</v>
      </c>
    </row>
    <row r="681" s="2" customFormat="1" spans="1:14">
      <c r="A681" s="86">
        <v>45481</v>
      </c>
      <c r="B681" s="22">
        <v>482.86</v>
      </c>
      <c r="C681" s="29">
        <v>445396</v>
      </c>
      <c r="D681" s="29">
        <v>1949</v>
      </c>
      <c r="E681" s="23">
        <v>0</v>
      </c>
      <c r="F681" s="25">
        <v>0</v>
      </c>
      <c r="G681" s="23">
        <v>8</v>
      </c>
      <c r="H681" s="23">
        <v>68</v>
      </c>
      <c r="I681" s="23">
        <v>0</v>
      </c>
      <c r="J681" s="189">
        <f t="shared" si="41"/>
        <v>0.00437588123826887</v>
      </c>
      <c r="K681" s="89">
        <f t="shared" si="42"/>
        <v>0.247747562852745</v>
      </c>
      <c r="L681" s="30">
        <f t="shared" ref="L681:L744" si="45">B681/C681*1000</f>
        <v>1.08411391211416</v>
      </c>
      <c r="M681" s="90">
        <f t="shared" si="43"/>
        <v>0</v>
      </c>
      <c r="N681" s="91">
        <f t="shared" si="44"/>
        <v>0</v>
      </c>
    </row>
    <row r="682" s="2" customFormat="1" spans="1:14">
      <c r="A682" s="86">
        <v>45482</v>
      </c>
      <c r="B682" s="22">
        <v>507.11</v>
      </c>
      <c r="C682" s="29">
        <v>398424</v>
      </c>
      <c r="D682" s="29">
        <v>1821</v>
      </c>
      <c r="E682" s="23">
        <v>0</v>
      </c>
      <c r="F682" s="25">
        <v>0</v>
      </c>
      <c r="G682" s="23">
        <v>8</v>
      </c>
      <c r="H682" s="23">
        <v>72</v>
      </c>
      <c r="I682" s="23">
        <v>0</v>
      </c>
      <c r="J682" s="189">
        <f t="shared" si="41"/>
        <v>0.0045705078007349</v>
      </c>
      <c r="K682" s="89">
        <f t="shared" si="42"/>
        <v>0.278478857770456</v>
      </c>
      <c r="L682" s="30">
        <f t="shared" si="45"/>
        <v>1.27278979177961</v>
      </c>
      <c r="M682" s="90">
        <f t="shared" si="43"/>
        <v>0</v>
      </c>
      <c r="N682" s="91">
        <f t="shared" si="44"/>
        <v>0</v>
      </c>
    </row>
    <row r="683" s="2" customFormat="1" spans="1:14">
      <c r="A683" s="86">
        <v>45483</v>
      </c>
      <c r="B683" s="22">
        <v>526.64</v>
      </c>
      <c r="C683" s="29">
        <v>372011</v>
      </c>
      <c r="D683" s="29">
        <v>1797</v>
      </c>
      <c r="E683" s="23">
        <v>1</v>
      </c>
      <c r="F683" s="200">
        <v>10442</v>
      </c>
      <c r="G683" s="23">
        <v>16</v>
      </c>
      <c r="H683" s="23">
        <v>49</v>
      </c>
      <c r="I683" s="23">
        <v>5</v>
      </c>
      <c r="J683" s="189">
        <f t="shared" si="41"/>
        <v>0.00483050232385602</v>
      </c>
      <c r="K683" s="89">
        <f t="shared" si="42"/>
        <v>0.293066221480245</v>
      </c>
      <c r="L683" s="30">
        <f t="shared" si="45"/>
        <v>1.41565706390402</v>
      </c>
      <c r="M683" s="90">
        <f t="shared" si="43"/>
        <v>19.8275862068966</v>
      </c>
      <c r="N683" s="91">
        <f t="shared" si="44"/>
        <v>0.000556483027267668</v>
      </c>
    </row>
    <row r="684" s="2" customFormat="1" spans="1:14">
      <c r="A684" s="86">
        <v>45484</v>
      </c>
      <c r="B684" s="22">
        <v>490.23</v>
      </c>
      <c r="C684" s="29">
        <v>424938</v>
      </c>
      <c r="D684" s="29">
        <v>1893</v>
      </c>
      <c r="E684" s="23">
        <v>0</v>
      </c>
      <c r="F684" s="25">
        <v>0</v>
      </c>
      <c r="G684" s="23">
        <v>13</v>
      </c>
      <c r="H684" s="23">
        <v>53</v>
      </c>
      <c r="I684" s="23">
        <v>0</v>
      </c>
      <c r="J684" s="189">
        <f t="shared" si="41"/>
        <v>0.0044547675190263</v>
      </c>
      <c r="K684" s="89">
        <f t="shared" si="42"/>
        <v>0.258969889064976</v>
      </c>
      <c r="L684" s="30">
        <f t="shared" si="45"/>
        <v>1.1536506502125</v>
      </c>
      <c r="M684" s="90">
        <f t="shared" si="43"/>
        <v>0</v>
      </c>
      <c r="N684" s="91">
        <f t="shared" si="44"/>
        <v>0</v>
      </c>
    </row>
    <row r="685" s="2" customFormat="1" spans="1:14">
      <c r="A685" s="86">
        <v>45485</v>
      </c>
      <c r="B685" s="22">
        <v>494.32</v>
      </c>
      <c r="C685" s="29">
        <v>628255</v>
      </c>
      <c r="D685" s="29">
        <v>2108</v>
      </c>
      <c r="E685" s="23">
        <v>0</v>
      </c>
      <c r="F685" s="25">
        <v>0</v>
      </c>
      <c r="G685" s="23">
        <v>18</v>
      </c>
      <c r="H685" s="23">
        <v>60</v>
      </c>
      <c r="I685" s="23">
        <v>2</v>
      </c>
      <c r="J685" s="189">
        <v>0.00335532546497839</v>
      </c>
      <c r="K685" s="89">
        <v>0.23449715370019</v>
      </c>
      <c r="L685" s="30">
        <f t="shared" si="45"/>
        <v>0.786814271275199</v>
      </c>
      <c r="M685" s="90">
        <v>0</v>
      </c>
      <c r="N685" s="91">
        <v>0</v>
      </c>
    </row>
    <row r="686" s="2" customFormat="1" spans="1:14">
      <c r="A686" s="86">
        <v>45486</v>
      </c>
      <c r="B686" s="22">
        <v>495.71</v>
      </c>
      <c r="C686" s="29">
        <v>496591</v>
      </c>
      <c r="D686" s="29">
        <v>2007</v>
      </c>
      <c r="E686" s="23">
        <v>0</v>
      </c>
      <c r="F686" s="25">
        <v>0</v>
      </c>
      <c r="G686" s="23">
        <v>18</v>
      </c>
      <c r="H686" s="23">
        <v>63</v>
      </c>
      <c r="I686" s="23">
        <v>1</v>
      </c>
      <c r="J686" s="189">
        <v>0.0040415553242004</v>
      </c>
      <c r="K686" s="89">
        <v>0.246990533134031</v>
      </c>
      <c r="L686" s="30">
        <f t="shared" si="45"/>
        <v>0.998225904214938</v>
      </c>
      <c r="M686" s="90">
        <v>0</v>
      </c>
      <c r="N686" s="91">
        <v>0</v>
      </c>
    </row>
    <row r="687" s="2" customFormat="1" spans="1:14">
      <c r="A687" s="86">
        <v>45487</v>
      </c>
      <c r="B687" s="22">
        <v>498.17</v>
      </c>
      <c r="C687" s="29">
        <v>625415</v>
      </c>
      <c r="D687" s="29">
        <v>2037</v>
      </c>
      <c r="E687" s="23">
        <v>0</v>
      </c>
      <c r="F687" s="25">
        <v>0</v>
      </c>
      <c r="G687" s="23">
        <v>9</v>
      </c>
      <c r="H687" s="23">
        <v>71</v>
      </c>
      <c r="I687" s="23">
        <v>1</v>
      </c>
      <c r="J687" s="189">
        <v>0.00325703732721473</v>
      </c>
      <c r="K687" s="89">
        <v>0.244560628375061</v>
      </c>
      <c r="L687" s="30">
        <f t="shared" si="45"/>
        <v>0.796543095384665</v>
      </c>
      <c r="M687" s="90">
        <v>0</v>
      </c>
      <c r="N687" s="91">
        <v>0</v>
      </c>
    </row>
    <row r="688" s="2" customFormat="1" spans="1:14">
      <c r="A688" s="86">
        <v>45488</v>
      </c>
      <c r="B688" s="22">
        <v>423.26</v>
      </c>
      <c r="C688" s="29">
        <v>461904</v>
      </c>
      <c r="D688" s="29">
        <v>1712</v>
      </c>
      <c r="E688" s="23">
        <v>0</v>
      </c>
      <c r="F688" s="25">
        <v>0</v>
      </c>
      <c r="G688" s="23">
        <v>17</v>
      </c>
      <c r="H688" s="23">
        <v>50</v>
      </c>
      <c r="I688" s="23">
        <v>1</v>
      </c>
      <c r="J688" s="189">
        <f t="shared" ref="J688:J694" si="46">D688/C688</f>
        <v>0.00370639786622328</v>
      </c>
      <c r="K688" s="89">
        <f t="shared" ref="K688:K694" si="47">B688/D688</f>
        <v>0.247231308411215</v>
      </c>
      <c r="L688" s="30">
        <f t="shared" si="45"/>
        <v>0.916337593958918</v>
      </c>
      <c r="M688" s="90">
        <f t="shared" ref="M688:M694" si="48">F688/B688</f>
        <v>0</v>
      </c>
      <c r="N688" s="91">
        <f t="shared" ref="N688:N694" si="49">E688/D688</f>
        <v>0</v>
      </c>
    </row>
    <row r="689" s="2" customFormat="1" spans="1:14">
      <c r="A689" s="86">
        <v>45489</v>
      </c>
      <c r="B689" s="22">
        <v>424.77</v>
      </c>
      <c r="C689" s="29">
        <v>571384</v>
      </c>
      <c r="D689" s="29">
        <v>1768</v>
      </c>
      <c r="E689" s="23">
        <v>0</v>
      </c>
      <c r="F689" s="25">
        <v>0</v>
      </c>
      <c r="G689" s="23">
        <v>13</v>
      </c>
      <c r="H689" s="23">
        <v>45</v>
      </c>
      <c r="I689" s="23">
        <v>2</v>
      </c>
      <c r="J689" s="189">
        <f t="shared" si="46"/>
        <v>0.00309424135082536</v>
      </c>
      <c r="K689" s="89">
        <f t="shared" si="47"/>
        <v>0.240254524886878</v>
      </c>
      <c r="L689" s="30">
        <f t="shared" si="45"/>
        <v>0.743405485627879</v>
      </c>
      <c r="M689" s="90">
        <f t="shared" si="48"/>
        <v>0</v>
      </c>
      <c r="N689" s="91">
        <f t="shared" si="49"/>
        <v>0</v>
      </c>
    </row>
    <row r="690" s="2" customFormat="1" spans="1:14">
      <c r="A690" s="86">
        <v>45490</v>
      </c>
      <c r="B690" s="22">
        <v>423.14</v>
      </c>
      <c r="C690" s="29">
        <v>502021</v>
      </c>
      <c r="D690" s="29">
        <v>1836</v>
      </c>
      <c r="E690" s="23">
        <v>0</v>
      </c>
      <c r="F690" s="25">
        <v>0</v>
      </c>
      <c r="G690" s="23">
        <v>10</v>
      </c>
      <c r="H690" s="23">
        <v>43</v>
      </c>
      <c r="I690" s="23">
        <v>1</v>
      </c>
      <c r="J690" s="189">
        <f t="shared" si="46"/>
        <v>0.00365721752675685</v>
      </c>
      <c r="K690" s="89">
        <f t="shared" si="47"/>
        <v>0.230468409586057</v>
      </c>
      <c r="L690" s="30">
        <f t="shared" si="45"/>
        <v>0.842873106901902</v>
      </c>
      <c r="M690" s="90">
        <f t="shared" si="48"/>
        <v>0</v>
      </c>
      <c r="N690" s="91">
        <f t="shared" si="49"/>
        <v>0</v>
      </c>
    </row>
    <row r="691" s="2" customFormat="1" spans="1:14">
      <c r="A691" s="86">
        <v>45491</v>
      </c>
      <c r="B691" s="22">
        <v>415.6</v>
      </c>
      <c r="C691" s="29">
        <v>381674</v>
      </c>
      <c r="D691" s="29">
        <v>1519</v>
      </c>
      <c r="E691" s="23">
        <v>0</v>
      </c>
      <c r="F691" s="25">
        <v>0</v>
      </c>
      <c r="G691" s="23">
        <v>12</v>
      </c>
      <c r="H691" s="23">
        <v>45</v>
      </c>
      <c r="I691" s="23">
        <v>3</v>
      </c>
      <c r="J691" s="189">
        <f t="shared" si="46"/>
        <v>0.00397983619528708</v>
      </c>
      <c r="K691" s="89">
        <f t="shared" si="47"/>
        <v>0.273601053324556</v>
      </c>
      <c r="L691" s="30">
        <f t="shared" si="45"/>
        <v>1.08888737508974</v>
      </c>
      <c r="M691" s="90">
        <f t="shared" si="48"/>
        <v>0</v>
      </c>
      <c r="N691" s="91">
        <f t="shared" si="49"/>
        <v>0</v>
      </c>
    </row>
    <row r="692" s="2" customFormat="1" spans="1:14">
      <c r="A692" s="86">
        <v>45492</v>
      </c>
      <c r="B692" s="22">
        <v>422.7</v>
      </c>
      <c r="C692" s="29">
        <v>452990</v>
      </c>
      <c r="D692" s="29">
        <v>1758</v>
      </c>
      <c r="E692" s="23">
        <v>0</v>
      </c>
      <c r="F692" s="25">
        <v>0</v>
      </c>
      <c r="G692" s="23">
        <v>8</v>
      </c>
      <c r="H692" s="23">
        <v>46</v>
      </c>
      <c r="I692" s="23">
        <v>4</v>
      </c>
      <c r="J692" s="189">
        <f t="shared" si="46"/>
        <v>0.00388088037263516</v>
      </c>
      <c r="K692" s="89">
        <f t="shared" si="47"/>
        <v>0.240443686006826</v>
      </c>
      <c r="L692" s="30">
        <f t="shared" si="45"/>
        <v>0.933133181747941</v>
      </c>
      <c r="M692" s="90">
        <f t="shared" si="48"/>
        <v>0</v>
      </c>
      <c r="N692" s="91">
        <f t="shared" si="49"/>
        <v>0</v>
      </c>
    </row>
    <row r="693" s="2" customFormat="1" spans="1:14">
      <c r="A693" s="86">
        <v>45493</v>
      </c>
      <c r="B693" s="22">
        <v>417.37</v>
      </c>
      <c r="C693" s="29">
        <v>522324</v>
      </c>
      <c r="D693" s="29">
        <v>1852</v>
      </c>
      <c r="E693" s="23">
        <v>0</v>
      </c>
      <c r="F693" s="25">
        <v>0</v>
      </c>
      <c r="G693" s="23">
        <v>10</v>
      </c>
      <c r="H693" s="23">
        <v>52</v>
      </c>
      <c r="I693" s="23">
        <v>1</v>
      </c>
      <c r="J693" s="189">
        <f t="shared" si="46"/>
        <v>0.00354569194599521</v>
      </c>
      <c r="K693" s="89">
        <f t="shared" si="47"/>
        <v>0.225361771058315</v>
      </c>
      <c r="L693" s="30">
        <f t="shared" si="45"/>
        <v>0.799063416576684</v>
      </c>
      <c r="M693" s="90">
        <f t="shared" si="48"/>
        <v>0</v>
      </c>
      <c r="N693" s="91">
        <f t="shared" si="49"/>
        <v>0</v>
      </c>
    </row>
    <row r="694" s="2" customFormat="1" spans="1:14">
      <c r="A694" s="86">
        <v>45494</v>
      </c>
      <c r="B694" s="22">
        <v>419.2</v>
      </c>
      <c r="C694" s="29">
        <v>528409</v>
      </c>
      <c r="D694" s="29">
        <v>1877</v>
      </c>
      <c r="E694" s="23">
        <v>0</v>
      </c>
      <c r="F694" s="25">
        <v>0</v>
      </c>
      <c r="G694" s="23">
        <v>16</v>
      </c>
      <c r="H694" s="23">
        <v>46</v>
      </c>
      <c r="I694" s="23">
        <v>2</v>
      </c>
      <c r="J694" s="189">
        <f t="shared" si="46"/>
        <v>0.00355217265413723</v>
      </c>
      <c r="K694" s="89">
        <f t="shared" si="47"/>
        <v>0.223335109216835</v>
      </c>
      <c r="L694" s="30">
        <f t="shared" si="45"/>
        <v>0.793324867668794</v>
      </c>
      <c r="M694" s="90">
        <f t="shared" si="48"/>
        <v>0</v>
      </c>
      <c r="N694" s="91">
        <f t="shared" si="49"/>
        <v>0</v>
      </c>
    </row>
    <row r="695" s="2" customFormat="1" spans="1:14">
      <c r="A695" s="86">
        <v>45495</v>
      </c>
      <c r="B695" s="22">
        <v>411.65</v>
      </c>
      <c r="C695" s="29">
        <v>457942</v>
      </c>
      <c r="D695" s="29">
        <v>1708</v>
      </c>
      <c r="E695" s="29">
        <v>0</v>
      </c>
      <c r="F695" s="25">
        <v>0</v>
      </c>
      <c r="G695" s="23">
        <v>13</v>
      </c>
      <c r="H695" s="23">
        <v>47</v>
      </c>
      <c r="I695" s="23">
        <v>2</v>
      </c>
      <c r="J695" s="189">
        <v>0.00372972996580353</v>
      </c>
      <c r="K695" s="89">
        <v>0.241012880562061</v>
      </c>
      <c r="L695" s="30">
        <f t="shared" si="45"/>
        <v>0.898912962776946</v>
      </c>
      <c r="M695" s="90">
        <v>0</v>
      </c>
      <c r="N695" s="91">
        <v>0</v>
      </c>
    </row>
    <row r="696" s="2" customFormat="1" spans="1:14">
      <c r="A696" s="86">
        <v>45496</v>
      </c>
      <c r="B696" s="22">
        <v>422.14</v>
      </c>
      <c r="C696" s="29">
        <v>462924</v>
      </c>
      <c r="D696" s="29">
        <v>1701</v>
      </c>
      <c r="E696" s="23">
        <v>0</v>
      </c>
      <c r="F696" s="25">
        <v>0</v>
      </c>
      <c r="G696" s="23">
        <v>8</v>
      </c>
      <c r="H696" s="23">
        <v>31</v>
      </c>
      <c r="I696" s="23">
        <v>3</v>
      </c>
      <c r="J696" s="189">
        <f t="shared" ref="J696:J708" si="50">D696/C696</f>
        <v>0.00367446924333152</v>
      </c>
      <c r="K696" s="89">
        <f t="shared" ref="K696:K708" si="51">B696/D696</f>
        <v>0.248171663727219</v>
      </c>
      <c r="L696" s="30">
        <f t="shared" si="45"/>
        <v>0.91189914543208</v>
      </c>
      <c r="M696" s="90">
        <f t="shared" ref="M696:M702" si="52">F696/B696</f>
        <v>0</v>
      </c>
      <c r="N696" s="91">
        <f t="shared" ref="N696:N702" si="53">E696/D696</f>
        <v>0</v>
      </c>
    </row>
    <row r="697" s="2" customFormat="1" spans="1:14">
      <c r="A697" s="86">
        <v>45497</v>
      </c>
      <c r="B697" s="22">
        <v>421.01</v>
      </c>
      <c r="C697" s="29">
        <v>493432</v>
      </c>
      <c r="D697" s="29">
        <v>1788</v>
      </c>
      <c r="E697" s="23">
        <v>0</v>
      </c>
      <c r="F697" s="25">
        <v>0</v>
      </c>
      <c r="G697" s="23">
        <v>17</v>
      </c>
      <c r="H697" s="23">
        <v>49</v>
      </c>
      <c r="I697" s="23">
        <v>0</v>
      </c>
      <c r="J697" s="189">
        <f t="shared" si="50"/>
        <v>0.00362359960440344</v>
      </c>
      <c r="K697" s="89">
        <f t="shared" si="51"/>
        <v>0.235464205816555</v>
      </c>
      <c r="L697" s="30">
        <f t="shared" si="45"/>
        <v>0.853228003048039</v>
      </c>
      <c r="M697" s="90">
        <f t="shared" si="52"/>
        <v>0</v>
      </c>
      <c r="N697" s="91">
        <f t="shared" si="53"/>
        <v>0</v>
      </c>
    </row>
    <row r="698" s="2" customFormat="1" spans="1:14">
      <c r="A698" s="86">
        <v>45498</v>
      </c>
      <c r="B698" s="22">
        <v>418.64</v>
      </c>
      <c r="C698" s="29">
        <v>497349</v>
      </c>
      <c r="D698" s="29">
        <v>1778</v>
      </c>
      <c r="E698" s="23">
        <v>0</v>
      </c>
      <c r="F698" s="25">
        <v>0</v>
      </c>
      <c r="G698" s="23">
        <v>7</v>
      </c>
      <c r="H698" s="23">
        <v>46</v>
      </c>
      <c r="I698" s="23">
        <v>1</v>
      </c>
      <c r="J698" s="189">
        <f t="shared" si="50"/>
        <v>0.00357495440827266</v>
      </c>
      <c r="K698" s="89">
        <f t="shared" si="51"/>
        <v>0.235455568053993</v>
      </c>
      <c r="L698" s="30">
        <f t="shared" si="45"/>
        <v>0.841742920966967</v>
      </c>
      <c r="M698" s="90">
        <f t="shared" si="52"/>
        <v>0</v>
      </c>
      <c r="N698" s="91">
        <f t="shared" si="53"/>
        <v>0</v>
      </c>
    </row>
    <row r="699" s="2" customFormat="1" spans="1:14">
      <c r="A699" s="86">
        <v>45499</v>
      </c>
      <c r="B699" s="22">
        <v>417.04</v>
      </c>
      <c r="C699" s="29">
        <v>563103</v>
      </c>
      <c r="D699" s="29">
        <v>1789</v>
      </c>
      <c r="E699" s="23">
        <v>0</v>
      </c>
      <c r="F699" s="25">
        <v>0</v>
      </c>
      <c r="G699" s="23">
        <v>12</v>
      </c>
      <c r="H699" s="23">
        <v>47</v>
      </c>
      <c r="I699" s="23">
        <v>0</v>
      </c>
      <c r="J699" s="189">
        <f t="shared" si="50"/>
        <v>0.00317703865900199</v>
      </c>
      <c r="K699" s="89">
        <f t="shared" si="51"/>
        <v>0.233113471212968</v>
      </c>
      <c r="L699" s="30">
        <f t="shared" si="45"/>
        <v>0.740610509977748</v>
      </c>
      <c r="M699" s="90">
        <f t="shared" si="52"/>
        <v>0</v>
      </c>
      <c r="N699" s="91">
        <f t="shared" si="53"/>
        <v>0</v>
      </c>
    </row>
    <row r="700" s="2" customFormat="1" spans="1:14">
      <c r="A700" s="86">
        <v>45500</v>
      </c>
      <c r="B700" s="22">
        <v>417.79</v>
      </c>
      <c r="C700" s="29">
        <v>402567</v>
      </c>
      <c r="D700" s="29">
        <v>1685</v>
      </c>
      <c r="E700" s="23">
        <v>0</v>
      </c>
      <c r="F700" s="25">
        <v>0</v>
      </c>
      <c r="G700" s="23">
        <v>7</v>
      </c>
      <c r="H700" s="23">
        <v>41</v>
      </c>
      <c r="I700" s="23">
        <v>2</v>
      </c>
      <c r="J700" s="189">
        <f t="shared" si="50"/>
        <v>0.00418563866387458</v>
      </c>
      <c r="K700" s="89">
        <f t="shared" si="51"/>
        <v>0.247946587537092</v>
      </c>
      <c r="L700" s="30">
        <f t="shared" si="45"/>
        <v>1.03781482337102</v>
      </c>
      <c r="M700" s="90">
        <f t="shared" si="52"/>
        <v>0</v>
      </c>
      <c r="N700" s="91">
        <f t="shared" si="53"/>
        <v>0</v>
      </c>
    </row>
    <row r="701" s="2" customFormat="1" spans="1:14">
      <c r="A701" s="86">
        <v>45501</v>
      </c>
      <c r="B701" s="22">
        <v>418.4</v>
      </c>
      <c r="C701" s="29">
        <v>400844</v>
      </c>
      <c r="D701" s="29">
        <v>1711</v>
      </c>
      <c r="E701" s="23">
        <v>0</v>
      </c>
      <c r="F701" s="25">
        <v>0</v>
      </c>
      <c r="G701" s="23">
        <v>15</v>
      </c>
      <c r="H701" s="23">
        <v>48</v>
      </c>
      <c r="I701" s="23">
        <v>1</v>
      </c>
      <c r="J701" s="189">
        <f t="shared" si="50"/>
        <v>0.00426849347875982</v>
      </c>
      <c r="K701" s="89">
        <f t="shared" si="51"/>
        <v>0.244535359438925</v>
      </c>
      <c r="L701" s="30">
        <f t="shared" si="45"/>
        <v>1.04379758709124</v>
      </c>
      <c r="M701" s="90">
        <f t="shared" si="52"/>
        <v>0</v>
      </c>
      <c r="N701" s="91">
        <f t="shared" si="53"/>
        <v>0</v>
      </c>
    </row>
    <row r="702" s="2" customFormat="1" spans="1:14">
      <c r="A702" s="86">
        <v>45502</v>
      </c>
      <c r="B702" s="22">
        <v>413.76</v>
      </c>
      <c r="C702" s="29">
        <v>457389</v>
      </c>
      <c r="D702" s="29">
        <v>1925</v>
      </c>
      <c r="E702" s="23">
        <v>0</v>
      </c>
      <c r="F702" s="25">
        <v>0</v>
      </c>
      <c r="G702" s="23">
        <v>18</v>
      </c>
      <c r="H702" s="23">
        <v>55</v>
      </c>
      <c r="I702" s="23">
        <v>5</v>
      </c>
      <c r="J702" s="189">
        <f t="shared" si="50"/>
        <v>0.00420867139349656</v>
      </c>
      <c r="K702" s="89">
        <f t="shared" si="51"/>
        <v>0.21494025974026</v>
      </c>
      <c r="L702" s="30">
        <f t="shared" si="45"/>
        <v>0.904612922479552</v>
      </c>
      <c r="M702" s="90">
        <f t="shared" si="52"/>
        <v>0</v>
      </c>
      <c r="N702" s="91">
        <f t="shared" si="53"/>
        <v>0</v>
      </c>
    </row>
    <row r="703" s="2" customFormat="1" spans="1:14">
      <c r="A703" s="86">
        <v>45503</v>
      </c>
      <c r="B703" s="22">
        <v>238.33</v>
      </c>
      <c r="C703" s="29">
        <v>286816</v>
      </c>
      <c r="D703" s="29">
        <v>1245</v>
      </c>
      <c r="E703" s="23">
        <v>0</v>
      </c>
      <c r="F703" s="25">
        <v>0</v>
      </c>
      <c r="G703" s="23">
        <v>11</v>
      </c>
      <c r="H703" s="23">
        <v>41</v>
      </c>
      <c r="I703" s="23">
        <v>1</v>
      </c>
      <c r="J703" s="189">
        <f t="shared" si="50"/>
        <v>0.00434076202164454</v>
      </c>
      <c r="K703" s="89">
        <f t="shared" si="51"/>
        <v>0.191429718875502</v>
      </c>
      <c r="L703" s="30">
        <f t="shared" si="45"/>
        <v>0.83095085350887</v>
      </c>
      <c r="M703" s="90">
        <f>H703/B703</f>
        <v>0.172030378047245</v>
      </c>
      <c r="N703" s="91">
        <f>G703/D703</f>
        <v>0.00883534136546185</v>
      </c>
    </row>
    <row r="704" s="2" customFormat="1" spans="1:14">
      <c r="A704" s="86">
        <v>45504</v>
      </c>
      <c r="B704" s="22">
        <v>229</v>
      </c>
      <c r="C704" s="29">
        <v>318487</v>
      </c>
      <c r="D704" s="29">
        <v>1281</v>
      </c>
      <c r="E704" s="29">
        <v>0</v>
      </c>
      <c r="F704" s="25">
        <v>0</v>
      </c>
      <c r="G704" s="23">
        <v>10</v>
      </c>
      <c r="H704" s="23">
        <v>27</v>
      </c>
      <c r="I704" s="23">
        <v>3</v>
      </c>
      <c r="J704" s="189">
        <f t="shared" si="50"/>
        <v>0.00402214219104704</v>
      </c>
      <c r="K704" s="89">
        <f t="shared" si="51"/>
        <v>0.178766588602654</v>
      </c>
      <c r="L704" s="30">
        <f t="shared" si="45"/>
        <v>0.719024638368285</v>
      </c>
      <c r="M704" s="90">
        <f t="shared" ref="M704:M708" si="54">F704/B704</f>
        <v>0</v>
      </c>
      <c r="N704" s="91">
        <f t="shared" ref="N704:N708" si="55">E704/D704</f>
        <v>0</v>
      </c>
    </row>
    <row r="705" s="2" customFormat="1" spans="1:17">
      <c r="A705" s="86">
        <v>45505</v>
      </c>
      <c r="B705" s="22">
        <v>328.46</v>
      </c>
      <c r="C705" s="29">
        <v>274541</v>
      </c>
      <c r="D705" s="29">
        <v>1542</v>
      </c>
      <c r="E705" s="23">
        <v>0</v>
      </c>
      <c r="F705" s="25">
        <v>0</v>
      </c>
      <c r="G705" s="23">
        <v>8</v>
      </c>
      <c r="H705" s="23">
        <v>49</v>
      </c>
      <c r="I705" s="23">
        <v>1</v>
      </c>
      <c r="J705" s="189">
        <f t="shared" si="50"/>
        <v>0.00561664742242507</v>
      </c>
      <c r="K705" s="89">
        <f t="shared" si="51"/>
        <v>0.213009079118029</v>
      </c>
      <c r="L705" s="30">
        <f t="shared" si="45"/>
        <v>1.19639689518141</v>
      </c>
      <c r="M705" s="90">
        <f t="shared" si="54"/>
        <v>0</v>
      </c>
      <c r="N705" s="91">
        <f t="shared" si="55"/>
        <v>0</v>
      </c>
    </row>
    <row r="706" s="2" customFormat="1" spans="1:17">
      <c r="A706" s="86">
        <v>45506</v>
      </c>
      <c r="B706" s="22">
        <v>345.81</v>
      </c>
      <c r="C706" s="29">
        <v>208471</v>
      </c>
      <c r="D706" s="29">
        <v>1436</v>
      </c>
      <c r="E706" s="29">
        <v>0</v>
      </c>
      <c r="F706" s="25">
        <v>0</v>
      </c>
      <c r="G706" s="23">
        <v>10</v>
      </c>
      <c r="H706" s="23">
        <v>39</v>
      </c>
      <c r="I706" s="23">
        <v>1</v>
      </c>
      <c r="J706" s="189">
        <f t="shared" si="50"/>
        <v>0.00688824824555933</v>
      </c>
      <c r="K706" s="89">
        <f t="shared" si="51"/>
        <v>0.240814763231198</v>
      </c>
      <c r="L706" s="30">
        <f t="shared" si="45"/>
        <v>1.65879187033208</v>
      </c>
      <c r="M706" s="90">
        <f t="shared" si="54"/>
        <v>0</v>
      </c>
      <c r="N706" s="91">
        <f t="shared" si="55"/>
        <v>0</v>
      </c>
      <c r="O706" s="201"/>
    </row>
    <row r="707" s="2" customFormat="1" spans="1:17">
      <c r="A707" s="86">
        <v>45507</v>
      </c>
      <c r="B707" s="22">
        <v>341.43</v>
      </c>
      <c r="C707" s="29">
        <v>318852</v>
      </c>
      <c r="D707" s="29">
        <v>1596</v>
      </c>
      <c r="E707" s="29">
        <v>0</v>
      </c>
      <c r="F707" s="25">
        <v>0</v>
      </c>
      <c r="G707" s="23">
        <v>11</v>
      </c>
      <c r="H707" s="23">
        <v>43</v>
      </c>
      <c r="I707" s="23">
        <v>0</v>
      </c>
      <c r="J707" s="189">
        <f t="shared" si="50"/>
        <v>0.00500545707726469</v>
      </c>
      <c r="K707" s="89">
        <f t="shared" si="51"/>
        <v>0.213928571428571</v>
      </c>
      <c r="L707" s="30">
        <f t="shared" si="45"/>
        <v>1.07081028188627</v>
      </c>
      <c r="M707" s="90">
        <f t="shared" si="54"/>
        <v>0</v>
      </c>
      <c r="N707" s="91">
        <f t="shared" si="55"/>
        <v>0</v>
      </c>
    </row>
    <row r="708" s="2" customFormat="1" spans="1:17">
      <c r="A708" s="86">
        <v>45508</v>
      </c>
      <c r="B708" s="22">
        <v>340.75</v>
      </c>
      <c r="C708" s="29">
        <v>403412</v>
      </c>
      <c r="D708" s="29">
        <v>1845</v>
      </c>
      <c r="E708" s="29">
        <v>0</v>
      </c>
      <c r="F708" s="25">
        <v>0</v>
      </c>
      <c r="G708" s="23">
        <v>7</v>
      </c>
      <c r="H708" s="23">
        <v>45</v>
      </c>
      <c r="I708" s="23">
        <v>3</v>
      </c>
      <c r="J708" s="189">
        <f t="shared" si="50"/>
        <v>0.00457348814611365</v>
      </c>
      <c r="K708" s="89">
        <f t="shared" si="51"/>
        <v>0.184688346883469</v>
      </c>
      <c r="L708" s="30">
        <f t="shared" si="45"/>
        <v>0.844669965196871</v>
      </c>
      <c r="M708" s="90">
        <f t="shared" si="54"/>
        <v>0</v>
      </c>
      <c r="N708" s="91">
        <f t="shared" si="55"/>
        <v>0</v>
      </c>
      <c r="O708" s="201"/>
    </row>
    <row r="709" s="2" customFormat="1" spans="1:17">
      <c r="A709" s="86">
        <v>45509</v>
      </c>
      <c r="B709" s="22">
        <v>329.67</v>
      </c>
      <c r="C709" s="29">
        <v>309669</v>
      </c>
      <c r="D709" s="29">
        <v>1481</v>
      </c>
      <c r="E709" s="23">
        <v>0</v>
      </c>
      <c r="F709" s="25">
        <v>0</v>
      </c>
      <c r="G709" s="23">
        <v>9</v>
      </c>
      <c r="H709" s="23">
        <v>26</v>
      </c>
      <c r="I709" s="23">
        <v>2</v>
      </c>
      <c r="J709" s="189">
        <v>0.0047825258582551</v>
      </c>
      <c r="K709" s="89">
        <v>0.222599594868332</v>
      </c>
      <c r="L709" s="30">
        <f t="shared" si="45"/>
        <v>1.06458831849491</v>
      </c>
      <c r="M709" s="90">
        <v>0</v>
      </c>
      <c r="N709" s="91">
        <v>0</v>
      </c>
      <c r="O709" s="201"/>
    </row>
    <row r="710" s="2" customFormat="1" spans="1:17">
      <c r="A710" s="86">
        <v>45510</v>
      </c>
      <c r="B710" s="22">
        <v>343.64</v>
      </c>
      <c r="C710" s="29">
        <v>286518</v>
      </c>
      <c r="D710" s="29">
        <v>1462</v>
      </c>
      <c r="E710" s="23">
        <v>0</v>
      </c>
      <c r="F710" s="25">
        <v>0</v>
      </c>
      <c r="G710" s="23">
        <v>7</v>
      </c>
      <c r="H710" s="23">
        <v>47</v>
      </c>
      <c r="I710" s="23">
        <v>0</v>
      </c>
      <c r="J710" s="189">
        <f t="shared" ref="J710:J773" si="56">D710/C710</f>
        <v>0.00510264625608164</v>
      </c>
      <c r="K710" s="89">
        <f t="shared" ref="K710:K773" si="57">B710/D710</f>
        <v>0.235047879616963</v>
      </c>
      <c r="L710" s="30">
        <f t="shared" si="45"/>
        <v>1.19936618292743</v>
      </c>
      <c r="M710" s="90">
        <f t="shared" ref="M710:M773" si="58">F710/B710</f>
        <v>0</v>
      </c>
      <c r="N710" s="91">
        <f t="shared" ref="N710:N773" si="59">E710/D710</f>
        <v>0</v>
      </c>
      <c r="O710" s="201"/>
    </row>
    <row r="711" s="2" customFormat="1" spans="1:17">
      <c r="A711" s="86">
        <v>45511</v>
      </c>
      <c r="B711" s="22">
        <v>350.35</v>
      </c>
      <c r="C711" s="29">
        <v>339522</v>
      </c>
      <c r="D711" s="29">
        <v>1368</v>
      </c>
      <c r="E711" s="23">
        <v>0</v>
      </c>
      <c r="F711" s="25">
        <v>0</v>
      </c>
      <c r="G711" s="23">
        <v>12</v>
      </c>
      <c r="H711" s="23">
        <v>32</v>
      </c>
      <c r="I711" s="23">
        <v>1</v>
      </c>
      <c r="J711" s="189">
        <f t="shared" si="56"/>
        <v>0.00402919398448407</v>
      </c>
      <c r="K711" s="89">
        <f t="shared" si="57"/>
        <v>0.256103801169591</v>
      </c>
      <c r="L711" s="30">
        <f t="shared" si="45"/>
        <v>1.03189189507602</v>
      </c>
      <c r="M711" s="90">
        <f t="shared" si="58"/>
        <v>0</v>
      </c>
      <c r="N711" s="91">
        <f t="shared" si="59"/>
        <v>0</v>
      </c>
      <c r="O711" s="201"/>
    </row>
    <row r="712" s="2" customFormat="1" spans="1:17">
      <c r="A712" s="86">
        <v>45512</v>
      </c>
      <c r="B712" s="22">
        <v>345.72</v>
      </c>
      <c r="C712" s="29">
        <v>318180</v>
      </c>
      <c r="D712" s="29">
        <v>1360</v>
      </c>
      <c r="E712" s="29">
        <v>0</v>
      </c>
      <c r="F712" s="25">
        <v>0</v>
      </c>
      <c r="G712" s="23">
        <v>13</v>
      </c>
      <c r="H712" s="23">
        <v>34</v>
      </c>
      <c r="I712" s="23">
        <v>0</v>
      </c>
      <c r="J712" s="189">
        <f t="shared" si="56"/>
        <v>0.00427431013891508</v>
      </c>
      <c r="K712" s="89">
        <f t="shared" si="57"/>
        <v>0.254205882352941</v>
      </c>
      <c r="L712" s="30">
        <f t="shared" si="45"/>
        <v>1.08655478031303</v>
      </c>
      <c r="M712" s="90">
        <f t="shared" si="58"/>
        <v>0</v>
      </c>
      <c r="N712" s="91">
        <f t="shared" si="59"/>
        <v>0</v>
      </c>
    </row>
    <row r="713" s="2" customFormat="1" spans="1:17">
      <c r="A713" s="86">
        <v>45513</v>
      </c>
      <c r="B713" s="22">
        <v>347.43</v>
      </c>
      <c r="C713" s="29">
        <v>307117</v>
      </c>
      <c r="D713" s="29">
        <v>1268</v>
      </c>
      <c r="E713" s="23">
        <v>1</v>
      </c>
      <c r="F713" s="23">
        <v>14487</v>
      </c>
      <c r="G713" s="23">
        <v>7</v>
      </c>
      <c r="H713" s="23">
        <v>51</v>
      </c>
      <c r="I713" s="23">
        <v>0</v>
      </c>
      <c r="J713" s="189">
        <f t="shared" si="56"/>
        <v>0.00412871967360973</v>
      </c>
      <c r="K713" s="89">
        <f t="shared" si="57"/>
        <v>0.273998422712934</v>
      </c>
      <c r="L713" s="30">
        <f t="shared" si="45"/>
        <v>1.13126267839293</v>
      </c>
      <c r="M713" s="90">
        <f t="shared" si="58"/>
        <v>41.6976081512823</v>
      </c>
      <c r="N713" s="91">
        <f t="shared" si="59"/>
        <v>0.000788643533123028</v>
      </c>
      <c r="O713" s="201"/>
    </row>
    <row r="714" s="2" customFormat="1" spans="1:17">
      <c r="A714" s="86">
        <v>45514</v>
      </c>
      <c r="B714" s="22">
        <v>346.81</v>
      </c>
      <c r="C714" s="29">
        <v>323565</v>
      </c>
      <c r="D714" s="29">
        <v>1492</v>
      </c>
      <c r="E714" s="23">
        <v>0</v>
      </c>
      <c r="F714" s="25">
        <v>0</v>
      </c>
      <c r="G714" s="23">
        <v>12</v>
      </c>
      <c r="H714" s="23">
        <v>40</v>
      </c>
      <c r="I714" s="23">
        <v>1</v>
      </c>
      <c r="J714" s="189">
        <f t="shared" si="56"/>
        <v>0.00461112913943103</v>
      </c>
      <c r="K714" s="89">
        <f t="shared" si="57"/>
        <v>0.232446380697051</v>
      </c>
      <c r="L714" s="30">
        <f t="shared" si="45"/>
        <v>1.07184027938745</v>
      </c>
      <c r="M714" s="90">
        <f t="shared" si="58"/>
        <v>0</v>
      </c>
      <c r="N714" s="91">
        <f t="shared" si="59"/>
        <v>0</v>
      </c>
    </row>
    <row r="715" s="2" customFormat="1" spans="1:17">
      <c r="A715" s="86">
        <v>45515</v>
      </c>
      <c r="B715" s="22">
        <v>349.06</v>
      </c>
      <c r="C715" s="29">
        <v>395398</v>
      </c>
      <c r="D715" s="29">
        <v>1677</v>
      </c>
      <c r="E715" s="23">
        <v>0</v>
      </c>
      <c r="F715" s="25">
        <v>0</v>
      </c>
      <c r="G715" s="23">
        <v>15</v>
      </c>
      <c r="H715" s="23">
        <v>32</v>
      </c>
      <c r="I715" s="23">
        <v>2</v>
      </c>
      <c r="J715" s="189">
        <f t="shared" si="56"/>
        <v>0.00424129611176587</v>
      </c>
      <c r="K715" s="89">
        <f t="shared" si="57"/>
        <v>0.20814549791294</v>
      </c>
      <c r="L715" s="30">
        <f t="shared" si="45"/>
        <v>0.882806690979722</v>
      </c>
      <c r="M715" s="90">
        <f t="shared" si="58"/>
        <v>0</v>
      </c>
      <c r="N715" s="91">
        <f t="shared" si="59"/>
        <v>0</v>
      </c>
    </row>
    <row r="716" s="2" customFormat="1" spans="1:17">
      <c r="A716" s="86">
        <v>45516</v>
      </c>
      <c r="B716" s="22">
        <v>346.4</v>
      </c>
      <c r="C716" s="29">
        <v>390153</v>
      </c>
      <c r="D716" s="29">
        <v>1653</v>
      </c>
      <c r="E716" s="29">
        <v>0</v>
      </c>
      <c r="F716" s="25">
        <v>0</v>
      </c>
      <c r="G716" s="23">
        <v>19</v>
      </c>
      <c r="H716" s="23">
        <v>41</v>
      </c>
      <c r="I716" s="23">
        <v>1</v>
      </c>
      <c r="J716" s="189">
        <f t="shared" si="56"/>
        <v>0.00423679940946244</v>
      </c>
      <c r="K716" s="89">
        <f t="shared" si="57"/>
        <v>0.209558378705384</v>
      </c>
      <c r="L716" s="30">
        <f t="shared" si="45"/>
        <v>0.887856815146878</v>
      </c>
      <c r="M716" s="90">
        <f t="shared" si="58"/>
        <v>0</v>
      </c>
      <c r="N716" s="91">
        <f t="shared" si="59"/>
        <v>0</v>
      </c>
    </row>
    <row r="717" s="2" customFormat="1" spans="1:17">
      <c r="A717" s="86">
        <v>45517</v>
      </c>
      <c r="B717" s="22">
        <v>486.46</v>
      </c>
      <c r="C717" s="29">
        <v>530417</v>
      </c>
      <c r="D717" s="29">
        <v>2251</v>
      </c>
      <c r="E717" s="23">
        <v>0</v>
      </c>
      <c r="F717" s="25">
        <v>0</v>
      </c>
      <c r="G717" s="23">
        <v>18</v>
      </c>
      <c r="H717" s="23">
        <v>57</v>
      </c>
      <c r="I717" s="23">
        <v>2</v>
      </c>
      <c r="J717" s="189">
        <f t="shared" si="56"/>
        <v>0.00424383079727837</v>
      </c>
      <c r="K717" s="89">
        <f t="shared" si="57"/>
        <v>0.216108396268325</v>
      </c>
      <c r="L717" s="30">
        <f t="shared" si="45"/>
        <v>0.917127467633956</v>
      </c>
      <c r="M717" s="90">
        <f t="shared" si="58"/>
        <v>0</v>
      </c>
      <c r="N717" s="91">
        <f t="shared" si="59"/>
        <v>0</v>
      </c>
    </row>
    <row r="718" s="2" customFormat="1" spans="1:17">
      <c r="A718" s="86">
        <v>45518</v>
      </c>
      <c r="B718" s="22">
        <v>489.71</v>
      </c>
      <c r="C718" s="29">
        <v>540628</v>
      </c>
      <c r="D718" s="29">
        <v>2275</v>
      </c>
      <c r="E718" s="23">
        <v>0</v>
      </c>
      <c r="F718" s="25">
        <v>0</v>
      </c>
      <c r="G718" s="23">
        <v>9</v>
      </c>
      <c r="H718" s="23">
        <v>60</v>
      </c>
      <c r="I718" s="23">
        <v>1</v>
      </c>
      <c r="J718" s="189">
        <f t="shared" si="56"/>
        <v>0.00420806913441405</v>
      </c>
      <c r="K718" s="89">
        <f t="shared" si="57"/>
        <v>0.215257142857143</v>
      </c>
      <c r="L718" s="30">
        <f t="shared" si="45"/>
        <v>0.905816938819299</v>
      </c>
      <c r="M718" s="90">
        <f t="shared" si="58"/>
        <v>0</v>
      </c>
      <c r="N718" s="91">
        <f t="shared" si="59"/>
        <v>0</v>
      </c>
    </row>
    <row r="719" s="2" customFormat="1" spans="1:17">
      <c r="A719" s="86">
        <v>45519</v>
      </c>
      <c r="B719" s="22">
        <v>484.99</v>
      </c>
      <c r="C719" s="29">
        <v>560098</v>
      </c>
      <c r="D719" s="29">
        <v>2196</v>
      </c>
      <c r="E719" s="23">
        <v>0</v>
      </c>
      <c r="F719" s="25">
        <v>0</v>
      </c>
      <c r="G719" s="23">
        <v>9</v>
      </c>
      <c r="H719" s="23">
        <v>63</v>
      </c>
      <c r="I719" s="23">
        <v>0</v>
      </c>
      <c r="J719" s="189">
        <f t="shared" si="56"/>
        <v>0.00392074244150131</v>
      </c>
      <c r="K719" s="89">
        <f t="shared" si="57"/>
        <v>0.220851548269581</v>
      </c>
      <c r="L719" s="30">
        <f t="shared" si="45"/>
        <v>0.865902038571821</v>
      </c>
      <c r="M719" s="90">
        <f t="shared" si="58"/>
        <v>0</v>
      </c>
      <c r="N719" s="91">
        <f t="shared" si="59"/>
        <v>0</v>
      </c>
      <c r="O719" s="201"/>
      <c r="Q719" s="202"/>
    </row>
    <row r="720" s="2" customFormat="1" spans="1:17">
      <c r="A720" s="86">
        <v>45520</v>
      </c>
      <c r="B720" s="22">
        <v>486.66</v>
      </c>
      <c r="C720" s="29">
        <v>568195</v>
      </c>
      <c r="D720" s="23">
        <v>2197</v>
      </c>
      <c r="E720" s="23">
        <v>0</v>
      </c>
      <c r="F720" s="25">
        <v>0</v>
      </c>
      <c r="G720" s="23">
        <v>21</v>
      </c>
      <c r="H720" s="23">
        <v>68</v>
      </c>
      <c r="I720" s="23">
        <v>0</v>
      </c>
      <c r="J720" s="189">
        <f t="shared" si="56"/>
        <v>0.00386663029417718</v>
      </c>
      <c r="K720" s="89">
        <f t="shared" si="57"/>
        <v>0.221511151570323</v>
      </c>
      <c r="L720" s="30">
        <f t="shared" si="45"/>
        <v>0.856501729159884</v>
      </c>
      <c r="M720" s="90">
        <f t="shared" si="58"/>
        <v>0</v>
      </c>
      <c r="N720" s="91">
        <f t="shared" si="59"/>
        <v>0</v>
      </c>
    </row>
    <row r="721" s="2" customFormat="1" spans="1:15">
      <c r="A721" s="86">
        <v>45521</v>
      </c>
      <c r="B721" s="22">
        <v>497.2</v>
      </c>
      <c r="C721" s="29">
        <v>633535</v>
      </c>
      <c r="D721" s="23">
        <v>2554</v>
      </c>
      <c r="E721" s="23">
        <v>0</v>
      </c>
      <c r="F721" s="25">
        <v>0</v>
      </c>
      <c r="G721" s="23">
        <v>18</v>
      </c>
      <c r="H721" s="23">
        <v>57</v>
      </c>
      <c r="I721" s="23">
        <v>3</v>
      </c>
      <c r="J721" s="189">
        <f t="shared" si="56"/>
        <v>0.00403134791290142</v>
      </c>
      <c r="K721" s="89">
        <f t="shared" si="57"/>
        <v>0.194675019577134</v>
      </c>
      <c r="L721" s="30">
        <f t="shared" si="45"/>
        <v>0.784802733866321</v>
      </c>
      <c r="M721" s="90">
        <f t="shared" si="58"/>
        <v>0</v>
      </c>
      <c r="N721" s="91">
        <f t="shared" si="59"/>
        <v>0</v>
      </c>
      <c r="O721" s="201"/>
    </row>
    <row r="722" s="2" customFormat="1" spans="1:15">
      <c r="A722" s="86">
        <v>45522</v>
      </c>
      <c r="B722" s="22">
        <v>473.61</v>
      </c>
      <c r="C722" s="29">
        <v>621670</v>
      </c>
      <c r="D722" s="29">
        <v>2444</v>
      </c>
      <c r="E722" s="23">
        <v>0</v>
      </c>
      <c r="F722" s="25">
        <v>0</v>
      </c>
      <c r="G722" s="23">
        <v>22</v>
      </c>
      <c r="H722" s="23">
        <v>50</v>
      </c>
      <c r="I722" s="23">
        <v>0</v>
      </c>
      <c r="J722" s="189">
        <f t="shared" si="56"/>
        <v>0.00393134621262084</v>
      </c>
      <c r="K722" s="89">
        <f t="shared" si="57"/>
        <v>0.193784779050737</v>
      </c>
      <c r="L722" s="30">
        <f t="shared" si="45"/>
        <v>0.76183505718468</v>
      </c>
      <c r="M722" s="90">
        <f t="shared" si="58"/>
        <v>0</v>
      </c>
      <c r="N722" s="91">
        <f t="shared" si="59"/>
        <v>0</v>
      </c>
    </row>
    <row r="723" s="2" customFormat="1" spans="1:15">
      <c r="A723" s="86">
        <v>45523</v>
      </c>
      <c r="B723" s="22">
        <v>481.72</v>
      </c>
      <c r="C723" s="29">
        <v>593363</v>
      </c>
      <c r="D723" s="29">
        <v>2181</v>
      </c>
      <c r="E723" s="23">
        <v>0</v>
      </c>
      <c r="F723" s="25">
        <v>0</v>
      </c>
      <c r="G723" s="23">
        <v>17</v>
      </c>
      <c r="H723" s="23">
        <v>42</v>
      </c>
      <c r="I723" s="23">
        <v>0</v>
      </c>
      <c r="J723" s="189">
        <f t="shared" si="56"/>
        <v>0.00367565891368353</v>
      </c>
      <c r="K723" s="89">
        <f t="shared" si="57"/>
        <v>0.22087116001834</v>
      </c>
      <c r="L723" s="30">
        <f t="shared" si="45"/>
        <v>0.811847048097033</v>
      </c>
      <c r="M723" s="90">
        <f t="shared" si="58"/>
        <v>0</v>
      </c>
      <c r="N723" s="91">
        <f t="shared" si="59"/>
        <v>0</v>
      </c>
    </row>
    <row r="724" s="2" customFormat="1" spans="1:15">
      <c r="A724" s="86">
        <v>45524</v>
      </c>
      <c r="B724" s="22">
        <v>495.97</v>
      </c>
      <c r="C724" s="29">
        <v>501543</v>
      </c>
      <c r="D724" s="29">
        <v>2154</v>
      </c>
      <c r="E724" s="23">
        <v>0</v>
      </c>
      <c r="F724" s="25">
        <v>0</v>
      </c>
      <c r="G724" s="23">
        <v>14</v>
      </c>
      <c r="H724" s="23">
        <v>50</v>
      </c>
      <c r="I724" s="23">
        <v>0</v>
      </c>
      <c r="J724" s="189">
        <f t="shared" si="56"/>
        <v>0.00429474641257081</v>
      </c>
      <c r="K724" s="89">
        <f t="shared" si="57"/>
        <v>0.230255338904364</v>
      </c>
      <c r="L724" s="30">
        <f t="shared" si="45"/>
        <v>0.988888290734792</v>
      </c>
      <c r="M724" s="90">
        <f t="shared" si="58"/>
        <v>0</v>
      </c>
      <c r="N724" s="91">
        <f t="shared" si="59"/>
        <v>0</v>
      </c>
    </row>
    <row r="725" s="2" customFormat="1" spans="1:15">
      <c r="A725" s="86">
        <v>45525</v>
      </c>
      <c r="B725" s="22">
        <v>490.68</v>
      </c>
      <c r="C725" s="29">
        <v>592508</v>
      </c>
      <c r="D725" s="29">
        <v>2464</v>
      </c>
      <c r="E725" s="23">
        <v>0</v>
      </c>
      <c r="F725" s="25">
        <v>0</v>
      </c>
      <c r="G725" s="23">
        <v>14</v>
      </c>
      <c r="H725" s="23">
        <v>40</v>
      </c>
      <c r="I725" s="23">
        <v>2</v>
      </c>
      <c r="J725" s="189">
        <f t="shared" si="56"/>
        <v>0.004158593639242</v>
      </c>
      <c r="K725" s="89">
        <f t="shared" si="57"/>
        <v>0.19913961038961</v>
      </c>
      <c r="L725" s="30">
        <f t="shared" si="45"/>
        <v>0.828140717087364</v>
      </c>
      <c r="M725" s="90">
        <f t="shared" si="58"/>
        <v>0</v>
      </c>
      <c r="N725" s="91">
        <f t="shared" si="59"/>
        <v>0</v>
      </c>
    </row>
    <row r="726" s="2" customFormat="1" spans="1:15">
      <c r="A726" s="86">
        <v>45526</v>
      </c>
      <c r="B726" s="22">
        <v>482.62</v>
      </c>
      <c r="C726" s="29">
        <v>641474</v>
      </c>
      <c r="D726" s="29">
        <v>2414</v>
      </c>
      <c r="E726" s="23">
        <v>0</v>
      </c>
      <c r="F726" s="25">
        <v>0</v>
      </c>
      <c r="G726" s="23">
        <v>15</v>
      </c>
      <c r="H726" s="23">
        <v>47</v>
      </c>
      <c r="I726" s="23">
        <v>1</v>
      </c>
      <c r="J726" s="189">
        <f t="shared" si="56"/>
        <v>0.00376320786189308</v>
      </c>
      <c r="K726" s="89">
        <f t="shared" si="57"/>
        <v>0.199925434962717</v>
      </c>
      <c r="L726" s="30">
        <f t="shared" si="45"/>
        <v>0.752360968644092</v>
      </c>
      <c r="M726" s="90">
        <f t="shared" si="58"/>
        <v>0</v>
      </c>
      <c r="N726" s="91">
        <f t="shared" si="59"/>
        <v>0</v>
      </c>
    </row>
    <row r="727" s="2" customFormat="1" spans="1:15">
      <c r="A727" s="86">
        <v>45527</v>
      </c>
      <c r="B727" s="22">
        <v>488.69</v>
      </c>
      <c r="C727" s="29">
        <v>689065</v>
      </c>
      <c r="D727" s="29">
        <v>2394</v>
      </c>
      <c r="E727" s="23">
        <v>0</v>
      </c>
      <c r="F727" s="25">
        <v>0</v>
      </c>
      <c r="G727" s="23">
        <v>10</v>
      </c>
      <c r="H727" s="23">
        <v>50</v>
      </c>
      <c r="I727" s="23">
        <v>1</v>
      </c>
      <c r="J727" s="189">
        <f t="shared" si="56"/>
        <v>0.00347427310921321</v>
      </c>
      <c r="K727" s="89">
        <f t="shared" si="57"/>
        <v>0.204131161236424</v>
      </c>
      <c r="L727" s="30">
        <f t="shared" si="45"/>
        <v>0.709207404236175</v>
      </c>
      <c r="M727" s="90">
        <f t="shared" si="58"/>
        <v>0</v>
      </c>
      <c r="N727" s="91">
        <f t="shared" si="59"/>
        <v>0</v>
      </c>
    </row>
    <row r="728" s="2" customFormat="1" spans="1:15">
      <c r="A728" s="86">
        <v>45528</v>
      </c>
      <c r="B728" s="22">
        <v>486.63</v>
      </c>
      <c r="C728" s="29">
        <v>831799</v>
      </c>
      <c r="D728" s="29">
        <v>2780</v>
      </c>
      <c r="E728" s="23">
        <v>0</v>
      </c>
      <c r="F728" s="25">
        <v>0</v>
      </c>
      <c r="G728" s="23">
        <v>19</v>
      </c>
      <c r="H728" s="23">
        <v>31</v>
      </c>
      <c r="I728" s="23">
        <v>0</v>
      </c>
      <c r="J728" s="189">
        <f t="shared" si="56"/>
        <v>0.0033421535731589</v>
      </c>
      <c r="K728" s="89">
        <f t="shared" si="57"/>
        <v>0.175046762589928</v>
      </c>
      <c r="L728" s="30">
        <f t="shared" si="45"/>
        <v>0.585033163059826</v>
      </c>
      <c r="M728" s="90">
        <f t="shared" si="58"/>
        <v>0</v>
      </c>
      <c r="N728" s="91">
        <f t="shared" si="59"/>
        <v>0</v>
      </c>
    </row>
    <row r="729" s="2" customFormat="1" spans="1:15">
      <c r="A729" s="86">
        <v>45529</v>
      </c>
      <c r="B729" s="22">
        <v>493.82</v>
      </c>
      <c r="C729" s="29">
        <v>831678</v>
      </c>
      <c r="D729" s="29">
        <v>2671</v>
      </c>
      <c r="E729" s="23">
        <v>0</v>
      </c>
      <c r="F729" s="25">
        <v>0</v>
      </c>
      <c r="G729" s="23">
        <v>15</v>
      </c>
      <c r="H729" s="23">
        <v>39</v>
      </c>
      <c r="I729" s="23">
        <v>1</v>
      </c>
      <c r="J729" s="189">
        <f t="shared" si="56"/>
        <v>0.00321157948148202</v>
      </c>
      <c r="K729" s="89">
        <f t="shared" si="57"/>
        <v>0.184882066641707</v>
      </c>
      <c r="L729" s="30">
        <f t="shared" si="45"/>
        <v>0.593763451720498</v>
      </c>
      <c r="M729" s="90">
        <f t="shared" si="58"/>
        <v>0</v>
      </c>
      <c r="N729" s="91">
        <f t="shared" si="59"/>
        <v>0</v>
      </c>
    </row>
    <row r="730" s="2" customFormat="1" spans="1:15">
      <c r="A730" s="86">
        <v>45530</v>
      </c>
      <c r="B730" s="22">
        <v>659.55</v>
      </c>
      <c r="C730" s="29">
        <v>1049311</v>
      </c>
      <c r="D730" s="29">
        <v>3160</v>
      </c>
      <c r="E730" s="23">
        <v>0</v>
      </c>
      <c r="F730" s="25">
        <v>0</v>
      </c>
      <c r="G730" s="23">
        <v>19</v>
      </c>
      <c r="H730" s="23">
        <v>56</v>
      </c>
      <c r="I730" s="23">
        <v>1</v>
      </c>
      <c r="J730" s="189">
        <f t="shared" si="56"/>
        <v>0.00301149992709502</v>
      </c>
      <c r="K730" s="89">
        <f t="shared" si="57"/>
        <v>0.20871835443038</v>
      </c>
      <c r="L730" s="30">
        <f t="shared" si="45"/>
        <v>0.628555309150481</v>
      </c>
      <c r="M730" s="90">
        <f t="shared" si="58"/>
        <v>0</v>
      </c>
      <c r="N730" s="91">
        <f t="shared" si="59"/>
        <v>0</v>
      </c>
    </row>
    <row r="731" s="2" customFormat="1" spans="1:15">
      <c r="A731" s="86">
        <v>45531</v>
      </c>
      <c r="B731" s="22">
        <v>674.63</v>
      </c>
      <c r="C731" s="29">
        <v>925718</v>
      </c>
      <c r="D731" s="29">
        <v>3027</v>
      </c>
      <c r="E731" s="23">
        <v>0</v>
      </c>
      <c r="F731" s="25">
        <v>0</v>
      </c>
      <c r="G731" s="23">
        <v>18</v>
      </c>
      <c r="H731" s="23">
        <v>63</v>
      </c>
      <c r="I731" s="23">
        <v>2</v>
      </c>
      <c r="J731" s="189">
        <f t="shared" si="56"/>
        <v>0.00326989428746119</v>
      </c>
      <c r="K731" s="89">
        <f t="shared" si="57"/>
        <v>0.222870829203832</v>
      </c>
      <c r="L731" s="30">
        <f t="shared" si="45"/>
        <v>0.72876405125535</v>
      </c>
      <c r="M731" s="90">
        <f t="shared" si="58"/>
        <v>0</v>
      </c>
      <c r="N731" s="91">
        <f t="shared" si="59"/>
        <v>0</v>
      </c>
    </row>
    <row r="732" s="2" customFormat="1" spans="1:15">
      <c r="A732" s="86">
        <v>45532</v>
      </c>
      <c r="B732" s="22">
        <v>678.15</v>
      </c>
      <c r="C732" s="29">
        <v>1084323</v>
      </c>
      <c r="D732" s="29">
        <v>3389</v>
      </c>
      <c r="E732" s="23">
        <v>0</v>
      </c>
      <c r="F732" s="25">
        <v>0</v>
      </c>
      <c r="G732" s="23">
        <v>20</v>
      </c>
      <c r="H732" s="23">
        <v>40</v>
      </c>
      <c r="I732" s="23">
        <v>1</v>
      </c>
      <c r="J732" s="189">
        <f t="shared" si="56"/>
        <v>0.00312545247126548</v>
      </c>
      <c r="K732" s="89">
        <f t="shared" si="57"/>
        <v>0.200103275302449</v>
      </c>
      <c r="L732" s="30">
        <f t="shared" si="45"/>
        <v>0.625413276302356</v>
      </c>
      <c r="M732" s="90">
        <f t="shared" si="58"/>
        <v>0</v>
      </c>
      <c r="N732" s="91">
        <f t="shared" si="59"/>
        <v>0</v>
      </c>
    </row>
    <row r="733" s="2" customFormat="1" spans="1:15">
      <c r="A733" s="86">
        <v>45533</v>
      </c>
      <c r="B733" s="22">
        <v>675.21</v>
      </c>
      <c r="C733" s="29">
        <v>1091744</v>
      </c>
      <c r="D733" s="29">
        <v>3460</v>
      </c>
      <c r="E733" s="23">
        <v>0</v>
      </c>
      <c r="F733" s="25">
        <v>0</v>
      </c>
      <c r="G733" s="23">
        <v>28</v>
      </c>
      <c r="H733" s="23">
        <v>47</v>
      </c>
      <c r="I733" s="23">
        <v>3</v>
      </c>
      <c r="J733" s="189">
        <f t="shared" si="56"/>
        <v>0.00316924114078026</v>
      </c>
      <c r="K733" s="89">
        <f t="shared" si="57"/>
        <v>0.195147398843931</v>
      </c>
      <c r="L733" s="30">
        <f t="shared" si="45"/>
        <v>0.618469164932438</v>
      </c>
      <c r="M733" s="90">
        <f t="shared" si="58"/>
        <v>0</v>
      </c>
      <c r="N733" s="91">
        <f t="shared" si="59"/>
        <v>0</v>
      </c>
    </row>
    <row r="734" s="2" customFormat="1" spans="1:15">
      <c r="A734" s="86">
        <v>45534</v>
      </c>
      <c r="B734" s="22">
        <v>664.85</v>
      </c>
      <c r="C734" s="29">
        <v>1083367</v>
      </c>
      <c r="D734" s="29">
        <v>3298</v>
      </c>
      <c r="E734" s="23">
        <v>0</v>
      </c>
      <c r="F734" s="25">
        <v>0</v>
      </c>
      <c r="G734" s="23">
        <v>27</v>
      </c>
      <c r="H734" s="23">
        <v>58</v>
      </c>
      <c r="I734" s="23">
        <v>3</v>
      </c>
      <c r="J734" s="189">
        <f t="shared" si="56"/>
        <v>0.00304421308753174</v>
      </c>
      <c r="K734" s="89">
        <f t="shared" si="57"/>
        <v>0.201591873862947</v>
      </c>
      <c r="L734" s="30">
        <f t="shared" si="45"/>
        <v>0.613688620753632</v>
      </c>
      <c r="M734" s="90">
        <f t="shared" si="58"/>
        <v>0</v>
      </c>
      <c r="N734" s="91">
        <f t="shared" si="59"/>
        <v>0</v>
      </c>
    </row>
    <row r="735" s="2" customFormat="1" spans="1:15">
      <c r="A735" s="86">
        <v>45535</v>
      </c>
      <c r="B735" s="22">
        <v>676.34</v>
      </c>
      <c r="C735" s="29">
        <v>775328</v>
      </c>
      <c r="D735" s="29">
        <v>3032</v>
      </c>
      <c r="E735" s="23">
        <v>0</v>
      </c>
      <c r="F735" s="25">
        <v>0</v>
      </c>
      <c r="G735" s="23">
        <v>18</v>
      </c>
      <c r="H735" s="23">
        <v>62</v>
      </c>
      <c r="I735" s="23">
        <v>3</v>
      </c>
      <c r="J735" s="189">
        <f t="shared" si="56"/>
        <v>0.00391060299640926</v>
      </c>
      <c r="K735" s="89">
        <f t="shared" si="57"/>
        <v>0.2230672823219</v>
      </c>
      <c r="L735" s="30">
        <f t="shared" si="45"/>
        <v>0.872327582648892</v>
      </c>
      <c r="M735" s="90">
        <f t="shared" si="58"/>
        <v>0</v>
      </c>
      <c r="N735" s="91">
        <f t="shared" si="59"/>
        <v>0</v>
      </c>
    </row>
    <row r="736" s="2" customFormat="1" spans="1:15">
      <c r="A736" s="86">
        <v>45536</v>
      </c>
      <c r="B736" s="22">
        <v>667.84</v>
      </c>
      <c r="C736" s="29">
        <v>795080</v>
      </c>
      <c r="D736" s="29">
        <v>3061</v>
      </c>
      <c r="E736" s="23">
        <v>0</v>
      </c>
      <c r="F736" s="25">
        <v>0</v>
      </c>
      <c r="G736" s="23">
        <v>18</v>
      </c>
      <c r="H736" s="23">
        <v>57</v>
      </c>
      <c r="I736" s="23">
        <v>3</v>
      </c>
      <c r="J736" s="189">
        <f t="shared" si="56"/>
        <v>0.0038499270513659</v>
      </c>
      <c r="K736" s="89">
        <f t="shared" si="57"/>
        <v>0.218177066318197</v>
      </c>
      <c r="L736" s="30">
        <f t="shared" si="45"/>
        <v>0.839965789606077</v>
      </c>
      <c r="M736" s="90">
        <f t="shared" si="58"/>
        <v>0</v>
      </c>
      <c r="N736" s="91">
        <f t="shared" si="59"/>
        <v>0</v>
      </c>
    </row>
    <row r="737" s="2" customFormat="1" spans="1:15">
      <c r="A737" s="86">
        <v>45537</v>
      </c>
      <c r="B737" s="22">
        <v>674.75</v>
      </c>
      <c r="C737" s="29">
        <v>797852</v>
      </c>
      <c r="D737" s="29">
        <v>2997</v>
      </c>
      <c r="E737" s="23">
        <v>0</v>
      </c>
      <c r="F737" s="25">
        <v>0</v>
      </c>
      <c r="G737" s="23">
        <v>15</v>
      </c>
      <c r="H737" s="23">
        <v>43</v>
      </c>
      <c r="I737" s="23">
        <v>3</v>
      </c>
      <c r="J737" s="189">
        <f t="shared" si="56"/>
        <v>0.00375633576151968</v>
      </c>
      <c r="K737" s="89">
        <f t="shared" si="57"/>
        <v>0.225141808475142</v>
      </c>
      <c r="L737" s="30">
        <f t="shared" si="45"/>
        <v>0.84570822658839</v>
      </c>
      <c r="M737" s="90">
        <f t="shared" si="58"/>
        <v>0</v>
      </c>
      <c r="N737" s="91">
        <f t="shared" si="59"/>
        <v>0</v>
      </c>
    </row>
    <row r="738" s="2" customFormat="1" spans="1:15">
      <c r="A738" s="86">
        <v>45538</v>
      </c>
      <c r="B738" s="22">
        <v>675.55</v>
      </c>
      <c r="C738" s="29">
        <v>888962</v>
      </c>
      <c r="D738" s="29">
        <v>3029</v>
      </c>
      <c r="E738" s="23">
        <v>0</v>
      </c>
      <c r="F738" s="25">
        <v>0</v>
      </c>
      <c r="G738" s="23">
        <v>13</v>
      </c>
      <c r="H738" s="23">
        <v>35</v>
      </c>
      <c r="I738" s="23">
        <v>4</v>
      </c>
      <c r="J738" s="189">
        <f t="shared" si="56"/>
        <v>0.00340734474589465</v>
      </c>
      <c r="K738" s="89">
        <f t="shared" si="57"/>
        <v>0.223027401782767</v>
      </c>
      <c r="L738" s="30">
        <f t="shared" si="45"/>
        <v>0.759931245655045</v>
      </c>
      <c r="M738" s="90">
        <f t="shared" si="58"/>
        <v>0</v>
      </c>
      <c r="N738" s="91">
        <f t="shared" si="59"/>
        <v>0</v>
      </c>
    </row>
    <row r="739" s="2" customFormat="1" spans="1:15">
      <c r="A739" s="86">
        <v>45539</v>
      </c>
      <c r="B739" s="22">
        <v>675.53</v>
      </c>
      <c r="C739" s="29">
        <v>896644</v>
      </c>
      <c r="D739" s="29">
        <v>3034</v>
      </c>
      <c r="E739" s="23">
        <v>0</v>
      </c>
      <c r="F739" s="25">
        <v>0</v>
      </c>
      <c r="G739" s="23">
        <v>11</v>
      </c>
      <c r="H739" s="23">
        <v>46</v>
      </c>
      <c r="I739" s="23">
        <v>3</v>
      </c>
      <c r="J739" s="189">
        <f t="shared" si="56"/>
        <v>0.00338372865931183</v>
      </c>
      <c r="K739" s="89">
        <f t="shared" si="57"/>
        <v>0.222653263019117</v>
      </c>
      <c r="L739" s="30">
        <f t="shared" si="45"/>
        <v>0.753398227167081</v>
      </c>
      <c r="M739" s="90">
        <f t="shared" si="58"/>
        <v>0</v>
      </c>
      <c r="N739" s="91">
        <f t="shared" si="59"/>
        <v>0</v>
      </c>
    </row>
    <row r="740" s="2" customFormat="1" spans="1:15">
      <c r="A740" s="86">
        <v>45540</v>
      </c>
      <c r="B740" s="22">
        <v>666.66</v>
      </c>
      <c r="C740" s="29">
        <v>771718</v>
      </c>
      <c r="D740" s="29">
        <v>2783</v>
      </c>
      <c r="E740" s="23">
        <v>0</v>
      </c>
      <c r="F740" s="25">
        <v>0</v>
      </c>
      <c r="G740" s="23">
        <v>20</v>
      </c>
      <c r="H740" s="23">
        <v>60</v>
      </c>
      <c r="I740" s="23">
        <v>1</v>
      </c>
      <c r="J740" s="189">
        <f t="shared" si="56"/>
        <v>0.0036062395849261</v>
      </c>
      <c r="K740" s="89">
        <f t="shared" si="57"/>
        <v>0.239547251167805</v>
      </c>
      <c r="L740" s="30">
        <f t="shared" si="45"/>
        <v>0.863864779621572</v>
      </c>
      <c r="M740" s="90">
        <f t="shared" si="58"/>
        <v>0</v>
      </c>
      <c r="N740" s="91">
        <f t="shared" si="59"/>
        <v>0</v>
      </c>
    </row>
    <row r="741" s="2" customFormat="1" spans="1:15">
      <c r="A741" s="86">
        <v>45541</v>
      </c>
      <c r="B741" s="22">
        <v>667.2</v>
      </c>
      <c r="C741" s="29">
        <v>880307</v>
      </c>
      <c r="D741" s="29">
        <v>2818</v>
      </c>
      <c r="E741" s="23">
        <v>0</v>
      </c>
      <c r="F741" s="25">
        <v>0</v>
      </c>
      <c r="G741" s="23">
        <v>19</v>
      </c>
      <c r="H741" s="23">
        <v>57</v>
      </c>
      <c r="I741" s="23">
        <v>3</v>
      </c>
      <c r="J741" s="189">
        <f t="shared" si="56"/>
        <v>0.00320115596036383</v>
      </c>
      <c r="K741" s="89">
        <f t="shared" si="57"/>
        <v>0.236763662171753</v>
      </c>
      <c r="L741" s="30">
        <f t="shared" si="45"/>
        <v>0.757917408358675</v>
      </c>
      <c r="M741" s="90">
        <f t="shared" si="58"/>
        <v>0</v>
      </c>
      <c r="N741" s="91">
        <f t="shared" si="59"/>
        <v>0</v>
      </c>
    </row>
    <row r="742" s="2" customFormat="1" spans="1:15">
      <c r="A742" s="86">
        <v>45542</v>
      </c>
      <c r="B742" s="22">
        <v>676.66</v>
      </c>
      <c r="C742" s="29">
        <v>759980</v>
      </c>
      <c r="D742" s="29">
        <v>3195</v>
      </c>
      <c r="E742" s="23">
        <v>0</v>
      </c>
      <c r="F742" s="25">
        <v>0</v>
      </c>
      <c r="G742" s="23">
        <v>14</v>
      </c>
      <c r="H742" s="23">
        <v>59</v>
      </c>
      <c r="I742" s="23">
        <v>1</v>
      </c>
      <c r="J742" s="189">
        <f t="shared" si="56"/>
        <v>0.00420405800152636</v>
      </c>
      <c r="K742" s="89">
        <f t="shared" si="57"/>
        <v>0.211787167449139</v>
      </c>
      <c r="L742" s="30">
        <f t="shared" si="45"/>
        <v>0.890365535935156</v>
      </c>
      <c r="M742" s="90">
        <f t="shared" si="58"/>
        <v>0</v>
      </c>
      <c r="N742" s="91">
        <f t="shared" si="59"/>
        <v>0</v>
      </c>
    </row>
    <row r="743" s="2" customFormat="1" spans="1:15">
      <c r="A743" s="86">
        <v>45543</v>
      </c>
      <c r="B743" s="22">
        <v>365.8</v>
      </c>
      <c r="C743" s="29">
        <v>336359</v>
      </c>
      <c r="D743" s="29">
        <v>1488</v>
      </c>
      <c r="E743" s="23">
        <v>0</v>
      </c>
      <c r="F743" s="25">
        <v>0</v>
      </c>
      <c r="G743" s="23">
        <v>8</v>
      </c>
      <c r="H743" s="23">
        <v>30</v>
      </c>
      <c r="I743" s="23">
        <v>3</v>
      </c>
      <c r="J743" s="189">
        <f t="shared" si="56"/>
        <v>0.00442384476110346</v>
      </c>
      <c r="K743" s="89">
        <f t="shared" si="57"/>
        <v>0.245833333333333</v>
      </c>
      <c r="L743" s="30">
        <f t="shared" si="45"/>
        <v>1.08752850377127</v>
      </c>
      <c r="M743" s="90">
        <f t="shared" si="58"/>
        <v>0</v>
      </c>
      <c r="N743" s="91">
        <f t="shared" si="59"/>
        <v>0</v>
      </c>
    </row>
    <row r="744" s="2" customFormat="1" spans="1:15">
      <c r="A744" s="86">
        <v>45544</v>
      </c>
      <c r="B744" s="22">
        <v>658.53</v>
      </c>
      <c r="C744" s="29">
        <v>540809</v>
      </c>
      <c r="D744" s="29">
        <v>2140</v>
      </c>
      <c r="E744" s="23">
        <v>0</v>
      </c>
      <c r="F744" s="25">
        <v>0</v>
      </c>
      <c r="G744" s="23">
        <v>13</v>
      </c>
      <c r="H744" s="23">
        <v>30</v>
      </c>
      <c r="I744" s="23">
        <v>0</v>
      </c>
      <c r="J744" s="189">
        <f t="shared" si="56"/>
        <v>0.00395703473869703</v>
      </c>
      <c r="K744" s="89">
        <f t="shared" si="57"/>
        <v>0.307724299065421</v>
      </c>
      <c r="L744" s="30">
        <f t="shared" si="45"/>
        <v>1.21767574134306</v>
      </c>
      <c r="M744" s="90">
        <f t="shared" si="58"/>
        <v>0</v>
      </c>
      <c r="N744" s="91">
        <f t="shared" si="59"/>
        <v>0</v>
      </c>
    </row>
    <row r="745" s="2" customFormat="1" spans="1:15">
      <c r="A745" s="86">
        <v>45545</v>
      </c>
      <c r="B745" s="22">
        <v>668.19</v>
      </c>
      <c r="C745" s="29">
        <v>836164</v>
      </c>
      <c r="D745" s="29">
        <v>2743</v>
      </c>
      <c r="E745" s="23">
        <v>1</v>
      </c>
      <c r="F745" s="25">
        <v>10953</v>
      </c>
      <c r="G745" s="23">
        <v>20</v>
      </c>
      <c r="H745" s="23">
        <v>48</v>
      </c>
      <c r="I745" s="23">
        <v>5</v>
      </c>
      <c r="J745" s="189">
        <f t="shared" si="56"/>
        <v>0.00328045694385312</v>
      </c>
      <c r="K745" s="89">
        <f t="shared" si="57"/>
        <v>0.243598250091141</v>
      </c>
      <c r="L745" s="30">
        <f t="shared" ref="L745:L808" si="60">B745/C745*1000</f>
        <v>0.799113571021953</v>
      </c>
      <c r="M745" s="90">
        <f t="shared" si="58"/>
        <v>16.3920441790509</v>
      </c>
      <c r="N745" s="91">
        <f t="shared" si="59"/>
        <v>0.000364564345607</v>
      </c>
    </row>
    <row r="746" s="2" customFormat="1" spans="1:15">
      <c r="A746" s="86">
        <v>45546</v>
      </c>
      <c r="B746" s="22">
        <v>669.38</v>
      </c>
      <c r="C746" s="29">
        <v>864635</v>
      </c>
      <c r="D746" s="29">
        <v>2772</v>
      </c>
      <c r="E746" s="23">
        <v>0</v>
      </c>
      <c r="F746" s="25">
        <v>0</v>
      </c>
      <c r="G746" s="23">
        <v>16</v>
      </c>
      <c r="H746" s="23">
        <v>37</v>
      </c>
      <c r="I746" s="23">
        <v>1</v>
      </c>
      <c r="J746" s="189">
        <f t="shared" si="56"/>
        <v>0.00320597708859808</v>
      </c>
      <c r="K746" s="89">
        <f t="shared" si="57"/>
        <v>0.241479076479076</v>
      </c>
      <c r="L746" s="30">
        <f t="shared" si="60"/>
        <v>0.774176386567742</v>
      </c>
      <c r="M746" s="90">
        <f t="shared" si="58"/>
        <v>0</v>
      </c>
      <c r="N746" s="91">
        <f t="shared" si="59"/>
        <v>0</v>
      </c>
    </row>
    <row r="747" s="2" customFormat="1" spans="1:15">
      <c r="A747" s="86">
        <v>45547</v>
      </c>
      <c r="B747" s="22">
        <v>657.35</v>
      </c>
      <c r="C747" s="29">
        <v>840816</v>
      </c>
      <c r="D747" s="29">
        <v>3102</v>
      </c>
      <c r="E747" s="23">
        <v>0</v>
      </c>
      <c r="F747" s="25">
        <v>0</v>
      </c>
      <c r="G747" s="23">
        <v>18</v>
      </c>
      <c r="H747" s="23">
        <v>45</v>
      </c>
      <c r="I747" s="23">
        <v>4</v>
      </c>
      <c r="J747" s="189">
        <f t="shared" si="56"/>
        <v>0.00368927327738768</v>
      </c>
      <c r="K747" s="89">
        <f t="shared" si="57"/>
        <v>0.211911669890393</v>
      </c>
      <c r="L747" s="30">
        <f t="shared" si="60"/>
        <v>0.781800060893228</v>
      </c>
      <c r="M747" s="90">
        <f t="shared" si="58"/>
        <v>0</v>
      </c>
      <c r="N747" s="91">
        <f t="shared" si="59"/>
        <v>0</v>
      </c>
    </row>
    <row r="748" s="2" customFormat="1" spans="1:15">
      <c r="A748" s="86">
        <v>45548</v>
      </c>
      <c r="B748" s="22">
        <v>656.13</v>
      </c>
      <c r="C748" s="29">
        <v>755290</v>
      </c>
      <c r="D748" s="29">
        <v>2859</v>
      </c>
      <c r="E748" s="23">
        <v>0</v>
      </c>
      <c r="F748" s="25">
        <v>0</v>
      </c>
      <c r="G748" s="23">
        <v>22</v>
      </c>
      <c r="H748" s="23">
        <v>49</v>
      </c>
      <c r="I748" s="23">
        <v>2</v>
      </c>
      <c r="J748" s="189">
        <f t="shared" si="56"/>
        <v>0.003785301010208</v>
      </c>
      <c r="K748" s="89">
        <f t="shared" si="57"/>
        <v>0.229496327387198</v>
      </c>
      <c r="L748" s="30">
        <f t="shared" si="60"/>
        <v>0.868712679897788</v>
      </c>
      <c r="M748" s="90">
        <f t="shared" si="58"/>
        <v>0</v>
      </c>
      <c r="N748" s="91">
        <f t="shared" si="59"/>
        <v>0</v>
      </c>
      <c r="O748" s="201"/>
    </row>
    <row r="749" s="2" customFormat="1" spans="1:15">
      <c r="A749" s="86">
        <v>45549</v>
      </c>
      <c r="B749" s="22">
        <v>668.08</v>
      </c>
      <c r="C749" s="29">
        <v>734073</v>
      </c>
      <c r="D749" s="29">
        <v>2778</v>
      </c>
      <c r="E749" s="23">
        <v>0</v>
      </c>
      <c r="F749" s="25">
        <v>0</v>
      </c>
      <c r="G749" s="23">
        <v>14</v>
      </c>
      <c r="H749" s="23">
        <v>63</v>
      </c>
      <c r="I749" s="23">
        <v>2</v>
      </c>
      <c r="J749" s="189">
        <f t="shared" si="56"/>
        <v>0.00378436477026127</v>
      </c>
      <c r="K749" s="89">
        <f t="shared" si="57"/>
        <v>0.240489560835133</v>
      </c>
      <c r="L749" s="30">
        <f t="shared" si="60"/>
        <v>0.910100221640082</v>
      </c>
      <c r="M749" s="90">
        <f t="shared" si="58"/>
        <v>0</v>
      </c>
      <c r="N749" s="91">
        <f t="shared" si="59"/>
        <v>0</v>
      </c>
    </row>
    <row r="750" s="2" customFormat="1" spans="1:15">
      <c r="A750" s="86">
        <v>45550</v>
      </c>
      <c r="B750" s="22">
        <v>670.78</v>
      </c>
      <c r="C750" s="29">
        <v>806009</v>
      </c>
      <c r="D750" s="29">
        <v>3070</v>
      </c>
      <c r="E750" s="23">
        <v>0</v>
      </c>
      <c r="F750" s="25">
        <v>0</v>
      </c>
      <c r="G750" s="23">
        <v>10</v>
      </c>
      <c r="H750" s="23">
        <v>78</v>
      </c>
      <c r="I750" s="23">
        <v>1</v>
      </c>
      <c r="J750" s="189">
        <f t="shared" si="56"/>
        <v>0.00380889047144635</v>
      </c>
      <c r="K750" s="89">
        <f t="shared" si="57"/>
        <v>0.218495114006515</v>
      </c>
      <c r="L750" s="30">
        <f t="shared" si="60"/>
        <v>0.832223957796997</v>
      </c>
      <c r="M750" s="90">
        <f t="shared" si="58"/>
        <v>0</v>
      </c>
      <c r="N750" s="91">
        <f t="shared" si="59"/>
        <v>0</v>
      </c>
    </row>
    <row r="751" s="2" customFormat="1" spans="1:15">
      <c r="A751" s="86">
        <v>45551</v>
      </c>
      <c r="B751" s="22">
        <v>678.63</v>
      </c>
      <c r="C751" s="29">
        <v>904572</v>
      </c>
      <c r="D751" s="29">
        <v>3333</v>
      </c>
      <c r="E751" s="23">
        <v>0</v>
      </c>
      <c r="F751" s="25">
        <v>0</v>
      </c>
      <c r="G751" s="23">
        <v>19</v>
      </c>
      <c r="H751" s="23">
        <v>64</v>
      </c>
      <c r="I751" s="23">
        <v>2</v>
      </c>
      <c r="J751" s="189">
        <f t="shared" si="56"/>
        <v>0.0036846154866611</v>
      </c>
      <c r="K751" s="89">
        <f t="shared" si="57"/>
        <v>0.203609360936094</v>
      </c>
      <c r="L751" s="30">
        <f t="shared" si="60"/>
        <v>0.750222204534299</v>
      </c>
      <c r="M751" s="90">
        <f t="shared" si="58"/>
        <v>0</v>
      </c>
      <c r="N751" s="91">
        <f t="shared" si="59"/>
        <v>0</v>
      </c>
    </row>
    <row r="752" s="2" customFormat="1" spans="1:15">
      <c r="A752" s="86">
        <v>45552</v>
      </c>
      <c r="B752" s="22">
        <v>669.26</v>
      </c>
      <c r="C752" s="29">
        <v>831861</v>
      </c>
      <c r="D752" s="29">
        <v>3088</v>
      </c>
      <c r="E752" s="23">
        <v>0</v>
      </c>
      <c r="F752" s="25">
        <v>0</v>
      </c>
      <c r="G752" s="23">
        <v>23</v>
      </c>
      <c r="H752" s="23">
        <v>64</v>
      </c>
      <c r="I752" s="23">
        <v>2</v>
      </c>
      <c r="J752" s="189">
        <f t="shared" si="56"/>
        <v>0.00371215864188849</v>
      </c>
      <c r="K752" s="89">
        <f t="shared" si="57"/>
        <v>0.216729274611399</v>
      </c>
      <c r="L752" s="30">
        <f t="shared" si="60"/>
        <v>0.804533449698928</v>
      </c>
      <c r="M752" s="90">
        <f t="shared" si="58"/>
        <v>0</v>
      </c>
      <c r="N752" s="91">
        <f t="shared" si="59"/>
        <v>0</v>
      </c>
    </row>
    <row r="753" s="2" customFormat="1" spans="1:15">
      <c r="A753" s="86">
        <v>45553</v>
      </c>
      <c r="B753" s="22">
        <v>670.14</v>
      </c>
      <c r="C753" s="29">
        <v>1006276</v>
      </c>
      <c r="D753" s="29">
        <v>3323</v>
      </c>
      <c r="E753" s="23">
        <v>0</v>
      </c>
      <c r="F753" s="25">
        <v>0</v>
      </c>
      <c r="G753" s="23">
        <v>23</v>
      </c>
      <c r="H753" s="23">
        <v>51</v>
      </c>
      <c r="I753" s="23">
        <v>1</v>
      </c>
      <c r="J753" s="189">
        <f t="shared" si="56"/>
        <v>0.00330227492258585</v>
      </c>
      <c r="K753" s="89">
        <f t="shared" si="57"/>
        <v>0.201667168221487</v>
      </c>
      <c r="L753" s="30">
        <f t="shared" si="60"/>
        <v>0.665960432326718</v>
      </c>
      <c r="M753" s="90">
        <f t="shared" si="58"/>
        <v>0</v>
      </c>
      <c r="N753" s="91">
        <f t="shared" si="59"/>
        <v>0</v>
      </c>
    </row>
    <row r="754" s="2" customFormat="1" spans="1:15">
      <c r="A754" s="86">
        <v>45554</v>
      </c>
      <c r="B754" s="22">
        <v>669.26</v>
      </c>
      <c r="C754" s="29">
        <v>1044533</v>
      </c>
      <c r="D754" s="29">
        <v>2980</v>
      </c>
      <c r="E754" s="23">
        <v>0</v>
      </c>
      <c r="F754" s="25">
        <v>0</v>
      </c>
      <c r="G754" s="23">
        <v>11</v>
      </c>
      <c r="H754" s="23">
        <v>50</v>
      </c>
      <c r="I754" s="23">
        <v>2</v>
      </c>
      <c r="J754" s="189">
        <f t="shared" si="56"/>
        <v>0.00285294959565662</v>
      </c>
      <c r="K754" s="89">
        <f t="shared" si="57"/>
        <v>0.22458389261745</v>
      </c>
      <c r="L754" s="30">
        <f t="shared" si="60"/>
        <v>0.640726525633944</v>
      </c>
      <c r="M754" s="90">
        <f t="shared" si="58"/>
        <v>0</v>
      </c>
      <c r="N754" s="91">
        <f t="shared" si="59"/>
        <v>0</v>
      </c>
      <c r="O754" s="201"/>
    </row>
    <row r="755" s="2" customFormat="1" spans="1:15">
      <c r="A755" s="86">
        <v>45555</v>
      </c>
      <c r="B755" s="22">
        <v>668.17</v>
      </c>
      <c r="C755" s="29">
        <v>961216</v>
      </c>
      <c r="D755" s="29">
        <v>2856</v>
      </c>
      <c r="E755" s="23">
        <v>0</v>
      </c>
      <c r="F755" s="25">
        <v>0</v>
      </c>
      <c r="G755" s="23">
        <v>17</v>
      </c>
      <c r="H755" s="23">
        <v>50</v>
      </c>
      <c r="I755" s="23">
        <v>3</v>
      </c>
      <c r="J755" s="189">
        <f t="shared" si="56"/>
        <v>0.00297123643385046</v>
      </c>
      <c r="K755" s="89">
        <f t="shared" si="57"/>
        <v>0.233953081232493</v>
      </c>
      <c r="L755" s="30">
        <f t="shared" si="60"/>
        <v>0.695129918769559</v>
      </c>
      <c r="M755" s="90">
        <f t="shared" si="58"/>
        <v>0</v>
      </c>
      <c r="N755" s="91">
        <f t="shared" si="59"/>
        <v>0</v>
      </c>
    </row>
    <row r="756" s="2" customFormat="1" spans="1:15">
      <c r="A756" s="86">
        <v>45556</v>
      </c>
      <c r="B756" s="22">
        <v>658.39</v>
      </c>
      <c r="C756" s="29">
        <v>892651</v>
      </c>
      <c r="D756" s="29">
        <v>3441</v>
      </c>
      <c r="E756" s="23">
        <v>0</v>
      </c>
      <c r="F756" s="25">
        <v>0</v>
      </c>
      <c r="G756" s="23">
        <v>24</v>
      </c>
      <c r="H756" s="23">
        <v>59</v>
      </c>
      <c r="I756" s="23">
        <v>1</v>
      </c>
      <c r="J756" s="189">
        <f t="shared" si="56"/>
        <v>0.00385480999853246</v>
      </c>
      <c r="K756" s="89">
        <f t="shared" si="57"/>
        <v>0.191336820691659</v>
      </c>
      <c r="L756" s="30">
        <f t="shared" si="60"/>
        <v>0.737567089489621</v>
      </c>
      <c r="M756" s="90">
        <f t="shared" si="58"/>
        <v>0</v>
      </c>
      <c r="N756" s="91">
        <f t="shared" si="59"/>
        <v>0</v>
      </c>
    </row>
    <row r="757" s="2" customFormat="1" spans="1:15">
      <c r="A757" s="86">
        <v>45557</v>
      </c>
      <c r="B757" s="22">
        <v>282.6</v>
      </c>
      <c r="C757" s="29">
        <v>517695</v>
      </c>
      <c r="D757" s="29">
        <v>1392</v>
      </c>
      <c r="E757" s="23">
        <v>1</v>
      </c>
      <c r="F757" s="25">
        <v>9134</v>
      </c>
      <c r="G757" s="23">
        <v>22</v>
      </c>
      <c r="H757" s="23">
        <v>38</v>
      </c>
      <c r="I757" s="23">
        <v>2</v>
      </c>
      <c r="J757" s="189">
        <f t="shared" si="56"/>
        <v>0.00268884188566627</v>
      </c>
      <c r="K757" s="89">
        <f t="shared" si="57"/>
        <v>0.20301724137931</v>
      </c>
      <c r="L757" s="30">
        <f t="shared" si="60"/>
        <v>0.545881262133109</v>
      </c>
      <c r="M757" s="90">
        <f t="shared" si="58"/>
        <v>32.3213021939137</v>
      </c>
      <c r="N757" s="91">
        <f t="shared" si="59"/>
        <v>0.000718390804597701</v>
      </c>
    </row>
    <row r="758" s="2" customFormat="1" spans="1:15">
      <c r="A758" s="86">
        <v>45558</v>
      </c>
      <c r="B758" s="22">
        <v>282.16</v>
      </c>
      <c r="C758" s="29">
        <v>511168</v>
      </c>
      <c r="D758" s="29">
        <v>1306</v>
      </c>
      <c r="E758" s="23">
        <v>0</v>
      </c>
      <c r="F758" s="25">
        <v>0</v>
      </c>
      <c r="G758" s="23">
        <v>10</v>
      </c>
      <c r="H758" s="23">
        <v>26</v>
      </c>
      <c r="I758" s="23">
        <v>1</v>
      </c>
      <c r="J758" s="189">
        <f t="shared" si="56"/>
        <v>0.00255493301615125</v>
      </c>
      <c r="K758" s="89">
        <f t="shared" si="57"/>
        <v>0.216049004594181</v>
      </c>
      <c r="L758" s="30">
        <f t="shared" si="60"/>
        <v>0.551990734944285</v>
      </c>
      <c r="M758" s="90">
        <f t="shared" si="58"/>
        <v>0</v>
      </c>
      <c r="N758" s="91">
        <f t="shared" si="59"/>
        <v>0</v>
      </c>
    </row>
    <row r="759" s="2" customFormat="1" spans="1:15">
      <c r="A759" s="86">
        <v>45559</v>
      </c>
      <c r="B759" s="22">
        <v>270.91</v>
      </c>
      <c r="C759" s="29">
        <v>486699</v>
      </c>
      <c r="D759" s="29">
        <v>1170</v>
      </c>
      <c r="E759" s="23">
        <v>0</v>
      </c>
      <c r="F759" s="25">
        <v>0</v>
      </c>
      <c r="G759" s="23">
        <v>10</v>
      </c>
      <c r="H759" s="23">
        <v>26</v>
      </c>
      <c r="I759" s="23">
        <v>2</v>
      </c>
      <c r="J759" s="189">
        <f t="shared" si="56"/>
        <v>0.00240394987456313</v>
      </c>
      <c r="K759" s="89">
        <f t="shared" si="57"/>
        <v>0.231547008547009</v>
      </c>
      <c r="L759" s="30">
        <f t="shared" si="60"/>
        <v>0.556627402152049</v>
      </c>
      <c r="M759" s="90">
        <f t="shared" si="58"/>
        <v>0</v>
      </c>
      <c r="N759" s="91">
        <f t="shared" si="59"/>
        <v>0</v>
      </c>
    </row>
    <row r="760" s="2" customFormat="1" spans="1:15">
      <c r="A760" s="86">
        <v>45560</v>
      </c>
      <c r="B760" s="22">
        <v>277.92</v>
      </c>
      <c r="C760" s="29">
        <v>398237</v>
      </c>
      <c r="D760" s="29">
        <v>1175</v>
      </c>
      <c r="E760" s="23">
        <v>0</v>
      </c>
      <c r="F760" s="25">
        <v>0</v>
      </c>
      <c r="G760" s="23">
        <v>11</v>
      </c>
      <c r="H760" s="23">
        <v>15</v>
      </c>
      <c r="I760" s="23">
        <v>3</v>
      </c>
      <c r="J760" s="189">
        <f t="shared" si="56"/>
        <v>0.00295050434791343</v>
      </c>
      <c r="K760" s="89">
        <f t="shared" si="57"/>
        <v>0.236527659574468</v>
      </c>
      <c r="L760" s="30">
        <f t="shared" si="60"/>
        <v>0.697875887976255</v>
      </c>
      <c r="M760" s="90">
        <f t="shared" si="58"/>
        <v>0</v>
      </c>
      <c r="N760" s="91">
        <f t="shared" si="59"/>
        <v>0</v>
      </c>
    </row>
    <row r="761" s="2" customFormat="1" spans="1:15">
      <c r="A761" s="86">
        <v>45561</v>
      </c>
      <c r="B761" s="22">
        <v>281.57</v>
      </c>
      <c r="C761" s="29">
        <v>433378</v>
      </c>
      <c r="D761" s="29">
        <v>1182</v>
      </c>
      <c r="E761" s="23">
        <v>0</v>
      </c>
      <c r="F761" s="25">
        <v>0</v>
      </c>
      <c r="G761" s="23">
        <v>14</v>
      </c>
      <c r="H761" s="23">
        <v>26</v>
      </c>
      <c r="I761" s="23">
        <v>2</v>
      </c>
      <c r="J761" s="189">
        <f t="shared" si="56"/>
        <v>0.00272741117454047</v>
      </c>
      <c r="K761" s="89">
        <f t="shared" si="57"/>
        <v>0.23821489001692</v>
      </c>
      <c r="L761" s="30">
        <f t="shared" si="60"/>
        <v>0.649709952974078</v>
      </c>
      <c r="M761" s="90">
        <f t="shared" si="58"/>
        <v>0</v>
      </c>
      <c r="N761" s="91">
        <f t="shared" si="59"/>
        <v>0</v>
      </c>
    </row>
    <row r="762" s="2" customFormat="1" spans="1:15">
      <c r="A762" s="86">
        <v>45562</v>
      </c>
      <c r="B762" s="22">
        <v>282.15</v>
      </c>
      <c r="C762" s="29">
        <v>428855</v>
      </c>
      <c r="D762" s="29">
        <v>1103</v>
      </c>
      <c r="E762" s="23">
        <v>0</v>
      </c>
      <c r="F762" s="25">
        <v>0</v>
      </c>
      <c r="G762" s="23">
        <v>12</v>
      </c>
      <c r="H762" s="23">
        <v>31</v>
      </c>
      <c r="I762" s="23">
        <v>3</v>
      </c>
      <c r="J762" s="189">
        <f t="shared" si="56"/>
        <v>0.00257196488323559</v>
      </c>
      <c r="K762" s="89">
        <f t="shared" si="57"/>
        <v>0.255802357207616</v>
      </c>
      <c r="L762" s="30">
        <f t="shared" si="60"/>
        <v>0.657914679786874</v>
      </c>
      <c r="M762" s="90">
        <f t="shared" si="58"/>
        <v>0</v>
      </c>
      <c r="N762" s="91">
        <f t="shared" si="59"/>
        <v>0</v>
      </c>
    </row>
    <row r="763" s="2" customFormat="1" spans="1:15">
      <c r="A763" s="86">
        <v>45563</v>
      </c>
      <c r="B763" s="22">
        <v>276.03</v>
      </c>
      <c r="C763" s="29">
        <v>401849</v>
      </c>
      <c r="D763" s="29">
        <v>1190</v>
      </c>
      <c r="E763" s="23">
        <v>0</v>
      </c>
      <c r="F763" s="25">
        <v>0</v>
      </c>
      <c r="G763" s="23">
        <v>15</v>
      </c>
      <c r="H763" s="23">
        <v>30</v>
      </c>
      <c r="I763" s="23">
        <v>0</v>
      </c>
      <c r="J763" s="189">
        <f t="shared" si="56"/>
        <v>0.00296131133833853</v>
      </c>
      <c r="K763" s="89">
        <f t="shared" si="57"/>
        <v>0.231957983193277</v>
      </c>
      <c r="L763" s="30">
        <f t="shared" si="60"/>
        <v>0.68689980564839</v>
      </c>
      <c r="M763" s="90">
        <f t="shared" si="58"/>
        <v>0</v>
      </c>
      <c r="N763" s="91">
        <f t="shared" si="59"/>
        <v>0</v>
      </c>
    </row>
    <row r="764" s="2" customFormat="1" spans="1:15">
      <c r="A764" s="86">
        <v>45564</v>
      </c>
      <c r="B764" s="22">
        <v>277.02</v>
      </c>
      <c r="C764" s="29">
        <v>345525</v>
      </c>
      <c r="D764" s="29">
        <v>1163</v>
      </c>
      <c r="E764" s="23">
        <v>0</v>
      </c>
      <c r="F764" s="25">
        <v>0</v>
      </c>
      <c r="G764" s="23">
        <v>12</v>
      </c>
      <c r="H764" s="23">
        <v>30</v>
      </c>
      <c r="I764" s="23">
        <v>1</v>
      </c>
      <c r="J764" s="189">
        <f t="shared" si="56"/>
        <v>0.00336589248245424</v>
      </c>
      <c r="K764" s="89">
        <f t="shared" si="57"/>
        <v>0.238194325021496</v>
      </c>
      <c r="L764" s="30">
        <f t="shared" si="60"/>
        <v>0.801736487953115</v>
      </c>
      <c r="M764" s="90">
        <f t="shared" si="58"/>
        <v>0</v>
      </c>
      <c r="N764" s="91">
        <f t="shared" si="59"/>
        <v>0</v>
      </c>
    </row>
    <row r="765" s="2" customFormat="1" spans="1:15">
      <c r="A765" s="86">
        <v>45565</v>
      </c>
      <c r="B765" s="22">
        <v>279.04</v>
      </c>
      <c r="C765" s="29">
        <v>411864</v>
      </c>
      <c r="D765" s="29">
        <v>1098</v>
      </c>
      <c r="E765" s="23">
        <v>0</v>
      </c>
      <c r="F765" s="25">
        <v>0</v>
      </c>
      <c r="G765" s="23">
        <v>19</v>
      </c>
      <c r="H765" s="23">
        <v>21</v>
      </c>
      <c r="I765" s="23">
        <v>1</v>
      </c>
      <c r="J765" s="189">
        <f t="shared" si="56"/>
        <v>0.00266592855894179</v>
      </c>
      <c r="K765" s="89">
        <f t="shared" si="57"/>
        <v>0.254134790528233</v>
      </c>
      <c r="L765" s="30">
        <f t="shared" si="60"/>
        <v>0.677505195889905</v>
      </c>
      <c r="M765" s="90">
        <f t="shared" si="58"/>
        <v>0</v>
      </c>
      <c r="N765" s="91">
        <f t="shared" si="59"/>
        <v>0</v>
      </c>
    </row>
    <row r="766" s="2" customFormat="1" spans="1:15">
      <c r="A766" s="86">
        <v>45566</v>
      </c>
      <c r="B766" s="22">
        <v>280.17</v>
      </c>
      <c r="C766" s="29">
        <v>418880</v>
      </c>
      <c r="D766" s="29">
        <v>1203</v>
      </c>
      <c r="E766" s="23">
        <v>0</v>
      </c>
      <c r="F766" s="25">
        <v>0</v>
      </c>
      <c r="G766" s="23">
        <v>12</v>
      </c>
      <c r="H766" s="23">
        <v>27</v>
      </c>
      <c r="I766" s="23">
        <v>1</v>
      </c>
      <c r="J766" s="189">
        <f t="shared" si="56"/>
        <v>0.00287194423223835</v>
      </c>
      <c r="K766" s="89">
        <f t="shared" si="57"/>
        <v>0.2328927680798</v>
      </c>
      <c r="L766" s="30">
        <f t="shared" si="60"/>
        <v>0.668855042016807</v>
      </c>
      <c r="M766" s="90">
        <f t="shared" si="58"/>
        <v>0</v>
      </c>
      <c r="N766" s="91">
        <f t="shared" si="59"/>
        <v>0</v>
      </c>
    </row>
    <row r="767" s="2" customFormat="1" spans="1:15">
      <c r="A767" s="86">
        <v>45567</v>
      </c>
      <c r="B767" s="22">
        <v>281.61</v>
      </c>
      <c r="C767" s="29">
        <v>467059</v>
      </c>
      <c r="D767" s="29">
        <v>1285</v>
      </c>
      <c r="E767" s="23">
        <v>0</v>
      </c>
      <c r="F767" s="25">
        <v>0</v>
      </c>
      <c r="G767" s="23">
        <v>16</v>
      </c>
      <c r="H767" s="23">
        <v>20</v>
      </c>
      <c r="I767" s="23">
        <v>1</v>
      </c>
      <c r="J767" s="189">
        <f t="shared" si="56"/>
        <v>0.00275125840632554</v>
      </c>
      <c r="K767" s="89">
        <f t="shared" si="57"/>
        <v>0.219151750972763</v>
      </c>
      <c r="L767" s="30">
        <f t="shared" si="60"/>
        <v>0.602943097124774</v>
      </c>
      <c r="M767" s="90">
        <f t="shared" si="58"/>
        <v>0</v>
      </c>
      <c r="N767" s="91">
        <f t="shared" si="59"/>
        <v>0</v>
      </c>
    </row>
    <row r="768" s="2" customFormat="1" spans="1:15">
      <c r="A768" s="86">
        <v>45568</v>
      </c>
      <c r="B768" s="22">
        <v>281.73</v>
      </c>
      <c r="C768" s="29">
        <v>486299</v>
      </c>
      <c r="D768" s="29">
        <v>1230</v>
      </c>
      <c r="E768" s="23">
        <v>0</v>
      </c>
      <c r="F768" s="25">
        <v>0</v>
      </c>
      <c r="G768" s="23">
        <v>46</v>
      </c>
      <c r="H768" s="23">
        <v>29</v>
      </c>
      <c r="I768" s="23">
        <v>1</v>
      </c>
      <c r="J768" s="189">
        <f t="shared" si="56"/>
        <v>0.00252930810057187</v>
      </c>
      <c r="K768" s="89">
        <f t="shared" si="57"/>
        <v>0.229048780487805</v>
      </c>
      <c r="L768" s="30">
        <f t="shared" si="60"/>
        <v>0.579334935913913</v>
      </c>
      <c r="M768" s="90">
        <f t="shared" si="58"/>
        <v>0</v>
      </c>
      <c r="N768" s="91">
        <f t="shared" si="59"/>
        <v>0</v>
      </c>
    </row>
    <row r="769" s="2" customFormat="1" spans="1:14">
      <c r="A769" s="86">
        <v>45569</v>
      </c>
      <c r="B769" s="22">
        <v>279.92</v>
      </c>
      <c r="C769" s="29">
        <v>488790</v>
      </c>
      <c r="D769" s="29">
        <v>1268</v>
      </c>
      <c r="E769" s="23">
        <v>0</v>
      </c>
      <c r="F769" s="25">
        <v>0</v>
      </c>
      <c r="G769" s="23">
        <v>31</v>
      </c>
      <c r="H769" s="23">
        <v>40</v>
      </c>
      <c r="I769" s="23">
        <v>1</v>
      </c>
      <c r="J769" s="189">
        <f t="shared" si="56"/>
        <v>0.00259416109167536</v>
      </c>
      <c r="K769" s="89">
        <f t="shared" si="57"/>
        <v>0.220757097791798</v>
      </c>
      <c r="L769" s="30">
        <f t="shared" si="60"/>
        <v>0.572679473802656</v>
      </c>
      <c r="M769" s="90">
        <f t="shared" si="58"/>
        <v>0</v>
      </c>
      <c r="N769" s="91">
        <f t="shared" si="59"/>
        <v>0</v>
      </c>
    </row>
    <row r="770" s="2" customFormat="1" spans="1:14">
      <c r="A770" s="86">
        <v>45570</v>
      </c>
      <c r="B770" s="22">
        <v>283.86</v>
      </c>
      <c r="C770" s="29">
        <v>541615</v>
      </c>
      <c r="D770" s="29">
        <v>1292</v>
      </c>
      <c r="E770" s="23">
        <v>0</v>
      </c>
      <c r="F770" s="25">
        <v>0</v>
      </c>
      <c r="G770" s="23">
        <v>21</v>
      </c>
      <c r="H770" s="23">
        <v>27</v>
      </c>
      <c r="I770" s="23">
        <v>1</v>
      </c>
      <c r="J770" s="189">
        <f t="shared" si="56"/>
        <v>0.00238545830525373</v>
      </c>
      <c r="K770" s="89">
        <f t="shared" si="57"/>
        <v>0.219705882352941</v>
      </c>
      <c r="L770" s="30">
        <f t="shared" si="60"/>
        <v>0.524099221771923</v>
      </c>
      <c r="M770" s="90">
        <f t="shared" si="58"/>
        <v>0</v>
      </c>
      <c r="N770" s="91">
        <f t="shared" si="59"/>
        <v>0</v>
      </c>
    </row>
    <row r="771" s="2" customFormat="1" spans="1:14">
      <c r="A771" s="86">
        <v>45571</v>
      </c>
      <c r="B771" s="22">
        <v>275.97</v>
      </c>
      <c r="C771" s="29">
        <v>412517</v>
      </c>
      <c r="D771" s="29">
        <v>1288</v>
      </c>
      <c r="E771" s="23">
        <v>0</v>
      </c>
      <c r="F771" s="25">
        <v>0</v>
      </c>
      <c r="G771" s="23">
        <v>27</v>
      </c>
      <c r="H771" s="23">
        <v>26</v>
      </c>
      <c r="I771" s="23">
        <v>1</v>
      </c>
      <c r="J771" s="189">
        <f t="shared" si="56"/>
        <v>0.00312229556600092</v>
      </c>
      <c r="K771" s="89">
        <f t="shared" si="57"/>
        <v>0.214262422360248</v>
      </c>
      <c r="L771" s="30">
        <f t="shared" si="60"/>
        <v>0.668990611296019</v>
      </c>
      <c r="M771" s="90">
        <f t="shared" si="58"/>
        <v>0</v>
      </c>
      <c r="N771" s="91">
        <f t="shared" si="59"/>
        <v>0</v>
      </c>
    </row>
    <row r="772" s="2" customFormat="1" spans="1:14">
      <c r="A772" s="86">
        <v>45572</v>
      </c>
      <c r="B772" s="22">
        <v>279.5</v>
      </c>
      <c r="C772" s="29">
        <v>624978</v>
      </c>
      <c r="D772" s="29">
        <v>1371</v>
      </c>
      <c r="E772" s="23">
        <v>0</v>
      </c>
      <c r="F772" s="25">
        <v>0</v>
      </c>
      <c r="G772" s="23">
        <v>14</v>
      </c>
      <c r="H772" s="23">
        <v>46</v>
      </c>
      <c r="I772" s="23">
        <v>1</v>
      </c>
      <c r="J772" s="189">
        <f t="shared" si="56"/>
        <v>0.00219367721743805</v>
      </c>
      <c r="K772" s="89">
        <f t="shared" si="57"/>
        <v>0.203865791393144</v>
      </c>
      <c r="L772" s="30">
        <f t="shared" si="60"/>
        <v>0.447215741994118</v>
      </c>
      <c r="M772" s="90">
        <f t="shared" si="58"/>
        <v>0</v>
      </c>
      <c r="N772" s="91">
        <f t="shared" si="59"/>
        <v>0</v>
      </c>
    </row>
    <row r="773" s="2" customFormat="1" spans="1:14">
      <c r="A773" s="86">
        <v>45573</v>
      </c>
      <c r="B773" s="22">
        <v>273.22</v>
      </c>
      <c r="C773" s="29">
        <v>554513</v>
      </c>
      <c r="D773" s="29">
        <v>1245</v>
      </c>
      <c r="E773" s="23">
        <v>0</v>
      </c>
      <c r="F773" s="25">
        <v>0</v>
      </c>
      <c r="G773" s="23">
        <v>8</v>
      </c>
      <c r="H773" s="23">
        <v>20</v>
      </c>
      <c r="I773" s="23">
        <v>2</v>
      </c>
      <c r="J773" s="189">
        <f t="shared" si="56"/>
        <v>0.00224521336740527</v>
      </c>
      <c r="K773" s="89">
        <f t="shared" si="57"/>
        <v>0.219453815261044</v>
      </c>
      <c r="L773" s="30">
        <f t="shared" si="60"/>
        <v>0.492720639552184</v>
      </c>
      <c r="M773" s="90">
        <f t="shared" si="58"/>
        <v>0</v>
      </c>
      <c r="N773" s="91">
        <f t="shared" si="59"/>
        <v>0</v>
      </c>
    </row>
    <row r="774" s="2" customFormat="1" spans="1:14">
      <c r="A774" s="86">
        <v>45574</v>
      </c>
      <c r="B774" s="22">
        <v>276.1</v>
      </c>
      <c r="C774" s="29">
        <v>551523</v>
      </c>
      <c r="D774" s="29">
        <v>1208</v>
      </c>
      <c r="E774" s="23">
        <v>0</v>
      </c>
      <c r="F774" s="25">
        <v>0</v>
      </c>
      <c r="G774" s="23">
        <v>16</v>
      </c>
      <c r="H774" s="23">
        <v>26</v>
      </c>
      <c r="I774" s="23">
        <v>0</v>
      </c>
      <c r="J774" s="189">
        <f t="shared" ref="J774:J837" si="61">D774/C774</f>
        <v>0.00219029850069716</v>
      </c>
      <c r="K774" s="89">
        <f t="shared" ref="K774:K837" si="62">B774/D774</f>
        <v>0.228559602649007</v>
      </c>
      <c r="L774" s="30">
        <f t="shared" si="60"/>
        <v>0.500613755002058</v>
      </c>
      <c r="M774" s="90">
        <f t="shared" ref="M774:M837" si="63">F774/B774</f>
        <v>0</v>
      </c>
      <c r="N774" s="91">
        <f t="shared" ref="N774:N837" si="64">E774/D774</f>
        <v>0</v>
      </c>
    </row>
    <row r="775" s="2" customFormat="1" spans="1:14">
      <c r="A775" s="86">
        <v>45575</v>
      </c>
      <c r="B775" s="22">
        <v>273.86</v>
      </c>
      <c r="C775" s="29">
        <v>409971</v>
      </c>
      <c r="D775" s="29">
        <v>1157</v>
      </c>
      <c r="E775" s="23">
        <v>0</v>
      </c>
      <c r="F775" s="25">
        <v>0</v>
      </c>
      <c r="G775" s="23">
        <v>24</v>
      </c>
      <c r="H775" s="23">
        <v>20</v>
      </c>
      <c r="I775" s="23">
        <v>1</v>
      </c>
      <c r="J775" s="189">
        <f t="shared" si="61"/>
        <v>0.00282215083505907</v>
      </c>
      <c r="K775" s="89">
        <f t="shared" si="62"/>
        <v>0.236698357821953</v>
      </c>
      <c r="L775" s="30">
        <f t="shared" si="60"/>
        <v>0.667998468184335</v>
      </c>
      <c r="M775" s="90">
        <f t="shared" si="63"/>
        <v>0</v>
      </c>
      <c r="N775" s="91">
        <f t="shared" si="64"/>
        <v>0</v>
      </c>
    </row>
    <row r="776" s="2" customFormat="1" spans="1:14">
      <c r="A776" s="86">
        <v>45576</v>
      </c>
      <c r="B776" s="22">
        <v>276.75</v>
      </c>
      <c r="C776" s="29">
        <v>623679</v>
      </c>
      <c r="D776" s="29">
        <v>1295</v>
      </c>
      <c r="E776" s="23">
        <v>0</v>
      </c>
      <c r="F776" s="25">
        <v>0</v>
      </c>
      <c r="G776" s="23">
        <v>12</v>
      </c>
      <c r="H776" s="23">
        <v>32</v>
      </c>
      <c r="I776" s="23">
        <v>2</v>
      </c>
      <c r="J776" s="189">
        <f t="shared" si="61"/>
        <v>0.00207638865506134</v>
      </c>
      <c r="K776" s="89">
        <f t="shared" si="62"/>
        <v>0.213706563706564</v>
      </c>
      <c r="L776" s="30">
        <f t="shared" si="60"/>
        <v>0.443737884392452</v>
      </c>
      <c r="M776" s="90">
        <f t="shared" si="63"/>
        <v>0</v>
      </c>
      <c r="N776" s="91">
        <f t="shared" si="64"/>
        <v>0</v>
      </c>
    </row>
    <row r="777" s="2" customFormat="1" spans="1:14">
      <c r="A777" s="86">
        <v>45577</v>
      </c>
      <c r="B777" s="22">
        <v>276.17</v>
      </c>
      <c r="C777" s="29">
        <v>657814</v>
      </c>
      <c r="D777" s="29">
        <v>1279</v>
      </c>
      <c r="E777" s="23">
        <v>0</v>
      </c>
      <c r="F777" s="25">
        <v>0</v>
      </c>
      <c r="G777" s="23">
        <v>7</v>
      </c>
      <c r="H777" s="23">
        <v>27</v>
      </c>
      <c r="I777" s="23">
        <v>1</v>
      </c>
      <c r="J777" s="189">
        <f t="shared" si="61"/>
        <v>0.00194431860677942</v>
      </c>
      <c r="K777" s="89">
        <f t="shared" si="62"/>
        <v>0.215926505082095</v>
      </c>
      <c r="L777" s="30">
        <f t="shared" si="60"/>
        <v>0.41982992152797</v>
      </c>
      <c r="M777" s="90">
        <f t="shared" si="63"/>
        <v>0</v>
      </c>
      <c r="N777" s="91">
        <f t="shared" si="64"/>
        <v>0</v>
      </c>
    </row>
    <row r="778" s="2" customFormat="1" spans="1:14">
      <c r="A778" s="86">
        <v>45578</v>
      </c>
      <c r="B778" s="22">
        <v>271.06</v>
      </c>
      <c r="C778" s="29">
        <v>652870</v>
      </c>
      <c r="D778" s="29">
        <v>1333</v>
      </c>
      <c r="E778" s="23">
        <v>0</v>
      </c>
      <c r="F778" s="25">
        <v>0</v>
      </c>
      <c r="G778" s="23">
        <v>10</v>
      </c>
      <c r="H778" s="23">
        <v>38</v>
      </c>
      <c r="I778" s="23">
        <v>1</v>
      </c>
      <c r="J778" s="189">
        <f t="shared" si="61"/>
        <v>0.00204175410112273</v>
      </c>
      <c r="K778" s="89">
        <f t="shared" si="62"/>
        <v>0.203345836459115</v>
      </c>
      <c r="L778" s="30">
        <f t="shared" si="60"/>
        <v>0.415182195536631</v>
      </c>
      <c r="M778" s="90">
        <f t="shared" si="63"/>
        <v>0</v>
      </c>
      <c r="N778" s="91">
        <f t="shared" si="64"/>
        <v>0</v>
      </c>
    </row>
    <row r="779" s="2" customFormat="1" spans="1:14">
      <c r="A779" s="86">
        <v>45579</v>
      </c>
      <c r="B779" s="22">
        <v>1138.14</v>
      </c>
      <c r="C779" s="29">
        <v>847963</v>
      </c>
      <c r="D779" s="29">
        <v>2428</v>
      </c>
      <c r="E779" s="23">
        <v>0</v>
      </c>
      <c r="F779" s="25">
        <v>0</v>
      </c>
      <c r="G779" s="23">
        <v>26</v>
      </c>
      <c r="H779" s="23">
        <v>39</v>
      </c>
      <c r="I779" s="23">
        <v>6</v>
      </c>
      <c r="J779" s="189">
        <f t="shared" si="61"/>
        <v>0.00286333248030869</v>
      </c>
      <c r="K779" s="89">
        <f t="shared" si="62"/>
        <v>0.468756177924217</v>
      </c>
      <c r="L779" s="30">
        <f t="shared" si="60"/>
        <v>1.34220478959577</v>
      </c>
      <c r="M779" s="90">
        <f t="shared" si="63"/>
        <v>0</v>
      </c>
      <c r="N779" s="91">
        <f t="shared" si="64"/>
        <v>0</v>
      </c>
    </row>
    <row r="780" s="2" customFormat="1" spans="1:14">
      <c r="A780" s="86">
        <v>45580</v>
      </c>
      <c r="B780" s="22">
        <v>1144.3</v>
      </c>
      <c r="C780" s="29">
        <v>1029722</v>
      </c>
      <c r="D780" s="29">
        <v>4075</v>
      </c>
      <c r="E780" s="23">
        <v>1</v>
      </c>
      <c r="F780" s="25">
        <v>8302</v>
      </c>
      <c r="G780" s="23">
        <v>40</v>
      </c>
      <c r="H780" s="23">
        <v>55</v>
      </c>
      <c r="I780" s="23">
        <v>5</v>
      </c>
      <c r="J780" s="189">
        <f t="shared" si="61"/>
        <v>0.00395737878767279</v>
      </c>
      <c r="K780" s="89">
        <f t="shared" si="62"/>
        <v>0.28080981595092</v>
      </c>
      <c r="L780" s="30">
        <f t="shared" si="60"/>
        <v>1.11127080901447</v>
      </c>
      <c r="M780" s="90">
        <f t="shared" si="63"/>
        <v>7.25509044830901</v>
      </c>
      <c r="N780" s="91">
        <f t="shared" si="64"/>
        <v>0.000245398773006135</v>
      </c>
    </row>
    <row r="781" s="2" customFormat="1" spans="1:14">
      <c r="A781" s="86">
        <v>45581</v>
      </c>
      <c r="B781" s="22">
        <v>643.36</v>
      </c>
      <c r="C781" s="29">
        <v>945721</v>
      </c>
      <c r="D781" s="29">
        <v>2969</v>
      </c>
      <c r="E781" s="23">
        <v>0</v>
      </c>
      <c r="F781" s="25">
        <v>0</v>
      </c>
      <c r="G781" s="23">
        <v>31</v>
      </c>
      <c r="H781" s="23">
        <v>46</v>
      </c>
      <c r="I781" s="23">
        <v>7</v>
      </c>
      <c r="J781" s="189">
        <f t="shared" si="61"/>
        <v>0.00313940369305535</v>
      </c>
      <c r="K781" s="89">
        <f t="shared" si="62"/>
        <v>0.216692489053553</v>
      </c>
      <c r="L781" s="30">
        <f t="shared" si="60"/>
        <v>0.680285200392082</v>
      </c>
      <c r="M781" s="90">
        <f t="shared" si="63"/>
        <v>0</v>
      </c>
      <c r="N781" s="91">
        <f t="shared" si="64"/>
        <v>0</v>
      </c>
    </row>
    <row r="782" s="2" customFormat="1" spans="1:14">
      <c r="A782" s="86">
        <v>45582</v>
      </c>
      <c r="B782" s="22">
        <v>621.21</v>
      </c>
      <c r="C782" s="29">
        <v>926389</v>
      </c>
      <c r="D782" s="29">
        <v>2229</v>
      </c>
      <c r="E782" s="23">
        <v>0</v>
      </c>
      <c r="F782" s="25">
        <v>0</v>
      </c>
      <c r="G782" s="23">
        <v>18</v>
      </c>
      <c r="H782" s="23">
        <v>27</v>
      </c>
      <c r="I782" s="23">
        <v>3</v>
      </c>
      <c r="J782" s="189">
        <f t="shared" si="61"/>
        <v>0.00240611665293953</v>
      </c>
      <c r="K782" s="89">
        <f t="shared" si="62"/>
        <v>0.278694481830417</v>
      </c>
      <c r="L782" s="30">
        <f t="shared" si="60"/>
        <v>0.670571433814521</v>
      </c>
      <c r="M782" s="90">
        <f t="shared" si="63"/>
        <v>0</v>
      </c>
      <c r="N782" s="91">
        <f t="shared" si="64"/>
        <v>0</v>
      </c>
    </row>
    <row r="783" s="2" customFormat="1" spans="1:14">
      <c r="A783" s="86">
        <v>45583</v>
      </c>
      <c r="B783" s="22">
        <v>636.87</v>
      </c>
      <c r="C783" s="29">
        <v>853691</v>
      </c>
      <c r="D783" s="29">
        <v>1973</v>
      </c>
      <c r="E783" s="23">
        <v>0</v>
      </c>
      <c r="F783" s="25">
        <v>0</v>
      </c>
      <c r="G783" s="23">
        <v>32</v>
      </c>
      <c r="H783" s="23">
        <v>28</v>
      </c>
      <c r="I783" s="23">
        <v>1</v>
      </c>
      <c r="J783" s="189">
        <f t="shared" si="61"/>
        <v>0.00231114068205006</v>
      </c>
      <c r="K783" s="89">
        <f t="shared" si="62"/>
        <v>0.322792701469843</v>
      </c>
      <c r="L783" s="30">
        <f t="shared" si="60"/>
        <v>0.746019344235795</v>
      </c>
      <c r="M783" s="90">
        <f t="shared" si="63"/>
        <v>0</v>
      </c>
      <c r="N783" s="91">
        <f t="shared" si="64"/>
        <v>0</v>
      </c>
    </row>
    <row r="784" s="2" customFormat="1" spans="1:14">
      <c r="A784" s="86">
        <v>45584</v>
      </c>
      <c r="B784" s="22">
        <v>624.88</v>
      </c>
      <c r="C784" s="29">
        <v>597021</v>
      </c>
      <c r="D784" s="29">
        <v>1955</v>
      </c>
      <c r="E784" s="23">
        <v>0</v>
      </c>
      <c r="F784" s="25">
        <v>0</v>
      </c>
      <c r="G784" s="23">
        <v>31</v>
      </c>
      <c r="H784" s="23">
        <v>60</v>
      </c>
      <c r="I784" s="23">
        <v>2</v>
      </c>
      <c r="J784" s="189">
        <f t="shared" si="61"/>
        <v>0.00327459168102965</v>
      </c>
      <c r="K784" s="89">
        <f t="shared" si="62"/>
        <v>0.319631713554987</v>
      </c>
      <c r="L784" s="30">
        <f t="shared" si="60"/>
        <v>1.04666335020041</v>
      </c>
      <c r="M784" s="90">
        <f t="shared" si="63"/>
        <v>0</v>
      </c>
      <c r="N784" s="91">
        <f t="shared" si="64"/>
        <v>0</v>
      </c>
    </row>
    <row r="785" s="2" customFormat="1" spans="1:14">
      <c r="A785" s="86">
        <v>45585</v>
      </c>
      <c r="B785" s="22">
        <v>597.79</v>
      </c>
      <c r="C785" s="29">
        <v>640854</v>
      </c>
      <c r="D785" s="29">
        <v>1768</v>
      </c>
      <c r="E785" s="23">
        <v>0</v>
      </c>
      <c r="F785" s="25">
        <v>0</v>
      </c>
      <c r="G785" s="23">
        <v>25</v>
      </c>
      <c r="H785" s="23">
        <v>51</v>
      </c>
      <c r="I785" s="23">
        <v>3</v>
      </c>
      <c r="J785" s="189">
        <f t="shared" si="61"/>
        <v>0.00275881870129546</v>
      </c>
      <c r="K785" s="89">
        <f t="shared" si="62"/>
        <v>0.338116515837104</v>
      </c>
      <c r="L785" s="30">
        <f t="shared" si="60"/>
        <v>0.932802167108265</v>
      </c>
      <c r="M785" s="90">
        <f t="shared" si="63"/>
        <v>0</v>
      </c>
      <c r="N785" s="91">
        <f t="shared" si="64"/>
        <v>0</v>
      </c>
    </row>
    <row r="786" s="2" customFormat="1" spans="1:14">
      <c r="A786" s="86">
        <v>45586</v>
      </c>
      <c r="B786" s="22">
        <v>1859.14</v>
      </c>
      <c r="C786" s="29">
        <v>979577</v>
      </c>
      <c r="D786" s="29">
        <v>3615</v>
      </c>
      <c r="E786" s="23">
        <v>5</v>
      </c>
      <c r="F786" s="25">
        <v>58986</v>
      </c>
      <c r="G786" s="23">
        <v>66</v>
      </c>
      <c r="H786" s="23">
        <v>31</v>
      </c>
      <c r="I786" s="23">
        <v>5</v>
      </c>
      <c r="J786" s="189">
        <f t="shared" si="61"/>
        <v>0.00369036839370463</v>
      </c>
      <c r="K786" s="89">
        <f t="shared" si="62"/>
        <v>0.514284923928077</v>
      </c>
      <c r="L786" s="30">
        <f t="shared" si="60"/>
        <v>1.89790082862297</v>
      </c>
      <c r="M786" s="90">
        <f t="shared" si="63"/>
        <v>31.7275729638435</v>
      </c>
      <c r="N786" s="91">
        <f t="shared" si="64"/>
        <v>0.00138312586445367</v>
      </c>
    </row>
    <row r="787" s="2" customFormat="1" spans="1:14">
      <c r="A787" s="86">
        <v>45587</v>
      </c>
      <c r="B787" s="22">
        <v>1841.96</v>
      </c>
      <c r="C787" s="29">
        <v>1436163</v>
      </c>
      <c r="D787" s="29">
        <v>5150</v>
      </c>
      <c r="E787" s="23">
        <v>2</v>
      </c>
      <c r="F787" s="25">
        <v>20295</v>
      </c>
      <c r="G787" s="23">
        <v>59</v>
      </c>
      <c r="H787" s="23">
        <v>62</v>
      </c>
      <c r="I787" s="23">
        <v>6</v>
      </c>
      <c r="J787" s="189">
        <f t="shared" si="61"/>
        <v>0.00358594393533325</v>
      </c>
      <c r="K787" s="89">
        <f t="shared" si="62"/>
        <v>0.35766213592233</v>
      </c>
      <c r="L787" s="30">
        <f t="shared" si="60"/>
        <v>1.28255636720901</v>
      </c>
      <c r="M787" s="90">
        <f t="shared" si="63"/>
        <v>11.018154574475</v>
      </c>
      <c r="N787" s="91">
        <f t="shared" si="64"/>
        <v>0.000388349514563107</v>
      </c>
    </row>
    <row r="788" s="2" customFormat="1" spans="1:14">
      <c r="A788" s="86">
        <v>45588</v>
      </c>
      <c r="B788" s="22">
        <v>1825.44</v>
      </c>
      <c r="C788" s="29">
        <v>1852378</v>
      </c>
      <c r="D788" s="29">
        <v>6807</v>
      </c>
      <c r="E788" s="23">
        <v>0</v>
      </c>
      <c r="F788" s="25">
        <v>0</v>
      </c>
      <c r="G788" s="23">
        <v>41</v>
      </c>
      <c r="H788" s="23">
        <v>63</v>
      </c>
      <c r="I788" s="23">
        <v>5</v>
      </c>
      <c r="J788" s="189">
        <f t="shared" si="61"/>
        <v>0.00367473593402642</v>
      </c>
      <c r="K788" s="89">
        <f t="shared" si="62"/>
        <v>0.268171000440723</v>
      </c>
      <c r="L788" s="30">
        <f t="shared" si="60"/>
        <v>0.98545761178334</v>
      </c>
      <c r="M788" s="90">
        <f t="shared" si="63"/>
        <v>0</v>
      </c>
      <c r="N788" s="91">
        <f t="shared" si="64"/>
        <v>0</v>
      </c>
    </row>
    <row r="789" s="2" customFormat="1" spans="1:14">
      <c r="A789" s="86">
        <v>45589</v>
      </c>
      <c r="B789" s="22">
        <v>1861.97</v>
      </c>
      <c r="C789" s="29">
        <v>2697713</v>
      </c>
      <c r="D789" s="29">
        <v>8167</v>
      </c>
      <c r="E789" s="23">
        <v>0</v>
      </c>
      <c r="F789" s="25">
        <v>0</v>
      </c>
      <c r="G789" s="23">
        <v>61</v>
      </c>
      <c r="H789" s="23">
        <v>72</v>
      </c>
      <c r="I789" s="23">
        <v>4</v>
      </c>
      <c r="J789" s="189">
        <f t="shared" si="61"/>
        <v>0.00302737911705211</v>
      </c>
      <c r="K789" s="89">
        <f t="shared" si="62"/>
        <v>0.227987020937921</v>
      </c>
      <c r="L789" s="30">
        <f t="shared" si="60"/>
        <v>0.690203146146384</v>
      </c>
      <c r="M789" s="90">
        <f t="shared" si="63"/>
        <v>0</v>
      </c>
      <c r="N789" s="91">
        <f t="shared" si="64"/>
        <v>0</v>
      </c>
    </row>
    <row r="790" s="2" customFormat="1" spans="1:14">
      <c r="A790" s="86">
        <v>45590</v>
      </c>
      <c r="B790" s="22">
        <v>1839.03</v>
      </c>
      <c r="C790" s="29">
        <v>1591503</v>
      </c>
      <c r="D790" s="29">
        <v>8152</v>
      </c>
      <c r="E790" s="23">
        <v>0</v>
      </c>
      <c r="F790" s="25">
        <v>0</v>
      </c>
      <c r="G790" s="23">
        <v>63</v>
      </c>
      <c r="H790" s="23">
        <v>84</v>
      </c>
      <c r="I790" s="23">
        <v>2</v>
      </c>
      <c r="J790" s="189">
        <f t="shared" si="61"/>
        <v>0.00512220209449809</v>
      </c>
      <c r="K790" s="89">
        <f t="shared" si="62"/>
        <v>0.225592492639843</v>
      </c>
      <c r="L790" s="30">
        <f t="shared" si="60"/>
        <v>1.15553033830285</v>
      </c>
      <c r="M790" s="90">
        <f t="shared" si="63"/>
        <v>0</v>
      </c>
      <c r="N790" s="91">
        <f t="shared" si="64"/>
        <v>0</v>
      </c>
    </row>
    <row r="791" s="2" customFormat="1" spans="1:14">
      <c r="A791" s="86">
        <v>45591</v>
      </c>
      <c r="B791" s="22">
        <v>1770.35</v>
      </c>
      <c r="C791" s="29">
        <v>1337232</v>
      </c>
      <c r="D791" s="29">
        <v>7643</v>
      </c>
      <c r="E791" s="23">
        <v>0</v>
      </c>
      <c r="F791" s="25">
        <v>0</v>
      </c>
      <c r="G791" s="23">
        <v>66</v>
      </c>
      <c r="H791" s="23">
        <v>94</v>
      </c>
      <c r="I791" s="23">
        <v>4</v>
      </c>
      <c r="J791" s="189">
        <f t="shared" si="61"/>
        <v>0.00571553776756763</v>
      </c>
      <c r="K791" s="89">
        <f t="shared" si="62"/>
        <v>0.231630249901871</v>
      </c>
      <c r="L791" s="30">
        <f t="shared" si="60"/>
        <v>1.32389144142527</v>
      </c>
      <c r="M791" s="90">
        <f t="shared" si="63"/>
        <v>0</v>
      </c>
      <c r="N791" s="91">
        <f t="shared" si="64"/>
        <v>0</v>
      </c>
    </row>
    <row r="792" s="2" customFormat="1" spans="1:14">
      <c r="A792" s="86">
        <v>45592</v>
      </c>
      <c r="B792" s="22">
        <v>1839.41</v>
      </c>
      <c r="C792" s="29">
        <v>1792351</v>
      </c>
      <c r="D792" s="29">
        <v>8569</v>
      </c>
      <c r="E792" s="23">
        <v>0</v>
      </c>
      <c r="F792" s="25">
        <v>0</v>
      </c>
      <c r="G792" s="23">
        <v>90</v>
      </c>
      <c r="H792" s="23">
        <v>101</v>
      </c>
      <c r="I792" s="23">
        <v>1</v>
      </c>
      <c r="J792" s="189">
        <f t="shared" si="61"/>
        <v>0.00478087160383206</v>
      </c>
      <c r="K792" s="89">
        <f t="shared" si="62"/>
        <v>0.214658653285097</v>
      </c>
      <c r="L792" s="30">
        <f t="shared" si="60"/>
        <v>1.02625546000755</v>
      </c>
      <c r="M792" s="90">
        <f t="shared" si="63"/>
        <v>0</v>
      </c>
      <c r="N792" s="91">
        <f t="shared" si="64"/>
        <v>0</v>
      </c>
    </row>
    <row r="793" s="2" customFormat="1" spans="1:14">
      <c r="A793" s="86">
        <v>45593</v>
      </c>
      <c r="B793" s="22">
        <v>1863.01</v>
      </c>
      <c r="C793" s="29">
        <v>1300645</v>
      </c>
      <c r="D793" s="29">
        <v>8262</v>
      </c>
      <c r="E793" s="23">
        <v>0</v>
      </c>
      <c r="F793" s="25">
        <v>0</v>
      </c>
      <c r="G793" s="23">
        <v>55</v>
      </c>
      <c r="H793" s="23">
        <v>72</v>
      </c>
      <c r="I793" s="23">
        <v>2</v>
      </c>
      <c r="J793" s="189">
        <f t="shared" si="61"/>
        <v>0.00635223293058444</v>
      </c>
      <c r="K793" s="89">
        <f t="shared" si="62"/>
        <v>0.225491406439119</v>
      </c>
      <c r="L793" s="30">
        <f t="shared" si="60"/>
        <v>1.43237393754637</v>
      </c>
      <c r="M793" s="90">
        <f t="shared" si="63"/>
        <v>0</v>
      </c>
      <c r="N793" s="91">
        <f t="shared" si="64"/>
        <v>0</v>
      </c>
    </row>
    <row r="794" s="2" customFormat="1" spans="1:14">
      <c r="A794" s="86">
        <v>45594</v>
      </c>
      <c r="B794" s="22">
        <v>1075.49</v>
      </c>
      <c r="C794" s="29">
        <v>1181990</v>
      </c>
      <c r="D794" s="29">
        <v>4290</v>
      </c>
      <c r="E794" s="23">
        <v>0</v>
      </c>
      <c r="F794" s="25">
        <v>0</v>
      </c>
      <c r="G794" s="23">
        <v>43</v>
      </c>
      <c r="H794" s="23">
        <v>55</v>
      </c>
      <c r="I794" s="23">
        <v>2</v>
      </c>
      <c r="J794" s="189">
        <f t="shared" si="61"/>
        <v>0.00362947233056117</v>
      </c>
      <c r="K794" s="89">
        <f t="shared" si="62"/>
        <v>0.25069696969697</v>
      </c>
      <c r="L794" s="30">
        <f t="shared" si="60"/>
        <v>0.909897714870684</v>
      </c>
      <c r="M794" s="90">
        <f t="shared" si="63"/>
        <v>0</v>
      </c>
      <c r="N794" s="91">
        <f t="shared" si="64"/>
        <v>0</v>
      </c>
    </row>
    <row r="795" s="2" customFormat="1" spans="1:14">
      <c r="A795" s="86">
        <v>45595</v>
      </c>
      <c r="B795" s="22">
        <v>628.54</v>
      </c>
      <c r="C795" s="29">
        <v>765636</v>
      </c>
      <c r="D795" s="29">
        <v>3128</v>
      </c>
      <c r="E795" s="23">
        <v>0</v>
      </c>
      <c r="F795" s="25">
        <v>0</v>
      </c>
      <c r="G795" s="23">
        <v>33</v>
      </c>
      <c r="H795" s="23">
        <v>30</v>
      </c>
      <c r="I795" s="23">
        <v>2</v>
      </c>
      <c r="J795" s="189">
        <f t="shared" si="61"/>
        <v>0.00408549232272255</v>
      </c>
      <c r="K795" s="89">
        <f t="shared" si="62"/>
        <v>0.20093989769821</v>
      </c>
      <c r="L795" s="30">
        <f t="shared" si="60"/>
        <v>0.82093840937469</v>
      </c>
      <c r="M795" s="90">
        <f t="shared" si="63"/>
        <v>0</v>
      </c>
      <c r="N795" s="91">
        <f t="shared" si="64"/>
        <v>0</v>
      </c>
    </row>
    <row r="796" s="2" customFormat="1" spans="1:14">
      <c r="A796" s="86">
        <v>45596</v>
      </c>
      <c r="B796" s="22">
        <v>631.54</v>
      </c>
      <c r="C796" s="29">
        <v>825689</v>
      </c>
      <c r="D796" s="29">
        <v>2228</v>
      </c>
      <c r="E796" s="23">
        <v>0</v>
      </c>
      <c r="F796" s="25">
        <v>0</v>
      </c>
      <c r="G796" s="23">
        <v>32</v>
      </c>
      <c r="H796" s="23">
        <v>27</v>
      </c>
      <c r="I796" s="23">
        <v>1</v>
      </c>
      <c r="J796" s="189">
        <f t="shared" si="61"/>
        <v>0.00269835252740439</v>
      </c>
      <c r="K796" s="89">
        <f t="shared" si="62"/>
        <v>0.283456014362657</v>
      </c>
      <c r="L796" s="30">
        <f t="shared" si="60"/>
        <v>0.76486425276345</v>
      </c>
      <c r="M796" s="90">
        <f t="shared" si="63"/>
        <v>0</v>
      </c>
      <c r="N796" s="91">
        <f t="shared" si="64"/>
        <v>0</v>
      </c>
    </row>
    <row r="797" s="2" customFormat="1" spans="1:14">
      <c r="A797" s="86">
        <v>45597</v>
      </c>
      <c r="B797" s="22">
        <v>1108.27</v>
      </c>
      <c r="C797" s="29">
        <v>1161499</v>
      </c>
      <c r="D797" s="29">
        <v>4869</v>
      </c>
      <c r="E797" s="23">
        <v>2</v>
      </c>
      <c r="F797" s="25">
        <v>27192</v>
      </c>
      <c r="G797" s="23">
        <v>61</v>
      </c>
      <c r="H797" s="23">
        <v>66</v>
      </c>
      <c r="I797" s="23">
        <v>1</v>
      </c>
      <c r="J797" s="189">
        <f t="shared" si="61"/>
        <v>0.00419199672147802</v>
      </c>
      <c r="K797" s="89">
        <f t="shared" si="62"/>
        <v>0.227617580612035</v>
      </c>
      <c r="L797" s="30">
        <f t="shared" si="60"/>
        <v>0.954172151676411</v>
      </c>
      <c r="M797" s="90">
        <f t="shared" si="63"/>
        <v>24.5355373690527</v>
      </c>
      <c r="N797" s="91">
        <f t="shared" si="64"/>
        <v>0.000410761963442185</v>
      </c>
    </row>
    <row r="798" s="2" customFormat="1" spans="1:14">
      <c r="A798" s="86">
        <v>45598</v>
      </c>
      <c r="B798" s="22">
        <v>1134.18</v>
      </c>
      <c r="C798" s="29">
        <v>898627</v>
      </c>
      <c r="D798" s="29">
        <v>5573</v>
      </c>
      <c r="E798" s="23">
        <v>0</v>
      </c>
      <c r="F798" s="25">
        <v>0</v>
      </c>
      <c r="G798" s="23">
        <v>69</v>
      </c>
      <c r="H798" s="23">
        <v>87</v>
      </c>
      <c r="I798" s="23">
        <v>7</v>
      </c>
      <c r="J798" s="189">
        <f t="shared" si="61"/>
        <v>0.00620168323453446</v>
      </c>
      <c r="K798" s="89">
        <f t="shared" si="62"/>
        <v>0.203513368024403</v>
      </c>
      <c r="L798" s="30">
        <f t="shared" si="60"/>
        <v>1.26212544248058</v>
      </c>
      <c r="M798" s="90">
        <f t="shared" si="63"/>
        <v>0</v>
      </c>
      <c r="N798" s="91">
        <f t="shared" si="64"/>
        <v>0</v>
      </c>
    </row>
    <row r="799" s="2" customFormat="1" spans="1:14">
      <c r="A799" s="86">
        <v>45599</v>
      </c>
      <c r="B799" s="22">
        <v>1144.23</v>
      </c>
      <c r="C799" s="29">
        <v>1403627</v>
      </c>
      <c r="D799" s="29">
        <v>7049</v>
      </c>
      <c r="E799" s="23">
        <v>0</v>
      </c>
      <c r="F799" s="25">
        <v>0</v>
      </c>
      <c r="G799" s="23">
        <v>76</v>
      </c>
      <c r="H799" s="23">
        <v>84</v>
      </c>
      <c r="I799" s="23">
        <v>5</v>
      </c>
      <c r="J799" s="189">
        <f t="shared" si="61"/>
        <v>0.00502198946016285</v>
      </c>
      <c r="K799" s="89">
        <f t="shared" si="62"/>
        <v>0.162325152503901</v>
      </c>
      <c r="L799" s="30">
        <f t="shared" si="60"/>
        <v>0.815195204993919</v>
      </c>
      <c r="M799" s="90">
        <f t="shared" si="63"/>
        <v>0</v>
      </c>
      <c r="N799" s="91">
        <f t="shared" si="64"/>
        <v>0</v>
      </c>
    </row>
    <row r="800" s="2" customFormat="1" spans="1:14">
      <c r="A800" s="86">
        <v>45600</v>
      </c>
      <c r="B800" s="22">
        <v>1149.33</v>
      </c>
      <c r="C800" s="29">
        <v>1357629</v>
      </c>
      <c r="D800" s="29">
        <v>6918</v>
      </c>
      <c r="E800" s="23">
        <v>0</v>
      </c>
      <c r="F800" s="25">
        <v>0</v>
      </c>
      <c r="G800" s="23">
        <v>71</v>
      </c>
      <c r="H800" s="23">
        <v>55</v>
      </c>
      <c r="I800" s="23">
        <v>4</v>
      </c>
      <c r="J800" s="189">
        <f t="shared" si="61"/>
        <v>0.00509564836932623</v>
      </c>
      <c r="K800" s="89">
        <f t="shared" si="62"/>
        <v>0.166136166522116</v>
      </c>
      <c r="L800" s="30">
        <f t="shared" si="60"/>
        <v>0.846571486024532</v>
      </c>
      <c r="M800" s="90">
        <f t="shared" si="63"/>
        <v>0</v>
      </c>
      <c r="N800" s="91">
        <f t="shared" si="64"/>
        <v>0</v>
      </c>
    </row>
    <row r="801" s="2" customFormat="1" spans="1:14">
      <c r="A801" s="86">
        <v>45601</v>
      </c>
      <c r="B801" s="22">
        <v>1125.73</v>
      </c>
      <c r="C801" s="29">
        <v>1079772</v>
      </c>
      <c r="D801" s="29">
        <v>6393</v>
      </c>
      <c r="E801" s="23">
        <v>0</v>
      </c>
      <c r="F801" s="25">
        <v>0</v>
      </c>
      <c r="G801" s="23">
        <v>65</v>
      </c>
      <c r="H801" s="23">
        <v>76</v>
      </c>
      <c r="I801" s="23">
        <v>3</v>
      </c>
      <c r="J801" s="189">
        <f t="shared" si="61"/>
        <v>0.00592069436881119</v>
      </c>
      <c r="K801" s="89">
        <f t="shared" si="62"/>
        <v>0.176087908650086</v>
      </c>
      <c r="L801" s="30">
        <f t="shared" si="60"/>
        <v>1.0425626891603</v>
      </c>
      <c r="M801" s="90">
        <f t="shared" si="63"/>
        <v>0</v>
      </c>
      <c r="N801" s="91">
        <f t="shared" si="64"/>
        <v>0</v>
      </c>
    </row>
    <row r="802" s="2" customFormat="1" spans="1:14">
      <c r="A802" s="86">
        <v>45602</v>
      </c>
      <c r="B802" s="22">
        <v>1126.74</v>
      </c>
      <c r="C802" s="29">
        <v>1185598</v>
      </c>
      <c r="D802" s="29">
        <v>6380</v>
      </c>
      <c r="E802" s="23">
        <v>0</v>
      </c>
      <c r="F802" s="25">
        <v>0</v>
      </c>
      <c r="G802" s="23">
        <v>54</v>
      </c>
      <c r="H802" s="23">
        <v>72</v>
      </c>
      <c r="I802" s="23">
        <v>8</v>
      </c>
      <c r="J802" s="189">
        <f t="shared" si="61"/>
        <v>0.00538125064313536</v>
      </c>
      <c r="K802" s="89">
        <f t="shared" si="62"/>
        <v>0.176605015673981</v>
      </c>
      <c r="L802" s="30">
        <f t="shared" si="60"/>
        <v>0.950355854176542</v>
      </c>
      <c r="M802" s="90">
        <f t="shared" si="63"/>
        <v>0</v>
      </c>
      <c r="N802" s="91">
        <f t="shared" si="64"/>
        <v>0</v>
      </c>
    </row>
    <row r="803" s="2" customFormat="1" spans="1:14">
      <c r="A803" s="86">
        <v>45603</v>
      </c>
      <c r="B803" s="22">
        <v>1137.87</v>
      </c>
      <c r="C803" s="29">
        <v>1322806</v>
      </c>
      <c r="D803" s="29">
        <v>6216</v>
      </c>
      <c r="E803" s="23">
        <v>0</v>
      </c>
      <c r="F803" s="25">
        <v>0</v>
      </c>
      <c r="G803" s="23">
        <v>50</v>
      </c>
      <c r="H803" s="23">
        <v>80</v>
      </c>
      <c r="I803" s="23">
        <v>4</v>
      </c>
      <c r="J803" s="189">
        <f t="shared" si="61"/>
        <v>0.00469910175792973</v>
      </c>
      <c r="K803" s="89">
        <f t="shared" si="62"/>
        <v>0.183055019305019</v>
      </c>
      <c r="L803" s="30">
        <f t="shared" si="60"/>
        <v>0.860194163014078</v>
      </c>
      <c r="M803" s="90">
        <f t="shared" si="63"/>
        <v>0</v>
      </c>
      <c r="N803" s="91">
        <f t="shared" si="64"/>
        <v>0</v>
      </c>
    </row>
    <row r="804" s="2" customFormat="1" spans="1:14">
      <c r="A804" s="86">
        <v>45604</v>
      </c>
      <c r="B804" s="22">
        <v>1769.41</v>
      </c>
      <c r="C804" s="29">
        <v>1333531</v>
      </c>
      <c r="D804" s="29">
        <v>8059</v>
      </c>
      <c r="E804" s="23">
        <v>0</v>
      </c>
      <c r="F804" s="25">
        <v>0</v>
      </c>
      <c r="G804" s="23">
        <v>58</v>
      </c>
      <c r="H804" s="23">
        <v>110</v>
      </c>
      <c r="I804" s="23">
        <v>3</v>
      </c>
      <c r="J804" s="189">
        <f t="shared" si="61"/>
        <v>0.00604335407275871</v>
      </c>
      <c r="K804" s="89">
        <f t="shared" si="62"/>
        <v>0.219557016999628</v>
      </c>
      <c r="L804" s="30">
        <f t="shared" si="60"/>
        <v>1.32686079288745</v>
      </c>
      <c r="M804" s="90">
        <f t="shared" si="63"/>
        <v>0</v>
      </c>
      <c r="N804" s="91">
        <f t="shared" si="64"/>
        <v>0</v>
      </c>
    </row>
    <row r="805" s="2" customFormat="1" spans="1:14">
      <c r="A805" s="86">
        <v>45605</v>
      </c>
      <c r="B805" s="22">
        <v>1804.06</v>
      </c>
      <c r="C805" s="29">
        <v>1503515</v>
      </c>
      <c r="D805" s="29">
        <v>7490</v>
      </c>
      <c r="E805" s="23">
        <v>0</v>
      </c>
      <c r="F805" s="25">
        <v>0</v>
      </c>
      <c r="G805" s="23">
        <v>78</v>
      </c>
      <c r="H805" s="23">
        <v>144</v>
      </c>
      <c r="I805" s="23">
        <v>8</v>
      </c>
      <c r="J805" s="189">
        <f t="shared" si="61"/>
        <v>0.00498165964423368</v>
      </c>
      <c r="K805" s="89">
        <f t="shared" si="62"/>
        <v>0.240862483311081</v>
      </c>
      <c r="L805" s="30">
        <f t="shared" si="60"/>
        <v>1.19989491292072</v>
      </c>
      <c r="M805" s="90">
        <f t="shared" si="63"/>
        <v>0</v>
      </c>
      <c r="N805" s="91">
        <f t="shared" si="64"/>
        <v>0</v>
      </c>
    </row>
    <row r="806" s="2" customFormat="1" spans="1:14">
      <c r="A806" s="86">
        <v>45606</v>
      </c>
      <c r="B806" s="22">
        <v>1834.39</v>
      </c>
      <c r="C806" s="29">
        <v>1331054</v>
      </c>
      <c r="D806" s="29">
        <v>6955</v>
      </c>
      <c r="E806" s="23">
        <v>0</v>
      </c>
      <c r="F806" s="25">
        <v>0</v>
      </c>
      <c r="G806" s="23">
        <v>64</v>
      </c>
      <c r="H806" s="23">
        <v>121</v>
      </c>
      <c r="I806" s="23">
        <v>6</v>
      </c>
      <c r="J806" s="189">
        <f t="shared" si="61"/>
        <v>0.00522518244939724</v>
      </c>
      <c r="K806" s="89">
        <f t="shared" si="62"/>
        <v>0.263751258087707</v>
      </c>
      <c r="L806" s="30">
        <f t="shared" si="60"/>
        <v>1.37814844476633</v>
      </c>
      <c r="M806" s="90">
        <f t="shared" si="63"/>
        <v>0</v>
      </c>
      <c r="N806" s="91">
        <f t="shared" si="64"/>
        <v>0</v>
      </c>
    </row>
    <row r="807" s="2" customFormat="1" spans="1:14">
      <c r="A807" s="86">
        <v>45607</v>
      </c>
      <c r="B807" s="22">
        <v>1765.49</v>
      </c>
      <c r="C807" s="29">
        <v>1485081</v>
      </c>
      <c r="D807" s="29">
        <v>6369</v>
      </c>
      <c r="E807" s="23">
        <v>0</v>
      </c>
      <c r="F807" s="25">
        <v>0</v>
      </c>
      <c r="G807" s="23">
        <v>51</v>
      </c>
      <c r="H807" s="23">
        <v>82</v>
      </c>
      <c r="I807" s="23">
        <v>7</v>
      </c>
      <c r="J807" s="189">
        <f t="shared" si="61"/>
        <v>0.00428865496225458</v>
      </c>
      <c r="K807" s="89">
        <f t="shared" si="62"/>
        <v>0.277200502433663</v>
      </c>
      <c r="L807" s="30">
        <f t="shared" si="60"/>
        <v>1.18881731030159</v>
      </c>
      <c r="M807" s="90">
        <f t="shared" si="63"/>
        <v>0</v>
      </c>
      <c r="N807" s="91">
        <f t="shared" si="64"/>
        <v>0</v>
      </c>
    </row>
    <row r="808" s="2" customFormat="1" spans="1:14">
      <c r="A808" s="86">
        <v>45608</v>
      </c>
      <c r="B808" s="22">
        <v>455.18</v>
      </c>
      <c r="C808" s="29">
        <v>572468</v>
      </c>
      <c r="D808" s="29">
        <v>3150</v>
      </c>
      <c r="E808" s="23">
        <v>0</v>
      </c>
      <c r="F808" s="25">
        <v>0</v>
      </c>
      <c r="G808" s="23">
        <v>18</v>
      </c>
      <c r="H808" s="23">
        <v>37</v>
      </c>
      <c r="I808" s="23">
        <v>3</v>
      </c>
      <c r="J808" s="189">
        <f t="shared" si="61"/>
        <v>0.00550249096892752</v>
      </c>
      <c r="K808" s="89">
        <f t="shared" si="62"/>
        <v>0.144501587301587</v>
      </c>
      <c r="L808" s="30">
        <f t="shared" si="60"/>
        <v>0.795118679122676</v>
      </c>
      <c r="M808" s="90">
        <f t="shared" si="63"/>
        <v>0</v>
      </c>
      <c r="N808" s="91">
        <f t="shared" si="64"/>
        <v>0</v>
      </c>
    </row>
    <row r="809" s="2" customFormat="1" spans="1:14">
      <c r="A809" s="86">
        <v>45609</v>
      </c>
      <c r="B809" s="22">
        <v>466.17</v>
      </c>
      <c r="C809" s="29">
        <v>573878</v>
      </c>
      <c r="D809" s="29">
        <v>3065</v>
      </c>
      <c r="E809" s="23">
        <v>0</v>
      </c>
      <c r="F809" s="25">
        <v>0</v>
      </c>
      <c r="G809" s="23">
        <v>26</v>
      </c>
      <c r="H809" s="23">
        <v>48</v>
      </c>
      <c r="I809" s="23">
        <v>3</v>
      </c>
      <c r="J809" s="189">
        <f t="shared" si="61"/>
        <v>0.00534085641896013</v>
      </c>
      <c r="K809" s="89">
        <f t="shared" si="62"/>
        <v>0.152094616639478</v>
      </c>
      <c r="L809" s="30">
        <f t="shared" ref="L809:L872" si="65">B809/C809*1000</f>
        <v>0.812315509568236</v>
      </c>
      <c r="M809" s="90">
        <f t="shared" si="63"/>
        <v>0</v>
      </c>
      <c r="N809" s="91">
        <f t="shared" si="64"/>
        <v>0</v>
      </c>
    </row>
    <row r="810" s="2" customFormat="1" spans="1:14">
      <c r="A810" s="86">
        <v>45610</v>
      </c>
      <c r="B810" s="22">
        <v>254.75</v>
      </c>
      <c r="C810" s="29">
        <v>492265</v>
      </c>
      <c r="D810" s="29">
        <v>2082</v>
      </c>
      <c r="E810" s="23">
        <v>0</v>
      </c>
      <c r="F810" s="25">
        <v>0</v>
      </c>
      <c r="G810" s="23">
        <v>10</v>
      </c>
      <c r="H810" s="23">
        <v>23</v>
      </c>
      <c r="I810" s="23">
        <v>0</v>
      </c>
      <c r="J810" s="189">
        <f t="shared" si="61"/>
        <v>0.00422942927081958</v>
      </c>
      <c r="K810" s="89">
        <f t="shared" si="62"/>
        <v>0.122358309317964</v>
      </c>
      <c r="L810" s="30">
        <f t="shared" si="65"/>
        <v>0.517505814957391</v>
      </c>
      <c r="M810" s="90">
        <f t="shared" si="63"/>
        <v>0</v>
      </c>
      <c r="N810" s="91">
        <f t="shared" si="64"/>
        <v>0</v>
      </c>
    </row>
    <row r="811" s="2" customFormat="1" spans="1:14">
      <c r="A811" s="86">
        <v>45611</v>
      </c>
      <c r="B811" s="22">
        <v>242.85</v>
      </c>
      <c r="C811" s="29">
        <v>375450</v>
      </c>
      <c r="D811" s="29">
        <v>2206</v>
      </c>
      <c r="E811" s="23">
        <v>0</v>
      </c>
      <c r="F811" s="25">
        <v>0</v>
      </c>
      <c r="G811" s="23">
        <v>9</v>
      </c>
      <c r="H811" s="23">
        <v>20</v>
      </c>
      <c r="I811" s="23">
        <v>1</v>
      </c>
      <c r="J811" s="189">
        <f t="shared" si="61"/>
        <v>0.0058756159275536</v>
      </c>
      <c r="K811" s="89">
        <f t="shared" si="62"/>
        <v>0.110086128739801</v>
      </c>
      <c r="L811" s="30">
        <f t="shared" si="65"/>
        <v>0.646823811426288</v>
      </c>
      <c r="M811" s="90">
        <f t="shared" si="63"/>
        <v>0</v>
      </c>
      <c r="N811" s="91">
        <f t="shared" si="64"/>
        <v>0</v>
      </c>
    </row>
    <row r="812" s="2" customFormat="1" spans="1:14">
      <c r="A812" s="86">
        <v>45612</v>
      </c>
      <c r="B812" s="22">
        <v>243.04</v>
      </c>
      <c r="C812" s="29">
        <v>385299</v>
      </c>
      <c r="D812" s="29">
        <v>2176</v>
      </c>
      <c r="E812" s="23">
        <v>0</v>
      </c>
      <c r="F812" s="25">
        <v>0</v>
      </c>
      <c r="G812" s="23">
        <v>18</v>
      </c>
      <c r="H812" s="23">
        <v>31</v>
      </c>
      <c r="I812" s="23">
        <v>0</v>
      </c>
      <c r="J812" s="189">
        <f t="shared" si="61"/>
        <v>0.00564756202325986</v>
      </c>
      <c r="K812" s="89">
        <f t="shared" si="62"/>
        <v>0.111691176470588</v>
      </c>
      <c r="L812" s="30">
        <f t="shared" si="65"/>
        <v>0.630782846568509</v>
      </c>
      <c r="M812" s="90">
        <f t="shared" si="63"/>
        <v>0</v>
      </c>
      <c r="N812" s="91">
        <f t="shared" si="64"/>
        <v>0</v>
      </c>
    </row>
    <row r="813" s="2" customFormat="1" spans="1:14">
      <c r="A813" s="86">
        <v>45613</v>
      </c>
      <c r="B813" s="22">
        <v>232.26</v>
      </c>
      <c r="C813" s="29">
        <v>368171</v>
      </c>
      <c r="D813" s="29">
        <v>2339</v>
      </c>
      <c r="E813" s="23">
        <v>0</v>
      </c>
      <c r="F813" s="25">
        <v>0</v>
      </c>
      <c r="G813" s="23">
        <v>9</v>
      </c>
      <c r="H813" s="23">
        <v>25</v>
      </c>
      <c r="I813" s="23">
        <v>1</v>
      </c>
      <c r="J813" s="189">
        <f t="shared" si="61"/>
        <v>0.006353026175337</v>
      </c>
      <c r="K813" s="89">
        <f t="shared" si="62"/>
        <v>0.0992988456605387</v>
      </c>
      <c r="L813" s="30">
        <f t="shared" si="65"/>
        <v>0.630848165662152</v>
      </c>
      <c r="M813" s="90">
        <f t="shared" si="63"/>
        <v>0</v>
      </c>
      <c r="N813" s="91">
        <f t="shared" si="64"/>
        <v>0</v>
      </c>
    </row>
    <row r="814" s="2" customFormat="1" spans="1:14">
      <c r="A814" s="86">
        <v>45614</v>
      </c>
      <c r="B814" s="22">
        <v>241.84</v>
      </c>
      <c r="C814" s="29">
        <v>435232</v>
      </c>
      <c r="D814" s="29">
        <v>2167</v>
      </c>
      <c r="E814" s="23">
        <v>0</v>
      </c>
      <c r="F814" s="25">
        <v>0</v>
      </c>
      <c r="G814" s="23">
        <v>15</v>
      </c>
      <c r="H814" s="23">
        <v>31</v>
      </c>
      <c r="I814" s="23">
        <v>0</v>
      </c>
      <c r="J814" s="189">
        <f t="shared" si="61"/>
        <v>0.00497895375340049</v>
      </c>
      <c r="K814" s="89">
        <f t="shared" si="62"/>
        <v>0.111601292108906</v>
      </c>
      <c r="L814" s="30">
        <f t="shared" si="65"/>
        <v>0.555657672229983</v>
      </c>
      <c r="M814" s="90">
        <f t="shared" si="63"/>
        <v>0</v>
      </c>
      <c r="N814" s="91">
        <f t="shared" si="64"/>
        <v>0</v>
      </c>
    </row>
    <row r="815" s="2" customFormat="1" spans="1:14">
      <c r="A815" s="86">
        <v>45615</v>
      </c>
      <c r="B815" s="22">
        <v>249.6</v>
      </c>
      <c r="C815" s="29">
        <v>279095</v>
      </c>
      <c r="D815" s="29">
        <v>1945</v>
      </c>
      <c r="E815" s="23">
        <v>0</v>
      </c>
      <c r="F815" s="25">
        <v>0</v>
      </c>
      <c r="G815" s="23">
        <v>15</v>
      </c>
      <c r="H815" s="23">
        <v>16</v>
      </c>
      <c r="I815" s="23">
        <v>0</v>
      </c>
      <c r="J815" s="189">
        <f t="shared" si="61"/>
        <v>0.00696895322381268</v>
      </c>
      <c r="K815" s="89">
        <f t="shared" si="62"/>
        <v>0.128329048843188</v>
      </c>
      <c r="L815" s="30">
        <f t="shared" si="65"/>
        <v>0.894319138644547</v>
      </c>
      <c r="M815" s="90">
        <f t="shared" si="63"/>
        <v>0</v>
      </c>
      <c r="N815" s="91">
        <f t="shared" si="64"/>
        <v>0</v>
      </c>
    </row>
    <row r="816" s="2" customFormat="1" spans="1:14">
      <c r="A816" s="86">
        <v>45616</v>
      </c>
      <c r="B816" s="22">
        <v>238.89</v>
      </c>
      <c r="C816" s="29">
        <v>324647</v>
      </c>
      <c r="D816" s="29">
        <v>1922</v>
      </c>
      <c r="E816" s="23">
        <v>0</v>
      </c>
      <c r="F816" s="25">
        <v>0</v>
      </c>
      <c r="G816" s="23">
        <v>18</v>
      </c>
      <c r="H816" s="23">
        <v>22</v>
      </c>
      <c r="I816" s="23">
        <v>1</v>
      </c>
      <c r="J816" s="189">
        <f t="shared" si="61"/>
        <v>0.00592027648492054</v>
      </c>
      <c r="K816" s="89">
        <f t="shared" si="62"/>
        <v>0.124292403746098</v>
      </c>
      <c r="L816" s="30">
        <f t="shared" si="65"/>
        <v>0.735845395152273</v>
      </c>
      <c r="M816" s="90">
        <f t="shared" si="63"/>
        <v>0</v>
      </c>
      <c r="N816" s="91">
        <f t="shared" si="64"/>
        <v>0</v>
      </c>
    </row>
    <row r="817" s="2" customFormat="1" spans="1:14">
      <c r="A817" s="86">
        <v>45617</v>
      </c>
      <c r="B817" s="22">
        <v>236.06</v>
      </c>
      <c r="C817" s="29">
        <v>261067</v>
      </c>
      <c r="D817" s="29">
        <v>2156</v>
      </c>
      <c r="E817" s="23">
        <v>0</v>
      </c>
      <c r="F817" s="25">
        <v>0</v>
      </c>
      <c r="G817" s="23">
        <v>13</v>
      </c>
      <c r="H817" s="23">
        <v>26</v>
      </c>
      <c r="I817" s="23">
        <v>0</v>
      </c>
      <c r="J817" s="189">
        <f t="shared" si="61"/>
        <v>0.00825841642183807</v>
      </c>
      <c r="K817" s="89">
        <f t="shared" si="62"/>
        <v>0.109489795918367</v>
      </c>
      <c r="L817" s="30">
        <f t="shared" si="65"/>
        <v>0.904212328635944</v>
      </c>
      <c r="M817" s="90">
        <f t="shared" si="63"/>
        <v>0</v>
      </c>
      <c r="N817" s="91">
        <f t="shared" si="64"/>
        <v>0</v>
      </c>
    </row>
    <row r="818" s="2" customFormat="1" spans="1:14">
      <c r="A818" s="86">
        <v>45618</v>
      </c>
      <c r="B818" s="22">
        <v>237.25</v>
      </c>
      <c r="C818" s="29">
        <v>282154</v>
      </c>
      <c r="D818" s="29">
        <v>2127</v>
      </c>
      <c r="E818" s="23">
        <v>0</v>
      </c>
      <c r="F818" s="25">
        <v>0</v>
      </c>
      <c r="G818" s="23">
        <v>12</v>
      </c>
      <c r="H818" s="23">
        <v>29</v>
      </c>
      <c r="I818" s="23">
        <v>1</v>
      </c>
      <c r="J818" s="189">
        <f t="shared" si="61"/>
        <v>0.00753843645668677</v>
      </c>
      <c r="K818" s="89">
        <f t="shared" si="62"/>
        <v>0.111542078044194</v>
      </c>
      <c r="L818" s="30">
        <f t="shared" si="65"/>
        <v>0.840852867582951</v>
      </c>
      <c r="M818" s="90">
        <f t="shared" si="63"/>
        <v>0</v>
      </c>
      <c r="N818" s="91">
        <f t="shared" si="64"/>
        <v>0</v>
      </c>
    </row>
    <row r="819" s="2" customFormat="1" spans="1:14">
      <c r="A819" s="86">
        <v>45619</v>
      </c>
      <c r="B819" s="22">
        <v>236.61</v>
      </c>
      <c r="C819" s="29">
        <v>270039</v>
      </c>
      <c r="D819" s="29">
        <v>2047</v>
      </c>
      <c r="E819" s="23">
        <v>0</v>
      </c>
      <c r="F819" s="25">
        <v>0</v>
      </c>
      <c r="G819" s="23">
        <v>22</v>
      </c>
      <c r="H819" s="23">
        <v>33</v>
      </c>
      <c r="I819" s="23">
        <v>0</v>
      </c>
      <c r="J819" s="189">
        <f t="shared" si="61"/>
        <v>0.00758038653675951</v>
      </c>
      <c r="K819" s="89">
        <f t="shared" si="62"/>
        <v>0.115588666340987</v>
      </c>
      <c r="L819" s="30">
        <f t="shared" si="65"/>
        <v>0.876206770133203</v>
      </c>
      <c r="M819" s="90">
        <f t="shared" si="63"/>
        <v>0</v>
      </c>
      <c r="N819" s="91">
        <f t="shared" si="64"/>
        <v>0</v>
      </c>
    </row>
    <row r="820" s="2" customFormat="1" spans="1:14">
      <c r="A820" s="86">
        <v>45620</v>
      </c>
      <c r="B820" s="22">
        <v>239.06</v>
      </c>
      <c r="C820" s="29">
        <v>339900</v>
      </c>
      <c r="D820" s="29">
        <v>2282</v>
      </c>
      <c r="E820" s="23">
        <v>0</v>
      </c>
      <c r="F820" s="25">
        <v>0</v>
      </c>
      <c r="G820" s="23">
        <v>5</v>
      </c>
      <c r="H820" s="23">
        <v>36</v>
      </c>
      <c r="I820" s="23">
        <v>0</v>
      </c>
      <c r="J820" s="189">
        <f t="shared" si="61"/>
        <v>0.00671373933509856</v>
      </c>
      <c r="K820" s="89">
        <f t="shared" si="62"/>
        <v>0.10475898334794</v>
      </c>
      <c r="L820" s="30">
        <f t="shared" si="65"/>
        <v>0.703324507208002</v>
      </c>
      <c r="M820" s="90">
        <f t="shared" si="63"/>
        <v>0</v>
      </c>
      <c r="N820" s="91">
        <f t="shared" si="64"/>
        <v>0</v>
      </c>
    </row>
    <row r="821" s="2" customFormat="1" spans="1:14">
      <c r="A821" s="86">
        <v>45621</v>
      </c>
      <c r="B821" s="22">
        <v>242.35</v>
      </c>
      <c r="C821" s="29">
        <v>311791</v>
      </c>
      <c r="D821" s="29">
        <v>1977</v>
      </c>
      <c r="E821" s="23">
        <v>0</v>
      </c>
      <c r="F821" s="25">
        <v>0</v>
      </c>
      <c r="G821" s="23">
        <v>9</v>
      </c>
      <c r="H821" s="23">
        <v>31</v>
      </c>
      <c r="I821" s="23">
        <v>1</v>
      </c>
      <c r="J821" s="189">
        <f t="shared" si="61"/>
        <v>0.00634078597522058</v>
      </c>
      <c r="K821" s="89">
        <f t="shared" si="62"/>
        <v>0.122584724329793</v>
      </c>
      <c r="L821" s="30">
        <f t="shared" si="65"/>
        <v>0.77728350080663</v>
      </c>
      <c r="M821" s="90">
        <f t="shared" si="63"/>
        <v>0</v>
      </c>
      <c r="N821" s="91">
        <f t="shared" si="64"/>
        <v>0</v>
      </c>
    </row>
    <row r="822" s="2" customFormat="1" spans="1:14">
      <c r="A822" s="86">
        <v>45622</v>
      </c>
      <c r="B822" s="22">
        <v>237.68</v>
      </c>
      <c r="C822" s="29">
        <v>528800</v>
      </c>
      <c r="D822" s="29">
        <v>2067</v>
      </c>
      <c r="E822" s="23">
        <v>0</v>
      </c>
      <c r="F822" s="25">
        <v>0</v>
      </c>
      <c r="G822" s="23">
        <v>11</v>
      </c>
      <c r="H822" s="23">
        <v>33</v>
      </c>
      <c r="I822" s="23">
        <v>2</v>
      </c>
      <c r="J822" s="189">
        <f t="shared" si="61"/>
        <v>0.0039088502269289</v>
      </c>
      <c r="K822" s="89">
        <f t="shared" si="62"/>
        <v>0.114987905176584</v>
      </c>
      <c r="L822" s="30">
        <f t="shared" si="65"/>
        <v>0.44947049924357</v>
      </c>
      <c r="M822" s="90">
        <f t="shared" si="63"/>
        <v>0</v>
      </c>
      <c r="N822" s="91">
        <f t="shared" si="64"/>
        <v>0</v>
      </c>
    </row>
    <row r="823" s="2" customFormat="1" spans="1:14">
      <c r="A823" s="86">
        <v>45623</v>
      </c>
      <c r="B823" s="22">
        <v>243.45</v>
      </c>
      <c r="C823" s="29">
        <v>430316</v>
      </c>
      <c r="D823" s="29">
        <v>1867</v>
      </c>
      <c r="E823" s="23">
        <v>0</v>
      </c>
      <c r="F823" s="25">
        <v>0</v>
      </c>
      <c r="G823" s="23">
        <v>8</v>
      </c>
      <c r="H823" s="23">
        <v>28</v>
      </c>
      <c r="I823" s="23">
        <v>3</v>
      </c>
      <c r="J823" s="189">
        <f t="shared" si="61"/>
        <v>0.00433867204565947</v>
      </c>
      <c r="K823" s="89">
        <f t="shared" si="62"/>
        <v>0.130396357793251</v>
      </c>
      <c r="L823" s="30">
        <f t="shared" si="65"/>
        <v>0.565747032413389</v>
      </c>
      <c r="M823" s="90">
        <f t="shared" si="63"/>
        <v>0</v>
      </c>
      <c r="N823" s="91">
        <f t="shared" si="64"/>
        <v>0</v>
      </c>
    </row>
    <row r="824" s="2" customFormat="1" spans="1:14">
      <c r="A824" s="86">
        <v>45624</v>
      </c>
      <c r="B824" s="22">
        <v>241.6</v>
      </c>
      <c r="C824" s="29">
        <v>431774</v>
      </c>
      <c r="D824" s="29">
        <v>1840</v>
      </c>
      <c r="E824" s="23">
        <v>0</v>
      </c>
      <c r="F824" s="25">
        <v>0</v>
      </c>
      <c r="G824" s="23">
        <v>8</v>
      </c>
      <c r="H824" s="23">
        <v>36</v>
      </c>
      <c r="I824" s="23">
        <v>3</v>
      </c>
      <c r="J824" s="189">
        <f t="shared" si="61"/>
        <v>0.00426148864915442</v>
      </c>
      <c r="K824" s="89">
        <f t="shared" si="62"/>
        <v>0.131304347826087</v>
      </c>
      <c r="L824" s="30">
        <f t="shared" si="65"/>
        <v>0.559551987845493</v>
      </c>
      <c r="M824" s="90">
        <f t="shared" si="63"/>
        <v>0</v>
      </c>
      <c r="N824" s="91">
        <f t="shared" si="64"/>
        <v>0</v>
      </c>
    </row>
    <row r="825" s="2" customFormat="1" spans="1:14">
      <c r="A825" s="86">
        <v>45625</v>
      </c>
      <c r="B825" s="22">
        <v>242.43</v>
      </c>
      <c r="C825" s="29">
        <v>354527</v>
      </c>
      <c r="D825" s="29">
        <v>1718</v>
      </c>
      <c r="E825" s="23">
        <v>0</v>
      </c>
      <c r="F825" s="25">
        <v>0</v>
      </c>
      <c r="G825" s="23">
        <v>9</v>
      </c>
      <c r="H825" s="23">
        <v>35</v>
      </c>
      <c r="I825" s="23">
        <v>1</v>
      </c>
      <c r="J825" s="189">
        <f t="shared" si="61"/>
        <v>0.00484589326059792</v>
      </c>
      <c r="K825" s="89">
        <f t="shared" si="62"/>
        <v>0.141111757857974</v>
      </c>
      <c r="L825" s="30">
        <f t="shared" si="65"/>
        <v>0.683812516395084</v>
      </c>
      <c r="M825" s="90">
        <f t="shared" si="63"/>
        <v>0</v>
      </c>
      <c r="N825" s="91">
        <f t="shared" si="64"/>
        <v>0</v>
      </c>
    </row>
    <row r="826" s="2" customFormat="1" spans="1:14">
      <c r="A826" s="86">
        <v>45626</v>
      </c>
      <c r="B826" s="22">
        <v>237.12</v>
      </c>
      <c r="C826" s="29">
        <v>349053</v>
      </c>
      <c r="D826" s="29">
        <v>2013</v>
      </c>
      <c r="E826" s="23">
        <v>0</v>
      </c>
      <c r="F826" s="25">
        <v>0</v>
      </c>
      <c r="G826" s="23">
        <v>7</v>
      </c>
      <c r="H826" s="23">
        <v>26</v>
      </c>
      <c r="I826" s="23">
        <v>1</v>
      </c>
      <c r="J826" s="189">
        <f t="shared" si="61"/>
        <v>0.00576703251368703</v>
      </c>
      <c r="K826" s="89">
        <f t="shared" si="62"/>
        <v>0.11779433681073</v>
      </c>
      <c r="L826" s="30">
        <f t="shared" si="65"/>
        <v>0.679323770315683</v>
      </c>
      <c r="M826" s="90">
        <f t="shared" si="63"/>
        <v>0</v>
      </c>
      <c r="N826" s="91">
        <f t="shared" si="64"/>
        <v>0</v>
      </c>
    </row>
    <row r="827" s="2" customFormat="1" spans="1:14">
      <c r="A827" s="86">
        <v>45627</v>
      </c>
      <c r="B827" s="22">
        <v>238.06</v>
      </c>
      <c r="C827" s="29">
        <v>347131</v>
      </c>
      <c r="D827" s="29">
        <v>2023</v>
      </c>
      <c r="E827" s="23">
        <v>0</v>
      </c>
      <c r="F827" s="25">
        <v>0</v>
      </c>
      <c r="G827" s="23">
        <v>10</v>
      </c>
      <c r="H827" s="23">
        <v>32</v>
      </c>
      <c r="I827" s="23">
        <v>4</v>
      </c>
      <c r="J827" s="189">
        <f t="shared" si="61"/>
        <v>0.00582777107201604</v>
      </c>
      <c r="K827" s="89">
        <f t="shared" si="62"/>
        <v>0.117676717745922</v>
      </c>
      <c r="L827" s="30">
        <f t="shared" si="65"/>
        <v>0.68579297152948</v>
      </c>
      <c r="M827" s="90">
        <f t="shared" si="63"/>
        <v>0</v>
      </c>
      <c r="N827" s="91">
        <f t="shared" si="64"/>
        <v>0</v>
      </c>
    </row>
    <row r="828" s="2" customFormat="1" spans="1:14">
      <c r="A828" s="86">
        <v>45628</v>
      </c>
      <c r="B828" s="22">
        <v>242.05</v>
      </c>
      <c r="C828" s="29">
        <v>356033</v>
      </c>
      <c r="D828" s="29">
        <v>1748</v>
      </c>
      <c r="E828" s="23">
        <v>0</v>
      </c>
      <c r="F828" s="25">
        <v>0</v>
      </c>
      <c r="G828" s="23">
        <v>11</v>
      </c>
      <c r="H828" s="23">
        <v>31</v>
      </c>
      <c r="I828" s="23">
        <v>2</v>
      </c>
      <c r="J828" s="189">
        <f t="shared" si="61"/>
        <v>0.00490965725087281</v>
      </c>
      <c r="K828" s="89">
        <f t="shared" si="62"/>
        <v>0.138472540045767</v>
      </c>
      <c r="L828" s="30">
        <f t="shared" si="65"/>
        <v>0.679852710282474</v>
      </c>
      <c r="M828" s="90">
        <f t="shared" si="63"/>
        <v>0</v>
      </c>
      <c r="N828" s="91">
        <f t="shared" si="64"/>
        <v>0</v>
      </c>
    </row>
    <row r="829" s="2" customFormat="1" spans="1:14">
      <c r="A829" s="86">
        <v>45629</v>
      </c>
      <c r="B829" s="22">
        <v>243.45</v>
      </c>
      <c r="C829" s="29">
        <v>337586</v>
      </c>
      <c r="D829" s="29">
        <v>1909</v>
      </c>
      <c r="E829" s="23">
        <v>0</v>
      </c>
      <c r="F829" s="25">
        <v>0</v>
      </c>
      <c r="G829" s="23">
        <v>10</v>
      </c>
      <c r="H829" s="23">
        <v>26</v>
      </c>
      <c r="I829" s="23">
        <v>2</v>
      </c>
      <c r="J829" s="189">
        <f t="shared" si="61"/>
        <v>0.00565485535537611</v>
      </c>
      <c r="K829" s="89">
        <f t="shared" si="62"/>
        <v>0.127527501309586</v>
      </c>
      <c r="L829" s="30">
        <f t="shared" si="65"/>
        <v>0.721149573738247</v>
      </c>
      <c r="M829" s="90">
        <f t="shared" si="63"/>
        <v>0</v>
      </c>
      <c r="N829" s="91">
        <f t="shared" si="64"/>
        <v>0</v>
      </c>
    </row>
    <row r="830" s="2" customFormat="1" spans="1:14">
      <c r="A830" s="86">
        <v>45630</v>
      </c>
      <c r="B830" s="22">
        <v>235.83</v>
      </c>
      <c r="C830" s="29">
        <v>281686</v>
      </c>
      <c r="D830" s="29">
        <v>1633</v>
      </c>
      <c r="E830" s="23">
        <v>0</v>
      </c>
      <c r="F830" s="25">
        <v>0</v>
      </c>
      <c r="G830" s="23">
        <v>6</v>
      </c>
      <c r="H830" s="23">
        <v>22</v>
      </c>
      <c r="I830" s="23">
        <v>0</v>
      </c>
      <c r="J830" s="189">
        <f t="shared" si="61"/>
        <v>0.00579723521935772</v>
      </c>
      <c r="K830" s="89">
        <f t="shared" si="62"/>
        <v>0.144415186772811</v>
      </c>
      <c r="L830" s="30">
        <f t="shared" si="65"/>
        <v>0.837208806969463</v>
      </c>
      <c r="M830" s="90">
        <f t="shared" si="63"/>
        <v>0</v>
      </c>
      <c r="N830" s="91">
        <f t="shared" si="64"/>
        <v>0</v>
      </c>
    </row>
    <row r="831" s="2" customFormat="1" spans="1:14">
      <c r="A831" s="86">
        <v>45631</v>
      </c>
      <c r="B831" s="22">
        <v>194.61</v>
      </c>
      <c r="C831" s="29">
        <v>30181</v>
      </c>
      <c r="D831" s="29">
        <v>307</v>
      </c>
      <c r="E831" s="23">
        <v>0</v>
      </c>
      <c r="F831" s="25">
        <v>0</v>
      </c>
      <c r="G831" s="23">
        <v>11</v>
      </c>
      <c r="H831" s="23">
        <v>24</v>
      </c>
      <c r="I831" s="23">
        <v>1</v>
      </c>
      <c r="J831" s="189">
        <f t="shared" si="61"/>
        <v>0.0101719624929591</v>
      </c>
      <c r="K831" s="89">
        <f t="shared" si="62"/>
        <v>0.633908794788274</v>
      </c>
      <c r="L831" s="30">
        <f t="shared" si="65"/>
        <v>6.44809648454326</v>
      </c>
      <c r="M831" s="90">
        <f t="shared" si="63"/>
        <v>0</v>
      </c>
      <c r="N831" s="91">
        <f t="shared" si="64"/>
        <v>0</v>
      </c>
    </row>
    <row r="832" s="2" customFormat="1" spans="1:14">
      <c r="A832" s="86">
        <v>45632</v>
      </c>
      <c r="B832" s="22">
        <v>191.06</v>
      </c>
      <c r="C832" s="29">
        <v>31585</v>
      </c>
      <c r="D832" s="29">
        <v>310</v>
      </c>
      <c r="E832" s="23">
        <v>0</v>
      </c>
      <c r="F832" s="25">
        <v>0</v>
      </c>
      <c r="G832" s="23">
        <v>13</v>
      </c>
      <c r="H832" s="23">
        <v>24</v>
      </c>
      <c r="I832" s="23">
        <v>1</v>
      </c>
      <c r="J832" s="189">
        <f t="shared" si="61"/>
        <v>0.00981478549944594</v>
      </c>
      <c r="K832" s="89">
        <f t="shared" si="62"/>
        <v>0.616322580645161</v>
      </c>
      <c r="L832" s="30">
        <f t="shared" si="65"/>
        <v>6.04907392749723</v>
      </c>
      <c r="M832" s="90">
        <f t="shared" si="63"/>
        <v>0</v>
      </c>
      <c r="N832" s="91">
        <f t="shared" si="64"/>
        <v>0</v>
      </c>
    </row>
    <row r="833" s="2" customFormat="1" spans="1:14">
      <c r="A833" s="86">
        <v>45633</v>
      </c>
      <c r="B833" s="22">
        <v>188.41</v>
      </c>
      <c r="C833" s="29">
        <v>24178</v>
      </c>
      <c r="D833" s="29">
        <v>439</v>
      </c>
      <c r="E833" s="23">
        <v>0</v>
      </c>
      <c r="F833" s="25">
        <v>0</v>
      </c>
      <c r="G833" s="23">
        <v>17</v>
      </c>
      <c r="H833" s="23">
        <v>37</v>
      </c>
      <c r="I833" s="23">
        <v>2</v>
      </c>
      <c r="J833" s="189">
        <f t="shared" si="61"/>
        <v>0.0181570022334354</v>
      </c>
      <c r="K833" s="89">
        <f t="shared" si="62"/>
        <v>0.429179954441913</v>
      </c>
      <c r="L833" s="30">
        <f t="shared" si="65"/>
        <v>7.79262139134751</v>
      </c>
      <c r="M833" s="90">
        <f t="shared" si="63"/>
        <v>0</v>
      </c>
      <c r="N833" s="91">
        <f t="shared" si="64"/>
        <v>0</v>
      </c>
    </row>
    <row r="834" s="2" customFormat="1" spans="1:14">
      <c r="A834" s="86">
        <v>45634</v>
      </c>
      <c r="B834" s="22">
        <v>189.76</v>
      </c>
      <c r="C834" s="29">
        <v>50349</v>
      </c>
      <c r="D834" s="29">
        <v>438</v>
      </c>
      <c r="E834" s="23">
        <v>0</v>
      </c>
      <c r="F834" s="25">
        <v>0</v>
      </c>
      <c r="G834" s="23">
        <v>16</v>
      </c>
      <c r="H834" s="23">
        <v>22</v>
      </c>
      <c r="I834" s="23">
        <v>1</v>
      </c>
      <c r="J834" s="189">
        <f t="shared" si="61"/>
        <v>0.00869927903235417</v>
      </c>
      <c r="K834" s="89">
        <f t="shared" si="62"/>
        <v>0.43324200913242</v>
      </c>
      <c r="L834" s="30">
        <f t="shared" si="65"/>
        <v>3.76889312598065</v>
      </c>
      <c r="M834" s="90">
        <f t="shared" si="63"/>
        <v>0</v>
      </c>
      <c r="N834" s="91">
        <f t="shared" si="64"/>
        <v>0</v>
      </c>
    </row>
    <row r="835" s="2" customFormat="1" spans="1:14">
      <c r="A835" s="86">
        <v>45635</v>
      </c>
      <c r="B835" s="22">
        <v>658.07</v>
      </c>
      <c r="C835" s="29">
        <v>47693</v>
      </c>
      <c r="D835" s="29">
        <v>509</v>
      </c>
      <c r="E835" s="23">
        <v>1</v>
      </c>
      <c r="F835" s="25">
        <v>9198</v>
      </c>
      <c r="G835" s="23">
        <v>21</v>
      </c>
      <c r="H835" s="23">
        <v>27</v>
      </c>
      <c r="I835" s="23">
        <v>4</v>
      </c>
      <c r="J835" s="189">
        <f t="shared" si="61"/>
        <v>0.0106724257228524</v>
      </c>
      <c r="K835" s="89">
        <f t="shared" si="62"/>
        <v>1.29286836935167</v>
      </c>
      <c r="L835" s="30">
        <f t="shared" si="65"/>
        <v>13.798041641331</v>
      </c>
      <c r="M835" s="90">
        <f t="shared" si="63"/>
        <v>13.9772364642059</v>
      </c>
      <c r="N835" s="91">
        <f t="shared" si="64"/>
        <v>0.00196463654223969</v>
      </c>
    </row>
    <row r="836" s="2" customFormat="1" spans="1:14">
      <c r="A836" s="86">
        <v>45636</v>
      </c>
      <c r="B836" s="22">
        <v>678.01</v>
      </c>
      <c r="C836" s="29">
        <v>57687</v>
      </c>
      <c r="D836" s="29">
        <v>633</v>
      </c>
      <c r="E836" s="23">
        <v>0</v>
      </c>
      <c r="F836" s="25">
        <v>0</v>
      </c>
      <c r="G836" s="23">
        <v>17</v>
      </c>
      <c r="H836" s="23">
        <v>44</v>
      </c>
      <c r="I836" s="23">
        <v>1</v>
      </c>
      <c r="J836" s="189">
        <f t="shared" si="61"/>
        <v>0.0109730095168756</v>
      </c>
      <c r="K836" s="89">
        <f t="shared" si="62"/>
        <v>1.07110584518167</v>
      </c>
      <c r="L836" s="30">
        <f t="shared" si="65"/>
        <v>11.7532546327595</v>
      </c>
      <c r="M836" s="90">
        <f t="shared" si="63"/>
        <v>0</v>
      </c>
      <c r="N836" s="91">
        <f t="shared" si="64"/>
        <v>0</v>
      </c>
    </row>
    <row r="837" s="2" customFormat="1" spans="1:14">
      <c r="A837" s="86">
        <v>45637</v>
      </c>
      <c r="B837" s="22">
        <v>687.11</v>
      </c>
      <c r="C837" s="29">
        <v>54451</v>
      </c>
      <c r="D837" s="29">
        <v>575</v>
      </c>
      <c r="E837" s="23">
        <v>0</v>
      </c>
      <c r="F837" s="25">
        <v>0</v>
      </c>
      <c r="G837" s="23">
        <v>30</v>
      </c>
      <c r="H837" s="23">
        <v>49</v>
      </c>
      <c r="I837" s="23">
        <v>0</v>
      </c>
      <c r="J837" s="189">
        <f t="shared" si="61"/>
        <v>0.0105599529852528</v>
      </c>
      <c r="K837" s="89">
        <f t="shared" si="62"/>
        <v>1.19497391304348</v>
      </c>
      <c r="L837" s="30">
        <f t="shared" si="65"/>
        <v>12.6188683403427</v>
      </c>
      <c r="M837" s="90">
        <f t="shared" si="63"/>
        <v>0</v>
      </c>
      <c r="N837" s="91">
        <f t="shared" si="64"/>
        <v>0</v>
      </c>
    </row>
    <row r="838" s="2" customFormat="1" spans="1:14">
      <c r="A838" s="86">
        <v>45638</v>
      </c>
      <c r="B838" s="22">
        <v>673.25</v>
      </c>
      <c r="C838" s="29">
        <v>26096</v>
      </c>
      <c r="D838" s="29">
        <v>593</v>
      </c>
      <c r="E838" s="23">
        <v>3</v>
      </c>
      <c r="F838" s="25">
        <v>23295</v>
      </c>
      <c r="G838" s="23">
        <v>23</v>
      </c>
      <c r="H838" s="23">
        <v>26</v>
      </c>
      <c r="I838" s="23">
        <v>0</v>
      </c>
      <c r="J838" s="189">
        <f t="shared" ref="J838:J901" si="66">D838/C838</f>
        <v>0.02272378908645</v>
      </c>
      <c r="K838" s="89">
        <f t="shared" ref="K838:K901" si="67">B838/D838</f>
        <v>1.13532883642496</v>
      </c>
      <c r="L838" s="30">
        <f t="shared" si="65"/>
        <v>25.7989730226855</v>
      </c>
      <c r="M838" s="90">
        <f t="shared" ref="M838:M901" si="68">F838/B838</f>
        <v>34.6008169327887</v>
      </c>
      <c r="N838" s="91">
        <f t="shared" ref="N838:N901" si="69">E838/D838</f>
        <v>0.00505902192242833</v>
      </c>
    </row>
    <row r="839" s="2" customFormat="1" spans="1:14">
      <c r="A839" s="86">
        <v>45639</v>
      </c>
      <c r="B839" s="22">
        <v>145.81</v>
      </c>
      <c r="C839" s="29">
        <v>8331</v>
      </c>
      <c r="D839" s="29">
        <v>159</v>
      </c>
      <c r="E839" s="23">
        <v>0</v>
      </c>
      <c r="F839" s="25">
        <v>0</v>
      </c>
      <c r="G839" s="23">
        <v>4</v>
      </c>
      <c r="H839" s="23">
        <v>8</v>
      </c>
      <c r="I839" s="23">
        <v>0</v>
      </c>
      <c r="J839" s="189">
        <f t="shared" si="66"/>
        <v>0.019085343896291</v>
      </c>
      <c r="K839" s="89">
        <f t="shared" si="67"/>
        <v>0.917044025157233</v>
      </c>
      <c r="L839" s="30">
        <f t="shared" si="65"/>
        <v>17.5021005881647</v>
      </c>
      <c r="M839" s="90">
        <f t="shared" si="68"/>
        <v>0</v>
      </c>
      <c r="N839" s="91">
        <f t="shared" si="69"/>
        <v>0</v>
      </c>
    </row>
    <row r="840" s="2" customFormat="1" spans="1:14">
      <c r="A840" s="86">
        <v>45640</v>
      </c>
      <c r="B840" s="22">
        <v>50</v>
      </c>
      <c r="C840" s="29">
        <v>1222</v>
      </c>
      <c r="D840" s="29">
        <v>30</v>
      </c>
      <c r="E840" s="23">
        <v>0</v>
      </c>
      <c r="F840" s="25">
        <v>0</v>
      </c>
      <c r="G840" s="23">
        <v>1</v>
      </c>
      <c r="H840" s="23">
        <v>0</v>
      </c>
      <c r="I840" s="23">
        <v>0</v>
      </c>
      <c r="J840" s="189">
        <f t="shared" si="66"/>
        <v>0.0245499181669394</v>
      </c>
      <c r="K840" s="89">
        <f t="shared" si="67"/>
        <v>1.66666666666667</v>
      </c>
      <c r="L840" s="30">
        <f t="shared" si="65"/>
        <v>40.9165302782324</v>
      </c>
      <c r="M840" s="90">
        <f t="shared" si="68"/>
        <v>0</v>
      </c>
      <c r="N840" s="91">
        <f t="shared" si="69"/>
        <v>0</v>
      </c>
    </row>
    <row r="841" s="2" customFormat="1" spans="1:14">
      <c r="A841" s="86">
        <v>45641</v>
      </c>
      <c r="B841" s="22">
        <v>50</v>
      </c>
      <c r="C841" s="29">
        <v>1809</v>
      </c>
      <c r="D841" s="29">
        <v>36</v>
      </c>
      <c r="E841" s="23">
        <v>0</v>
      </c>
      <c r="F841" s="25">
        <v>0</v>
      </c>
      <c r="G841" s="23">
        <v>0</v>
      </c>
      <c r="H841" s="23">
        <v>0</v>
      </c>
      <c r="I841" s="23">
        <v>0</v>
      </c>
      <c r="J841" s="189">
        <f t="shared" si="66"/>
        <v>0.0199004975124378</v>
      </c>
      <c r="K841" s="89">
        <f t="shared" si="67"/>
        <v>1.38888888888889</v>
      </c>
      <c r="L841" s="30">
        <f t="shared" si="65"/>
        <v>27.6395798783858</v>
      </c>
      <c r="M841" s="90">
        <f t="shared" si="68"/>
        <v>0</v>
      </c>
      <c r="N841" s="91">
        <f t="shared" si="69"/>
        <v>0</v>
      </c>
    </row>
    <row r="842" s="2" customFormat="1" spans="1:14">
      <c r="A842" s="86">
        <v>45642</v>
      </c>
      <c r="B842" s="22">
        <v>50</v>
      </c>
      <c r="C842" s="29">
        <v>1884</v>
      </c>
      <c r="D842" s="29">
        <v>30</v>
      </c>
      <c r="E842" s="23">
        <v>0</v>
      </c>
      <c r="F842" s="25">
        <v>0</v>
      </c>
      <c r="G842" s="23">
        <v>3</v>
      </c>
      <c r="H842" s="23">
        <v>1</v>
      </c>
      <c r="I842" s="23">
        <v>0</v>
      </c>
      <c r="J842" s="189">
        <f t="shared" si="66"/>
        <v>0.0159235668789809</v>
      </c>
      <c r="K842" s="89">
        <f t="shared" si="67"/>
        <v>1.66666666666667</v>
      </c>
      <c r="L842" s="30">
        <f t="shared" si="65"/>
        <v>26.5392781316348</v>
      </c>
      <c r="M842" s="90">
        <f t="shared" si="68"/>
        <v>0</v>
      </c>
      <c r="N842" s="91">
        <f t="shared" si="69"/>
        <v>0</v>
      </c>
    </row>
    <row r="843" s="2" customFormat="1" spans="1:14">
      <c r="A843" s="86">
        <v>45643</v>
      </c>
      <c r="B843" s="22">
        <v>22.61</v>
      </c>
      <c r="C843" s="29">
        <v>3692</v>
      </c>
      <c r="D843" s="29">
        <v>47</v>
      </c>
      <c r="E843" s="23">
        <v>0</v>
      </c>
      <c r="F843" s="25">
        <v>0</v>
      </c>
      <c r="G843" s="23">
        <v>0</v>
      </c>
      <c r="H843" s="23">
        <v>0</v>
      </c>
      <c r="I843" s="23">
        <v>0</v>
      </c>
      <c r="J843" s="189">
        <f t="shared" si="66"/>
        <v>0.0127302275189599</v>
      </c>
      <c r="K843" s="89">
        <f t="shared" si="67"/>
        <v>0.481063829787234</v>
      </c>
      <c r="L843" s="30">
        <f t="shared" si="65"/>
        <v>6.12405200433369</v>
      </c>
      <c r="M843" s="90">
        <f t="shared" si="68"/>
        <v>0</v>
      </c>
      <c r="N843" s="91">
        <f t="shared" si="69"/>
        <v>0</v>
      </c>
    </row>
    <row r="844" s="2" customFormat="1" spans="1:14">
      <c r="A844" s="86">
        <v>45644</v>
      </c>
      <c r="B844" s="22">
        <v>0</v>
      </c>
      <c r="C844" s="29">
        <v>0</v>
      </c>
      <c r="D844" s="29">
        <v>0</v>
      </c>
      <c r="E844" s="23">
        <v>0</v>
      </c>
      <c r="F844" s="25">
        <v>0</v>
      </c>
      <c r="G844" s="23">
        <v>0</v>
      </c>
      <c r="H844" s="23">
        <v>0</v>
      </c>
      <c r="I844" s="23">
        <v>0</v>
      </c>
      <c r="J844" s="189" t="e">
        <f t="shared" si="66"/>
        <v>#DIV/0!</v>
      </c>
      <c r="K844" s="89" t="e">
        <f t="shared" si="67"/>
        <v>#DIV/0!</v>
      </c>
      <c r="L844" s="30" t="e">
        <f t="shared" si="65"/>
        <v>#DIV/0!</v>
      </c>
      <c r="M844" s="90" t="e">
        <f t="shared" si="68"/>
        <v>#DIV/0!</v>
      </c>
      <c r="N844" s="91" t="e">
        <f t="shared" si="69"/>
        <v>#DIV/0!</v>
      </c>
    </row>
    <row r="845" s="2" customFormat="1" spans="1:14">
      <c r="A845" s="86">
        <v>45645</v>
      </c>
      <c r="B845" s="22">
        <v>0</v>
      </c>
      <c r="C845" s="29">
        <v>0</v>
      </c>
      <c r="D845" s="29">
        <v>0</v>
      </c>
      <c r="E845" s="23">
        <v>0</v>
      </c>
      <c r="F845" s="25">
        <v>0</v>
      </c>
      <c r="G845" s="23">
        <v>0</v>
      </c>
      <c r="H845" s="23">
        <v>0</v>
      </c>
      <c r="I845" s="23">
        <v>0</v>
      </c>
      <c r="J845" s="189" t="e">
        <f t="shared" si="66"/>
        <v>#DIV/0!</v>
      </c>
      <c r="K845" s="89" t="e">
        <f t="shared" si="67"/>
        <v>#DIV/0!</v>
      </c>
      <c r="L845" s="30" t="e">
        <f t="shared" si="65"/>
        <v>#DIV/0!</v>
      </c>
      <c r="M845" s="90" t="e">
        <f t="shared" si="68"/>
        <v>#DIV/0!</v>
      </c>
      <c r="N845" s="91" t="e">
        <f t="shared" si="69"/>
        <v>#DIV/0!</v>
      </c>
    </row>
    <row r="846" s="2" customFormat="1" spans="1:14">
      <c r="A846" s="86">
        <v>45646</v>
      </c>
      <c r="B846" s="22">
        <v>0</v>
      </c>
      <c r="C846" s="29">
        <v>0</v>
      </c>
      <c r="D846" s="29">
        <v>0</v>
      </c>
      <c r="E846" s="23">
        <v>0</v>
      </c>
      <c r="F846" s="25">
        <v>0</v>
      </c>
      <c r="G846" s="23">
        <v>0</v>
      </c>
      <c r="H846" s="23">
        <v>0</v>
      </c>
      <c r="I846" s="23">
        <v>0</v>
      </c>
      <c r="J846" s="189" t="e">
        <f t="shared" si="66"/>
        <v>#DIV/0!</v>
      </c>
      <c r="K846" s="89" t="e">
        <f t="shared" si="67"/>
        <v>#DIV/0!</v>
      </c>
      <c r="L846" s="30" t="e">
        <f t="shared" si="65"/>
        <v>#DIV/0!</v>
      </c>
      <c r="M846" s="90" t="e">
        <f t="shared" si="68"/>
        <v>#DIV/0!</v>
      </c>
      <c r="N846" s="91" t="e">
        <f t="shared" si="69"/>
        <v>#DIV/0!</v>
      </c>
    </row>
    <row r="847" s="2" customFormat="1" spans="1:14">
      <c r="A847" s="86">
        <v>45647</v>
      </c>
      <c r="B847" s="22">
        <v>300.66</v>
      </c>
      <c r="C847" s="29">
        <v>6022</v>
      </c>
      <c r="D847" s="29">
        <v>200</v>
      </c>
      <c r="E847" s="23">
        <v>0</v>
      </c>
      <c r="F847" s="25">
        <v>0</v>
      </c>
      <c r="G847" s="23">
        <v>3</v>
      </c>
      <c r="H847" s="23">
        <v>5</v>
      </c>
      <c r="I847" s="23">
        <v>0</v>
      </c>
      <c r="J847" s="189">
        <f t="shared" si="66"/>
        <v>0.0332115576220525</v>
      </c>
      <c r="K847" s="89">
        <f t="shared" si="67"/>
        <v>1.5033</v>
      </c>
      <c r="L847" s="30">
        <f t="shared" si="65"/>
        <v>49.9269345732315</v>
      </c>
      <c r="M847" s="90">
        <f t="shared" si="68"/>
        <v>0</v>
      </c>
      <c r="N847" s="91">
        <f t="shared" si="69"/>
        <v>0</v>
      </c>
    </row>
    <row r="848" s="2" customFormat="1" spans="1:14">
      <c r="A848" s="86">
        <v>45648</v>
      </c>
      <c r="B848" s="22">
        <v>394.03</v>
      </c>
      <c r="C848" s="29">
        <v>281102</v>
      </c>
      <c r="D848" s="29">
        <v>2415</v>
      </c>
      <c r="E848" s="23">
        <v>0</v>
      </c>
      <c r="F848" s="25">
        <v>0</v>
      </c>
      <c r="G848" s="23">
        <v>11</v>
      </c>
      <c r="H848" s="23">
        <v>26</v>
      </c>
      <c r="I848" s="23">
        <v>3</v>
      </c>
      <c r="J848" s="189">
        <f t="shared" si="66"/>
        <v>0.00859118754046574</v>
      </c>
      <c r="K848" s="89">
        <f t="shared" si="67"/>
        <v>0.163159420289855</v>
      </c>
      <c r="L848" s="30">
        <f t="shared" si="65"/>
        <v>1.40173317870382</v>
      </c>
      <c r="M848" s="90">
        <f t="shared" si="68"/>
        <v>0</v>
      </c>
      <c r="N848" s="91">
        <f t="shared" si="69"/>
        <v>0</v>
      </c>
    </row>
    <row r="849" s="2" customFormat="1" spans="1:14">
      <c r="A849" s="86">
        <v>45649</v>
      </c>
      <c r="B849" s="22">
        <v>197.06</v>
      </c>
      <c r="C849" s="29">
        <v>358544</v>
      </c>
      <c r="D849" s="29">
        <v>1970</v>
      </c>
      <c r="E849" s="23">
        <v>0</v>
      </c>
      <c r="F849" s="25">
        <v>0</v>
      </c>
      <c r="G849" s="23">
        <v>11</v>
      </c>
      <c r="H849" s="23">
        <v>11</v>
      </c>
      <c r="I849" s="23">
        <v>1</v>
      </c>
      <c r="J849" s="189">
        <f t="shared" si="66"/>
        <v>0.00549444419652818</v>
      </c>
      <c r="K849" s="89">
        <f t="shared" si="67"/>
        <v>0.100030456852792</v>
      </c>
      <c r="L849" s="30">
        <f t="shared" si="65"/>
        <v>0.549611763130885</v>
      </c>
      <c r="M849" s="90">
        <f t="shared" si="68"/>
        <v>0</v>
      </c>
      <c r="N849" s="91">
        <f t="shared" si="69"/>
        <v>0</v>
      </c>
    </row>
    <row r="850" s="2" customFormat="1" spans="1:14">
      <c r="A850" s="86">
        <v>45650</v>
      </c>
      <c r="B850" s="22">
        <v>196.14</v>
      </c>
      <c r="C850" s="29">
        <v>10947</v>
      </c>
      <c r="D850" s="29">
        <v>790</v>
      </c>
      <c r="E850" s="23">
        <v>0</v>
      </c>
      <c r="F850" s="25">
        <v>0</v>
      </c>
      <c r="G850" s="23">
        <v>14</v>
      </c>
      <c r="H850" s="23">
        <v>11</v>
      </c>
      <c r="I850" s="23">
        <v>1</v>
      </c>
      <c r="J850" s="189">
        <f t="shared" si="66"/>
        <v>0.0721658901982278</v>
      </c>
      <c r="K850" s="89">
        <f t="shared" si="67"/>
        <v>0.248278481012658</v>
      </c>
      <c r="L850" s="30">
        <f t="shared" si="65"/>
        <v>17.9172375993423</v>
      </c>
      <c r="M850" s="90">
        <f t="shared" si="68"/>
        <v>0</v>
      </c>
      <c r="N850" s="91">
        <f t="shared" si="69"/>
        <v>0</v>
      </c>
    </row>
    <row r="851" s="2" customFormat="1" spans="1:14">
      <c r="A851" s="86">
        <v>45651</v>
      </c>
      <c r="B851" s="22">
        <v>199.21</v>
      </c>
      <c r="C851" s="29">
        <v>729618</v>
      </c>
      <c r="D851" s="29">
        <v>2734</v>
      </c>
      <c r="E851" s="23">
        <v>0</v>
      </c>
      <c r="F851" s="25">
        <v>0</v>
      </c>
      <c r="G851" s="23">
        <v>21</v>
      </c>
      <c r="H851" s="23">
        <v>21</v>
      </c>
      <c r="I851" s="23">
        <v>1</v>
      </c>
      <c r="J851" s="189">
        <f t="shared" si="66"/>
        <v>0.00374716632539219</v>
      </c>
      <c r="K851" s="89">
        <f t="shared" si="67"/>
        <v>0.0728639356254572</v>
      </c>
      <c r="L851" s="30">
        <f t="shared" si="65"/>
        <v>0.273033285911258</v>
      </c>
      <c r="M851" s="90">
        <f t="shared" si="68"/>
        <v>0</v>
      </c>
      <c r="N851" s="91">
        <f t="shared" si="69"/>
        <v>0</v>
      </c>
    </row>
    <row r="852" s="2" customFormat="1" spans="1:14">
      <c r="A852" s="86">
        <v>45652</v>
      </c>
      <c r="B852" s="22">
        <v>198.28</v>
      </c>
      <c r="C852" s="29">
        <v>626639</v>
      </c>
      <c r="D852" s="29">
        <v>2662</v>
      </c>
      <c r="E852" s="23">
        <v>0</v>
      </c>
      <c r="F852" s="25">
        <v>0</v>
      </c>
      <c r="G852" s="23">
        <v>6</v>
      </c>
      <c r="H852" s="23">
        <v>9</v>
      </c>
      <c r="I852" s="23">
        <v>0</v>
      </c>
      <c r="J852" s="189">
        <f t="shared" si="66"/>
        <v>0.00424805988775036</v>
      </c>
      <c r="K852" s="89">
        <f t="shared" si="67"/>
        <v>0.0744853493613824</v>
      </c>
      <c r="L852" s="30">
        <f t="shared" si="65"/>
        <v>0.316418224847161</v>
      </c>
      <c r="M852" s="90">
        <f t="shared" si="68"/>
        <v>0</v>
      </c>
      <c r="N852" s="91">
        <f t="shared" si="69"/>
        <v>0</v>
      </c>
    </row>
    <row r="853" s="2" customFormat="1" spans="1:14">
      <c r="A853" s="86">
        <v>45653</v>
      </c>
      <c r="B853" s="22">
        <v>197.69</v>
      </c>
      <c r="C853" s="29">
        <v>758835</v>
      </c>
      <c r="D853" s="29">
        <v>3041</v>
      </c>
      <c r="E853" s="23">
        <v>0</v>
      </c>
      <c r="F853" s="25">
        <v>0</v>
      </c>
      <c r="G853" s="23">
        <v>9</v>
      </c>
      <c r="H853" s="23">
        <v>13</v>
      </c>
      <c r="I853" s="23">
        <v>0</v>
      </c>
      <c r="J853" s="189">
        <f t="shared" si="66"/>
        <v>0.00400745880197935</v>
      </c>
      <c r="K853" s="89">
        <f t="shared" si="67"/>
        <v>0.0650082209799408</v>
      </c>
      <c r="L853" s="30">
        <f t="shared" si="65"/>
        <v>0.260517767367082</v>
      </c>
      <c r="M853" s="90">
        <f t="shared" si="68"/>
        <v>0</v>
      </c>
      <c r="N853" s="91">
        <f t="shared" si="69"/>
        <v>0</v>
      </c>
    </row>
    <row r="854" s="2" customFormat="1" spans="1:14">
      <c r="A854" s="86">
        <v>45654</v>
      </c>
      <c r="B854" s="22">
        <v>194.87</v>
      </c>
      <c r="C854" s="29">
        <v>696728</v>
      </c>
      <c r="D854" s="29">
        <v>2872</v>
      </c>
      <c r="E854" s="23">
        <v>0</v>
      </c>
      <c r="F854" s="25">
        <v>0</v>
      </c>
      <c r="G854" s="23">
        <v>15</v>
      </c>
      <c r="H854" s="23">
        <v>11</v>
      </c>
      <c r="I854" s="23">
        <v>0</v>
      </c>
      <c r="J854" s="189">
        <f t="shared" si="66"/>
        <v>0.00412212513348107</v>
      </c>
      <c r="K854" s="89">
        <f t="shared" si="67"/>
        <v>0.0678516713091922</v>
      </c>
      <c r="L854" s="30">
        <f t="shared" si="65"/>
        <v>0.279693079652318</v>
      </c>
      <c r="M854" s="90">
        <f t="shared" si="68"/>
        <v>0</v>
      </c>
      <c r="N854" s="91">
        <f t="shared" si="69"/>
        <v>0</v>
      </c>
    </row>
    <row r="855" s="2" customFormat="1" spans="1:14">
      <c r="A855" s="86">
        <v>45655</v>
      </c>
      <c r="B855" s="22">
        <v>193.98</v>
      </c>
      <c r="C855" s="29">
        <v>1114157</v>
      </c>
      <c r="D855" s="29">
        <v>3225</v>
      </c>
      <c r="E855" s="23">
        <v>0</v>
      </c>
      <c r="F855" s="25">
        <v>0</v>
      </c>
      <c r="G855" s="23">
        <v>5</v>
      </c>
      <c r="H855" s="23">
        <v>12</v>
      </c>
      <c r="I855" s="23">
        <v>0</v>
      </c>
      <c r="J855" s="189">
        <f t="shared" si="66"/>
        <v>0.00289456512861293</v>
      </c>
      <c r="K855" s="89">
        <f t="shared" si="67"/>
        <v>0.0601488372093023</v>
      </c>
      <c r="L855" s="30">
        <f t="shared" si="65"/>
        <v>0.174104726712663</v>
      </c>
      <c r="M855" s="90">
        <f t="shared" si="68"/>
        <v>0</v>
      </c>
      <c r="N855" s="91">
        <f t="shared" si="69"/>
        <v>0</v>
      </c>
    </row>
    <row r="856" s="2" customFormat="1" spans="1:14">
      <c r="A856" s="86">
        <v>45656</v>
      </c>
      <c r="B856" s="22">
        <v>298.29</v>
      </c>
      <c r="C856" s="29">
        <v>675633</v>
      </c>
      <c r="D856" s="29">
        <v>2730</v>
      </c>
      <c r="E856" s="23">
        <v>0</v>
      </c>
      <c r="F856" s="25">
        <v>0</v>
      </c>
      <c r="G856" s="23">
        <v>9</v>
      </c>
      <c r="H856" s="23">
        <v>13</v>
      </c>
      <c r="I856" s="23">
        <v>0</v>
      </c>
      <c r="J856" s="189">
        <f t="shared" si="66"/>
        <v>0.00404065520778292</v>
      </c>
      <c r="K856" s="89">
        <f t="shared" si="67"/>
        <v>0.109263736263736</v>
      </c>
      <c r="L856" s="30">
        <f t="shared" si="65"/>
        <v>0.441497084955886</v>
      </c>
      <c r="M856" s="90">
        <f t="shared" si="68"/>
        <v>0</v>
      </c>
      <c r="N856" s="91">
        <f t="shared" si="69"/>
        <v>0</v>
      </c>
    </row>
    <row r="857" s="2" customFormat="1" spans="1:14">
      <c r="A857" s="86">
        <v>45657</v>
      </c>
      <c r="B857" s="22">
        <v>398.1</v>
      </c>
      <c r="C857" s="29">
        <v>1048144</v>
      </c>
      <c r="D857" s="29">
        <v>3392</v>
      </c>
      <c r="E857" s="23">
        <v>0</v>
      </c>
      <c r="F857" s="25">
        <v>0</v>
      </c>
      <c r="G857" s="23">
        <v>9</v>
      </c>
      <c r="H857" s="23">
        <v>11</v>
      </c>
      <c r="I857" s="23">
        <v>1</v>
      </c>
      <c r="J857" s="189">
        <f t="shared" si="66"/>
        <v>0.00323619655314537</v>
      </c>
      <c r="K857" s="89">
        <f t="shared" si="67"/>
        <v>0.117364386792453</v>
      </c>
      <c r="L857" s="30">
        <f t="shared" si="65"/>
        <v>0.379814223999756</v>
      </c>
      <c r="M857" s="90">
        <f t="shared" si="68"/>
        <v>0</v>
      </c>
      <c r="N857" s="91">
        <f t="shared" si="69"/>
        <v>0</v>
      </c>
    </row>
    <row r="858" s="2" customFormat="1" spans="1:14">
      <c r="A858" s="86">
        <v>45658</v>
      </c>
      <c r="B858" s="22">
        <v>391.21</v>
      </c>
      <c r="C858" s="29">
        <v>92778</v>
      </c>
      <c r="D858" s="29">
        <v>778</v>
      </c>
      <c r="E858" s="23">
        <v>0</v>
      </c>
      <c r="F858" s="25">
        <v>0</v>
      </c>
      <c r="G858" s="23">
        <v>13</v>
      </c>
      <c r="H858" s="23">
        <v>9</v>
      </c>
      <c r="I858" s="23">
        <v>0</v>
      </c>
      <c r="J858" s="189">
        <f t="shared" si="66"/>
        <v>0.00838560865722477</v>
      </c>
      <c r="K858" s="89">
        <f t="shared" si="67"/>
        <v>0.502840616966581</v>
      </c>
      <c r="L858" s="30">
        <f t="shared" si="65"/>
        <v>4.21662463083921</v>
      </c>
      <c r="M858" s="90">
        <f t="shared" si="68"/>
        <v>0</v>
      </c>
      <c r="N858" s="91">
        <f t="shared" si="69"/>
        <v>0</v>
      </c>
    </row>
    <row r="859" s="2" customFormat="1" spans="1:14">
      <c r="A859" s="86">
        <v>45659</v>
      </c>
      <c r="B859" s="22">
        <v>396.01</v>
      </c>
      <c r="C859" s="29">
        <v>219688</v>
      </c>
      <c r="D859" s="29">
        <v>1244</v>
      </c>
      <c r="E859" s="23">
        <v>0</v>
      </c>
      <c r="F859" s="25">
        <v>0</v>
      </c>
      <c r="G859" s="23">
        <v>18</v>
      </c>
      <c r="H859" s="23">
        <v>6</v>
      </c>
      <c r="I859" s="23">
        <v>4</v>
      </c>
      <c r="J859" s="189">
        <f t="shared" si="66"/>
        <v>0.00566257601689669</v>
      </c>
      <c r="K859" s="89">
        <f t="shared" si="67"/>
        <v>0.318336012861736</v>
      </c>
      <c r="L859" s="30">
        <f t="shared" si="65"/>
        <v>1.80260187174538</v>
      </c>
      <c r="M859" s="90">
        <f t="shared" si="68"/>
        <v>0</v>
      </c>
      <c r="N859" s="91">
        <f t="shared" si="69"/>
        <v>0</v>
      </c>
    </row>
    <row r="860" s="2" customFormat="1" spans="1:14">
      <c r="A860" s="86">
        <v>45660</v>
      </c>
      <c r="B860" s="22">
        <v>397.88</v>
      </c>
      <c r="C860" s="29">
        <v>113936</v>
      </c>
      <c r="D860" s="29">
        <v>1122</v>
      </c>
      <c r="E860" s="23">
        <v>0</v>
      </c>
      <c r="F860" s="25">
        <v>0</v>
      </c>
      <c r="G860" s="23">
        <v>14</v>
      </c>
      <c r="H860" s="23">
        <v>7</v>
      </c>
      <c r="I860" s="23">
        <v>1</v>
      </c>
      <c r="J860" s="189">
        <f t="shared" si="66"/>
        <v>0.00984763375930347</v>
      </c>
      <c r="K860" s="89">
        <f t="shared" si="67"/>
        <v>0.354616755793226</v>
      </c>
      <c r="L860" s="30">
        <f t="shared" si="65"/>
        <v>3.49213593596405</v>
      </c>
      <c r="M860" s="90">
        <f t="shared" si="68"/>
        <v>0</v>
      </c>
      <c r="N860" s="91">
        <f t="shared" si="69"/>
        <v>0</v>
      </c>
    </row>
    <row r="861" s="2" customFormat="1" spans="1:14">
      <c r="A861" s="86">
        <v>45661</v>
      </c>
      <c r="B861" s="22">
        <v>394.72</v>
      </c>
      <c r="C861" s="29">
        <v>92378</v>
      </c>
      <c r="D861" s="29">
        <v>617</v>
      </c>
      <c r="E861" s="23">
        <v>0</v>
      </c>
      <c r="F861" s="25">
        <v>0</v>
      </c>
      <c r="G861" s="23">
        <v>17</v>
      </c>
      <c r="H861" s="23">
        <v>9</v>
      </c>
      <c r="I861" s="23">
        <v>1</v>
      </c>
      <c r="J861" s="189">
        <f t="shared" si="66"/>
        <v>0.00667907943449739</v>
      </c>
      <c r="K861" s="89">
        <f t="shared" si="67"/>
        <v>0.639740680713128</v>
      </c>
      <c r="L861" s="30">
        <f t="shared" si="65"/>
        <v>4.27287882396242</v>
      </c>
      <c r="M861" s="90">
        <f t="shared" si="68"/>
        <v>0</v>
      </c>
      <c r="N861" s="91">
        <f t="shared" si="69"/>
        <v>0</v>
      </c>
    </row>
    <row r="862" s="2" customFormat="1" spans="1:14">
      <c r="A862" s="86">
        <v>45662</v>
      </c>
      <c r="B862" s="22">
        <v>395.39</v>
      </c>
      <c r="C862" s="29">
        <v>50684</v>
      </c>
      <c r="D862" s="29">
        <v>514</v>
      </c>
      <c r="E862" s="23">
        <v>0</v>
      </c>
      <c r="F862" s="25">
        <v>0</v>
      </c>
      <c r="G862" s="23">
        <v>14</v>
      </c>
      <c r="H862" s="23">
        <v>8</v>
      </c>
      <c r="I862" s="23">
        <v>0</v>
      </c>
      <c r="J862" s="189">
        <f t="shared" si="66"/>
        <v>0.0101412674611317</v>
      </c>
      <c r="K862" s="89">
        <f t="shared" si="67"/>
        <v>0.769241245136187</v>
      </c>
      <c r="L862" s="30">
        <f t="shared" si="65"/>
        <v>7.80108120906006</v>
      </c>
      <c r="M862" s="90">
        <f t="shared" si="68"/>
        <v>0</v>
      </c>
      <c r="N862" s="91">
        <f t="shared" si="69"/>
        <v>0</v>
      </c>
    </row>
    <row r="863" s="2" customFormat="1" spans="1:14">
      <c r="A863" s="86">
        <v>45663</v>
      </c>
      <c r="B863" s="22">
        <v>394.54</v>
      </c>
      <c r="C863" s="29">
        <v>61649</v>
      </c>
      <c r="D863" s="29">
        <v>564</v>
      </c>
      <c r="E863" s="23">
        <v>0</v>
      </c>
      <c r="F863" s="25">
        <v>0</v>
      </c>
      <c r="G863" s="23">
        <v>22</v>
      </c>
      <c r="H863" s="23">
        <v>10</v>
      </c>
      <c r="I863" s="23">
        <v>3</v>
      </c>
      <c r="J863" s="189">
        <f t="shared" si="66"/>
        <v>0.00914856688672971</v>
      </c>
      <c r="K863" s="89">
        <f t="shared" si="67"/>
        <v>0.699539007092199</v>
      </c>
      <c r="L863" s="30">
        <f t="shared" si="65"/>
        <v>6.39977939625947</v>
      </c>
      <c r="M863" s="90">
        <f t="shared" si="68"/>
        <v>0</v>
      </c>
      <c r="N863" s="91">
        <f t="shared" si="69"/>
        <v>0</v>
      </c>
    </row>
    <row r="864" s="2" customFormat="1" spans="1:14">
      <c r="A864" s="86">
        <v>45664</v>
      </c>
      <c r="B864" s="22">
        <v>390.98</v>
      </c>
      <c r="C864" s="29">
        <v>33832</v>
      </c>
      <c r="D864" s="29">
        <v>466</v>
      </c>
      <c r="E864" s="23">
        <v>0</v>
      </c>
      <c r="F864" s="25">
        <v>0</v>
      </c>
      <c r="G864" s="23">
        <v>17</v>
      </c>
      <c r="H864" s="23">
        <v>9</v>
      </c>
      <c r="I864" s="23">
        <v>0</v>
      </c>
      <c r="J864" s="189">
        <f t="shared" si="66"/>
        <v>0.0137739418302199</v>
      </c>
      <c r="K864" s="89">
        <f t="shared" si="67"/>
        <v>0.839012875536481</v>
      </c>
      <c r="L864" s="30">
        <f t="shared" si="65"/>
        <v>11.556514542445</v>
      </c>
      <c r="M864" s="90">
        <f t="shared" si="68"/>
        <v>0</v>
      </c>
      <c r="N864" s="91">
        <f t="shared" si="69"/>
        <v>0</v>
      </c>
    </row>
    <row r="865" s="2" customFormat="1" spans="1:14">
      <c r="A865" s="86">
        <v>45665</v>
      </c>
      <c r="B865" s="22">
        <v>422.62</v>
      </c>
      <c r="C865" s="29">
        <v>41235</v>
      </c>
      <c r="D865" s="29">
        <v>484</v>
      </c>
      <c r="E865" s="23">
        <v>1</v>
      </c>
      <c r="F865" s="25">
        <v>5384</v>
      </c>
      <c r="G865" s="23">
        <v>24</v>
      </c>
      <c r="H865" s="23">
        <v>10</v>
      </c>
      <c r="I865" s="23">
        <v>2</v>
      </c>
      <c r="J865" s="189">
        <f t="shared" si="66"/>
        <v>0.0117376015520795</v>
      </c>
      <c r="K865" s="89">
        <f t="shared" si="67"/>
        <v>0.873181818181818</v>
      </c>
      <c r="L865" s="30">
        <f t="shared" si="65"/>
        <v>10.2490602643385</v>
      </c>
      <c r="M865" s="90">
        <f t="shared" si="68"/>
        <v>12.7395769248971</v>
      </c>
      <c r="N865" s="91">
        <f t="shared" si="69"/>
        <v>0.00206611570247934</v>
      </c>
    </row>
    <row r="866" s="2" customFormat="1" spans="1:14">
      <c r="A866" s="86">
        <v>45666</v>
      </c>
      <c r="B866" s="22">
        <v>248.89</v>
      </c>
      <c r="C866" s="29">
        <v>27565</v>
      </c>
      <c r="D866" s="29">
        <v>308</v>
      </c>
      <c r="E866" s="23">
        <v>0</v>
      </c>
      <c r="F866" s="25">
        <v>0</v>
      </c>
      <c r="G866" s="23">
        <v>6</v>
      </c>
      <c r="H866" s="23">
        <v>15</v>
      </c>
      <c r="I866" s="23">
        <v>1</v>
      </c>
      <c r="J866" s="189">
        <f t="shared" si="66"/>
        <v>0.0111735896970796</v>
      </c>
      <c r="K866" s="89">
        <f t="shared" si="67"/>
        <v>0.808084415584416</v>
      </c>
      <c r="L866" s="30">
        <f t="shared" si="65"/>
        <v>9.02920370034464</v>
      </c>
      <c r="M866" s="90">
        <f t="shared" si="68"/>
        <v>0</v>
      </c>
      <c r="N866" s="91">
        <f t="shared" si="69"/>
        <v>0</v>
      </c>
    </row>
    <row r="867" s="2" customFormat="1" spans="1:14">
      <c r="A867" s="86">
        <v>45667</v>
      </c>
      <c r="B867" s="22">
        <v>342.81</v>
      </c>
      <c r="C867" s="29">
        <v>35797</v>
      </c>
      <c r="D867" s="29">
        <v>427</v>
      </c>
      <c r="E867" s="23">
        <v>0</v>
      </c>
      <c r="F867" s="25">
        <v>0</v>
      </c>
      <c r="G867" s="23">
        <v>13</v>
      </c>
      <c r="H867" s="23">
        <v>16</v>
      </c>
      <c r="I867" s="23">
        <v>1</v>
      </c>
      <c r="J867" s="189">
        <f t="shared" si="66"/>
        <v>0.0119283738860798</v>
      </c>
      <c r="K867" s="89">
        <f t="shared" si="67"/>
        <v>0.802833723653396</v>
      </c>
      <c r="L867" s="30">
        <f t="shared" si="65"/>
        <v>9.5765008240914</v>
      </c>
      <c r="M867" s="90">
        <f t="shared" si="68"/>
        <v>0</v>
      </c>
      <c r="N867" s="91">
        <f t="shared" si="69"/>
        <v>0</v>
      </c>
    </row>
    <row r="868" s="2" customFormat="1" spans="1:14">
      <c r="A868" s="86">
        <v>45668</v>
      </c>
      <c r="B868" s="22">
        <v>340.58</v>
      </c>
      <c r="C868" s="29">
        <v>289205</v>
      </c>
      <c r="D868" s="29">
        <v>1329</v>
      </c>
      <c r="E868" s="23">
        <v>0</v>
      </c>
      <c r="F868" s="25">
        <v>0</v>
      </c>
      <c r="G868" s="23">
        <v>15</v>
      </c>
      <c r="H868" s="23">
        <v>16</v>
      </c>
      <c r="I868" s="23">
        <v>3</v>
      </c>
      <c r="J868" s="189">
        <f t="shared" si="66"/>
        <v>0.00459535623519649</v>
      </c>
      <c r="K868" s="89">
        <f t="shared" si="67"/>
        <v>0.256267870579383</v>
      </c>
      <c r="L868" s="30">
        <f t="shared" si="65"/>
        <v>1.17764215694749</v>
      </c>
      <c r="M868" s="90">
        <f t="shared" si="68"/>
        <v>0</v>
      </c>
      <c r="N868" s="91">
        <f t="shared" si="69"/>
        <v>0</v>
      </c>
    </row>
    <row r="869" s="2" customFormat="1" spans="1:14">
      <c r="A869" s="86">
        <v>45669</v>
      </c>
      <c r="B869" s="22">
        <v>342.44</v>
      </c>
      <c r="C869" s="29">
        <v>525890</v>
      </c>
      <c r="D869" s="29">
        <v>1540</v>
      </c>
      <c r="E869" s="23">
        <v>0</v>
      </c>
      <c r="F869" s="25">
        <v>0</v>
      </c>
      <c r="G869" s="23">
        <v>11</v>
      </c>
      <c r="H869" s="23">
        <v>16</v>
      </c>
      <c r="I869" s="23">
        <v>1</v>
      </c>
      <c r="J869" s="189">
        <f t="shared" si="66"/>
        <v>0.0029283690505619</v>
      </c>
      <c r="K869" s="89">
        <f t="shared" si="67"/>
        <v>0.222363636363636</v>
      </c>
      <c r="L869" s="30">
        <f t="shared" si="65"/>
        <v>0.651162790697674</v>
      </c>
      <c r="M869" s="90">
        <f t="shared" si="68"/>
        <v>0</v>
      </c>
      <c r="N869" s="91">
        <f t="shared" si="69"/>
        <v>0</v>
      </c>
    </row>
    <row r="870" s="2" customFormat="1" spans="1:14">
      <c r="A870" s="86">
        <v>45670</v>
      </c>
      <c r="B870" s="22">
        <v>727.91</v>
      </c>
      <c r="C870" s="29">
        <v>422324</v>
      </c>
      <c r="D870" s="29">
        <v>1911</v>
      </c>
      <c r="E870" s="23">
        <v>1</v>
      </c>
      <c r="F870" s="25">
        <v>10197</v>
      </c>
      <c r="G870" s="23">
        <v>15</v>
      </c>
      <c r="H870" s="23">
        <v>25</v>
      </c>
      <c r="I870" s="23">
        <v>2</v>
      </c>
      <c r="J870" s="189">
        <f t="shared" si="66"/>
        <v>0.00452496187761055</v>
      </c>
      <c r="K870" s="89">
        <f t="shared" si="67"/>
        <v>0.380905285190999</v>
      </c>
      <c r="L870" s="30">
        <f t="shared" si="65"/>
        <v>1.72358189446965</v>
      </c>
      <c r="M870" s="90">
        <f t="shared" si="68"/>
        <v>14.0085999642813</v>
      </c>
      <c r="N870" s="91">
        <f t="shared" si="69"/>
        <v>0.000523286237571952</v>
      </c>
    </row>
    <row r="871" s="2" customFormat="1" spans="1:14">
      <c r="A871" s="86">
        <v>45671</v>
      </c>
      <c r="B871" s="22">
        <v>667.45</v>
      </c>
      <c r="C871" s="29">
        <v>566126</v>
      </c>
      <c r="D871" s="29">
        <v>1840</v>
      </c>
      <c r="E871" s="23">
        <v>0</v>
      </c>
      <c r="F871" s="25">
        <v>0</v>
      </c>
      <c r="G871" s="23">
        <v>41</v>
      </c>
      <c r="H871" s="23">
        <v>23</v>
      </c>
      <c r="I871" s="23">
        <v>0</v>
      </c>
      <c r="J871" s="189">
        <f t="shared" si="66"/>
        <v>0.00325015985840608</v>
      </c>
      <c r="K871" s="89">
        <f t="shared" si="67"/>
        <v>0.362744565217391</v>
      </c>
      <c r="L871" s="30">
        <f t="shared" si="65"/>
        <v>1.17897782472453</v>
      </c>
      <c r="M871" s="90">
        <f t="shared" si="68"/>
        <v>0</v>
      </c>
      <c r="N871" s="91">
        <f t="shared" si="69"/>
        <v>0</v>
      </c>
    </row>
    <row r="872" s="2" customFormat="1" spans="1:14">
      <c r="A872" s="86">
        <v>45672</v>
      </c>
      <c r="B872" s="22">
        <v>674.48</v>
      </c>
      <c r="C872" s="29">
        <v>501208</v>
      </c>
      <c r="D872" s="29">
        <v>1909</v>
      </c>
      <c r="E872" s="23">
        <v>0</v>
      </c>
      <c r="F872" s="25">
        <v>0</v>
      </c>
      <c r="G872" s="23">
        <v>16</v>
      </c>
      <c r="H872" s="23">
        <v>20</v>
      </c>
      <c r="I872" s="23">
        <v>1</v>
      </c>
      <c r="J872" s="189">
        <f t="shared" si="66"/>
        <v>0.00380879794416689</v>
      </c>
      <c r="K872" s="89">
        <f t="shared" si="67"/>
        <v>0.35331587218439</v>
      </c>
      <c r="L872" s="30">
        <f t="shared" si="65"/>
        <v>1.34570876761744</v>
      </c>
      <c r="M872" s="90">
        <f t="shared" si="68"/>
        <v>0</v>
      </c>
      <c r="N872" s="91">
        <f t="shared" si="69"/>
        <v>0</v>
      </c>
    </row>
    <row r="873" s="2" customFormat="1" spans="1:14">
      <c r="A873" s="86">
        <v>45673</v>
      </c>
      <c r="B873" s="22">
        <v>693.76</v>
      </c>
      <c r="C873" s="29">
        <v>547005</v>
      </c>
      <c r="D873" s="29">
        <v>2508</v>
      </c>
      <c r="E873" s="23">
        <v>0</v>
      </c>
      <c r="F873" s="25">
        <v>0</v>
      </c>
      <c r="G873" s="23">
        <v>36</v>
      </c>
      <c r="H873" s="23">
        <v>21</v>
      </c>
      <c r="I873" s="23">
        <v>2</v>
      </c>
      <c r="J873" s="189">
        <f t="shared" si="66"/>
        <v>0.00458496723064689</v>
      </c>
      <c r="K873" s="89">
        <f t="shared" si="67"/>
        <v>0.276618819776714</v>
      </c>
      <c r="L873" s="30">
        <f t="shared" ref="L873:L936" si="70">B873/C873*1000</f>
        <v>1.26828822405645</v>
      </c>
      <c r="M873" s="90">
        <f t="shared" si="68"/>
        <v>0</v>
      </c>
      <c r="N873" s="91">
        <f t="shared" si="69"/>
        <v>0</v>
      </c>
    </row>
    <row r="874" s="2" customFormat="1" spans="1:14">
      <c r="A874" s="86">
        <v>45674</v>
      </c>
      <c r="B874" s="22">
        <v>689.71</v>
      </c>
      <c r="C874" s="29">
        <v>632798</v>
      </c>
      <c r="D874" s="29">
        <v>2694</v>
      </c>
      <c r="E874" s="23">
        <v>2</v>
      </c>
      <c r="F874" s="25">
        <v>25424</v>
      </c>
      <c r="G874" s="23">
        <v>44</v>
      </c>
      <c r="H874" s="23">
        <v>25</v>
      </c>
      <c r="I874" s="23">
        <v>4</v>
      </c>
      <c r="J874" s="189">
        <f t="shared" si="66"/>
        <v>0.00425728273477476</v>
      </c>
      <c r="K874" s="89">
        <f t="shared" si="67"/>
        <v>0.25601707498144</v>
      </c>
      <c r="L874" s="30">
        <f t="shared" si="70"/>
        <v>1.08993707312602</v>
      </c>
      <c r="M874" s="90">
        <f t="shared" si="68"/>
        <v>36.8618694813762</v>
      </c>
      <c r="N874" s="91">
        <f t="shared" si="69"/>
        <v>0.000742390497401633</v>
      </c>
    </row>
    <row r="875" s="2" customFormat="1" spans="1:14">
      <c r="A875" s="86">
        <v>45675</v>
      </c>
      <c r="B875" s="22">
        <v>685.91</v>
      </c>
      <c r="C875" s="29">
        <v>509367</v>
      </c>
      <c r="D875" s="29">
        <v>2707</v>
      </c>
      <c r="E875" s="23">
        <v>0</v>
      </c>
      <c r="F875" s="25">
        <v>0</v>
      </c>
      <c r="G875" s="23">
        <v>24</v>
      </c>
      <c r="H875" s="23">
        <v>18</v>
      </c>
      <c r="I875" s="23">
        <v>5</v>
      </c>
      <c r="J875" s="189">
        <f t="shared" si="66"/>
        <v>0.00531443929426131</v>
      </c>
      <c r="K875" s="89">
        <f t="shared" si="67"/>
        <v>0.253383819726635</v>
      </c>
      <c r="L875" s="30">
        <f t="shared" si="70"/>
        <v>1.34659292808525</v>
      </c>
      <c r="M875" s="90">
        <f t="shared" si="68"/>
        <v>0</v>
      </c>
      <c r="N875" s="91">
        <f t="shared" si="69"/>
        <v>0</v>
      </c>
    </row>
    <row r="876" s="2" customFormat="1" spans="1:14">
      <c r="A876" s="86">
        <v>45676</v>
      </c>
      <c r="B876" s="22">
        <v>689.2</v>
      </c>
      <c r="C876" s="29">
        <v>297146</v>
      </c>
      <c r="D876" s="29">
        <v>2362</v>
      </c>
      <c r="E876" s="23">
        <v>1</v>
      </c>
      <c r="F876" s="25">
        <v>7016.8</v>
      </c>
      <c r="G876" s="23">
        <v>35</v>
      </c>
      <c r="H876" s="23">
        <v>19</v>
      </c>
      <c r="I876" s="23">
        <v>2</v>
      </c>
      <c r="J876" s="189">
        <f t="shared" si="66"/>
        <v>0.00794895438605938</v>
      </c>
      <c r="K876" s="89">
        <f t="shared" si="67"/>
        <v>0.291786621507197</v>
      </c>
      <c r="L876" s="30">
        <f t="shared" si="70"/>
        <v>2.31939854482308</v>
      </c>
      <c r="M876" s="90">
        <f t="shared" si="68"/>
        <v>10.1810795124782</v>
      </c>
      <c r="N876" s="91">
        <f t="shared" si="69"/>
        <v>0.000423370025402202</v>
      </c>
    </row>
    <row r="877" s="2" customFormat="1" spans="1:14">
      <c r="A877" s="86">
        <v>45677</v>
      </c>
      <c r="B877" s="22">
        <v>690.86</v>
      </c>
      <c r="C877" s="29">
        <v>409830</v>
      </c>
      <c r="D877" s="29">
        <v>2970</v>
      </c>
      <c r="E877" s="23">
        <v>1</v>
      </c>
      <c r="F877" s="25">
        <v>10197</v>
      </c>
      <c r="G877" s="23">
        <v>31</v>
      </c>
      <c r="H877" s="23">
        <v>17</v>
      </c>
      <c r="I877" s="23">
        <v>1</v>
      </c>
      <c r="J877" s="189">
        <f t="shared" si="66"/>
        <v>0.00724690725422736</v>
      </c>
      <c r="K877" s="89">
        <f t="shared" si="67"/>
        <v>0.232612794612795</v>
      </c>
      <c r="L877" s="30">
        <f t="shared" si="70"/>
        <v>1.68572334870556</v>
      </c>
      <c r="M877" s="90">
        <f t="shared" si="68"/>
        <v>14.7598645166893</v>
      </c>
      <c r="N877" s="91">
        <f t="shared" si="69"/>
        <v>0.000336700336700337</v>
      </c>
    </row>
    <row r="878" s="2" customFormat="1" spans="1:14">
      <c r="A878" s="86">
        <v>45678</v>
      </c>
      <c r="B878" s="22">
        <v>687.07</v>
      </c>
      <c r="C878" s="29">
        <v>534193</v>
      </c>
      <c r="D878" s="29">
        <v>3516</v>
      </c>
      <c r="E878" s="23">
        <v>1</v>
      </c>
      <c r="F878" s="25">
        <v>8054</v>
      </c>
      <c r="G878" s="23">
        <v>26</v>
      </c>
      <c r="H878" s="23">
        <v>18</v>
      </c>
      <c r="I878" s="23">
        <v>1</v>
      </c>
      <c r="J878" s="189">
        <f t="shared" si="66"/>
        <v>0.00658189081474299</v>
      </c>
      <c r="K878" s="89">
        <f t="shared" si="67"/>
        <v>0.195412400455063</v>
      </c>
      <c r="L878" s="30">
        <f t="shared" si="70"/>
        <v>1.28618308364205</v>
      </c>
      <c r="M878" s="90">
        <f t="shared" si="68"/>
        <v>11.7222408197127</v>
      </c>
      <c r="N878" s="91">
        <f t="shared" si="69"/>
        <v>0.000284414106939704</v>
      </c>
    </row>
    <row r="879" s="2" customFormat="1" spans="1:14">
      <c r="A879" s="86">
        <v>45679</v>
      </c>
      <c r="B879" s="22">
        <v>696.66</v>
      </c>
      <c r="C879" s="29">
        <v>616662</v>
      </c>
      <c r="D879" s="29">
        <v>3535</v>
      </c>
      <c r="E879" s="23">
        <v>0</v>
      </c>
      <c r="F879" s="25">
        <v>0</v>
      </c>
      <c r="G879" s="23">
        <v>29</v>
      </c>
      <c r="H879" s="23">
        <v>17</v>
      </c>
      <c r="I879" s="23">
        <v>2</v>
      </c>
      <c r="J879" s="189">
        <f t="shared" si="66"/>
        <v>0.00573247581333048</v>
      </c>
      <c r="K879" s="89">
        <f t="shared" si="67"/>
        <v>0.197074964639321</v>
      </c>
      <c r="L879" s="30">
        <f t="shared" si="70"/>
        <v>1.12972746820787</v>
      </c>
      <c r="M879" s="90">
        <f t="shared" si="68"/>
        <v>0</v>
      </c>
      <c r="N879" s="91">
        <f t="shared" si="69"/>
        <v>0</v>
      </c>
    </row>
    <row r="880" s="2" customFormat="1" spans="1:14">
      <c r="A880" s="86">
        <v>45680</v>
      </c>
      <c r="B880" s="22">
        <v>672.58</v>
      </c>
      <c r="C880" s="29">
        <v>328053</v>
      </c>
      <c r="D880" s="29">
        <v>3379</v>
      </c>
      <c r="E880" s="23">
        <v>0</v>
      </c>
      <c r="F880" s="25">
        <v>0</v>
      </c>
      <c r="G880" s="23">
        <v>29</v>
      </c>
      <c r="H880" s="23">
        <v>19</v>
      </c>
      <c r="I880" s="23">
        <v>2</v>
      </c>
      <c r="J880" s="189">
        <f t="shared" si="66"/>
        <v>0.010300164912377</v>
      </c>
      <c r="K880" s="89">
        <f t="shared" si="67"/>
        <v>0.199047055341817</v>
      </c>
      <c r="L880" s="30">
        <f t="shared" si="70"/>
        <v>2.05021749534374</v>
      </c>
      <c r="M880" s="90">
        <f t="shared" si="68"/>
        <v>0</v>
      </c>
      <c r="N880" s="91">
        <f t="shared" si="69"/>
        <v>0</v>
      </c>
    </row>
    <row r="881" s="2" customFormat="1" spans="1:14">
      <c r="A881" s="86">
        <v>45681</v>
      </c>
      <c r="B881" s="22">
        <v>642.82</v>
      </c>
      <c r="C881" s="29">
        <v>224457</v>
      </c>
      <c r="D881" s="29">
        <v>2101</v>
      </c>
      <c r="E881" s="23">
        <v>0</v>
      </c>
      <c r="F881" s="25">
        <v>0</v>
      </c>
      <c r="G881" s="23">
        <v>34</v>
      </c>
      <c r="H881" s="23">
        <v>26</v>
      </c>
      <c r="I881" s="23">
        <v>1</v>
      </c>
      <c r="J881" s="189">
        <f t="shared" si="66"/>
        <v>0.00936036746459233</v>
      </c>
      <c r="K881" s="89">
        <f t="shared" si="67"/>
        <v>0.3059590671109</v>
      </c>
      <c r="L881" s="30">
        <f t="shared" si="70"/>
        <v>2.86388929728188</v>
      </c>
      <c r="M881" s="90">
        <f t="shared" si="68"/>
        <v>0</v>
      </c>
      <c r="N881" s="91">
        <f t="shared" si="69"/>
        <v>0</v>
      </c>
    </row>
    <row r="882" s="2" customFormat="1" spans="1:14">
      <c r="A882" s="86">
        <v>45682</v>
      </c>
      <c r="B882" s="22">
        <v>638.97</v>
      </c>
      <c r="C882" s="29">
        <v>184413</v>
      </c>
      <c r="D882" s="29">
        <v>1540</v>
      </c>
      <c r="E882" s="23">
        <v>0</v>
      </c>
      <c r="F882" s="25">
        <v>0</v>
      </c>
      <c r="G882" s="23">
        <v>39</v>
      </c>
      <c r="H882" s="23">
        <v>32</v>
      </c>
      <c r="I882" s="23">
        <v>1</v>
      </c>
      <c r="J882" s="189">
        <f t="shared" si="66"/>
        <v>0.00835082125446688</v>
      </c>
      <c r="K882" s="89">
        <f t="shared" si="67"/>
        <v>0.414915584415584</v>
      </c>
      <c r="L882" s="30">
        <f t="shared" si="70"/>
        <v>3.46488588114721</v>
      </c>
      <c r="M882" s="90">
        <f t="shared" si="68"/>
        <v>0</v>
      </c>
      <c r="N882" s="91">
        <f t="shared" si="69"/>
        <v>0</v>
      </c>
    </row>
    <row r="883" s="2" customFormat="1" spans="1:14">
      <c r="A883" s="86">
        <v>45683</v>
      </c>
      <c r="B883" s="22">
        <v>642.28</v>
      </c>
      <c r="C883" s="29">
        <v>405909</v>
      </c>
      <c r="D883" s="29">
        <v>1785</v>
      </c>
      <c r="E883" s="23">
        <v>0</v>
      </c>
      <c r="F883" s="25">
        <v>0</v>
      </c>
      <c r="G883" s="23">
        <v>52</v>
      </c>
      <c r="H883" s="23">
        <v>26</v>
      </c>
      <c r="I883" s="23">
        <v>4</v>
      </c>
      <c r="J883" s="189">
        <f t="shared" si="66"/>
        <v>0.00439753737906772</v>
      </c>
      <c r="K883" s="89">
        <f t="shared" si="67"/>
        <v>0.359820728291317</v>
      </c>
      <c r="L883" s="30">
        <f t="shared" si="70"/>
        <v>1.58232510242443</v>
      </c>
      <c r="M883" s="90">
        <f t="shared" si="68"/>
        <v>0</v>
      </c>
      <c r="N883" s="91">
        <f t="shared" si="69"/>
        <v>0</v>
      </c>
    </row>
    <row r="884" s="2" customFormat="1" spans="1:14">
      <c r="A884" s="86">
        <v>45684</v>
      </c>
      <c r="B884" s="22">
        <v>634.19</v>
      </c>
      <c r="C884" s="29">
        <v>441560</v>
      </c>
      <c r="D884" s="29">
        <v>2105</v>
      </c>
      <c r="E884" s="23">
        <v>1</v>
      </c>
      <c r="F884" s="25">
        <v>3677</v>
      </c>
      <c r="G884" s="23">
        <v>48</v>
      </c>
      <c r="H884" s="23">
        <v>33</v>
      </c>
      <c r="I884" s="23">
        <v>5</v>
      </c>
      <c r="J884" s="189">
        <f t="shared" si="66"/>
        <v>0.0047671890569798</v>
      </c>
      <c r="K884" s="89">
        <f t="shared" si="67"/>
        <v>0.301277909738717</v>
      </c>
      <c r="L884" s="30">
        <f t="shared" si="70"/>
        <v>1.43624875441616</v>
      </c>
      <c r="M884" s="90">
        <f t="shared" si="68"/>
        <v>5.79794698749586</v>
      </c>
      <c r="N884" s="91">
        <f t="shared" si="69"/>
        <v>0.000475059382422803</v>
      </c>
    </row>
    <row r="885" s="2" customFormat="1" spans="1:14">
      <c r="A885" s="86">
        <v>45685</v>
      </c>
      <c r="B885" s="22">
        <v>643.7</v>
      </c>
      <c r="C885" s="29">
        <v>862467</v>
      </c>
      <c r="D885" s="29">
        <v>2891</v>
      </c>
      <c r="E885" s="23">
        <v>0</v>
      </c>
      <c r="F885" s="25">
        <v>0</v>
      </c>
      <c r="G885" s="23">
        <v>29</v>
      </c>
      <c r="H885" s="23">
        <v>26</v>
      </c>
      <c r="I885" s="23">
        <v>2</v>
      </c>
      <c r="J885" s="189">
        <f t="shared" si="66"/>
        <v>0.00335201230887675</v>
      </c>
      <c r="K885" s="89">
        <f t="shared" si="67"/>
        <v>0.222656520235213</v>
      </c>
      <c r="L885" s="30">
        <f t="shared" si="70"/>
        <v>0.746347396480097</v>
      </c>
      <c r="M885" s="90">
        <f t="shared" si="68"/>
        <v>0</v>
      </c>
      <c r="N885" s="91">
        <f t="shared" si="69"/>
        <v>0</v>
      </c>
    </row>
    <row r="886" s="2" customFormat="1" spans="1:14">
      <c r="A886" s="86">
        <v>45686</v>
      </c>
      <c r="B886" s="22">
        <v>638.37</v>
      </c>
      <c r="C886" s="29">
        <v>1265107</v>
      </c>
      <c r="D886" s="29">
        <v>3795</v>
      </c>
      <c r="E886" s="23">
        <v>0</v>
      </c>
      <c r="F886" s="25">
        <v>0</v>
      </c>
      <c r="G886" s="23">
        <v>38</v>
      </c>
      <c r="H886" s="23">
        <v>24</v>
      </c>
      <c r="I886" s="23">
        <v>1</v>
      </c>
      <c r="J886" s="189">
        <f t="shared" si="66"/>
        <v>0.00299974626652133</v>
      </c>
      <c r="K886" s="89">
        <f t="shared" si="67"/>
        <v>0.168213438735178</v>
      </c>
      <c r="L886" s="30">
        <f t="shared" si="70"/>
        <v>0.504597634824564</v>
      </c>
      <c r="M886" s="90">
        <f t="shared" si="68"/>
        <v>0</v>
      </c>
      <c r="N886" s="91">
        <f t="shared" si="69"/>
        <v>0</v>
      </c>
    </row>
    <row r="887" s="2" customFormat="1" spans="1:14">
      <c r="A887" s="86">
        <v>45687</v>
      </c>
      <c r="B887" s="22">
        <v>643.69</v>
      </c>
      <c r="C887" s="29">
        <v>926003</v>
      </c>
      <c r="D887" s="29">
        <v>4275</v>
      </c>
      <c r="E887" s="23">
        <v>0</v>
      </c>
      <c r="F887" s="25">
        <v>0</v>
      </c>
      <c r="G887" s="23">
        <v>46</v>
      </c>
      <c r="H887" s="23">
        <v>24</v>
      </c>
      <c r="I887" s="23">
        <v>2</v>
      </c>
      <c r="J887" s="189">
        <f t="shared" si="66"/>
        <v>0.00461661571290806</v>
      </c>
      <c r="K887" s="89">
        <f t="shared" si="67"/>
        <v>0.150570760233918</v>
      </c>
      <c r="L887" s="30">
        <f t="shared" si="70"/>
        <v>0.695127337600418</v>
      </c>
      <c r="M887" s="90">
        <f t="shared" si="68"/>
        <v>0</v>
      </c>
      <c r="N887" s="91">
        <f t="shared" si="69"/>
        <v>0</v>
      </c>
    </row>
    <row r="888" s="2" customFormat="1" spans="1:14">
      <c r="A888" s="86">
        <v>45688</v>
      </c>
      <c r="B888" s="22">
        <v>645.82</v>
      </c>
      <c r="C888" s="29">
        <v>642747</v>
      </c>
      <c r="D888" s="29">
        <v>3314</v>
      </c>
      <c r="E888" s="23">
        <v>0</v>
      </c>
      <c r="F888" s="25">
        <v>0</v>
      </c>
      <c r="G888" s="23">
        <v>45</v>
      </c>
      <c r="H888" s="23">
        <v>31</v>
      </c>
      <c r="I888" s="23">
        <v>3</v>
      </c>
      <c r="J888" s="189">
        <f t="shared" si="66"/>
        <v>0.00515599450483627</v>
      </c>
      <c r="K888" s="89">
        <f t="shared" si="67"/>
        <v>0.194876282438141</v>
      </c>
      <c r="L888" s="30">
        <f t="shared" si="70"/>
        <v>1.00478104137398</v>
      </c>
      <c r="M888" s="90">
        <f t="shared" si="68"/>
        <v>0</v>
      </c>
      <c r="N888" s="91">
        <f t="shared" si="69"/>
        <v>0</v>
      </c>
    </row>
    <row r="889" s="2" customFormat="1" spans="1:14">
      <c r="A889" s="86">
        <v>45689</v>
      </c>
      <c r="B889" s="22">
        <v>645.35</v>
      </c>
      <c r="C889" s="29">
        <v>493124</v>
      </c>
      <c r="D889" s="29">
        <v>2976</v>
      </c>
      <c r="E889" s="23">
        <v>0</v>
      </c>
      <c r="F889" s="25">
        <v>0</v>
      </c>
      <c r="G889" s="23">
        <v>56</v>
      </c>
      <c r="H889" s="23">
        <v>23</v>
      </c>
      <c r="I889" s="23">
        <v>3</v>
      </c>
      <c r="J889" s="189">
        <f t="shared" si="66"/>
        <v>0.00603499322685572</v>
      </c>
      <c r="K889" s="89">
        <f t="shared" si="67"/>
        <v>0.216851478494624</v>
      </c>
      <c r="L889" s="30">
        <f t="shared" si="70"/>
        <v>1.3086972039487</v>
      </c>
      <c r="M889" s="90">
        <f t="shared" si="68"/>
        <v>0</v>
      </c>
      <c r="N889" s="91">
        <f t="shared" si="69"/>
        <v>0</v>
      </c>
    </row>
    <row r="890" s="2" customFormat="1" spans="1:14">
      <c r="A890" s="86">
        <v>45690</v>
      </c>
      <c r="B890" s="22">
        <v>641.49</v>
      </c>
      <c r="C890" s="29">
        <v>895017</v>
      </c>
      <c r="D890" s="29">
        <v>3559</v>
      </c>
      <c r="E890" s="23">
        <v>0</v>
      </c>
      <c r="F890" s="25">
        <v>0</v>
      </c>
      <c r="G890" s="23">
        <v>43</v>
      </c>
      <c r="H890" s="23">
        <v>27</v>
      </c>
      <c r="I890" s="23">
        <v>7</v>
      </c>
      <c r="J890" s="189">
        <f t="shared" si="66"/>
        <v>0.00397646078230916</v>
      </c>
      <c r="K890" s="89">
        <f t="shared" si="67"/>
        <v>0.180244450688396</v>
      </c>
      <c r="L890" s="30">
        <f t="shared" si="70"/>
        <v>0.716734989391263</v>
      </c>
      <c r="M890" s="90">
        <f t="shared" si="68"/>
        <v>0</v>
      </c>
      <c r="N890" s="91">
        <f t="shared" si="69"/>
        <v>0</v>
      </c>
    </row>
    <row r="891" s="2" customFormat="1" spans="1:14">
      <c r="A891" s="86">
        <v>45691</v>
      </c>
      <c r="B891" s="22">
        <v>736.85</v>
      </c>
      <c r="C891" s="29">
        <v>365979</v>
      </c>
      <c r="D891" s="29">
        <v>2233</v>
      </c>
      <c r="E891" s="23">
        <v>0</v>
      </c>
      <c r="F891" s="25">
        <v>0</v>
      </c>
      <c r="G891" s="23">
        <v>43</v>
      </c>
      <c r="H891" s="23">
        <v>17</v>
      </c>
      <c r="I891" s="23">
        <v>4</v>
      </c>
      <c r="J891" s="189">
        <f t="shared" si="66"/>
        <v>0.00610144297896874</v>
      </c>
      <c r="K891" s="89">
        <f t="shared" si="67"/>
        <v>0.329982086878639</v>
      </c>
      <c r="L891" s="30">
        <f t="shared" si="70"/>
        <v>2.01336688717112</v>
      </c>
      <c r="M891" s="90">
        <f t="shared" si="68"/>
        <v>0</v>
      </c>
      <c r="N891" s="91">
        <f t="shared" si="69"/>
        <v>0</v>
      </c>
    </row>
    <row r="892" s="2" customFormat="1" spans="1:14">
      <c r="A892" s="86">
        <v>45692</v>
      </c>
      <c r="B892" s="22">
        <v>642.6</v>
      </c>
      <c r="C892" s="29">
        <v>291624</v>
      </c>
      <c r="D892" s="29">
        <v>1664</v>
      </c>
      <c r="E892" s="23">
        <v>0</v>
      </c>
      <c r="F892" s="25">
        <v>0</v>
      </c>
      <c r="G892" s="23">
        <v>23</v>
      </c>
      <c r="H892" s="23">
        <v>11</v>
      </c>
      <c r="I892" s="23">
        <v>3</v>
      </c>
      <c r="J892" s="189">
        <f t="shared" si="66"/>
        <v>0.00570597756014594</v>
      </c>
      <c r="K892" s="89">
        <f t="shared" si="67"/>
        <v>0.386177884615385</v>
      </c>
      <c r="L892" s="30">
        <f t="shared" si="70"/>
        <v>2.20352234384001</v>
      </c>
      <c r="M892" s="90">
        <f t="shared" si="68"/>
        <v>0</v>
      </c>
      <c r="N892" s="91">
        <f t="shared" si="69"/>
        <v>0</v>
      </c>
    </row>
    <row r="893" s="2" customFormat="1" spans="1:14">
      <c r="A893" s="86">
        <v>45693</v>
      </c>
      <c r="B893" s="22">
        <v>576.21</v>
      </c>
      <c r="C893" s="29">
        <v>163868</v>
      </c>
      <c r="D893" s="29">
        <v>1092</v>
      </c>
      <c r="E893" s="23">
        <v>1</v>
      </c>
      <c r="F893" s="25">
        <v>10813.32</v>
      </c>
      <c r="G893" s="23">
        <v>28</v>
      </c>
      <c r="H893" s="23">
        <v>8</v>
      </c>
      <c r="I893" s="23">
        <v>1</v>
      </c>
      <c r="J893" s="189">
        <f t="shared" si="66"/>
        <v>0.00666390021236605</v>
      </c>
      <c r="K893" s="89">
        <f t="shared" si="67"/>
        <v>0.527664835164835</v>
      </c>
      <c r="L893" s="30">
        <f t="shared" si="70"/>
        <v>3.51630580711304</v>
      </c>
      <c r="M893" s="90">
        <f t="shared" si="68"/>
        <v>18.7662831259437</v>
      </c>
      <c r="N893" s="91">
        <f t="shared" si="69"/>
        <v>0.000915750915750916</v>
      </c>
    </row>
    <row r="894" s="2" customFormat="1" spans="1:14">
      <c r="A894" s="86">
        <v>45694</v>
      </c>
      <c r="B894" s="22">
        <v>393.58</v>
      </c>
      <c r="C894" s="29">
        <v>97288</v>
      </c>
      <c r="D894" s="29">
        <v>621</v>
      </c>
      <c r="E894" s="23">
        <v>0</v>
      </c>
      <c r="F894" s="25">
        <v>0</v>
      </c>
      <c r="G894" s="23">
        <v>26</v>
      </c>
      <c r="H894" s="23">
        <v>5</v>
      </c>
      <c r="I894" s="23">
        <v>1</v>
      </c>
      <c r="J894" s="189">
        <f t="shared" si="66"/>
        <v>0.00638310994161664</v>
      </c>
      <c r="K894" s="89">
        <f t="shared" si="67"/>
        <v>0.63378421900161</v>
      </c>
      <c r="L894" s="30">
        <f t="shared" si="70"/>
        <v>4.04551434914892</v>
      </c>
      <c r="M894" s="90">
        <f t="shared" si="68"/>
        <v>0</v>
      </c>
      <c r="N894" s="91">
        <f t="shared" si="69"/>
        <v>0</v>
      </c>
    </row>
    <row r="895" s="2" customFormat="1" spans="1:14">
      <c r="A895" s="86">
        <v>45695</v>
      </c>
      <c r="B895" s="22">
        <v>443.6</v>
      </c>
      <c r="C895" s="29">
        <v>109896</v>
      </c>
      <c r="D895" s="29">
        <v>737</v>
      </c>
      <c r="E895" s="23">
        <v>1</v>
      </c>
      <c r="F895" s="25">
        <v>11172</v>
      </c>
      <c r="G895" s="23">
        <v>27</v>
      </c>
      <c r="H895" s="23">
        <v>3</v>
      </c>
      <c r="I895" s="23">
        <v>1</v>
      </c>
      <c r="J895" s="189">
        <f t="shared" si="66"/>
        <v>0.00670634054014705</v>
      </c>
      <c r="K895" s="89">
        <f t="shared" si="67"/>
        <v>0.601899592944369</v>
      </c>
      <c r="L895" s="30">
        <f t="shared" si="70"/>
        <v>4.03654364126083</v>
      </c>
      <c r="M895" s="90">
        <f t="shared" si="68"/>
        <v>25.1848512173129</v>
      </c>
      <c r="N895" s="91">
        <f t="shared" si="69"/>
        <v>0.00135685210312076</v>
      </c>
    </row>
    <row r="896" s="2" customFormat="1" spans="1:14">
      <c r="A896" s="86">
        <v>45696</v>
      </c>
      <c r="B896" s="22">
        <v>448.08</v>
      </c>
      <c r="C896" s="29">
        <v>28722</v>
      </c>
      <c r="D896" s="29">
        <v>424</v>
      </c>
      <c r="E896" s="23">
        <v>0</v>
      </c>
      <c r="F896" s="25">
        <v>0</v>
      </c>
      <c r="G896" s="23">
        <v>42</v>
      </c>
      <c r="H896" s="23">
        <v>3</v>
      </c>
      <c r="I896" s="23">
        <v>2</v>
      </c>
      <c r="J896" s="189">
        <f t="shared" si="66"/>
        <v>0.014762203189193</v>
      </c>
      <c r="K896" s="89">
        <f t="shared" si="67"/>
        <v>1.05679245283019</v>
      </c>
      <c r="L896" s="30">
        <f t="shared" si="70"/>
        <v>15.6005849174849</v>
      </c>
      <c r="M896" s="90">
        <f t="shared" si="68"/>
        <v>0</v>
      </c>
      <c r="N896" s="91">
        <f t="shared" si="69"/>
        <v>0</v>
      </c>
    </row>
    <row r="897" s="2" customFormat="1" spans="1:14">
      <c r="A897" s="86">
        <v>45697</v>
      </c>
      <c r="B897" s="22">
        <v>460.28</v>
      </c>
      <c r="C897" s="29">
        <v>30989</v>
      </c>
      <c r="D897" s="29">
        <v>500</v>
      </c>
      <c r="E897" s="23">
        <v>0</v>
      </c>
      <c r="F897" s="25">
        <v>0</v>
      </c>
      <c r="G897" s="23">
        <v>21</v>
      </c>
      <c r="H897" s="23">
        <v>6</v>
      </c>
      <c r="I897" s="23">
        <v>3</v>
      </c>
      <c r="J897" s="189">
        <f t="shared" si="66"/>
        <v>0.0161347574945949</v>
      </c>
      <c r="K897" s="89">
        <f t="shared" si="67"/>
        <v>0.92056</v>
      </c>
      <c r="L897" s="30">
        <f t="shared" si="70"/>
        <v>14.8530123592242</v>
      </c>
      <c r="M897" s="90">
        <f t="shared" si="68"/>
        <v>0</v>
      </c>
      <c r="N897" s="91">
        <f t="shared" si="69"/>
        <v>0</v>
      </c>
    </row>
    <row r="898" s="2" customFormat="1" spans="1:14">
      <c r="A898" s="86">
        <v>45698</v>
      </c>
      <c r="B898" s="22">
        <v>440.89</v>
      </c>
      <c r="C898" s="29">
        <v>36866</v>
      </c>
      <c r="D898" s="29">
        <v>545</v>
      </c>
      <c r="E898" s="23">
        <v>0</v>
      </c>
      <c r="F898" s="25">
        <v>0</v>
      </c>
      <c r="G898" s="23">
        <v>38</v>
      </c>
      <c r="H898" s="23">
        <v>5</v>
      </c>
      <c r="I898" s="23">
        <v>1</v>
      </c>
      <c r="J898" s="189">
        <f t="shared" si="66"/>
        <v>0.0147832691368741</v>
      </c>
      <c r="K898" s="89">
        <f t="shared" si="67"/>
        <v>0.80897247706422</v>
      </c>
      <c r="L898" s="30">
        <f t="shared" si="70"/>
        <v>11.9592578527641</v>
      </c>
      <c r="M898" s="90">
        <f t="shared" si="68"/>
        <v>0</v>
      </c>
      <c r="N898" s="91">
        <f t="shared" si="69"/>
        <v>0</v>
      </c>
    </row>
    <row r="899" s="2" customFormat="1" spans="1:14">
      <c r="A899" s="86">
        <v>45699</v>
      </c>
      <c r="B899" s="22">
        <v>445.83</v>
      </c>
      <c r="C899" s="29">
        <v>23968</v>
      </c>
      <c r="D899" s="29">
        <v>441</v>
      </c>
      <c r="E899" s="23">
        <v>0</v>
      </c>
      <c r="F899" s="25">
        <v>0</v>
      </c>
      <c r="G899" s="23">
        <v>35</v>
      </c>
      <c r="H899" s="23">
        <v>1</v>
      </c>
      <c r="I899" s="23">
        <v>0</v>
      </c>
      <c r="J899" s="189">
        <f t="shared" si="66"/>
        <v>0.0183995327102804</v>
      </c>
      <c r="K899" s="89">
        <f t="shared" si="67"/>
        <v>1.01095238095238</v>
      </c>
      <c r="L899" s="30">
        <f t="shared" si="70"/>
        <v>18.6010514018692</v>
      </c>
      <c r="M899" s="90">
        <f t="shared" si="68"/>
        <v>0</v>
      </c>
      <c r="N899" s="91">
        <f t="shared" si="69"/>
        <v>0</v>
      </c>
    </row>
    <row r="900" s="2" customFormat="1" spans="1:14">
      <c r="A900" s="86">
        <v>45700</v>
      </c>
      <c r="B900" s="22">
        <v>442.46</v>
      </c>
      <c r="C900" s="29">
        <v>47169</v>
      </c>
      <c r="D900" s="29">
        <v>543</v>
      </c>
      <c r="E900" s="23">
        <v>0</v>
      </c>
      <c r="F900" s="25">
        <v>0</v>
      </c>
      <c r="G900" s="23">
        <v>27</v>
      </c>
      <c r="H900" s="23">
        <v>5</v>
      </c>
      <c r="I900" s="23">
        <v>1</v>
      </c>
      <c r="J900" s="189">
        <f t="shared" si="66"/>
        <v>0.0115117980029256</v>
      </c>
      <c r="K900" s="89">
        <f t="shared" si="67"/>
        <v>0.814843462246777</v>
      </c>
      <c r="L900" s="30">
        <f t="shared" si="70"/>
        <v>9.38031334138947</v>
      </c>
      <c r="M900" s="90">
        <f t="shared" si="68"/>
        <v>0</v>
      </c>
      <c r="N900" s="91">
        <f t="shared" si="69"/>
        <v>0</v>
      </c>
    </row>
    <row r="901" s="2" customFormat="1" spans="1:14">
      <c r="A901" s="86">
        <v>45701</v>
      </c>
      <c r="B901" s="22">
        <v>446.47</v>
      </c>
      <c r="C901" s="29">
        <v>114293</v>
      </c>
      <c r="D901" s="29">
        <v>681</v>
      </c>
      <c r="E901" s="23">
        <v>0</v>
      </c>
      <c r="F901" s="25">
        <v>0</v>
      </c>
      <c r="G901" s="23">
        <v>25</v>
      </c>
      <c r="H901" s="23">
        <v>2</v>
      </c>
      <c r="I901" s="23">
        <v>0</v>
      </c>
      <c r="J901" s="189">
        <f t="shared" si="66"/>
        <v>0.00595837015390269</v>
      </c>
      <c r="K901" s="89">
        <f t="shared" si="67"/>
        <v>0.6556093979442</v>
      </c>
      <c r="L901" s="30">
        <f t="shared" si="70"/>
        <v>3.90636346932883</v>
      </c>
      <c r="M901" s="90">
        <f t="shared" si="68"/>
        <v>0</v>
      </c>
      <c r="N901" s="91">
        <f t="shared" si="69"/>
        <v>0</v>
      </c>
    </row>
    <row r="902" s="2" customFormat="1" spans="1:14">
      <c r="A902" s="86">
        <v>45702</v>
      </c>
      <c r="B902" s="22">
        <v>440.91</v>
      </c>
      <c r="C902" s="29">
        <v>104103</v>
      </c>
      <c r="D902" s="29">
        <v>635</v>
      </c>
      <c r="E902" s="23">
        <v>0</v>
      </c>
      <c r="F902" s="25">
        <v>0</v>
      </c>
      <c r="G902" s="23">
        <v>19</v>
      </c>
      <c r="H902" s="23">
        <v>4</v>
      </c>
      <c r="I902" s="23">
        <v>1</v>
      </c>
      <c r="J902" s="189">
        <f t="shared" ref="J902:J965" si="71">D902/C902</f>
        <v>0.00609972815384763</v>
      </c>
      <c r="K902" s="89">
        <f t="shared" ref="K902:K965" si="72">B902/D902</f>
        <v>0.694346456692913</v>
      </c>
      <c r="L902" s="30">
        <f t="shared" si="70"/>
        <v>4.23532463041411</v>
      </c>
      <c r="M902" s="90">
        <f t="shared" ref="M902:M965" si="73">F902/B902</f>
        <v>0</v>
      </c>
      <c r="N902" s="91">
        <f t="shared" ref="N902:N965" si="74">E902/D902</f>
        <v>0</v>
      </c>
    </row>
    <row r="903" s="2" customFormat="1" spans="1:14">
      <c r="A903" s="86">
        <v>45703</v>
      </c>
      <c r="B903" s="22">
        <v>446.43</v>
      </c>
      <c r="C903" s="29">
        <v>86410</v>
      </c>
      <c r="D903" s="29">
        <v>576</v>
      </c>
      <c r="E903" s="23">
        <v>1</v>
      </c>
      <c r="F903" s="25">
        <v>17978</v>
      </c>
      <c r="G903" s="23">
        <v>16</v>
      </c>
      <c r="H903" s="23">
        <v>2</v>
      </c>
      <c r="I903" s="23">
        <v>0</v>
      </c>
      <c r="J903" s="189">
        <f t="shared" si="71"/>
        <v>0.00666589515102419</v>
      </c>
      <c r="K903" s="89">
        <f t="shared" si="72"/>
        <v>0.775052083333333</v>
      </c>
      <c r="L903" s="30">
        <f t="shared" si="70"/>
        <v>5.16641592408286</v>
      </c>
      <c r="M903" s="90">
        <f t="shared" si="73"/>
        <v>40.2705911341084</v>
      </c>
      <c r="N903" s="91">
        <f t="shared" si="74"/>
        <v>0.00173611111111111</v>
      </c>
    </row>
    <row r="904" s="2" customFormat="1" spans="1:14">
      <c r="A904" s="86">
        <v>45704</v>
      </c>
      <c r="B904" s="22">
        <v>469.86</v>
      </c>
      <c r="C904" s="29">
        <v>79262</v>
      </c>
      <c r="D904" s="29">
        <v>597</v>
      </c>
      <c r="E904" s="23">
        <v>0</v>
      </c>
      <c r="F904" s="25">
        <v>0</v>
      </c>
      <c r="G904" s="23">
        <v>20</v>
      </c>
      <c r="H904" s="23">
        <v>1</v>
      </c>
      <c r="I904" s="23">
        <v>0</v>
      </c>
      <c r="J904" s="189">
        <f t="shared" si="71"/>
        <v>0.00753198253892155</v>
      </c>
      <c r="K904" s="89">
        <f t="shared" si="72"/>
        <v>0.787035175879397</v>
      </c>
      <c r="L904" s="30">
        <f t="shared" si="70"/>
        <v>5.92793520224067</v>
      </c>
      <c r="M904" s="90">
        <f t="shared" si="73"/>
        <v>0</v>
      </c>
      <c r="N904" s="91">
        <f t="shared" si="74"/>
        <v>0</v>
      </c>
    </row>
    <row r="905" s="2" customFormat="1" spans="1:14">
      <c r="A905" s="86">
        <v>45705</v>
      </c>
      <c r="B905" s="22">
        <v>465.52</v>
      </c>
      <c r="C905" s="29">
        <v>84866</v>
      </c>
      <c r="D905" s="29">
        <v>588</v>
      </c>
      <c r="E905" s="23">
        <v>2</v>
      </c>
      <c r="F905" s="25">
        <v>30395.08</v>
      </c>
      <c r="G905" s="23">
        <v>27</v>
      </c>
      <c r="H905" s="23">
        <v>7</v>
      </c>
      <c r="I905" s="23">
        <v>0</v>
      </c>
      <c r="J905" s="189">
        <f t="shared" si="71"/>
        <v>0.00692856974524545</v>
      </c>
      <c r="K905" s="89">
        <f t="shared" si="72"/>
        <v>0.791700680272109</v>
      </c>
      <c r="L905" s="30">
        <f t="shared" si="70"/>
        <v>5.48535338062357</v>
      </c>
      <c r="M905" s="90">
        <f t="shared" si="73"/>
        <v>65.2927478948273</v>
      </c>
      <c r="N905" s="91">
        <f t="shared" si="74"/>
        <v>0.00340136054421769</v>
      </c>
    </row>
    <row r="906" s="2" customFormat="1" spans="1:14">
      <c r="A906" s="86">
        <v>45706</v>
      </c>
      <c r="B906" s="22">
        <v>538.12</v>
      </c>
      <c r="C906" s="29">
        <v>134350</v>
      </c>
      <c r="D906" s="29">
        <v>843</v>
      </c>
      <c r="E906" s="23">
        <v>2</v>
      </c>
      <c r="F906" s="25">
        <v>27588.24</v>
      </c>
      <c r="G906" s="23">
        <v>23</v>
      </c>
      <c r="H906" s="23">
        <v>3</v>
      </c>
      <c r="I906" s="23">
        <v>4</v>
      </c>
      <c r="J906" s="189">
        <f t="shared" si="71"/>
        <v>0.00627465574990696</v>
      </c>
      <c r="K906" s="89">
        <f t="shared" si="72"/>
        <v>0.638339264531435</v>
      </c>
      <c r="L906" s="30">
        <f t="shared" si="70"/>
        <v>4.00535913658355</v>
      </c>
      <c r="M906" s="90">
        <f t="shared" si="73"/>
        <v>51.2678213037984</v>
      </c>
      <c r="N906" s="91">
        <f t="shared" si="74"/>
        <v>0.00237247924080664</v>
      </c>
    </row>
    <row r="907" s="2" customFormat="1" spans="1:14">
      <c r="A907" s="86">
        <v>45707</v>
      </c>
      <c r="B907" s="22">
        <v>540.68</v>
      </c>
      <c r="C907" s="29">
        <v>82507</v>
      </c>
      <c r="D907" s="29">
        <v>815</v>
      </c>
      <c r="E907" s="23">
        <v>0</v>
      </c>
      <c r="F907" s="25">
        <v>0</v>
      </c>
      <c r="G907" s="23">
        <v>38</v>
      </c>
      <c r="H907" s="23">
        <v>7</v>
      </c>
      <c r="I907" s="23">
        <v>1</v>
      </c>
      <c r="J907" s="189">
        <f t="shared" si="71"/>
        <v>0.00987794974971821</v>
      </c>
      <c r="K907" s="89">
        <f t="shared" si="72"/>
        <v>0.663411042944785</v>
      </c>
      <c r="L907" s="30">
        <f t="shared" si="70"/>
        <v>6.55314094561674</v>
      </c>
      <c r="M907" s="90">
        <f t="shared" si="73"/>
        <v>0</v>
      </c>
      <c r="N907" s="91">
        <f t="shared" si="74"/>
        <v>0</v>
      </c>
    </row>
    <row r="908" s="2" customFormat="1" spans="1:14">
      <c r="A908" s="86">
        <v>45708</v>
      </c>
      <c r="B908" s="22">
        <v>542.24</v>
      </c>
      <c r="C908" s="29">
        <v>82453</v>
      </c>
      <c r="D908" s="29">
        <v>814</v>
      </c>
      <c r="E908" s="23">
        <v>2</v>
      </c>
      <c r="F908" s="25">
        <v>24346.04</v>
      </c>
      <c r="G908" s="23">
        <v>29</v>
      </c>
      <c r="H908" s="23">
        <v>4</v>
      </c>
      <c r="I908" s="23">
        <v>2</v>
      </c>
      <c r="J908" s="189">
        <f t="shared" si="71"/>
        <v>0.00987229088086546</v>
      </c>
      <c r="K908" s="89">
        <f t="shared" si="72"/>
        <v>0.666142506142506</v>
      </c>
      <c r="L908" s="30">
        <f t="shared" si="70"/>
        <v>6.57635258874753</v>
      </c>
      <c r="M908" s="90">
        <f t="shared" si="73"/>
        <v>44.8990115078194</v>
      </c>
      <c r="N908" s="91">
        <f t="shared" si="74"/>
        <v>0.00245700245700246</v>
      </c>
    </row>
    <row r="909" s="2" customFormat="1" spans="1:14">
      <c r="A909" s="86">
        <v>45709</v>
      </c>
      <c r="B909" s="22">
        <v>631.88</v>
      </c>
      <c r="C909" s="29">
        <v>94519</v>
      </c>
      <c r="D909" s="29">
        <v>810</v>
      </c>
      <c r="E909" s="23">
        <v>0</v>
      </c>
      <c r="F909" s="25">
        <v>0</v>
      </c>
      <c r="G909" s="23">
        <v>37</v>
      </c>
      <c r="H909" s="23">
        <v>6</v>
      </c>
      <c r="I909" s="23">
        <v>1</v>
      </c>
      <c r="J909" s="189">
        <f t="shared" si="71"/>
        <v>0.00856970556184471</v>
      </c>
      <c r="K909" s="89">
        <f t="shared" si="72"/>
        <v>0.780098765432099</v>
      </c>
      <c r="L909" s="30">
        <f t="shared" si="70"/>
        <v>6.68521672891165</v>
      </c>
      <c r="M909" s="90">
        <f t="shared" si="73"/>
        <v>0</v>
      </c>
      <c r="N909" s="91">
        <f t="shared" si="74"/>
        <v>0</v>
      </c>
    </row>
    <row r="910" s="2" customFormat="1" spans="1:14">
      <c r="A910" s="86">
        <v>45710</v>
      </c>
      <c r="B910" s="22">
        <v>445.56</v>
      </c>
      <c r="C910" s="29">
        <v>26354</v>
      </c>
      <c r="D910" s="29">
        <v>453</v>
      </c>
      <c r="E910" s="23">
        <v>0</v>
      </c>
      <c r="F910" s="25">
        <v>0</v>
      </c>
      <c r="G910" s="23">
        <v>32</v>
      </c>
      <c r="H910" s="23">
        <v>8</v>
      </c>
      <c r="I910" s="23">
        <v>0</v>
      </c>
      <c r="J910" s="189">
        <f t="shared" si="71"/>
        <v>0.017189041511725</v>
      </c>
      <c r="K910" s="89">
        <f t="shared" si="72"/>
        <v>0.983576158940397</v>
      </c>
      <c r="L910" s="30">
        <f t="shared" si="70"/>
        <v>16.9067314259695</v>
      </c>
      <c r="M910" s="90">
        <f t="shared" si="73"/>
        <v>0</v>
      </c>
      <c r="N910" s="91">
        <f t="shared" si="74"/>
        <v>0</v>
      </c>
    </row>
    <row r="911" s="2" customFormat="1" spans="1:14">
      <c r="A911" s="86">
        <v>45711</v>
      </c>
      <c r="B911" s="22">
        <v>440.73</v>
      </c>
      <c r="C911" s="29">
        <v>27051</v>
      </c>
      <c r="D911" s="29">
        <v>530</v>
      </c>
      <c r="E911" s="23">
        <v>0</v>
      </c>
      <c r="F911" s="25">
        <v>0</v>
      </c>
      <c r="G911" s="23">
        <v>34</v>
      </c>
      <c r="H911" s="23">
        <v>3</v>
      </c>
      <c r="I911" s="23">
        <v>0</v>
      </c>
      <c r="J911" s="189">
        <f t="shared" si="71"/>
        <v>0.0195926213448671</v>
      </c>
      <c r="K911" s="89">
        <f t="shared" si="72"/>
        <v>0.831566037735849</v>
      </c>
      <c r="L911" s="30">
        <f t="shared" si="70"/>
        <v>16.29255850061</v>
      </c>
      <c r="M911" s="90">
        <f t="shared" si="73"/>
        <v>0</v>
      </c>
      <c r="N911" s="91">
        <f t="shared" si="74"/>
        <v>0</v>
      </c>
    </row>
    <row r="912" s="2" customFormat="1" spans="1:14">
      <c r="A912" s="86">
        <v>45712</v>
      </c>
      <c r="B912" s="22">
        <v>538.33</v>
      </c>
      <c r="C912" s="29">
        <v>40522</v>
      </c>
      <c r="D912" s="29">
        <v>612</v>
      </c>
      <c r="E912" s="23">
        <v>0</v>
      </c>
      <c r="F912" s="25">
        <v>0</v>
      </c>
      <c r="G912" s="23">
        <v>47</v>
      </c>
      <c r="H912" s="23">
        <v>10</v>
      </c>
      <c r="I912" s="23">
        <v>3</v>
      </c>
      <c r="J912" s="189">
        <f t="shared" si="71"/>
        <v>0.0151029070628301</v>
      </c>
      <c r="K912" s="89">
        <f t="shared" si="72"/>
        <v>0.879624183006536</v>
      </c>
      <c r="L912" s="30">
        <f t="shared" si="70"/>
        <v>13.2848822861655</v>
      </c>
      <c r="M912" s="90">
        <f t="shared" si="73"/>
        <v>0</v>
      </c>
      <c r="N912" s="91">
        <f t="shared" si="74"/>
        <v>0</v>
      </c>
    </row>
    <row r="913" s="2" customFormat="1" spans="1:14">
      <c r="A913" s="86">
        <v>45713</v>
      </c>
      <c r="B913" s="22">
        <v>543.37</v>
      </c>
      <c r="C913" s="29">
        <v>37002</v>
      </c>
      <c r="D913" s="29">
        <v>603</v>
      </c>
      <c r="E913" s="23">
        <v>0</v>
      </c>
      <c r="F913" s="25">
        <v>0</v>
      </c>
      <c r="G913" s="23">
        <v>46</v>
      </c>
      <c r="H913" s="23">
        <v>5</v>
      </c>
      <c r="I913" s="23">
        <v>0</v>
      </c>
      <c r="J913" s="189">
        <f t="shared" si="71"/>
        <v>0.0162964164099238</v>
      </c>
      <c r="K913" s="89">
        <f t="shared" si="72"/>
        <v>0.901111111111111</v>
      </c>
      <c r="L913" s="30">
        <f t="shared" si="70"/>
        <v>14.6848818982758</v>
      </c>
      <c r="M913" s="90">
        <f t="shared" si="73"/>
        <v>0</v>
      </c>
      <c r="N913" s="91">
        <f t="shared" si="74"/>
        <v>0</v>
      </c>
    </row>
    <row r="914" s="2" customFormat="1" spans="1:14">
      <c r="A914" s="86">
        <v>45714</v>
      </c>
      <c r="B914" s="22">
        <v>733.93</v>
      </c>
      <c r="C914" s="29">
        <v>53556</v>
      </c>
      <c r="D914" s="29">
        <v>724</v>
      </c>
      <c r="E914" s="23">
        <v>0</v>
      </c>
      <c r="F914" s="25">
        <v>0</v>
      </c>
      <c r="G914" s="23">
        <v>46</v>
      </c>
      <c r="H914" s="23">
        <v>3</v>
      </c>
      <c r="I914" s="23">
        <v>4</v>
      </c>
      <c r="J914" s="189">
        <f t="shared" si="71"/>
        <v>0.0135185600119501</v>
      </c>
      <c r="K914" s="89">
        <f t="shared" si="72"/>
        <v>1.01371546961326</v>
      </c>
      <c r="L914" s="30">
        <f t="shared" si="70"/>
        <v>13.703973411009</v>
      </c>
      <c r="M914" s="90">
        <f t="shared" si="73"/>
        <v>0</v>
      </c>
      <c r="N914" s="91">
        <f t="shared" si="74"/>
        <v>0</v>
      </c>
    </row>
    <row r="915" s="2" customFormat="1" spans="1:14">
      <c r="A915" s="86">
        <v>45715</v>
      </c>
      <c r="B915" s="22">
        <v>743.03</v>
      </c>
      <c r="C915" s="29">
        <v>45599</v>
      </c>
      <c r="D915" s="29">
        <v>604</v>
      </c>
      <c r="E915" s="23">
        <v>0</v>
      </c>
      <c r="F915" s="25">
        <v>0</v>
      </c>
      <c r="G915" s="23">
        <v>24</v>
      </c>
      <c r="H915" s="23">
        <v>6</v>
      </c>
      <c r="I915" s="23">
        <v>3</v>
      </c>
      <c r="J915" s="189">
        <f t="shared" si="71"/>
        <v>0.0132459045154499</v>
      </c>
      <c r="K915" s="89">
        <f t="shared" si="72"/>
        <v>1.2301821192053</v>
      </c>
      <c r="L915" s="30">
        <f t="shared" si="70"/>
        <v>16.2948748876072</v>
      </c>
      <c r="M915" s="90">
        <f t="shared" si="73"/>
        <v>0</v>
      </c>
      <c r="N915" s="91">
        <f t="shared" si="74"/>
        <v>0</v>
      </c>
    </row>
    <row r="916" s="2" customFormat="1" spans="1:14">
      <c r="A916" s="86">
        <v>45716</v>
      </c>
      <c r="B916" s="22">
        <v>737.08</v>
      </c>
      <c r="C916" s="29">
        <v>54722</v>
      </c>
      <c r="D916" s="29">
        <v>575</v>
      </c>
      <c r="E916" s="23">
        <v>0</v>
      </c>
      <c r="F916" s="25">
        <v>0</v>
      </c>
      <c r="G916" s="23">
        <v>26</v>
      </c>
      <c r="H916" s="23">
        <v>7</v>
      </c>
      <c r="I916" s="23">
        <v>2</v>
      </c>
      <c r="J916" s="189">
        <f t="shared" si="71"/>
        <v>0.0105076568838858</v>
      </c>
      <c r="K916" s="89">
        <f t="shared" si="72"/>
        <v>1.28187826086957</v>
      </c>
      <c r="L916" s="30">
        <f t="shared" si="70"/>
        <v>13.4695369321297</v>
      </c>
      <c r="M916" s="90">
        <f t="shared" si="73"/>
        <v>0</v>
      </c>
      <c r="N916" s="91">
        <f t="shared" si="74"/>
        <v>0</v>
      </c>
    </row>
    <row r="917" s="2" customFormat="1" spans="1:14">
      <c r="A917" s="86">
        <v>45717</v>
      </c>
      <c r="B917" s="22">
        <v>744.97</v>
      </c>
      <c r="C917" s="29">
        <v>50330</v>
      </c>
      <c r="D917" s="29">
        <v>564</v>
      </c>
      <c r="E917" s="23">
        <v>2</v>
      </c>
      <c r="F917" s="25">
        <v>18594</v>
      </c>
      <c r="G917" s="23">
        <v>14</v>
      </c>
      <c r="H917" s="23">
        <v>3</v>
      </c>
      <c r="I917" s="23">
        <v>0</v>
      </c>
      <c r="J917" s="189">
        <f t="shared" si="71"/>
        <v>0.0112060401351083</v>
      </c>
      <c r="K917" s="89">
        <f t="shared" si="72"/>
        <v>1.32086879432624</v>
      </c>
      <c r="L917" s="30">
        <f t="shared" si="70"/>
        <v>14.801708722432</v>
      </c>
      <c r="M917" s="90">
        <f t="shared" si="73"/>
        <v>24.959394338027</v>
      </c>
      <c r="N917" s="91">
        <f t="shared" si="74"/>
        <v>0.00354609929078014</v>
      </c>
    </row>
    <row r="918" s="2" customFormat="1" spans="1:14">
      <c r="A918" s="86">
        <v>45718</v>
      </c>
      <c r="B918" s="22">
        <v>746.74</v>
      </c>
      <c r="C918" s="29">
        <v>53955</v>
      </c>
      <c r="D918" s="29">
        <v>625</v>
      </c>
      <c r="E918" s="23">
        <v>0</v>
      </c>
      <c r="F918" s="25">
        <v>0</v>
      </c>
      <c r="G918" s="23">
        <v>40</v>
      </c>
      <c r="H918" s="23">
        <v>5</v>
      </c>
      <c r="I918" s="23">
        <v>0</v>
      </c>
      <c r="J918" s="189">
        <f t="shared" si="71"/>
        <v>0.0115837271800575</v>
      </c>
      <c r="K918" s="89">
        <f t="shared" si="72"/>
        <v>1.194784</v>
      </c>
      <c r="L918" s="30">
        <f t="shared" si="70"/>
        <v>13.8400518950978</v>
      </c>
      <c r="M918" s="90">
        <f t="shared" si="73"/>
        <v>0</v>
      </c>
      <c r="N918" s="91">
        <f t="shared" si="74"/>
        <v>0</v>
      </c>
    </row>
    <row r="919" s="2" customFormat="1" spans="1:14">
      <c r="A919" s="86">
        <v>45719</v>
      </c>
      <c r="B919" s="22">
        <v>745.88</v>
      </c>
      <c r="C919" s="29">
        <v>55335</v>
      </c>
      <c r="D919" s="29">
        <v>594</v>
      </c>
      <c r="E919" s="23">
        <v>2</v>
      </c>
      <c r="F919" s="25">
        <v>20619</v>
      </c>
      <c r="G919" s="23">
        <v>27</v>
      </c>
      <c r="H919" s="23">
        <v>6</v>
      </c>
      <c r="I919" s="23">
        <v>3</v>
      </c>
      <c r="J919" s="189">
        <f t="shared" si="71"/>
        <v>0.010734616427216</v>
      </c>
      <c r="K919" s="89">
        <f t="shared" si="72"/>
        <v>1.25569023569024</v>
      </c>
      <c r="L919" s="30">
        <f t="shared" si="70"/>
        <v>13.4793530315352</v>
      </c>
      <c r="M919" s="90">
        <f t="shared" si="73"/>
        <v>27.6438569206843</v>
      </c>
      <c r="N919" s="91">
        <f t="shared" si="74"/>
        <v>0.00336700336700337</v>
      </c>
    </row>
    <row r="920" s="2" customFormat="1" spans="1:14">
      <c r="A920" s="86">
        <v>45720</v>
      </c>
      <c r="B920" s="22">
        <v>744.48</v>
      </c>
      <c r="C920" s="29">
        <v>48044</v>
      </c>
      <c r="D920" s="29">
        <v>591</v>
      </c>
      <c r="E920" s="23">
        <v>0</v>
      </c>
      <c r="F920" s="25">
        <v>0</v>
      </c>
      <c r="G920" s="23">
        <v>21</v>
      </c>
      <c r="H920" s="23">
        <v>5</v>
      </c>
      <c r="I920" s="23">
        <v>1</v>
      </c>
      <c r="J920" s="189">
        <f t="shared" si="71"/>
        <v>0.0123012238781117</v>
      </c>
      <c r="K920" s="89">
        <f t="shared" si="72"/>
        <v>1.25969543147208</v>
      </c>
      <c r="L920" s="30">
        <f t="shared" si="70"/>
        <v>15.4957955207726</v>
      </c>
      <c r="M920" s="90">
        <f t="shared" si="73"/>
        <v>0</v>
      </c>
      <c r="N920" s="91">
        <f t="shared" si="74"/>
        <v>0</v>
      </c>
    </row>
    <row r="921" s="2" customFormat="1" spans="1:14">
      <c r="A921" s="86">
        <v>45721</v>
      </c>
      <c r="B921" s="22">
        <v>741.04</v>
      </c>
      <c r="C921" s="29">
        <v>33719</v>
      </c>
      <c r="D921" s="29">
        <v>476</v>
      </c>
      <c r="E921" s="23">
        <v>5</v>
      </c>
      <c r="F921" s="25">
        <v>39790.01</v>
      </c>
      <c r="G921" s="23">
        <v>23</v>
      </c>
      <c r="H921" s="23">
        <v>2</v>
      </c>
      <c r="I921" s="23">
        <v>1</v>
      </c>
      <c r="J921" s="189">
        <f t="shared" si="71"/>
        <v>0.0141166701266348</v>
      </c>
      <c r="K921" s="89">
        <f t="shared" si="72"/>
        <v>1.55680672268908</v>
      </c>
      <c r="L921" s="30">
        <f t="shared" si="70"/>
        <v>21.9769269551292</v>
      </c>
      <c r="M921" s="90">
        <f t="shared" si="73"/>
        <v>53.6948207923999</v>
      </c>
      <c r="N921" s="91">
        <f t="shared" si="74"/>
        <v>0.0105042016806723</v>
      </c>
    </row>
    <row r="922" s="2" customFormat="1" spans="1:14">
      <c r="A922" s="86">
        <v>45722</v>
      </c>
      <c r="B922" s="22">
        <v>736.91</v>
      </c>
      <c r="C922" s="29">
        <v>40296</v>
      </c>
      <c r="D922" s="29">
        <v>482</v>
      </c>
      <c r="E922" s="23">
        <v>0</v>
      </c>
      <c r="F922" s="25">
        <v>0</v>
      </c>
      <c r="G922" s="23">
        <v>17</v>
      </c>
      <c r="H922" s="23">
        <v>2</v>
      </c>
      <c r="I922" s="23">
        <v>1</v>
      </c>
      <c r="J922" s="189">
        <f t="shared" si="71"/>
        <v>0.0119614850109192</v>
      </c>
      <c r="K922" s="89">
        <f t="shared" si="72"/>
        <v>1.52885892116183</v>
      </c>
      <c r="L922" s="30">
        <f t="shared" si="70"/>
        <v>18.2874230692873</v>
      </c>
      <c r="M922" s="90">
        <f t="shared" si="73"/>
        <v>0</v>
      </c>
      <c r="N922" s="91">
        <f t="shared" si="74"/>
        <v>0</v>
      </c>
    </row>
    <row r="923" s="2" customFormat="1" spans="1:14">
      <c r="A923" s="86">
        <v>45723</v>
      </c>
      <c r="B923" s="22">
        <v>745.62</v>
      </c>
      <c r="C923" s="29">
        <v>39905</v>
      </c>
      <c r="D923" s="29">
        <v>446</v>
      </c>
      <c r="E923" s="23">
        <v>1</v>
      </c>
      <c r="F923" s="25">
        <v>4798</v>
      </c>
      <c r="G923" s="23">
        <v>26</v>
      </c>
      <c r="H923" s="23">
        <v>1</v>
      </c>
      <c r="I923" s="23">
        <v>3</v>
      </c>
      <c r="J923" s="189">
        <f t="shared" si="71"/>
        <v>0.0111765442926952</v>
      </c>
      <c r="K923" s="89">
        <f t="shared" si="72"/>
        <v>1.67179372197309</v>
      </c>
      <c r="L923" s="30">
        <f t="shared" si="70"/>
        <v>18.684876581882</v>
      </c>
      <c r="M923" s="90">
        <f t="shared" si="73"/>
        <v>6.43491322657654</v>
      </c>
      <c r="N923" s="91">
        <f t="shared" si="74"/>
        <v>0.00224215246636771</v>
      </c>
    </row>
    <row r="924" s="2" customFormat="1" spans="1:14">
      <c r="A924" s="86">
        <v>45724</v>
      </c>
      <c r="B924" s="22">
        <v>743.05</v>
      </c>
      <c r="C924" s="29">
        <v>30762</v>
      </c>
      <c r="D924" s="29">
        <v>378</v>
      </c>
      <c r="E924" s="23">
        <v>1</v>
      </c>
      <c r="F924" s="25">
        <v>5264</v>
      </c>
      <c r="G924" s="23">
        <v>27</v>
      </c>
      <c r="H924" s="23">
        <v>6</v>
      </c>
      <c r="I924" s="23">
        <v>3</v>
      </c>
      <c r="J924" s="189">
        <f t="shared" si="71"/>
        <v>0.0122878876535986</v>
      </c>
      <c r="K924" s="89">
        <f t="shared" si="72"/>
        <v>1.96574074074074</v>
      </c>
      <c r="L924" s="30">
        <f t="shared" si="70"/>
        <v>24.1548013783239</v>
      </c>
      <c r="M924" s="90">
        <f t="shared" si="73"/>
        <v>7.08431464908149</v>
      </c>
      <c r="N924" s="91">
        <f t="shared" si="74"/>
        <v>0.00264550264550265</v>
      </c>
    </row>
    <row r="925" s="2" customFormat="1" spans="1:14">
      <c r="A925" s="86">
        <v>45725</v>
      </c>
      <c r="B925" s="22">
        <v>732.33</v>
      </c>
      <c r="C925" s="29">
        <v>63020</v>
      </c>
      <c r="D925" s="29">
        <v>623</v>
      </c>
      <c r="E925" s="23">
        <v>1</v>
      </c>
      <c r="F925" s="25">
        <v>11954</v>
      </c>
      <c r="G925" s="23">
        <v>18</v>
      </c>
      <c r="H925" s="23">
        <v>4</v>
      </c>
      <c r="I925" s="23">
        <v>3</v>
      </c>
      <c r="J925" s="189">
        <f t="shared" si="71"/>
        <v>0.00988575055537924</v>
      </c>
      <c r="K925" s="89">
        <f t="shared" si="72"/>
        <v>1.17548956661316</v>
      </c>
      <c r="L925" s="30">
        <f t="shared" si="70"/>
        <v>11.6205966359886</v>
      </c>
      <c r="M925" s="90">
        <f t="shared" si="73"/>
        <v>16.323242254175</v>
      </c>
      <c r="N925" s="91">
        <f t="shared" si="74"/>
        <v>0.00160513643659711</v>
      </c>
    </row>
    <row r="926" s="2" customFormat="1" spans="1:14">
      <c r="A926" s="86">
        <v>45726</v>
      </c>
      <c r="B926" s="22">
        <v>736.66</v>
      </c>
      <c r="C926" s="29">
        <v>74815</v>
      </c>
      <c r="D926" s="29">
        <v>619</v>
      </c>
      <c r="E926" s="23">
        <v>2</v>
      </c>
      <c r="F926" s="25">
        <v>18594</v>
      </c>
      <c r="G926" s="23">
        <v>23</v>
      </c>
      <c r="H926" s="23">
        <v>2</v>
      </c>
      <c r="I926" s="23">
        <v>0</v>
      </c>
      <c r="J926" s="189">
        <f t="shared" si="71"/>
        <v>0.00827374189667847</v>
      </c>
      <c r="K926" s="89">
        <f t="shared" si="72"/>
        <v>1.19008077544426</v>
      </c>
      <c r="L926" s="30">
        <f t="shared" si="70"/>
        <v>9.84642117222482</v>
      </c>
      <c r="M926" s="90">
        <f t="shared" si="73"/>
        <v>25.2409524068091</v>
      </c>
      <c r="N926" s="91">
        <f t="shared" si="74"/>
        <v>0.00323101777059774</v>
      </c>
    </row>
    <row r="927" s="2" customFormat="1" spans="1:14">
      <c r="A927" s="86">
        <v>45727</v>
      </c>
      <c r="B927" s="22">
        <v>745.73</v>
      </c>
      <c r="C927" s="29">
        <v>53144</v>
      </c>
      <c r="D927" s="29">
        <v>616</v>
      </c>
      <c r="E927" s="23">
        <v>0</v>
      </c>
      <c r="F927" s="25">
        <v>0</v>
      </c>
      <c r="G927" s="23">
        <v>14</v>
      </c>
      <c r="H927" s="23">
        <v>2</v>
      </c>
      <c r="I927" s="23">
        <v>3</v>
      </c>
      <c r="J927" s="189">
        <f t="shared" si="71"/>
        <v>0.0115911485774499</v>
      </c>
      <c r="K927" s="89">
        <f t="shared" si="72"/>
        <v>1.21060064935065</v>
      </c>
      <c r="L927" s="30">
        <f t="shared" si="70"/>
        <v>14.0322519945808</v>
      </c>
      <c r="M927" s="90">
        <f t="shared" si="73"/>
        <v>0</v>
      </c>
      <c r="N927" s="91">
        <f t="shared" si="74"/>
        <v>0</v>
      </c>
    </row>
    <row r="928" s="2" customFormat="1" spans="1:14">
      <c r="A928" s="86">
        <v>45728</v>
      </c>
      <c r="B928" s="22">
        <v>736.34</v>
      </c>
      <c r="C928" s="29">
        <v>60282</v>
      </c>
      <c r="D928" s="29">
        <v>670</v>
      </c>
      <c r="E928" s="23">
        <v>0</v>
      </c>
      <c r="F928" s="25">
        <v>0</v>
      </c>
      <c r="G928" s="23">
        <v>34</v>
      </c>
      <c r="H928" s="23">
        <v>2</v>
      </c>
      <c r="I928" s="23">
        <v>2</v>
      </c>
      <c r="J928" s="189">
        <f t="shared" si="71"/>
        <v>0.0111144288510667</v>
      </c>
      <c r="K928" s="89">
        <f t="shared" si="72"/>
        <v>1.09901492537313</v>
      </c>
      <c r="L928" s="30">
        <f t="shared" si="70"/>
        <v>12.21492319432</v>
      </c>
      <c r="M928" s="90">
        <f t="shared" si="73"/>
        <v>0</v>
      </c>
      <c r="N928" s="91">
        <f t="shared" si="74"/>
        <v>0</v>
      </c>
    </row>
    <row r="929" s="2" customFormat="1" spans="1:14">
      <c r="A929" s="86">
        <v>45729</v>
      </c>
      <c r="B929" s="22">
        <v>734.43</v>
      </c>
      <c r="C929" s="29">
        <v>80274</v>
      </c>
      <c r="D929" s="29">
        <v>798</v>
      </c>
      <c r="E929" s="23">
        <v>1</v>
      </c>
      <c r="F929" s="25">
        <v>10972</v>
      </c>
      <c r="G929" s="23">
        <v>38</v>
      </c>
      <c r="H929" s="23">
        <v>6</v>
      </c>
      <c r="I929" s="23">
        <v>0</v>
      </c>
      <c r="J929" s="189">
        <f t="shared" si="71"/>
        <v>0.00994095223858285</v>
      </c>
      <c r="K929" s="89">
        <f t="shared" si="72"/>
        <v>0.920338345864662</v>
      </c>
      <c r="L929" s="30">
        <f t="shared" si="70"/>
        <v>9.14903953957695</v>
      </c>
      <c r="M929" s="90">
        <f t="shared" si="73"/>
        <v>14.9394768732214</v>
      </c>
      <c r="N929" s="91">
        <f t="shared" si="74"/>
        <v>0.0012531328320802</v>
      </c>
    </row>
    <row r="930" s="2" customFormat="1" spans="1:14">
      <c r="A930" s="86">
        <v>45730</v>
      </c>
      <c r="B930" s="22">
        <v>741.65</v>
      </c>
      <c r="C930" s="29">
        <v>69582</v>
      </c>
      <c r="D930" s="29">
        <v>713</v>
      </c>
      <c r="E930" s="23">
        <v>1</v>
      </c>
      <c r="F930" s="25">
        <v>8814</v>
      </c>
      <c r="G930" s="23">
        <v>33</v>
      </c>
      <c r="H930" s="23">
        <v>10</v>
      </c>
      <c r="I930" s="23">
        <v>1</v>
      </c>
      <c r="J930" s="189">
        <f t="shared" si="71"/>
        <v>0.010246902934667</v>
      </c>
      <c r="K930" s="89">
        <f t="shared" si="72"/>
        <v>1.04018232819074</v>
      </c>
      <c r="L930" s="30">
        <f t="shared" si="70"/>
        <v>10.6586473513265</v>
      </c>
      <c r="M930" s="90">
        <f t="shared" si="73"/>
        <v>11.8843120070114</v>
      </c>
      <c r="N930" s="91">
        <f t="shared" si="74"/>
        <v>0.00140252454417952</v>
      </c>
    </row>
    <row r="931" s="2" customFormat="1" spans="1:14">
      <c r="A931" s="86">
        <v>45731</v>
      </c>
      <c r="B931" s="22">
        <v>741.43</v>
      </c>
      <c r="C931" s="29">
        <v>54541</v>
      </c>
      <c r="D931" s="29">
        <v>629</v>
      </c>
      <c r="E931" s="23">
        <v>0</v>
      </c>
      <c r="F931" s="25">
        <v>0</v>
      </c>
      <c r="G931" s="23">
        <v>22</v>
      </c>
      <c r="H931" s="23">
        <v>3</v>
      </c>
      <c r="I931" s="23">
        <v>2</v>
      </c>
      <c r="J931" s="189">
        <f t="shared" si="71"/>
        <v>0.0115326084963605</v>
      </c>
      <c r="K931" s="89">
        <f t="shared" si="72"/>
        <v>1.1787440381558</v>
      </c>
      <c r="L931" s="30">
        <f t="shared" si="70"/>
        <v>13.5939935094699</v>
      </c>
      <c r="M931" s="90">
        <f t="shared" si="73"/>
        <v>0</v>
      </c>
      <c r="N931" s="91">
        <f t="shared" si="74"/>
        <v>0</v>
      </c>
    </row>
    <row r="932" s="2" customFormat="1" spans="1:14">
      <c r="A932" s="86">
        <v>45732</v>
      </c>
      <c r="B932" s="22">
        <v>743.83</v>
      </c>
      <c r="C932" s="29">
        <v>77428</v>
      </c>
      <c r="D932" s="29">
        <v>823</v>
      </c>
      <c r="E932" s="23">
        <v>1</v>
      </c>
      <c r="F932" s="25">
        <v>9297</v>
      </c>
      <c r="G932" s="23">
        <v>26</v>
      </c>
      <c r="H932" s="23">
        <v>7</v>
      </c>
      <c r="I932" s="23">
        <v>3</v>
      </c>
      <c r="J932" s="189">
        <f t="shared" si="71"/>
        <v>0.0106292297360128</v>
      </c>
      <c r="K932" s="89">
        <f t="shared" si="72"/>
        <v>0.903803159173755</v>
      </c>
      <c r="L932" s="30">
        <f t="shared" si="70"/>
        <v>9.60673141499199</v>
      </c>
      <c r="M932" s="90">
        <f t="shared" si="73"/>
        <v>12.4988236559429</v>
      </c>
      <c r="N932" s="91">
        <f t="shared" si="74"/>
        <v>0.00121506682867558</v>
      </c>
    </row>
    <row r="933" s="2" customFormat="1" spans="1:14">
      <c r="A933" s="86">
        <v>45733</v>
      </c>
      <c r="B933" s="22">
        <v>836.9</v>
      </c>
      <c r="C933" s="29">
        <v>80400</v>
      </c>
      <c r="D933" s="29">
        <v>677</v>
      </c>
      <c r="E933" s="23">
        <v>0</v>
      </c>
      <c r="F933" s="25">
        <v>0</v>
      </c>
      <c r="G933" s="23">
        <v>16</v>
      </c>
      <c r="H933" s="23">
        <v>5</v>
      </c>
      <c r="I933" s="23">
        <v>1</v>
      </c>
      <c r="J933" s="189">
        <f t="shared" si="71"/>
        <v>0.00842039800995025</v>
      </c>
      <c r="K933" s="89">
        <f t="shared" si="72"/>
        <v>1.23618906942393</v>
      </c>
      <c r="L933" s="30">
        <f t="shared" si="70"/>
        <v>10.4092039800995</v>
      </c>
      <c r="M933" s="90">
        <f t="shared" si="73"/>
        <v>0</v>
      </c>
      <c r="N933" s="91">
        <f t="shared" si="74"/>
        <v>0</v>
      </c>
    </row>
    <row r="934" s="2" customFormat="1" spans="1:14">
      <c r="A934" s="86">
        <v>45734</v>
      </c>
      <c r="B934" s="22">
        <v>876.25</v>
      </c>
      <c r="C934" s="29">
        <v>59366</v>
      </c>
      <c r="D934" s="29">
        <v>623</v>
      </c>
      <c r="E934" s="23">
        <v>1</v>
      </c>
      <c r="F934" s="25">
        <v>12504</v>
      </c>
      <c r="G934" s="23">
        <v>21</v>
      </c>
      <c r="H934" s="23">
        <v>4</v>
      </c>
      <c r="I934" s="23">
        <v>1</v>
      </c>
      <c r="J934" s="189">
        <f t="shared" si="71"/>
        <v>0.0104942222821143</v>
      </c>
      <c r="K934" s="89">
        <f t="shared" si="72"/>
        <v>1.40650080256822</v>
      </c>
      <c r="L934" s="30">
        <f t="shared" si="70"/>
        <v>14.7601320621231</v>
      </c>
      <c r="M934" s="90">
        <f t="shared" si="73"/>
        <v>14.2699001426534</v>
      </c>
      <c r="N934" s="91">
        <f t="shared" si="74"/>
        <v>0.00160513643659711</v>
      </c>
    </row>
    <row r="935" s="2" customFormat="1" spans="1:14">
      <c r="A935" s="86">
        <v>45735</v>
      </c>
      <c r="B935" s="22">
        <v>890.02</v>
      </c>
      <c r="C935" s="29">
        <v>63947</v>
      </c>
      <c r="D935" s="29">
        <v>794</v>
      </c>
      <c r="E935" s="23">
        <v>0</v>
      </c>
      <c r="F935" s="25">
        <v>0</v>
      </c>
      <c r="G935" s="23">
        <v>38</v>
      </c>
      <c r="H935" s="23">
        <v>5</v>
      </c>
      <c r="I935" s="23">
        <v>2</v>
      </c>
      <c r="J935" s="189">
        <f t="shared" si="71"/>
        <v>0.0124165324409276</v>
      </c>
      <c r="K935" s="89">
        <f t="shared" si="72"/>
        <v>1.12093198992443</v>
      </c>
      <c r="L935" s="30">
        <f t="shared" si="70"/>
        <v>13.9180884169703</v>
      </c>
      <c r="M935" s="90">
        <f t="shared" si="73"/>
        <v>0</v>
      </c>
      <c r="N935" s="91">
        <f t="shared" si="74"/>
        <v>0</v>
      </c>
    </row>
    <row r="936" s="2" customFormat="1" spans="1:14">
      <c r="A936" s="86">
        <v>45736</v>
      </c>
      <c r="B936" s="22">
        <v>887.66</v>
      </c>
      <c r="C936" s="29">
        <v>44936</v>
      </c>
      <c r="D936" s="29">
        <v>579</v>
      </c>
      <c r="E936" s="23">
        <v>0</v>
      </c>
      <c r="F936" s="25">
        <v>0</v>
      </c>
      <c r="G936" s="23">
        <v>24</v>
      </c>
      <c r="H936" s="23">
        <v>6</v>
      </c>
      <c r="I936" s="23">
        <v>1</v>
      </c>
      <c r="J936" s="189">
        <f t="shared" si="71"/>
        <v>0.012884991988606</v>
      </c>
      <c r="K936" s="89">
        <f t="shared" si="72"/>
        <v>1.53309153713299</v>
      </c>
      <c r="L936" s="30">
        <f t="shared" si="70"/>
        <v>19.7538721737582</v>
      </c>
      <c r="M936" s="90">
        <f t="shared" si="73"/>
        <v>0</v>
      </c>
      <c r="N936" s="91">
        <f t="shared" si="74"/>
        <v>0</v>
      </c>
    </row>
    <row r="937" s="2" customFormat="1" spans="1:14">
      <c r="A937" s="86">
        <v>45737</v>
      </c>
      <c r="B937" s="22">
        <v>890.57</v>
      </c>
      <c r="C937" s="29">
        <v>64739</v>
      </c>
      <c r="D937" s="29">
        <v>685</v>
      </c>
      <c r="E937" s="23">
        <v>5</v>
      </c>
      <c r="F937" s="25">
        <v>80334</v>
      </c>
      <c r="G937" s="23">
        <v>21</v>
      </c>
      <c r="H937" s="23">
        <v>2</v>
      </c>
      <c r="I937" s="23">
        <v>3</v>
      </c>
      <c r="J937" s="189">
        <f t="shared" si="71"/>
        <v>0.0105809481147376</v>
      </c>
      <c r="K937" s="89">
        <f t="shared" si="72"/>
        <v>1.30010218978102</v>
      </c>
      <c r="L937" s="30">
        <f t="shared" ref="L937:L1000" si="75">B937/C937*1000</f>
        <v>13.7563138139298</v>
      </c>
      <c r="M937" s="90">
        <f t="shared" si="73"/>
        <v>90.2051495109873</v>
      </c>
      <c r="N937" s="91">
        <f t="shared" si="74"/>
        <v>0.0072992700729927</v>
      </c>
    </row>
    <row r="938" s="2" customFormat="1" spans="1:14">
      <c r="A938" s="86">
        <v>45738</v>
      </c>
      <c r="B938" s="22">
        <v>887.84</v>
      </c>
      <c r="C938" s="29">
        <v>60363</v>
      </c>
      <c r="D938" s="29">
        <v>684</v>
      </c>
      <c r="E938" s="23">
        <v>0</v>
      </c>
      <c r="F938" s="25">
        <v>0</v>
      </c>
      <c r="G938" s="23">
        <v>27</v>
      </c>
      <c r="H938" s="23">
        <v>5</v>
      </c>
      <c r="I938" s="23">
        <v>2</v>
      </c>
      <c r="J938" s="189">
        <f t="shared" si="71"/>
        <v>0.0113314447592068</v>
      </c>
      <c r="K938" s="89">
        <f t="shared" si="72"/>
        <v>1.29801169590643</v>
      </c>
      <c r="L938" s="30">
        <f t="shared" si="75"/>
        <v>14.7083478289681</v>
      </c>
      <c r="M938" s="90">
        <f t="shared" si="73"/>
        <v>0</v>
      </c>
      <c r="N938" s="91">
        <f t="shared" si="74"/>
        <v>0</v>
      </c>
    </row>
    <row r="939" s="2" customFormat="1" spans="1:14">
      <c r="A939" s="86">
        <v>45739</v>
      </c>
      <c r="B939" s="22">
        <v>887.46</v>
      </c>
      <c r="C939" s="29">
        <v>49368</v>
      </c>
      <c r="D939" s="29">
        <v>658</v>
      </c>
      <c r="E939" s="23">
        <v>1</v>
      </c>
      <c r="F939" s="25">
        <v>6254</v>
      </c>
      <c r="G939" s="23">
        <v>16</v>
      </c>
      <c r="H939" s="23">
        <v>5</v>
      </c>
      <c r="I939" s="23">
        <v>4</v>
      </c>
      <c r="J939" s="189">
        <f t="shared" si="71"/>
        <v>0.0133284718846216</v>
      </c>
      <c r="K939" s="89">
        <f t="shared" si="72"/>
        <v>1.34872340425532</v>
      </c>
      <c r="L939" s="30">
        <f t="shared" si="75"/>
        <v>17.9764219737482</v>
      </c>
      <c r="M939" s="90">
        <f t="shared" si="73"/>
        <v>7.04707817817141</v>
      </c>
      <c r="N939" s="91">
        <f t="shared" si="74"/>
        <v>0.00151975683890578</v>
      </c>
    </row>
    <row r="940" s="2" customFormat="1" spans="1:14">
      <c r="A940" s="86">
        <v>45740</v>
      </c>
      <c r="B940" s="22">
        <v>871.6</v>
      </c>
      <c r="C940" s="29">
        <v>58274</v>
      </c>
      <c r="D940" s="29">
        <v>667</v>
      </c>
      <c r="E940" s="23">
        <v>1</v>
      </c>
      <c r="F940" s="25">
        <v>6604</v>
      </c>
      <c r="G940" s="23">
        <v>23</v>
      </c>
      <c r="H940" s="23">
        <v>4</v>
      </c>
      <c r="I940" s="23">
        <v>4</v>
      </c>
      <c r="J940" s="189">
        <f t="shared" si="71"/>
        <v>0.0114459278580499</v>
      </c>
      <c r="K940" s="89">
        <f t="shared" si="72"/>
        <v>1.30674662668666</v>
      </c>
      <c r="L940" s="30">
        <f t="shared" si="75"/>
        <v>14.9569276178055</v>
      </c>
      <c r="M940" s="90">
        <f t="shared" si="73"/>
        <v>7.57687012391005</v>
      </c>
      <c r="N940" s="91">
        <f t="shared" si="74"/>
        <v>0.00149925037481259</v>
      </c>
    </row>
    <row r="941" s="2" customFormat="1" spans="1:14">
      <c r="A941" s="86">
        <v>45741</v>
      </c>
      <c r="B941" s="22">
        <v>1516.48</v>
      </c>
      <c r="C941" s="29">
        <v>154184</v>
      </c>
      <c r="D941" s="29">
        <v>1306</v>
      </c>
      <c r="E941" s="23">
        <v>0</v>
      </c>
      <c r="F941" s="25">
        <v>0</v>
      </c>
      <c r="G941" s="23">
        <v>37</v>
      </c>
      <c r="H941" s="23">
        <v>15</v>
      </c>
      <c r="I941" s="23">
        <v>2</v>
      </c>
      <c r="J941" s="189">
        <f t="shared" si="71"/>
        <v>0.00847039900378768</v>
      </c>
      <c r="K941" s="89">
        <f t="shared" si="72"/>
        <v>1.16116385911179</v>
      </c>
      <c r="L941" s="30">
        <f t="shared" si="75"/>
        <v>9.83552119545478</v>
      </c>
      <c r="M941" s="90">
        <f t="shared" si="73"/>
        <v>0</v>
      </c>
      <c r="N941" s="91">
        <f t="shared" si="74"/>
        <v>0</v>
      </c>
    </row>
    <row r="942" s="2" customFormat="1" spans="1:14">
      <c r="A942" s="86">
        <v>45742</v>
      </c>
      <c r="B942" s="22">
        <v>1578.3</v>
      </c>
      <c r="C942" s="29">
        <v>294186</v>
      </c>
      <c r="D942" s="29">
        <v>1726</v>
      </c>
      <c r="E942" s="23">
        <v>0</v>
      </c>
      <c r="F942" s="25">
        <v>0</v>
      </c>
      <c r="G942" s="23">
        <v>32</v>
      </c>
      <c r="H942" s="23">
        <v>10</v>
      </c>
      <c r="I942" s="23">
        <v>2</v>
      </c>
      <c r="J942" s="189">
        <f t="shared" si="71"/>
        <v>0.00586703650071723</v>
      </c>
      <c r="K942" s="89">
        <f t="shared" si="72"/>
        <v>0.914426419466976</v>
      </c>
      <c r="L942" s="30">
        <f t="shared" si="75"/>
        <v>5.36497318023291</v>
      </c>
      <c r="M942" s="90">
        <f t="shared" si="73"/>
        <v>0</v>
      </c>
      <c r="N942" s="91">
        <f t="shared" si="74"/>
        <v>0</v>
      </c>
    </row>
    <row r="943" s="2" customFormat="1" spans="1:14">
      <c r="A943" s="86">
        <v>45743</v>
      </c>
      <c r="B943" s="22">
        <v>1582.71</v>
      </c>
      <c r="C943" s="29">
        <v>207778</v>
      </c>
      <c r="D943" s="29">
        <v>1571</v>
      </c>
      <c r="E943" s="23">
        <v>1</v>
      </c>
      <c r="F943" s="25">
        <v>8198</v>
      </c>
      <c r="G943" s="23">
        <v>51</v>
      </c>
      <c r="H943" s="23">
        <v>9</v>
      </c>
      <c r="I943" s="23">
        <v>4</v>
      </c>
      <c r="J943" s="189">
        <f t="shared" si="71"/>
        <v>0.00756095448026259</v>
      </c>
      <c r="K943" s="89">
        <f t="shared" si="72"/>
        <v>1.00745385105029</v>
      </c>
      <c r="L943" s="30">
        <f t="shared" si="75"/>
        <v>7.61731270875646</v>
      </c>
      <c r="M943" s="90">
        <f t="shared" si="73"/>
        <v>5.17972338583821</v>
      </c>
      <c r="N943" s="91">
        <f t="shared" si="74"/>
        <v>0.00063653723742839</v>
      </c>
    </row>
    <row r="944" s="2" customFormat="1" spans="1:14">
      <c r="A944" s="86">
        <v>45744</v>
      </c>
      <c r="B944" s="22">
        <v>1538.16</v>
      </c>
      <c r="C944" s="29">
        <v>150079</v>
      </c>
      <c r="D944" s="29">
        <v>1387</v>
      </c>
      <c r="E944" s="23">
        <v>4</v>
      </c>
      <c r="F944" s="25">
        <v>28627</v>
      </c>
      <c r="G944" s="23">
        <v>41</v>
      </c>
      <c r="H944" s="23">
        <v>13</v>
      </c>
      <c r="I944" s="23">
        <v>1</v>
      </c>
      <c r="J944" s="189">
        <f t="shared" si="71"/>
        <v>0.00924179931902531</v>
      </c>
      <c r="K944" s="89">
        <f t="shared" si="72"/>
        <v>1.10898341744773</v>
      </c>
      <c r="L944" s="30">
        <f t="shared" si="75"/>
        <v>10.2490021921788</v>
      </c>
      <c r="M944" s="90">
        <f t="shared" si="73"/>
        <v>18.6111977947678</v>
      </c>
      <c r="N944" s="91">
        <f t="shared" si="74"/>
        <v>0.00288392213410238</v>
      </c>
    </row>
    <row r="945" s="2" customFormat="1" spans="1:14">
      <c r="A945" s="86">
        <v>45745</v>
      </c>
      <c r="B945" s="22">
        <v>1586.44</v>
      </c>
      <c r="C945" s="29">
        <v>188690</v>
      </c>
      <c r="D945" s="29">
        <v>1416</v>
      </c>
      <c r="E945" s="23">
        <v>1</v>
      </c>
      <c r="F945" s="25">
        <v>4000</v>
      </c>
      <c r="G945" s="23">
        <v>31</v>
      </c>
      <c r="H945" s="23">
        <v>12</v>
      </c>
      <c r="I945" s="23">
        <v>1</v>
      </c>
      <c r="J945" s="189">
        <f t="shared" si="71"/>
        <v>0.00750437225078171</v>
      </c>
      <c r="K945" s="89">
        <f t="shared" si="72"/>
        <v>1.12036723163842</v>
      </c>
      <c r="L945" s="30">
        <f t="shared" si="75"/>
        <v>8.40765276379246</v>
      </c>
      <c r="M945" s="90">
        <f t="shared" si="73"/>
        <v>2.52136859887547</v>
      </c>
      <c r="N945" s="91">
        <f t="shared" si="74"/>
        <v>0.000706214689265537</v>
      </c>
    </row>
    <row r="946" s="2" customFormat="1" spans="1:14">
      <c r="A946" s="86">
        <v>45746</v>
      </c>
      <c r="B946" s="22">
        <v>1583.2</v>
      </c>
      <c r="C946" s="29">
        <v>223296</v>
      </c>
      <c r="D946" s="29">
        <v>1409</v>
      </c>
      <c r="E946" s="23">
        <v>0</v>
      </c>
      <c r="F946" s="25">
        <v>0</v>
      </c>
      <c r="G946" s="23">
        <v>37</v>
      </c>
      <c r="H946" s="23">
        <v>7</v>
      </c>
      <c r="I946" s="23">
        <v>1</v>
      </c>
      <c r="J946" s="189">
        <f t="shared" si="71"/>
        <v>0.00631001003152766</v>
      </c>
      <c r="K946" s="89">
        <f t="shared" si="72"/>
        <v>1.1236337828247</v>
      </c>
      <c r="L946" s="30">
        <f t="shared" si="75"/>
        <v>7.09014044138722</v>
      </c>
      <c r="M946" s="90">
        <f t="shared" si="73"/>
        <v>0</v>
      </c>
      <c r="N946" s="91">
        <f t="shared" si="74"/>
        <v>0</v>
      </c>
    </row>
    <row r="947" s="2" customFormat="1" spans="1:14">
      <c r="A947" s="86">
        <v>45747</v>
      </c>
      <c r="B947" s="22">
        <v>3129.48</v>
      </c>
      <c r="C947" s="29">
        <v>437100</v>
      </c>
      <c r="D947" s="29">
        <v>2722</v>
      </c>
      <c r="E947" s="23">
        <v>0</v>
      </c>
      <c r="F947" s="25">
        <v>0</v>
      </c>
      <c r="G947" s="23">
        <v>42</v>
      </c>
      <c r="H947" s="23">
        <v>13</v>
      </c>
      <c r="I947" s="23">
        <v>4</v>
      </c>
      <c r="J947" s="189">
        <f t="shared" si="71"/>
        <v>0.00622740791580874</v>
      </c>
      <c r="K947" s="89">
        <f t="shared" si="72"/>
        <v>1.14969875091844</v>
      </c>
      <c r="L947" s="30">
        <f t="shared" si="75"/>
        <v>7.15964310226493</v>
      </c>
      <c r="M947" s="90">
        <f t="shared" si="73"/>
        <v>0</v>
      </c>
      <c r="N947" s="91">
        <f t="shared" si="74"/>
        <v>0</v>
      </c>
    </row>
    <row r="948" s="2" customFormat="1" spans="1:14">
      <c r="A948" s="86">
        <v>45748</v>
      </c>
      <c r="B948" s="22">
        <v>909.27</v>
      </c>
      <c r="C948" s="29">
        <v>110369</v>
      </c>
      <c r="D948" s="29">
        <v>860</v>
      </c>
      <c r="E948" s="23">
        <v>2</v>
      </c>
      <c r="F948" s="25">
        <v>16802</v>
      </c>
      <c r="G948" s="23">
        <v>23</v>
      </c>
      <c r="H948" s="23">
        <v>3</v>
      </c>
      <c r="I948" s="23">
        <v>2</v>
      </c>
      <c r="J948" s="189">
        <f t="shared" si="71"/>
        <v>0.00779204305556814</v>
      </c>
      <c r="K948" s="89">
        <f t="shared" si="72"/>
        <v>1.05729069767442</v>
      </c>
      <c r="L948" s="30">
        <f t="shared" si="75"/>
        <v>8.23845463853075</v>
      </c>
      <c r="M948" s="90">
        <f t="shared" si="73"/>
        <v>18.4785597237344</v>
      </c>
      <c r="N948" s="91">
        <f t="shared" si="74"/>
        <v>0.00232558139534884</v>
      </c>
    </row>
    <row r="949" s="2" customFormat="1" spans="1:14">
      <c r="A949" s="86">
        <v>45749</v>
      </c>
      <c r="B949" s="22">
        <v>994.74</v>
      </c>
      <c r="C949" s="29">
        <v>176205</v>
      </c>
      <c r="D949" s="29">
        <v>1073</v>
      </c>
      <c r="E949" s="23">
        <v>2</v>
      </c>
      <c r="F949" s="25">
        <v>21870</v>
      </c>
      <c r="G949" s="23">
        <v>33</v>
      </c>
      <c r="H949" s="23">
        <v>1</v>
      </c>
      <c r="I949" s="23">
        <v>0</v>
      </c>
      <c r="J949" s="189">
        <f t="shared" si="71"/>
        <v>0.00608949802786527</v>
      </c>
      <c r="K949" s="89">
        <f t="shared" si="72"/>
        <v>0.927064305684995</v>
      </c>
      <c r="L949" s="30">
        <f t="shared" si="75"/>
        <v>5.64535626117307</v>
      </c>
      <c r="M949" s="90">
        <f t="shared" si="73"/>
        <v>21.9856444900175</v>
      </c>
      <c r="N949" s="91">
        <f t="shared" si="74"/>
        <v>0.00186393289841566</v>
      </c>
    </row>
    <row r="950" s="2" customFormat="1" spans="1:14">
      <c r="A950" s="86">
        <v>45750</v>
      </c>
      <c r="B950" s="22">
        <v>982.42</v>
      </c>
      <c r="C950" s="29">
        <v>121414</v>
      </c>
      <c r="D950" s="29">
        <v>884</v>
      </c>
      <c r="E950" s="23">
        <v>3</v>
      </c>
      <c r="F950" s="25">
        <v>52254</v>
      </c>
      <c r="G950" s="23">
        <v>29</v>
      </c>
      <c r="H950" s="23">
        <v>4</v>
      </c>
      <c r="I950" s="23">
        <v>1</v>
      </c>
      <c r="J950" s="189">
        <f t="shared" si="71"/>
        <v>0.00728087370484458</v>
      </c>
      <c r="K950" s="89">
        <f t="shared" si="72"/>
        <v>1.11133484162896</v>
      </c>
      <c r="L950" s="30">
        <f t="shared" si="75"/>
        <v>8.09148862569391</v>
      </c>
      <c r="M950" s="90">
        <f t="shared" si="73"/>
        <v>53.189063740559</v>
      </c>
      <c r="N950" s="91">
        <f t="shared" si="74"/>
        <v>0.00339366515837104</v>
      </c>
    </row>
    <row r="951" s="2" customFormat="1" spans="1:14">
      <c r="A951" s="86">
        <v>45751</v>
      </c>
      <c r="B951" s="22">
        <v>991.04</v>
      </c>
      <c r="C951" s="29">
        <v>87512</v>
      </c>
      <c r="D951" s="29">
        <v>899</v>
      </c>
      <c r="E951" s="23">
        <v>2</v>
      </c>
      <c r="F951" s="25">
        <v>24045</v>
      </c>
      <c r="G951" s="23">
        <v>38</v>
      </c>
      <c r="H951" s="23">
        <v>14</v>
      </c>
      <c r="I951" s="23">
        <v>2</v>
      </c>
      <c r="J951" s="189">
        <f t="shared" si="71"/>
        <v>0.0102728768626017</v>
      </c>
      <c r="K951" s="89">
        <f t="shared" si="72"/>
        <v>1.10238042269188</v>
      </c>
      <c r="L951" s="30">
        <f t="shared" si="75"/>
        <v>11.3246183380565</v>
      </c>
      <c r="M951" s="90">
        <f t="shared" si="73"/>
        <v>24.2623910235712</v>
      </c>
      <c r="N951" s="91">
        <f t="shared" si="74"/>
        <v>0.00222469410456062</v>
      </c>
    </row>
    <row r="952" s="2" customFormat="1" spans="1:14">
      <c r="A952" s="86">
        <v>45752</v>
      </c>
      <c r="B952" s="22">
        <v>986.92</v>
      </c>
      <c r="C952" s="29">
        <v>120031</v>
      </c>
      <c r="D952" s="29">
        <v>958</v>
      </c>
      <c r="E952" s="23">
        <v>1</v>
      </c>
      <c r="F952" s="25">
        <v>14180</v>
      </c>
      <c r="G952" s="23">
        <v>36</v>
      </c>
      <c r="H952" s="23">
        <v>8</v>
      </c>
      <c r="I952" s="23">
        <v>3</v>
      </c>
      <c r="J952" s="189">
        <f t="shared" si="71"/>
        <v>0.00798127150486124</v>
      </c>
      <c r="K952" s="89">
        <f t="shared" si="72"/>
        <v>1.0301878914405</v>
      </c>
      <c r="L952" s="30">
        <f t="shared" si="75"/>
        <v>8.22220926260716</v>
      </c>
      <c r="M952" s="90">
        <f t="shared" si="73"/>
        <v>14.3679325578568</v>
      </c>
      <c r="N952" s="91">
        <f t="shared" si="74"/>
        <v>0.00104384133611691</v>
      </c>
    </row>
    <row r="953" s="2" customFormat="1" spans="1:14">
      <c r="A953" s="86">
        <v>45753</v>
      </c>
      <c r="B953" s="22">
        <v>976.3</v>
      </c>
      <c r="C953" s="29">
        <v>61269</v>
      </c>
      <c r="D953" s="29">
        <v>821</v>
      </c>
      <c r="E953" s="23">
        <v>0</v>
      </c>
      <c r="F953" s="25">
        <v>0</v>
      </c>
      <c r="G953" s="23">
        <v>32</v>
      </c>
      <c r="H953" s="23">
        <v>3</v>
      </c>
      <c r="I953" s="23">
        <v>2</v>
      </c>
      <c r="J953" s="189">
        <f t="shared" si="71"/>
        <v>0.0133999249212489</v>
      </c>
      <c r="K953" s="89">
        <f t="shared" si="72"/>
        <v>1.18915956151035</v>
      </c>
      <c r="L953" s="30">
        <f t="shared" si="75"/>
        <v>15.934648843624</v>
      </c>
      <c r="M953" s="90">
        <f t="shared" si="73"/>
        <v>0</v>
      </c>
      <c r="N953" s="91">
        <f t="shared" si="74"/>
        <v>0</v>
      </c>
    </row>
    <row r="954" s="2" customFormat="1" spans="1:14">
      <c r="A954" s="86">
        <v>45754</v>
      </c>
      <c r="B954" s="22">
        <v>1328.06</v>
      </c>
      <c r="C954" s="29">
        <v>74852</v>
      </c>
      <c r="D954" s="29">
        <v>943</v>
      </c>
      <c r="E954" s="23">
        <v>0</v>
      </c>
      <c r="F954" s="25">
        <v>0</v>
      </c>
      <c r="G954" s="23">
        <v>51</v>
      </c>
      <c r="H954" s="23">
        <v>8</v>
      </c>
      <c r="I954" s="23">
        <v>1</v>
      </c>
      <c r="J954" s="189">
        <f t="shared" si="71"/>
        <v>0.0125981937690376</v>
      </c>
      <c r="K954" s="89">
        <f t="shared" si="72"/>
        <v>1.40833510074231</v>
      </c>
      <c r="L954" s="30">
        <f t="shared" si="75"/>
        <v>17.7424784908887</v>
      </c>
      <c r="M954" s="90">
        <f t="shared" si="73"/>
        <v>0</v>
      </c>
      <c r="N954" s="91">
        <f t="shared" si="74"/>
        <v>0</v>
      </c>
    </row>
    <row r="955" s="2" customFormat="1" spans="1:14">
      <c r="A955" s="86">
        <v>45755</v>
      </c>
      <c r="B955" s="22">
        <v>1178.76</v>
      </c>
      <c r="C955" s="29">
        <v>55028</v>
      </c>
      <c r="D955" s="29">
        <v>813</v>
      </c>
      <c r="E955" s="23">
        <v>0</v>
      </c>
      <c r="F955" s="25">
        <v>0</v>
      </c>
      <c r="G955" s="23">
        <v>29</v>
      </c>
      <c r="H955" s="23">
        <v>5</v>
      </c>
      <c r="I955" s="23">
        <v>4</v>
      </c>
      <c r="J955" s="189">
        <f t="shared" si="71"/>
        <v>0.014774296721669</v>
      </c>
      <c r="K955" s="89">
        <f t="shared" si="72"/>
        <v>1.44988929889299</v>
      </c>
      <c r="L955" s="30">
        <f t="shared" si="75"/>
        <v>21.4210947154176</v>
      </c>
      <c r="M955" s="90">
        <f t="shared" si="73"/>
        <v>0</v>
      </c>
      <c r="N955" s="91">
        <f t="shared" si="74"/>
        <v>0</v>
      </c>
    </row>
    <row r="956" s="2" customFormat="1" spans="1:14">
      <c r="A956" s="86">
        <v>45756</v>
      </c>
      <c r="B956" s="22">
        <v>1185.66</v>
      </c>
      <c r="C956" s="29">
        <v>83449</v>
      </c>
      <c r="D956" s="29">
        <v>996</v>
      </c>
      <c r="E956" s="23">
        <v>0</v>
      </c>
      <c r="F956" s="25">
        <v>0</v>
      </c>
      <c r="G956" s="23">
        <v>34</v>
      </c>
      <c r="H956" s="23">
        <v>10</v>
      </c>
      <c r="I956" s="23">
        <v>1</v>
      </c>
      <c r="J956" s="189">
        <f t="shared" si="71"/>
        <v>0.011935433618138</v>
      </c>
      <c r="K956" s="89">
        <f t="shared" si="72"/>
        <v>1.19042168674699</v>
      </c>
      <c r="L956" s="30">
        <f t="shared" si="75"/>
        <v>14.2081990197606</v>
      </c>
      <c r="M956" s="90">
        <f t="shared" si="73"/>
        <v>0</v>
      </c>
      <c r="N956" s="91">
        <f t="shared" si="74"/>
        <v>0</v>
      </c>
    </row>
    <row r="957" s="2" customFormat="1" spans="1:14">
      <c r="A957" s="86">
        <v>45757</v>
      </c>
      <c r="B957" s="22">
        <v>1187.6</v>
      </c>
      <c r="C957" s="29">
        <v>95259</v>
      </c>
      <c r="D957" s="29">
        <v>1123</v>
      </c>
      <c r="E957" s="23">
        <v>0</v>
      </c>
      <c r="F957" s="25">
        <v>0</v>
      </c>
      <c r="G957" s="23">
        <v>54</v>
      </c>
      <c r="H957" s="23">
        <v>10</v>
      </c>
      <c r="I957" s="23">
        <v>3</v>
      </c>
      <c r="J957" s="189">
        <f t="shared" si="71"/>
        <v>0.0117889123337427</v>
      </c>
      <c r="K957" s="89">
        <f t="shared" si="72"/>
        <v>1.05752448797863</v>
      </c>
      <c r="L957" s="30">
        <f t="shared" si="75"/>
        <v>12.4670634795662</v>
      </c>
      <c r="M957" s="90">
        <f t="shared" si="73"/>
        <v>0</v>
      </c>
      <c r="N957" s="91">
        <f t="shared" si="74"/>
        <v>0</v>
      </c>
    </row>
    <row r="958" s="2" customFormat="1" spans="1:14">
      <c r="A958" s="86">
        <v>45758</v>
      </c>
      <c r="B958" s="22">
        <v>1196.2</v>
      </c>
      <c r="C958" s="29">
        <v>184918</v>
      </c>
      <c r="D958" s="29">
        <v>1366</v>
      </c>
      <c r="E958" s="23">
        <v>0</v>
      </c>
      <c r="F958" s="25">
        <v>0</v>
      </c>
      <c r="G958" s="23">
        <v>45</v>
      </c>
      <c r="H958" s="23">
        <v>7</v>
      </c>
      <c r="I958" s="23">
        <v>5</v>
      </c>
      <c r="J958" s="189">
        <f t="shared" si="71"/>
        <v>0.00738705804735072</v>
      </c>
      <c r="K958" s="89">
        <f t="shared" si="72"/>
        <v>0.875695461200586</v>
      </c>
      <c r="L958" s="30">
        <f t="shared" si="75"/>
        <v>6.46881320369029</v>
      </c>
      <c r="M958" s="90">
        <f t="shared" si="73"/>
        <v>0</v>
      </c>
      <c r="N958" s="91">
        <f t="shared" si="74"/>
        <v>0</v>
      </c>
    </row>
    <row r="959" s="2" customFormat="1" spans="1:14">
      <c r="A959" s="86">
        <v>45759</v>
      </c>
      <c r="B959" s="22">
        <v>1175.72</v>
      </c>
      <c r="C959" s="29">
        <v>184182</v>
      </c>
      <c r="D959" s="29">
        <v>1328</v>
      </c>
      <c r="E959" s="23">
        <v>1</v>
      </c>
      <c r="F959" s="25">
        <v>33068</v>
      </c>
      <c r="G959" s="23">
        <v>55</v>
      </c>
      <c r="H959" s="23">
        <v>10</v>
      </c>
      <c r="I959" s="23">
        <v>3</v>
      </c>
      <c r="J959" s="189">
        <f t="shared" si="71"/>
        <v>0.00721025941731548</v>
      </c>
      <c r="K959" s="89">
        <f t="shared" si="72"/>
        <v>0.885331325301205</v>
      </c>
      <c r="L959" s="30">
        <f t="shared" si="75"/>
        <v>6.38346852569741</v>
      </c>
      <c r="M959" s="90">
        <f t="shared" si="73"/>
        <v>28.1257442248154</v>
      </c>
      <c r="N959" s="91">
        <f t="shared" si="74"/>
        <v>0.000753012048192771</v>
      </c>
    </row>
    <row r="960" s="2" customFormat="1" spans="1:14">
      <c r="A960" s="86">
        <v>45760</v>
      </c>
      <c r="B960" s="22">
        <v>1196.98</v>
      </c>
      <c r="C960" s="29">
        <v>202712</v>
      </c>
      <c r="D960" s="29">
        <v>1247</v>
      </c>
      <c r="E960" s="23">
        <v>1</v>
      </c>
      <c r="F960" s="25">
        <v>11382</v>
      </c>
      <c r="G960" s="23">
        <v>47</v>
      </c>
      <c r="H960" s="23">
        <v>20</v>
      </c>
      <c r="I960" s="23">
        <v>5</v>
      </c>
      <c r="J960" s="189">
        <f t="shared" si="71"/>
        <v>0.00615158451399029</v>
      </c>
      <c r="K960" s="89">
        <f t="shared" si="72"/>
        <v>0.959887730553328</v>
      </c>
      <c r="L960" s="30">
        <f t="shared" si="75"/>
        <v>5.90483049844114</v>
      </c>
      <c r="M960" s="90">
        <f t="shared" si="73"/>
        <v>9.50893080920316</v>
      </c>
      <c r="N960" s="91">
        <f t="shared" si="74"/>
        <v>0.000801924619085806</v>
      </c>
    </row>
    <row r="961" s="2" customFormat="1" spans="1:14">
      <c r="A961" s="86">
        <v>45761</v>
      </c>
      <c r="B961" s="22">
        <v>1169.72</v>
      </c>
      <c r="C961" s="29">
        <v>172229</v>
      </c>
      <c r="D961" s="29">
        <v>976</v>
      </c>
      <c r="E961" s="23">
        <v>0</v>
      </c>
      <c r="F961" s="25">
        <v>0</v>
      </c>
      <c r="G961" s="23">
        <v>31</v>
      </c>
      <c r="H961" s="23">
        <v>3</v>
      </c>
      <c r="I961" s="23">
        <v>1</v>
      </c>
      <c r="J961" s="189">
        <f t="shared" si="71"/>
        <v>0.00566687375529092</v>
      </c>
      <c r="K961" s="89">
        <f t="shared" si="72"/>
        <v>1.19848360655738</v>
      </c>
      <c r="L961" s="30">
        <f t="shared" si="75"/>
        <v>6.79165529614641</v>
      </c>
      <c r="M961" s="90">
        <f t="shared" si="73"/>
        <v>0</v>
      </c>
      <c r="N961" s="91">
        <f t="shared" si="74"/>
        <v>0</v>
      </c>
    </row>
    <row r="962" s="2" customFormat="1" spans="1:14">
      <c r="A962" s="86">
        <v>45762</v>
      </c>
      <c r="B962" s="22">
        <v>1192.14</v>
      </c>
      <c r="C962" s="29">
        <v>197807</v>
      </c>
      <c r="D962" s="29">
        <v>1150</v>
      </c>
      <c r="E962" s="23">
        <v>0</v>
      </c>
      <c r="F962" s="25">
        <v>0</v>
      </c>
      <c r="G962" s="23">
        <v>30</v>
      </c>
      <c r="H962" s="23">
        <v>5</v>
      </c>
      <c r="I962" s="23">
        <v>1</v>
      </c>
      <c r="J962" s="189">
        <f t="shared" si="71"/>
        <v>0.0058137477440131</v>
      </c>
      <c r="K962" s="89">
        <f t="shared" si="72"/>
        <v>1.03664347826087</v>
      </c>
      <c r="L962" s="30">
        <f t="shared" si="75"/>
        <v>6.02678368308503</v>
      </c>
      <c r="M962" s="90">
        <f t="shared" si="73"/>
        <v>0</v>
      </c>
      <c r="N962" s="91">
        <f t="shared" si="74"/>
        <v>0</v>
      </c>
    </row>
    <row r="963" s="2" customFormat="1" spans="1:14">
      <c r="A963" s="86">
        <v>45763</v>
      </c>
      <c r="B963" s="22">
        <v>1586.39</v>
      </c>
      <c r="C963" s="29">
        <v>257722</v>
      </c>
      <c r="D963" s="29">
        <v>1477</v>
      </c>
      <c r="E963" s="23">
        <v>1</v>
      </c>
      <c r="F963" s="25">
        <v>8346</v>
      </c>
      <c r="G963" s="23">
        <v>58</v>
      </c>
      <c r="H963" s="23">
        <v>7</v>
      </c>
      <c r="I963" s="23">
        <v>1</v>
      </c>
      <c r="J963" s="189">
        <f t="shared" si="71"/>
        <v>0.00573098144512304</v>
      </c>
      <c r="K963" s="89">
        <f t="shared" si="72"/>
        <v>1.07406228842248</v>
      </c>
      <c r="L963" s="30">
        <f t="shared" si="75"/>
        <v>6.15543104585561</v>
      </c>
      <c r="M963" s="90">
        <f t="shared" si="73"/>
        <v>5.26100139310006</v>
      </c>
      <c r="N963" s="91">
        <f t="shared" si="74"/>
        <v>0.000677048070412999</v>
      </c>
    </row>
    <row r="964" s="2" customFormat="1" spans="1:14">
      <c r="A964" s="86">
        <v>45764</v>
      </c>
      <c r="B964" s="22">
        <v>1786.9</v>
      </c>
      <c r="C964" s="29">
        <v>252907</v>
      </c>
      <c r="D964" s="29">
        <v>1420</v>
      </c>
      <c r="E964" s="23">
        <v>0</v>
      </c>
      <c r="F964" s="25">
        <v>0</v>
      </c>
      <c r="G964" s="23">
        <v>38</v>
      </c>
      <c r="H964" s="23">
        <v>8</v>
      </c>
      <c r="I964" s="23">
        <v>2</v>
      </c>
      <c r="J964" s="189">
        <f t="shared" si="71"/>
        <v>0.00561471212738279</v>
      </c>
      <c r="K964" s="89">
        <f t="shared" si="72"/>
        <v>1.25838028169014</v>
      </c>
      <c r="L964" s="30">
        <f t="shared" si="75"/>
        <v>7.06544302846501</v>
      </c>
      <c r="M964" s="90">
        <f t="shared" si="73"/>
        <v>0</v>
      </c>
      <c r="N964" s="91">
        <f t="shared" si="74"/>
        <v>0</v>
      </c>
    </row>
    <row r="965" s="2" customFormat="1" spans="1:14">
      <c r="A965" s="86">
        <v>45765</v>
      </c>
      <c r="B965" s="22">
        <v>1773.52</v>
      </c>
      <c r="C965" s="29">
        <v>101740</v>
      </c>
      <c r="D965" s="29">
        <v>961</v>
      </c>
      <c r="E965" s="23">
        <v>5</v>
      </c>
      <c r="F965" s="25">
        <v>85902</v>
      </c>
      <c r="G965" s="23">
        <v>45</v>
      </c>
      <c r="H965" s="23">
        <v>5</v>
      </c>
      <c r="I965" s="23">
        <v>4</v>
      </c>
      <c r="J965" s="189">
        <f t="shared" si="71"/>
        <v>0.00944564576371142</v>
      </c>
      <c r="K965" s="89">
        <f t="shared" si="72"/>
        <v>1.84549427679501</v>
      </c>
      <c r="L965" s="30">
        <f t="shared" si="75"/>
        <v>17.4318851975624</v>
      </c>
      <c r="M965" s="90">
        <f t="shared" si="73"/>
        <v>48.4358789300374</v>
      </c>
      <c r="N965" s="91">
        <f t="shared" si="74"/>
        <v>0.00520291363163371</v>
      </c>
    </row>
    <row r="966" s="2" customFormat="1" spans="1:14">
      <c r="A966" s="86">
        <v>45766</v>
      </c>
      <c r="B966" s="22">
        <v>1333.26</v>
      </c>
      <c r="C966" s="29">
        <v>90403</v>
      </c>
      <c r="D966" s="29">
        <v>830</v>
      </c>
      <c r="E966" s="23">
        <v>2</v>
      </c>
      <c r="F966" s="25">
        <v>13372</v>
      </c>
      <c r="G966" s="23">
        <v>12</v>
      </c>
      <c r="H966" s="23">
        <v>10</v>
      </c>
      <c r="I966" s="23">
        <v>2</v>
      </c>
      <c r="J966" s="189">
        <f t="shared" ref="J966:J1029" si="76">D966/C966</f>
        <v>0.0091811112463082</v>
      </c>
      <c r="K966" s="89">
        <f t="shared" ref="K966:K1029" si="77">B966/D966</f>
        <v>1.60633734939759</v>
      </c>
      <c r="L966" s="30">
        <f t="shared" si="75"/>
        <v>14.7479619039191</v>
      </c>
      <c r="M966" s="90">
        <f t="shared" ref="M966:M1029" si="78">F966/B966</f>
        <v>10.0295516253394</v>
      </c>
      <c r="N966" s="91">
        <f t="shared" ref="N966:N1029" si="79">E966/D966</f>
        <v>0.00240963855421687</v>
      </c>
    </row>
    <row r="967" s="2" customFormat="1" spans="1:14">
      <c r="A967" s="86">
        <v>45767</v>
      </c>
      <c r="B967" s="22">
        <v>792.53</v>
      </c>
      <c r="C967" s="29">
        <v>63723</v>
      </c>
      <c r="D967" s="29">
        <v>631</v>
      </c>
      <c r="E967" s="23">
        <v>1</v>
      </c>
      <c r="F967" s="25">
        <v>12984</v>
      </c>
      <c r="G967" s="23">
        <v>9</v>
      </c>
      <c r="H967" s="23">
        <v>6</v>
      </c>
      <c r="I967" s="23">
        <v>1</v>
      </c>
      <c r="J967" s="189">
        <f t="shared" si="76"/>
        <v>0.0099022331026474</v>
      </c>
      <c r="K967" s="89">
        <f t="shared" si="77"/>
        <v>1.25599049128368</v>
      </c>
      <c r="L967" s="30">
        <f t="shared" si="75"/>
        <v>12.4371106193996</v>
      </c>
      <c r="M967" s="90">
        <f t="shared" si="78"/>
        <v>16.3829760387619</v>
      </c>
      <c r="N967" s="91">
        <f t="shared" si="79"/>
        <v>0.00158478605388273</v>
      </c>
    </row>
    <row r="968" s="2" customFormat="1" spans="1:14">
      <c r="A968" s="86">
        <v>45768</v>
      </c>
      <c r="B968" s="22">
        <v>797.13</v>
      </c>
      <c r="C968" s="29">
        <v>136850</v>
      </c>
      <c r="D968" s="29">
        <v>1070</v>
      </c>
      <c r="E968" s="23">
        <v>2</v>
      </c>
      <c r="F968" s="25">
        <v>13762</v>
      </c>
      <c r="G968" s="23">
        <v>26</v>
      </c>
      <c r="H968" s="23">
        <v>6</v>
      </c>
      <c r="I968" s="23">
        <v>4</v>
      </c>
      <c r="J968" s="189">
        <f t="shared" si="76"/>
        <v>0.00781877968578736</v>
      </c>
      <c r="K968" s="89">
        <f t="shared" si="77"/>
        <v>0.744981308411215</v>
      </c>
      <c r="L968" s="30">
        <f t="shared" si="75"/>
        <v>5.82484472049689</v>
      </c>
      <c r="M968" s="90">
        <f t="shared" si="78"/>
        <v>17.264436164741</v>
      </c>
      <c r="N968" s="91">
        <f t="shared" si="79"/>
        <v>0.00186915887850467</v>
      </c>
    </row>
    <row r="969" s="2" customFormat="1" spans="1:14">
      <c r="A969" s="86">
        <v>45769</v>
      </c>
      <c r="B969" s="22">
        <v>793.21</v>
      </c>
      <c r="C969" s="29">
        <v>139352</v>
      </c>
      <c r="D969" s="29">
        <v>832</v>
      </c>
      <c r="E969" s="23">
        <v>2</v>
      </c>
      <c r="F969" s="25">
        <v>29050</v>
      </c>
      <c r="G969" s="23">
        <v>21</v>
      </c>
      <c r="H969" s="23">
        <v>2</v>
      </c>
      <c r="I969" s="23">
        <v>3</v>
      </c>
      <c r="J969" s="189">
        <f t="shared" si="76"/>
        <v>0.00597049199150353</v>
      </c>
      <c r="K969" s="89">
        <f t="shared" si="77"/>
        <v>0.953377403846154</v>
      </c>
      <c r="L969" s="30">
        <f t="shared" si="75"/>
        <v>5.69213215454389</v>
      </c>
      <c r="M969" s="90">
        <f t="shared" si="78"/>
        <v>36.6233406033711</v>
      </c>
      <c r="N969" s="91">
        <f t="shared" si="79"/>
        <v>0.00240384615384615</v>
      </c>
    </row>
    <row r="970" s="2" customFormat="1" spans="1:14">
      <c r="A970" s="86">
        <v>45770</v>
      </c>
      <c r="B970" s="22">
        <v>630.05</v>
      </c>
      <c r="C970" s="29">
        <v>99166</v>
      </c>
      <c r="D970" s="29">
        <v>579</v>
      </c>
      <c r="E970" s="23">
        <v>1</v>
      </c>
      <c r="F970" s="25">
        <v>12214</v>
      </c>
      <c r="G970" s="23">
        <v>16</v>
      </c>
      <c r="H970" s="23">
        <v>6</v>
      </c>
      <c r="I970" s="23">
        <v>2</v>
      </c>
      <c r="J970" s="189">
        <f t="shared" si="76"/>
        <v>0.00583869471391404</v>
      </c>
      <c r="K970" s="89">
        <f t="shared" si="77"/>
        <v>1.08816925734024</v>
      </c>
      <c r="L970" s="30">
        <f t="shared" si="75"/>
        <v>6.35348809067624</v>
      </c>
      <c r="M970" s="90">
        <f t="shared" si="78"/>
        <v>19.3857630346798</v>
      </c>
      <c r="N970" s="91">
        <f t="shared" si="79"/>
        <v>0.00172711571675302</v>
      </c>
    </row>
    <row r="971" s="2" customFormat="1" spans="1:14">
      <c r="A971" s="86">
        <v>45771</v>
      </c>
      <c r="B971" s="22">
        <v>396.6</v>
      </c>
      <c r="C971" s="29">
        <v>50994</v>
      </c>
      <c r="D971" s="29">
        <v>326</v>
      </c>
      <c r="E971" s="23">
        <v>1</v>
      </c>
      <c r="F971" s="25">
        <v>21852</v>
      </c>
      <c r="G971" s="23">
        <v>12</v>
      </c>
      <c r="H971" s="23">
        <v>2</v>
      </c>
      <c r="I971" s="23">
        <v>2</v>
      </c>
      <c r="J971" s="189">
        <f t="shared" si="76"/>
        <v>0.00639290896968271</v>
      </c>
      <c r="K971" s="89">
        <f t="shared" si="77"/>
        <v>1.21656441717791</v>
      </c>
      <c r="L971" s="30">
        <f t="shared" si="75"/>
        <v>7.7773855747735</v>
      </c>
      <c r="M971" s="90">
        <f t="shared" si="78"/>
        <v>55.0983358547655</v>
      </c>
      <c r="N971" s="91">
        <f t="shared" si="79"/>
        <v>0.00306748466257669</v>
      </c>
    </row>
    <row r="972" s="2" customFormat="1" spans="1:14">
      <c r="A972" s="86">
        <v>45772</v>
      </c>
      <c r="B972" s="22">
        <v>640.96</v>
      </c>
      <c r="C972" s="29">
        <v>52717</v>
      </c>
      <c r="D972" s="29">
        <v>412</v>
      </c>
      <c r="E972" s="23">
        <v>0</v>
      </c>
      <c r="F972" s="25">
        <v>0</v>
      </c>
      <c r="G972" s="23">
        <v>12</v>
      </c>
      <c r="H972" s="23">
        <v>4</v>
      </c>
      <c r="I972" s="23">
        <v>1</v>
      </c>
      <c r="J972" s="189">
        <f t="shared" si="76"/>
        <v>0.00781531574254984</v>
      </c>
      <c r="K972" s="89">
        <f t="shared" si="77"/>
        <v>1.55572815533981</v>
      </c>
      <c r="L972" s="30">
        <f t="shared" si="75"/>
        <v>12.1585067435552</v>
      </c>
      <c r="M972" s="90">
        <f t="shared" si="78"/>
        <v>0</v>
      </c>
      <c r="N972" s="91">
        <f t="shared" si="79"/>
        <v>0</v>
      </c>
    </row>
    <row r="973" s="2" customFormat="1" spans="1:14">
      <c r="A973" s="86">
        <v>45773</v>
      </c>
      <c r="B973" s="22">
        <v>682.22</v>
      </c>
      <c r="C973" s="29">
        <v>56737</v>
      </c>
      <c r="D973" s="29">
        <v>441</v>
      </c>
      <c r="E973" s="23">
        <v>0</v>
      </c>
      <c r="F973" s="25">
        <v>0</v>
      </c>
      <c r="G973" s="23">
        <v>5</v>
      </c>
      <c r="H973" s="23">
        <v>4</v>
      </c>
      <c r="I973" s="23">
        <v>0</v>
      </c>
      <c r="J973" s="189">
        <f t="shared" si="76"/>
        <v>0.00777270564182103</v>
      </c>
      <c r="K973" s="89">
        <f t="shared" si="77"/>
        <v>1.54698412698413</v>
      </c>
      <c r="L973" s="30">
        <f t="shared" si="75"/>
        <v>12.0242522516171</v>
      </c>
      <c r="M973" s="90">
        <f t="shared" si="78"/>
        <v>0</v>
      </c>
      <c r="N973" s="91">
        <f t="shared" si="79"/>
        <v>0</v>
      </c>
    </row>
    <row r="974" s="2" customFormat="1" spans="1:14">
      <c r="A974" s="86">
        <v>45774</v>
      </c>
      <c r="B974" s="22">
        <v>692.74</v>
      </c>
      <c r="C974" s="29">
        <v>54426</v>
      </c>
      <c r="D974" s="29">
        <v>405</v>
      </c>
      <c r="E974" s="23">
        <v>0</v>
      </c>
      <c r="F974" s="25">
        <v>0</v>
      </c>
      <c r="G974" s="23">
        <v>15</v>
      </c>
      <c r="H974" s="23">
        <v>2</v>
      </c>
      <c r="I974" s="23">
        <v>1</v>
      </c>
      <c r="J974" s="189">
        <f t="shared" si="76"/>
        <v>0.00744129643920185</v>
      </c>
      <c r="K974" s="89">
        <f t="shared" si="77"/>
        <v>1.71046913580247</v>
      </c>
      <c r="L974" s="30">
        <f t="shared" si="75"/>
        <v>12.7281078896116</v>
      </c>
      <c r="M974" s="90">
        <f t="shared" si="78"/>
        <v>0</v>
      </c>
      <c r="N974" s="91">
        <f t="shared" si="79"/>
        <v>0</v>
      </c>
    </row>
    <row r="975" s="2" customFormat="1" spans="1:14">
      <c r="A975" s="86">
        <v>45775</v>
      </c>
      <c r="B975" s="22">
        <v>691.39</v>
      </c>
      <c r="C975" s="29">
        <v>58698</v>
      </c>
      <c r="D975" s="29">
        <v>410</v>
      </c>
      <c r="E975" s="23">
        <v>0</v>
      </c>
      <c r="F975" s="25">
        <v>0</v>
      </c>
      <c r="G975" s="23">
        <v>20</v>
      </c>
      <c r="H975" s="23">
        <v>6</v>
      </c>
      <c r="I975" s="23">
        <v>0</v>
      </c>
      <c r="J975" s="189">
        <f t="shared" si="76"/>
        <v>0.00698490578895363</v>
      </c>
      <c r="K975" s="89">
        <f t="shared" si="77"/>
        <v>1.68631707317073</v>
      </c>
      <c r="L975" s="30">
        <f t="shared" si="75"/>
        <v>11.7787658864016</v>
      </c>
      <c r="M975" s="90">
        <f t="shared" si="78"/>
        <v>0</v>
      </c>
      <c r="N975" s="91">
        <f t="shared" si="79"/>
        <v>0</v>
      </c>
    </row>
    <row r="976" s="2" customFormat="1" spans="1:14">
      <c r="A976" s="86">
        <v>45776</v>
      </c>
      <c r="B976" s="22">
        <v>685.79</v>
      </c>
      <c r="C976" s="29">
        <v>38270</v>
      </c>
      <c r="D976" s="29">
        <v>374</v>
      </c>
      <c r="E976" s="23">
        <v>0</v>
      </c>
      <c r="F976" s="25">
        <v>0</v>
      </c>
      <c r="G976" s="23">
        <v>13</v>
      </c>
      <c r="H976" s="23">
        <v>2</v>
      </c>
      <c r="I976" s="23">
        <v>1</v>
      </c>
      <c r="J976" s="189">
        <f t="shared" si="76"/>
        <v>0.00977266788607264</v>
      </c>
      <c r="K976" s="89">
        <f t="shared" si="77"/>
        <v>1.83366310160428</v>
      </c>
      <c r="L976" s="30">
        <f t="shared" si="75"/>
        <v>17.9197805069245</v>
      </c>
      <c r="M976" s="90">
        <f t="shared" si="78"/>
        <v>0</v>
      </c>
      <c r="N976" s="91">
        <f t="shared" si="79"/>
        <v>0</v>
      </c>
    </row>
    <row r="977" s="2" customFormat="1" spans="1:14">
      <c r="A977" s="86">
        <v>45777</v>
      </c>
      <c r="B977" s="22">
        <v>644.72</v>
      </c>
      <c r="C977" s="29">
        <v>45811</v>
      </c>
      <c r="D977" s="29">
        <v>404</v>
      </c>
      <c r="E977" s="23">
        <v>0</v>
      </c>
      <c r="F977" s="25">
        <v>0</v>
      </c>
      <c r="G977" s="23">
        <v>4</v>
      </c>
      <c r="H977" s="23">
        <v>12</v>
      </c>
      <c r="I977" s="23">
        <v>3</v>
      </c>
      <c r="J977" s="189">
        <f t="shared" si="76"/>
        <v>0.00881884263604811</v>
      </c>
      <c r="K977" s="89">
        <f t="shared" si="77"/>
        <v>1.59584158415842</v>
      </c>
      <c r="L977" s="30">
        <f t="shared" si="75"/>
        <v>14.0734758027548</v>
      </c>
      <c r="M977" s="90">
        <f t="shared" si="78"/>
        <v>0</v>
      </c>
      <c r="N977" s="91">
        <f t="shared" si="79"/>
        <v>0</v>
      </c>
    </row>
    <row r="978" s="2" customFormat="1" spans="1:14">
      <c r="A978" s="86">
        <v>45778</v>
      </c>
      <c r="B978" s="22">
        <v>685.17</v>
      </c>
      <c r="C978" s="29">
        <v>84676</v>
      </c>
      <c r="D978" s="29">
        <v>637</v>
      </c>
      <c r="E978" s="23">
        <v>0</v>
      </c>
      <c r="F978" s="25">
        <v>0</v>
      </c>
      <c r="G978" s="23">
        <v>15</v>
      </c>
      <c r="H978" s="23">
        <v>8</v>
      </c>
      <c r="I978" s="23">
        <v>1</v>
      </c>
      <c r="J978" s="189">
        <f t="shared" si="76"/>
        <v>0.0075227927630025</v>
      </c>
      <c r="K978" s="89">
        <f t="shared" si="77"/>
        <v>1.07562009419152</v>
      </c>
      <c r="L978" s="30">
        <f t="shared" si="75"/>
        <v>8.09166706032406</v>
      </c>
      <c r="M978" s="90">
        <f t="shared" si="78"/>
        <v>0</v>
      </c>
      <c r="N978" s="91">
        <f t="shared" si="79"/>
        <v>0</v>
      </c>
    </row>
    <row r="979" s="2" customFormat="1" spans="1:14">
      <c r="A979" s="86">
        <v>45779</v>
      </c>
      <c r="B979" s="22">
        <v>694.84</v>
      </c>
      <c r="C979" s="29">
        <v>66520</v>
      </c>
      <c r="D979" s="29">
        <v>511</v>
      </c>
      <c r="E979" s="23">
        <v>5</v>
      </c>
      <c r="F979" s="25">
        <v>105698</v>
      </c>
      <c r="G979" s="23">
        <v>21</v>
      </c>
      <c r="H979" s="23">
        <v>6</v>
      </c>
      <c r="I979" s="23">
        <v>0</v>
      </c>
      <c r="J979" s="189">
        <f t="shared" si="76"/>
        <v>0.00768190018039687</v>
      </c>
      <c r="K979" s="89">
        <f t="shared" si="77"/>
        <v>1.35976516634051</v>
      </c>
      <c r="L979" s="30">
        <f t="shared" si="75"/>
        <v>10.4455802766085</v>
      </c>
      <c r="M979" s="90">
        <f t="shared" si="78"/>
        <v>152.118473317598</v>
      </c>
      <c r="N979" s="91">
        <f t="shared" si="79"/>
        <v>0.00978473581213307</v>
      </c>
    </row>
    <row r="980" s="2" customFormat="1" spans="1:14">
      <c r="A980" s="86">
        <v>45780</v>
      </c>
      <c r="B980" s="22">
        <v>695.25</v>
      </c>
      <c r="C980" s="29">
        <v>83438</v>
      </c>
      <c r="D980" s="29">
        <v>639</v>
      </c>
      <c r="E980" s="23">
        <v>1</v>
      </c>
      <c r="F980" s="25">
        <v>8172</v>
      </c>
      <c r="G980" s="23">
        <v>19</v>
      </c>
      <c r="H980" s="23">
        <v>2</v>
      </c>
      <c r="I980" s="23">
        <v>0</v>
      </c>
      <c r="J980" s="189">
        <f t="shared" si="76"/>
        <v>0.00765838107337184</v>
      </c>
      <c r="K980" s="89">
        <f t="shared" si="77"/>
        <v>1.08802816901408</v>
      </c>
      <c r="L980" s="30">
        <f t="shared" si="75"/>
        <v>8.33253433687289</v>
      </c>
      <c r="M980" s="90">
        <f t="shared" si="78"/>
        <v>11.7540453074434</v>
      </c>
      <c r="N980" s="91">
        <f t="shared" si="79"/>
        <v>0.00156494522691706</v>
      </c>
    </row>
    <row r="981" s="2" customFormat="1" spans="1:14">
      <c r="A981" s="86">
        <v>45781</v>
      </c>
      <c r="B981" s="22">
        <v>685.91</v>
      </c>
      <c r="C981" s="29">
        <v>48873</v>
      </c>
      <c r="D981" s="29">
        <v>475</v>
      </c>
      <c r="E981" s="23">
        <v>2</v>
      </c>
      <c r="F981" s="25">
        <v>20900</v>
      </c>
      <c r="G981" s="23">
        <v>32</v>
      </c>
      <c r="H981" s="23">
        <v>7</v>
      </c>
      <c r="I981" s="23">
        <v>2</v>
      </c>
      <c r="J981" s="189">
        <f t="shared" si="76"/>
        <v>0.00971906778794017</v>
      </c>
      <c r="K981" s="89">
        <f t="shared" si="77"/>
        <v>1.44402105263158</v>
      </c>
      <c r="L981" s="30">
        <f t="shared" si="75"/>
        <v>14.034538497739</v>
      </c>
      <c r="M981" s="90">
        <f t="shared" si="78"/>
        <v>30.4704698867198</v>
      </c>
      <c r="N981" s="91">
        <f t="shared" si="79"/>
        <v>0.00421052631578947</v>
      </c>
    </row>
    <row r="982" s="2" customFormat="1" spans="1:14">
      <c r="A982" s="86">
        <v>45782</v>
      </c>
      <c r="B982" s="22">
        <v>693.71</v>
      </c>
      <c r="C982" s="29">
        <v>66530</v>
      </c>
      <c r="D982" s="29">
        <v>523</v>
      </c>
      <c r="E982" s="23">
        <v>0</v>
      </c>
      <c r="F982" s="25">
        <v>0</v>
      </c>
      <c r="G982" s="23">
        <v>11</v>
      </c>
      <c r="H982" s="23">
        <v>3</v>
      </c>
      <c r="I982" s="23">
        <v>1</v>
      </c>
      <c r="J982" s="189">
        <f t="shared" si="76"/>
        <v>0.00786111528633699</v>
      </c>
      <c r="K982" s="89">
        <f t="shared" si="77"/>
        <v>1.32640535372849</v>
      </c>
      <c r="L982" s="30">
        <f t="shared" si="75"/>
        <v>10.4270254020743</v>
      </c>
      <c r="M982" s="90">
        <f t="shared" si="78"/>
        <v>0</v>
      </c>
      <c r="N982" s="91">
        <f t="shared" si="79"/>
        <v>0</v>
      </c>
    </row>
    <row r="983" s="2" customFormat="1" spans="1:14">
      <c r="A983" s="86">
        <v>45783</v>
      </c>
      <c r="B983" s="22">
        <v>881.15</v>
      </c>
      <c r="C983" s="29">
        <v>50760</v>
      </c>
      <c r="D983" s="29">
        <v>567</v>
      </c>
      <c r="E983" s="23">
        <v>2</v>
      </c>
      <c r="F983" s="25">
        <v>18622</v>
      </c>
      <c r="G983" s="23">
        <v>19</v>
      </c>
      <c r="H983" s="23">
        <v>7</v>
      </c>
      <c r="I983" s="23">
        <v>4</v>
      </c>
      <c r="J983" s="189">
        <f t="shared" si="76"/>
        <v>0.0111702127659574</v>
      </c>
      <c r="K983" s="89">
        <f t="shared" si="77"/>
        <v>1.55405643738977</v>
      </c>
      <c r="L983" s="30">
        <f t="shared" si="75"/>
        <v>17.3591410559496</v>
      </c>
      <c r="M983" s="90">
        <f t="shared" si="78"/>
        <v>21.1337456732679</v>
      </c>
      <c r="N983" s="91">
        <f t="shared" si="79"/>
        <v>0.00352733686067019</v>
      </c>
    </row>
    <row r="984" s="2" customFormat="1" spans="1:14">
      <c r="A984" s="86">
        <v>45784</v>
      </c>
      <c r="B984" s="22">
        <v>887.46</v>
      </c>
      <c r="C984" s="29">
        <v>46463</v>
      </c>
      <c r="D984" s="29">
        <v>583</v>
      </c>
      <c r="E984" s="23">
        <v>2</v>
      </c>
      <c r="F984" s="25">
        <v>21067</v>
      </c>
      <c r="G984" s="23">
        <v>31</v>
      </c>
      <c r="H984" s="23">
        <v>2</v>
      </c>
      <c r="I984" s="23">
        <v>1</v>
      </c>
      <c r="J984" s="189">
        <f t="shared" si="76"/>
        <v>0.0125476185351785</v>
      </c>
      <c r="K984" s="89">
        <f t="shared" si="77"/>
        <v>1.52222984562607</v>
      </c>
      <c r="L984" s="30">
        <f t="shared" si="75"/>
        <v>19.1003594257797</v>
      </c>
      <c r="M984" s="90">
        <f t="shared" si="78"/>
        <v>23.7385346945214</v>
      </c>
      <c r="N984" s="91">
        <f t="shared" si="79"/>
        <v>0.00343053173241852</v>
      </c>
    </row>
    <row r="985" s="2" customFormat="1" spans="1:14">
      <c r="A985" s="86">
        <v>45785</v>
      </c>
      <c r="B985" s="22">
        <v>880.4</v>
      </c>
      <c r="C985" s="29">
        <v>53186</v>
      </c>
      <c r="D985" s="29">
        <v>595</v>
      </c>
      <c r="E985" s="23">
        <v>0</v>
      </c>
      <c r="F985" s="25">
        <v>0</v>
      </c>
      <c r="G985" s="23">
        <v>44</v>
      </c>
      <c r="H985" s="23">
        <v>6</v>
      </c>
      <c r="I985" s="23">
        <v>1</v>
      </c>
      <c r="J985" s="189">
        <f t="shared" si="76"/>
        <v>0.0111871545143459</v>
      </c>
      <c r="K985" s="89">
        <f t="shared" si="77"/>
        <v>1.47966386554622</v>
      </c>
      <c r="L985" s="30">
        <f t="shared" si="75"/>
        <v>16.5532282931599</v>
      </c>
      <c r="M985" s="90">
        <f t="shared" si="78"/>
        <v>0</v>
      </c>
      <c r="N985" s="91">
        <f t="shared" si="79"/>
        <v>0</v>
      </c>
    </row>
    <row r="986" s="2" customFormat="1" spans="1:14">
      <c r="A986" s="86">
        <v>45786</v>
      </c>
      <c r="B986" s="22">
        <v>834.84</v>
      </c>
      <c r="C986" s="29">
        <v>45148</v>
      </c>
      <c r="D986" s="29">
        <v>496</v>
      </c>
      <c r="E986" s="23">
        <v>1</v>
      </c>
      <c r="F986" s="25">
        <v>11596</v>
      </c>
      <c r="G986" s="23">
        <v>28</v>
      </c>
      <c r="H986" s="23">
        <v>3</v>
      </c>
      <c r="I986" s="23">
        <v>1</v>
      </c>
      <c r="J986" s="189">
        <f t="shared" si="76"/>
        <v>0.0109860901922566</v>
      </c>
      <c r="K986" s="89">
        <f t="shared" si="77"/>
        <v>1.68314516129032</v>
      </c>
      <c r="L986" s="30">
        <f t="shared" si="75"/>
        <v>18.4911845485957</v>
      </c>
      <c r="M986" s="90">
        <f t="shared" si="78"/>
        <v>13.8900867232044</v>
      </c>
      <c r="N986" s="91">
        <f t="shared" si="79"/>
        <v>0.00201612903225806</v>
      </c>
    </row>
    <row r="987" s="2" customFormat="1" spans="1:14">
      <c r="A987" s="86">
        <v>45787</v>
      </c>
      <c r="B987" s="22">
        <v>878.01</v>
      </c>
      <c r="C987" s="29">
        <v>33978</v>
      </c>
      <c r="D987" s="29">
        <v>479</v>
      </c>
      <c r="E987" s="23">
        <v>4</v>
      </c>
      <c r="F987" s="25">
        <v>45024</v>
      </c>
      <c r="G987" s="23">
        <v>31</v>
      </c>
      <c r="H987" s="23">
        <v>4</v>
      </c>
      <c r="I987" s="23">
        <v>0</v>
      </c>
      <c r="J987" s="189">
        <f t="shared" si="76"/>
        <v>0.0140973571134263</v>
      </c>
      <c r="K987" s="89">
        <f t="shared" si="77"/>
        <v>1.83300626304802</v>
      </c>
      <c r="L987" s="30">
        <f t="shared" si="75"/>
        <v>25.840543881335</v>
      </c>
      <c r="M987" s="90">
        <f t="shared" si="78"/>
        <v>51.2795981822531</v>
      </c>
      <c r="N987" s="91">
        <f t="shared" si="79"/>
        <v>0.00835073068893528</v>
      </c>
    </row>
    <row r="988" s="2" customFormat="1" spans="1:14">
      <c r="A988" s="86">
        <v>45788</v>
      </c>
      <c r="B988" s="22">
        <v>879.56</v>
      </c>
      <c r="C988" s="29">
        <v>31481</v>
      </c>
      <c r="D988" s="29">
        <v>451</v>
      </c>
      <c r="E988" s="23">
        <v>6</v>
      </c>
      <c r="F988" s="25">
        <v>55940</v>
      </c>
      <c r="G988" s="23">
        <v>20</v>
      </c>
      <c r="H988" s="23">
        <v>1</v>
      </c>
      <c r="I988" s="23">
        <v>2</v>
      </c>
      <c r="J988" s="189">
        <f t="shared" si="76"/>
        <v>0.0143261014580223</v>
      </c>
      <c r="K988" s="89">
        <f t="shared" si="77"/>
        <v>1.95024390243902</v>
      </c>
      <c r="L988" s="30">
        <f t="shared" si="75"/>
        <v>27.9393920142308</v>
      </c>
      <c r="M988" s="90">
        <f t="shared" si="78"/>
        <v>63.5999818090864</v>
      </c>
      <c r="N988" s="91">
        <f t="shared" si="79"/>
        <v>0.0133037694013304</v>
      </c>
    </row>
    <row r="989" s="2" customFormat="1" spans="1:14">
      <c r="A989" s="86">
        <v>45789</v>
      </c>
      <c r="B989" s="22">
        <v>896.97</v>
      </c>
      <c r="C989" s="29">
        <v>29057</v>
      </c>
      <c r="D989" s="29">
        <v>360</v>
      </c>
      <c r="E989" s="23">
        <v>2</v>
      </c>
      <c r="F989" s="25">
        <v>17572</v>
      </c>
      <c r="G989" s="23">
        <v>25</v>
      </c>
      <c r="H989" s="23">
        <v>3</v>
      </c>
      <c r="I989" s="23">
        <v>5</v>
      </c>
      <c r="J989" s="189">
        <f t="shared" si="76"/>
        <v>0.0123894414426816</v>
      </c>
      <c r="K989" s="89">
        <f t="shared" si="77"/>
        <v>2.49158333333333</v>
      </c>
      <c r="L989" s="30">
        <f t="shared" si="75"/>
        <v>30.8693258078948</v>
      </c>
      <c r="M989" s="90">
        <f t="shared" si="78"/>
        <v>19.5903987870274</v>
      </c>
      <c r="N989" s="91">
        <f t="shared" si="79"/>
        <v>0.00555555555555556</v>
      </c>
    </row>
    <row r="990" s="2" customFormat="1" spans="1:14">
      <c r="A990" s="86">
        <v>45790</v>
      </c>
      <c r="B990" s="22">
        <v>516.29</v>
      </c>
      <c r="C990" s="29">
        <v>19113</v>
      </c>
      <c r="D990" s="29">
        <v>225</v>
      </c>
      <c r="E990" s="23">
        <v>4</v>
      </c>
      <c r="F990" s="25">
        <v>49087</v>
      </c>
      <c r="G990" s="23">
        <v>9</v>
      </c>
      <c r="H990" s="23">
        <v>0</v>
      </c>
      <c r="I990" s="23">
        <v>0</v>
      </c>
      <c r="J990" s="189">
        <f t="shared" si="76"/>
        <v>0.0117720922932036</v>
      </c>
      <c r="K990" s="89">
        <f t="shared" si="77"/>
        <v>2.29462222222222</v>
      </c>
      <c r="L990" s="30">
        <f t="shared" si="75"/>
        <v>27.0125045780359</v>
      </c>
      <c r="M990" s="90">
        <f t="shared" si="78"/>
        <v>95.0764105444615</v>
      </c>
      <c r="N990" s="91">
        <f t="shared" si="79"/>
        <v>0.0177777777777778</v>
      </c>
    </row>
    <row r="991" s="2" customFormat="1" spans="1:14">
      <c r="A991" s="86">
        <v>45791</v>
      </c>
      <c r="B991" s="22">
        <v>1195.73</v>
      </c>
      <c r="C991" s="29">
        <v>21253</v>
      </c>
      <c r="D991" s="29">
        <v>424</v>
      </c>
      <c r="E991" s="23">
        <v>6</v>
      </c>
      <c r="F991" s="25">
        <v>61960</v>
      </c>
      <c r="G991" s="23">
        <v>21</v>
      </c>
      <c r="H991" s="23">
        <v>2</v>
      </c>
      <c r="I991" s="23">
        <v>1</v>
      </c>
      <c r="J991" s="189">
        <f t="shared" si="76"/>
        <v>0.0199501246882793</v>
      </c>
      <c r="K991" s="89">
        <f t="shared" si="77"/>
        <v>2.8201179245283</v>
      </c>
      <c r="L991" s="30">
        <f t="shared" si="75"/>
        <v>56.2617042299911</v>
      </c>
      <c r="M991" s="90">
        <f t="shared" si="78"/>
        <v>51.8177180467162</v>
      </c>
      <c r="N991" s="91">
        <f t="shared" si="79"/>
        <v>0.0141509433962264</v>
      </c>
    </row>
    <row r="992" s="2" customFormat="1" spans="1:14">
      <c r="A992" s="86">
        <v>45792</v>
      </c>
      <c r="B992" s="22">
        <v>2062.19</v>
      </c>
      <c r="C992" s="29">
        <v>52389</v>
      </c>
      <c r="D992" s="29">
        <v>923</v>
      </c>
      <c r="E992" s="23">
        <v>14</v>
      </c>
      <c r="F992" s="25">
        <v>156096</v>
      </c>
      <c r="G992" s="23">
        <v>57</v>
      </c>
      <c r="H992" s="23">
        <v>7</v>
      </c>
      <c r="I992" s="23">
        <v>3</v>
      </c>
      <c r="J992" s="189">
        <f t="shared" si="76"/>
        <v>0.0176182022943748</v>
      </c>
      <c r="K992" s="89">
        <f t="shared" si="77"/>
        <v>2.23422535211268</v>
      </c>
      <c r="L992" s="30">
        <f t="shared" si="75"/>
        <v>39.3630342247418</v>
      </c>
      <c r="M992" s="90">
        <f t="shared" si="78"/>
        <v>75.6942861714973</v>
      </c>
      <c r="N992" s="91">
        <f t="shared" si="79"/>
        <v>0.0151679306608884</v>
      </c>
    </row>
    <row r="993" s="2" customFormat="1" spans="1:14">
      <c r="A993" s="86">
        <v>45793</v>
      </c>
      <c r="B993" s="22">
        <v>4941.67</v>
      </c>
      <c r="C993" s="29">
        <v>115602</v>
      </c>
      <c r="D993" s="29">
        <v>1616</v>
      </c>
      <c r="E993" s="23">
        <v>7</v>
      </c>
      <c r="F993" s="25">
        <v>78171</v>
      </c>
      <c r="G993" s="23">
        <v>57</v>
      </c>
      <c r="H993" s="23">
        <v>12</v>
      </c>
      <c r="I993" s="23">
        <v>4</v>
      </c>
      <c r="J993" s="189">
        <f t="shared" si="76"/>
        <v>0.0139789969031678</v>
      </c>
      <c r="K993" s="89">
        <f t="shared" si="77"/>
        <v>3.05796410891089</v>
      </c>
      <c r="L993" s="30">
        <f t="shared" si="75"/>
        <v>42.7472708084635</v>
      </c>
      <c r="M993" s="90">
        <f t="shared" si="78"/>
        <v>15.8187414376112</v>
      </c>
      <c r="N993" s="91">
        <f t="shared" si="79"/>
        <v>0.00433168316831683</v>
      </c>
    </row>
    <row r="994" s="2" customFormat="1" spans="1:14">
      <c r="A994" s="86">
        <v>45794</v>
      </c>
      <c r="B994" s="22">
        <v>1935.64</v>
      </c>
      <c r="C994" s="29">
        <v>71295</v>
      </c>
      <c r="D994" s="29">
        <v>895</v>
      </c>
      <c r="E994" s="23">
        <v>8</v>
      </c>
      <c r="F994" s="25">
        <v>99935</v>
      </c>
      <c r="G994" s="23">
        <v>68</v>
      </c>
      <c r="H994" s="23">
        <v>9</v>
      </c>
      <c r="I994" s="23">
        <v>2</v>
      </c>
      <c r="J994" s="189">
        <f t="shared" si="76"/>
        <v>0.0125534749982467</v>
      </c>
      <c r="K994" s="89">
        <f t="shared" si="77"/>
        <v>2.16272625698324</v>
      </c>
      <c r="L994" s="30">
        <f t="shared" si="75"/>
        <v>27.1497299950908</v>
      </c>
      <c r="M994" s="90">
        <f t="shared" si="78"/>
        <v>51.6289186005662</v>
      </c>
      <c r="N994" s="91">
        <f t="shared" si="79"/>
        <v>0.00893854748603352</v>
      </c>
    </row>
    <row r="995" s="2" customFormat="1" spans="1:14">
      <c r="A995" s="86">
        <v>45795</v>
      </c>
      <c r="B995" s="22">
        <v>1931.7</v>
      </c>
      <c r="C995" s="29">
        <v>93812</v>
      </c>
      <c r="D995" s="29">
        <v>1158</v>
      </c>
      <c r="E995" s="23">
        <v>4</v>
      </c>
      <c r="F995" s="25">
        <v>56465</v>
      </c>
      <c r="G995" s="23">
        <v>39</v>
      </c>
      <c r="H995" s="23">
        <v>12</v>
      </c>
      <c r="I995" s="23">
        <v>1</v>
      </c>
      <c r="J995" s="189">
        <f t="shared" si="76"/>
        <v>0.012343836609389</v>
      </c>
      <c r="K995" s="89">
        <f t="shared" si="77"/>
        <v>1.66813471502591</v>
      </c>
      <c r="L995" s="30">
        <f t="shared" si="75"/>
        <v>20.5911823647295</v>
      </c>
      <c r="M995" s="90">
        <f t="shared" si="78"/>
        <v>29.2307294093286</v>
      </c>
      <c r="N995" s="91">
        <f t="shared" si="79"/>
        <v>0.00345423143350604</v>
      </c>
    </row>
    <row r="996" s="2" customFormat="1" spans="1:14">
      <c r="A996" s="86">
        <v>45796</v>
      </c>
      <c r="B996" s="22">
        <v>1840.19</v>
      </c>
      <c r="C996" s="29">
        <v>86047</v>
      </c>
      <c r="D996" s="29">
        <v>1047</v>
      </c>
      <c r="E996" s="23">
        <v>2</v>
      </c>
      <c r="F996" s="25">
        <v>32826</v>
      </c>
      <c r="G996" s="23">
        <v>45</v>
      </c>
      <c r="H996" s="23">
        <v>6</v>
      </c>
      <c r="I996" s="23">
        <v>4</v>
      </c>
      <c r="J996" s="189">
        <f t="shared" si="76"/>
        <v>0.0121677687775286</v>
      </c>
      <c r="K996" s="89">
        <f t="shared" si="77"/>
        <v>1.75758357211079</v>
      </c>
      <c r="L996" s="30">
        <f t="shared" si="75"/>
        <v>21.3858705126268</v>
      </c>
      <c r="M996" s="90">
        <f t="shared" si="78"/>
        <v>17.8383753851504</v>
      </c>
      <c r="N996" s="91">
        <f t="shared" si="79"/>
        <v>0.00191021967526266</v>
      </c>
    </row>
    <row r="997" s="2" customFormat="1" spans="1:14">
      <c r="A997" s="86">
        <v>45797</v>
      </c>
      <c r="B997" s="22">
        <v>1702.23</v>
      </c>
      <c r="C997" s="29">
        <v>68904</v>
      </c>
      <c r="D997" s="29">
        <v>1004</v>
      </c>
      <c r="E997" s="23">
        <v>7</v>
      </c>
      <c r="F997" s="25">
        <v>93799</v>
      </c>
      <c r="G997" s="23">
        <v>60</v>
      </c>
      <c r="H997" s="23">
        <v>8</v>
      </c>
      <c r="I997" s="23">
        <v>0</v>
      </c>
      <c r="J997" s="189">
        <f t="shared" si="76"/>
        <v>0.014570997329618</v>
      </c>
      <c r="K997" s="89">
        <f t="shared" si="77"/>
        <v>1.69544820717131</v>
      </c>
      <c r="L997" s="30">
        <f t="shared" si="75"/>
        <v>24.7043712991989</v>
      </c>
      <c r="M997" s="90">
        <f t="shared" si="78"/>
        <v>55.1035993960863</v>
      </c>
      <c r="N997" s="91">
        <f t="shared" si="79"/>
        <v>0.00697211155378486</v>
      </c>
    </row>
    <row r="998" s="2" customFormat="1" spans="1:14">
      <c r="A998" s="86">
        <v>45798</v>
      </c>
      <c r="B998" s="22">
        <v>1704.23</v>
      </c>
      <c r="C998" s="29">
        <v>88386</v>
      </c>
      <c r="D998" s="29">
        <v>1071</v>
      </c>
      <c r="E998" s="23">
        <v>8</v>
      </c>
      <c r="F998" s="25">
        <v>94271.64</v>
      </c>
      <c r="G998" s="23">
        <v>74</v>
      </c>
      <c r="H998" s="23">
        <v>11</v>
      </c>
      <c r="I998" s="23">
        <v>1</v>
      </c>
      <c r="J998" s="189">
        <f t="shared" si="76"/>
        <v>0.0121173036453737</v>
      </c>
      <c r="K998" s="89">
        <f t="shared" si="77"/>
        <v>1.59125116713352</v>
      </c>
      <c r="L998" s="30">
        <f t="shared" si="75"/>
        <v>19.2816735682122</v>
      </c>
      <c r="M998" s="90">
        <f t="shared" si="78"/>
        <v>55.3162659969605</v>
      </c>
      <c r="N998" s="91">
        <f t="shared" si="79"/>
        <v>0.00746965452847806</v>
      </c>
    </row>
    <row r="999" s="2" customFormat="1" spans="1:14">
      <c r="A999" s="86">
        <v>45799</v>
      </c>
      <c r="B999" s="22">
        <v>1724.8</v>
      </c>
      <c r="C999" s="29">
        <v>101552</v>
      </c>
      <c r="D999" s="29">
        <v>1160</v>
      </c>
      <c r="E999" s="23">
        <v>4</v>
      </c>
      <c r="F999" s="25">
        <v>43101</v>
      </c>
      <c r="G999" s="23">
        <v>55</v>
      </c>
      <c r="H999" s="23">
        <v>21</v>
      </c>
      <c r="I999" s="23">
        <v>1</v>
      </c>
      <c r="J999" s="189">
        <f t="shared" si="76"/>
        <v>0.0114227193949898</v>
      </c>
      <c r="K999" s="89">
        <f t="shared" si="77"/>
        <v>1.48689655172414</v>
      </c>
      <c r="L999" s="30">
        <f t="shared" si="75"/>
        <v>16.9844020797227</v>
      </c>
      <c r="M999" s="90">
        <f t="shared" si="78"/>
        <v>24.9889842300557</v>
      </c>
      <c r="N999" s="91">
        <f t="shared" si="79"/>
        <v>0.00344827586206897</v>
      </c>
    </row>
    <row r="1000" s="2" customFormat="1" spans="1:14">
      <c r="A1000" s="86">
        <v>45800</v>
      </c>
      <c r="B1000" s="22">
        <v>1724.8</v>
      </c>
      <c r="C1000" s="29">
        <v>81626</v>
      </c>
      <c r="D1000" s="29">
        <v>1083</v>
      </c>
      <c r="E1000" s="23">
        <v>2</v>
      </c>
      <c r="F1000" s="25">
        <v>36306</v>
      </c>
      <c r="G1000" s="23">
        <v>40</v>
      </c>
      <c r="H1000" s="23">
        <v>14</v>
      </c>
      <c r="I1000" s="23">
        <v>4</v>
      </c>
      <c r="J1000" s="189">
        <f t="shared" si="76"/>
        <v>0.0132678313282533</v>
      </c>
      <c r="K1000" s="89">
        <f t="shared" si="77"/>
        <v>1.59261311172669</v>
      </c>
      <c r="L1000" s="30">
        <f t="shared" si="75"/>
        <v>21.1305221375542</v>
      </c>
      <c r="M1000" s="90">
        <f t="shared" si="78"/>
        <v>21.0493970315399</v>
      </c>
      <c r="N1000" s="91">
        <f t="shared" si="79"/>
        <v>0.00184672206832872</v>
      </c>
    </row>
    <row r="1001" s="2" customFormat="1" spans="1:14">
      <c r="A1001" s="86">
        <v>45801</v>
      </c>
      <c r="B1001" s="22">
        <v>1705.25</v>
      </c>
      <c r="C1001" s="29">
        <v>56156</v>
      </c>
      <c r="D1001" s="29">
        <v>910</v>
      </c>
      <c r="E1001" s="23">
        <v>2</v>
      </c>
      <c r="F1001" s="25">
        <v>23192</v>
      </c>
      <c r="G1001" s="23">
        <v>49</v>
      </c>
      <c r="H1001" s="23">
        <v>12</v>
      </c>
      <c r="I1001" s="23">
        <v>2</v>
      </c>
      <c r="J1001" s="189">
        <f t="shared" si="76"/>
        <v>0.0162048578958615</v>
      </c>
      <c r="K1001" s="89">
        <f t="shared" si="77"/>
        <v>1.8739010989011</v>
      </c>
      <c r="L1001" s="30">
        <f t="shared" ref="L1001:L1064" si="80">B1001/C1001*1000</f>
        <v>30.3663010185911</v>
      </c>
      <c r="M1001" s="90">
        <f t="shared" si="78"/>
        <v>13.6003518545668</v>
      </c>
      <c r="N1001" s="91">
        <f t="shared" si="79"/>
        <v>0.0021978021978022</v>
      </c>
    </row>
    <row r="1002" s="2" customFormat="1" spans="1:14">
      <c r="A1002" s="86">
        <v>45802</v>
      </c>
      <c r="B1002" s="22">
        <v>1727.58</v>
      </c>
      <c r="C1002" s="29">
        <v>59043</v>
      </c>
      <c r="D1002" s="29">
        <v>949</v>
      </c>
      <c r="E1002" s="23">
        <v>3</v>
      </c>
      <c r="F1002" s="25">
        <v>39149</v>
      </c>
      <c r="G1002" s="23">
        <v>60</v>
      </c>
      <c r="H1002" s="23">
        <v>19</v>
      </c>
      <c r="I1002" s="23">
        <v>4</v>
      </c>
      <c r="J1002" s="189">
        <f t="shared" si="76"/>
        <v>0.0160730315194011</v>
      </c>
      <c r="K1002" s="89">
        <f t="shared" si="77"/>
        <v>1.82042149631191</v>
      </c>
      <c r="L1002" s="30">
        <f t="shared" si="80"/>
        <v>29.2596920888166</v>
      </c>
      <c r="M1002" s="90">
        <f t="shared" si="78"/>
        <v>22.6611792218016</v>
      </c>
      <c r="N1002" s="91">
        <f t="shared" si="79"/>
        <v>0.00316122233930453</v>
      </c>
    </row>
    <row r="1003" s="2" customFormat="1" spans="1:14">
      <c r="A1003" s="86">
        <v>45803</v>
      </c>
      <c r="B1003" s="22">
        <v>1699.44</v>
      </c>
      <c r="C1003" s="29">
        <v>67713</v>
      </c>
      <c r="D1003" s="29">
        <v>947</v>
      </c>
      <c r="E1003" s="23">
        <v>5</v>
      </c>
      <c r="F1003" s="25">
        <v>72408</v>
      </c>
      <c r="G1003" s="23">
        <v>50</v>
      </c>
      <c r="H1003" s="23">
        <v>17</v>
      </c>
      <c r="I1003" s="23">
        <v>4</v>
      </c>
      <c r="J1003" s="189">
        <f t="shared" si="76"/>
        <v>0.0139854976149336</v>
      </c>
      <c r="K1003" s="89">
        <f t="shared" si="77"/>
        <v>1.79455121436114</v>
      </c>
      <c r="L1003" s="30">
        <f t="shared" si="80"/>
        <v>25.097691728324</v>
      </c>
      <c r="M1003" s="90">
        <f t="shared" si="78"/>
        <v>42.6069764157605</v>
      </c>
      <c r="N1003" s="91">
        <f t="shared" si="79"/>
        <v>0.00527983104540655</v>
      </c>
    </row>
    <row r="1004" s="2" customFormat="1" spans="1:14">
      <c r="A1004" s="86">
        <v>45804</v>
      </c>
      <c r="B1004" s="22">
        <v>1723.25</v>
      </c>
      <c r="C1004" s="29">
        <v>44774</v>
      </c>
      <c r="D1004" s="29">
        <v>708</v>
      </c>
      <c r="E1004" s="23">
        <v>3</v>
      </c>
      <c r="F1004" s="25">
        <v>56738</v>
      </c>
      <c r="G1004" s="23">
        <v>44</v>
      </c>
      <c r="H1004" s="23">
        <v>4</v>
      </c>
      <c r="I1004" s="23">
        <v>3</v>
      </c>
      <c r="J1004" s="189">
        <f t="shared" si="76"/>
        <v>0.0158127484700942</v>
      </c>
      <c r="K1004" s="89">
        <f t="shared" si="77"/>
        <v>2.43396892655367</v>
      </c>
      <c r="L1004" s="30">
        <f t="shared" si="80"/>
        <v>38.4877384196185</v>
      </c>
      <c r="M1004" s="90">
        <f t="shared" si="78"/>
        <v>32.9249963731322</v>
      </c>
      <c r="N1004" s="91">
        <f t="shared" si="79"/>
        <v>0.00423728813559322</v>
      </c>
    </row>
    <row r="1005" s="2" customFormat="1" spans="1:14">
      <c r="A1005" s="86">
        <v>45805</v>
      </c>
      <c r="B1005" s="22">
        <v>1316.08</v>
      </c>
      <c r="C1005" s="29">
        <v>41376</v>
      </c>
      <c r="D1005" s="29">
        <v>466</v>
      </c>
      <c r="E1005" s="23">
        <v>2</v>
      </c>
      <c r="F1005" s="25">
        <v>17073</v>
      </c>
      <c r="G1005" s="23">
        <v>30</v>
      </c>
      <c r="H1005" s="23">
        <v>2</v>
      </c>
      <c r="I1005" s="23">
        <v>1</v>
      </c>
      <c r="J1005" s="189">
        <f t="shared" si="76"/>
        <v>0.0112625676720804</v>
      </c>
      <c r="K1005" s="89">
        <f t="shared" si="77"/>
        <v>2.82420600858369</v>
      </c>
      <c r="L1005" s="30">
        <f t="shared" si="80"/>
        <v>31.80781129157</v>
      </c>
      <c r="M1005" s="90">
        <f t="shared" si="78"/>
        <v>12.9726156464653</v>
      </c>
      <c r="N1005" s="91">
        <f t="shared" si="79"/>
        <v>0.00429184549356223</v>
      </c>
    </row>
    <row r="1006" s="2" customFormat="1" spans="1:14">
      <c r="A1006" s="86">
        <v>45806</v>
      </c>
      <c r="B1006" s="22">
        <v>1247.34</v>
      </c>
      <c r="C1006" s="29">
        <v>33594</v>
      </c>
      <c r="D1006" s="29">
        <v>409</v>
      </c>
      <c r="E1006" s="23">
        <v>0</v>
      </c>
      <c r="F1006" s="25">
        <v>0</v>
      </c>
      <c r="G1006" s="23">
        <v>28</v>
      </c>
      <c r="H1006" s="23">
        <v>3</v>
      </c>
      <c r="I1006" s="23">
        <v>1</v>
      </c>
      <c r="J1006" s="189">
        <f t="shared" si="76"/>
        <v>0.0121747931178187</v>
      </c>
      <c r="K1006" s="89">
        <f t="shared" si="77"/>
        <v>3.04973105134474</v>
      </c>
      <c r="L1006" s="30">
        <f t="shared" si="80"/>
        <v>37.1298446151098</v>
      </c>
      <c r="M1006" s="90">
        <f t="shared" si="78"/>
        <v>0</v>
      </c>
      <c r="N1006" s="91">
        <f t="shared" si="79"/>
        <v>0</v>
      </c>
    </row>
    <row r="1007" s="2" customFormat="1" spans="1:14">
      <c r="A1007" s="86">
        <v>45807</v>
      </c>
      <c r="B1007" s="22">
        <v>1272.76</v>
      </c>
      <c r="C1007" s="29">
        <v>33621</v>
      </c>
      <c r="D1007" s="29">
        <v>480</v>
      </c>
      <c r="E1007" s="23">
        <v>3</v>
      </c>
      <c r="F1007" s="25">
        <v>47818</v>
      </c>
      <c r="G1007" s="23">
        <v>26</v>
      </c>
      <c r="H1007" s="23">
        <v>3</v>
      </c>
      <c r="I1007" s="23">
        <v>0</v>
      </c>
      <c r="J1007" s="189">
        <f t="shared" si="76"/>
        <v>0.0142767912911573</v>
      </c>
      <c r="K1007" s="89">
        <f t="shared" si="77"/>
        <v>2.65158333333333</v>
      </c>
      <c r="L1007" s="30">
        <f t="shared" si="80"/>
        <v>37.8561018411112</v>
      </c>
      <c r="M1007" s="90">
        <f t="shared" si="78"/>
        <v>37.5703196203526</v>
      </c>
      <c r="N1007" s="91">
        <f t="shared" si="79"/>
        <v>0.00625</v>
      </c>
    </row>
    <row r="1008" s="2" customFormat="1" spans="1:14">
      <c r="A1008" s="86">
        <v>45808</v>
      </c>
      <c r="B1008" s="22">
        <v>1211.24</v>
      </c>
      <c r="C1008" s="29">
        <v>25125</v>
      </c>
      <c r="D1008" s="29">
        <v>396</v>
      </c>
      <c r="E1008" s="23">
        <v>2</v>
      </c>
      <c r="F1008" s="25">
        <v>23732</v>
      </c>
      <c r="G1008" s="23">
        <v>23</v>
      </c>
      <c r="H1008" s="23">
        <v>1</v>
      </c>
      <c r="I1008" s="23">
        <v>1</v>
      </c>
      <c r="J1008" s="189">
        <f t="shared" si="76"/>
        <v>0.0157611940298507</v>
      </c>
      <c r="K1008" s="89">
        <f t="shared" si="77"/>
        <v>3.05868686868687</v>
      </c>
      <c r="L1008" s="30">
        <f t="shared" si="80"/>
        <v>48.2085572139304</v>
      </c>
      <c r="M1008" s="90">
        <f t="shared" si="78"/>
        <v>19.5931442158449</v>
      </c>
      <c r="N1008" s="91">
        <f t="shared" si="79"/>
        <v>0.00505050505050505</v>
      </c>
    </row>
    <row r="1009" s="2" customFormat="1" spans="1:14">
      <c r="A1009" s="86">
        <v>45809</v>
      </c>
      <c r="B1009" s="22">
        <v>1230.8</v>
      </c>
      <c r="C1009" s="29">
        <v>28851</v>
      </c>
      <c r="D1009" s="29">
        <v>511</v>
      </c>
      <c r="E1009" s="23">
        <v>1</v>
      </c>
      <c r="F1009" s="25">
        <v>17592</v>
      </c>
      <c r="G1009" s="23">
        <v>30</v>
      </c>
      <c r="H1009" s="23">
        <v>1</v>
      </c>
      <c r="I1009" s="23">
        <v>2</v>
      </c>
      <c r="J1009" s="189">
        <f t="shared" si="76"/>
        <v>0.0177116911025614</v>
      </c>
      <c r="K1009" s="89">
        <f t="shared" si="77"/>
        <v>2.40861056751468</v>
      </c>
      <c r="L1009" s="30">
        <f t="shared" si="80"/>
        <v>42.6605663581852</v>
      </c>
      <c r="M1009" s="90">
        <f t="shared" si="78"/>
        <v>14.2931426714332</v>
      </c>
      <c r="N1009" s="91">
        <f t="shared" si="79"/>
        <v>0.00195694716242661</v>
      </c>
    </row>
    <row r="1010" s="2" customFormat="1" spans="1:14">
      <c r="A1010" s="86">
        <v>45810</v>
      </c>
      <c r="B1010" s="22">
        <v>754.99</v>
      </c>
      <c r="C1010" s="29">
        <v>21329</v>
      </c>
      <c r="D1010" s="29">
        <v>380</v>
      </c>
      <c r="E1010" s="23">
        <v>0</v>
      </c>
      <c r="F1010" s="25">
        <v>0</v>
      </c>
      <c r="G1010" s="23">
        <v>42</v>
      </c>
      <c r="H1010" s="23">
        <v>3</v>
      </c>
      <c r="I1010" s="23">
        <v>1</v>
      </c>
      <c r="J1010" s="189">
        <f t="shared" si="76"/>
        <v>0.0178161188991514</v>
      </c>
      <c r="K1010" s="89">
        <f t="shared" si="77"/>
        <v>1.98681578947368</v>
      </c>
      <c r="L1010" s="30">
        <f t="shared" si="80"/>
        <v>35.3973463359745</v>
      </c>
      <c r="M1010" s="90">
        <f t="shared" si="78"/>
        <v>0</v>
      </c>
      <c r="N1010" s="91">
        <f t="shared" si="79"/>
        <v>0</v>
      </c>
    </row>
    <row r="1011" s="2" customFormat="1" spans="1:14">
      <c r="A1011" s="86">
        <v>45811</v>
      </c>
      <c r="B1011" s="22">
        <v>1291.39</v>
      </c>
      <c r="C1011" s="29">
        <v>75260</v>
      </c>
      <c r="D1011" s="29">
        <v>775</v>
      </c>
      <c r="E1011" s="23">
        <v>2</v>
      </c>
      <c r="F1011" s="25">
        <v>20670</v>
      </c>
      <c r="G1011" s="23">
        <v>44</v>
      </c>
      <c r="H1011" s="23">
        <v>7</v>
      </c>
      <c r="I1011" s="23">
        <v>1</v>
      </c>
      <c r="J1011" s="189">
        <f t="shared" si="76"/>
        <v>0.0102976348657986</v>
      </c>
      <c r="K1011" s="89">
        <f t="shared" si="77"/>
        <v>1.66630967741935</v>
      </c>
      <c r="L1011" s="30">
        <f t="shared" si="80"/>
        <v>17.1590486314111</v>
      </c>
      <c r="M1011" s="90">
        <f t="shared" si="78"/>
        <v>16.0060090290307</v>
      </c>
      <c r="N1011" s="91">
        <f t="shared" si="79"/>
        <v>0.00258064516129032</v>
      </c>
    </row>
    <row r="1012" s="2" customFormat="1" spans="1:14">
      <c r="A1012" s="86">
        <v>45812</v>
      </c>
      <c r="B1012" s="22">
        <v>1306.02</v>
      </c>
      <c r="C1012" s="29">
        <v>80389</v>
      </c>
      <c r="D1012" s="29">
        <v>888</v>
      </c>
      <c r="E1012" s="23">
        <v>0</v>
      </c>
      <c r="F1012" s="25">
        <v>0</v>
      </c>
      <c r="G1012" s="23">
        <v>38</v>
      </c>
      <c r="H1012" s="23">
        <v>8</v>
      </c>
      <c r="I1012" s="23">
        <v>1</v>
      </c>
      <c r="J1012" s="189">
        <f t="shared" si="76"/>
        <v>0.0110462874273843</v>
      </c>
      <c r="K1012" s="89">
        <f t="shared" si="77"/>
        <v>1.47074324324324</v>
      </c>
      <c r="L1012" s="30">
        <f t="shared" si="80"/>
        <v>16.2462525967483</v>
      </c>
      <c r="M1012" s="90">
        <f t="shared" si="78"/>
        <v>0</v>
      </c>
      <c r="N1012" s="91">
        <f t="shared" si="79"/>
        <v>0</v>
      </c>
    </row>
    <row r="1013" s="2" customFormat="1" spans="1:14">
      <c r="A1013" s="86">
        <v>45813</v>
      </c>
      <c r="B1013" s="22">
        <v>1288.2</v>
      </c>
      <c r="C1013" s="29">
        <v>74191</v>
      </c>
      <c r="D1013" s="29">
        <v>869</v>
      </c>
      <c r="E1013" s="23">
        <v>3</v>
      </c>
      <c r="F1013" s="25">
        <v>40382</v>
      </c>
      <c r="G1013" s="23">
        <v>55</v>
      </c>
      <c r="H1013" s="23">
        <v>18</v>
      </c>
      <c r="I1013" s="23">
        <v>2</v>
      </c>
      <c r="J1013" s="189">
        <f t="shared" si="76"/>
        <v>0.0117130110121174</v>
      </c>
      <c r="K1013" s="89">
        <f t="shared" si="77"/>
        <v>1.48239355581128</v>
      </c>
      <c r="L1013" s="30">
        <f t="shared" si="80"/>
        <v>17.3632920435093</v>
      </c>
      <c r="M1013" s="90">
        <f t="shared" si="78"/>
        <v>31.3476168296848</v>
      </c>
      <c r="N1013" s="91">
        <f t="shared" si="79"/>
        <v>0.00345224395857307</v>
      </c>
    </row>
    <row r="1014" s="2" customFormat="1" spans="1:14">
      <c r="A1014" s="86">
        <v>45814</v>
      </c>
      <c r="B1014" s="22">
        <v>1276.62</v>
      </c>
      <c r="C1014" s="29">
        <v>72242</v>
      </c>
      <c r="D1014" s="29">
        <v>862</v>
      </c>
      <c r="E1014" s="23">
        <v>3</v>
      </c>
      <c r="F1014" s="25">
        <v>34087</v>
      </c>
      <c r="G1014" s="23">
        <v>41</v>
      </c>
      <c r="H1014" s="23">
        <v>15</v>
      </c>
      <c r="I1014" s="23">
        <v>4</v>
      </c>
      <c r="J1014" s="189">
        <f t="shared" si="76"/>
        <v>0.011932117051023</v>
      </c>
      <c r="K1014" s="89">
        <f t="shared" si="77"/>
        <v>1.48099767981439</v>
      </c>
      <c r="L1014" s="30">
        <f t="shared" si="80"/>
        <v>17.6714376678386</v>
      </c>
      <c r="M1014" s="90">
        <f t="shared" si="78"/>
        <v>26.7009760147891</v>
      </c>
      <c r="N1014" s="91">
        <f t="shared" si="79"/>
        <v>0.00348027842227378</v>
      </c>
    </row>
    <row r="1015" s="2" customFormat="1" spans="1:14">
      <c r="A1015" s="86">
        <v>45815</v>
      </c>
      <c r="B1015" s="22">
        <v>1291.48</v>
      </c>
      <c r="C1015" s="29">
        <v>71909</v>
      </c>
      <c r="D1015" s="29">
        <v>930</v>
      </c>
      <c r="E1015" s="23">
        <v>6</v>
      </c>
      <c r="F1015" s="25">
        <v>69007</v>
      </c>
      <c r="G1015" s="23">
        <v>49</v>
      </c>
      <c r="H1015" s="23">
        <v>18</v>
      </c>
      <c r="I1015" s="23">
        <v>2</v>
      </c>
      <c r="J1015" s="189">
        <f t="shared" si="76"/>
        <v>0.012933012557538</v>
      </c>
      <c r="K1015" s="89">
        <f t="shared" si="77"/>
        <v>1.38868817204301</v>
      </c>
      <c r="L1015" s="30">
        <f t="shared" si="80"/>
        <v>17.9599215675367</v>
      </c>
      <c r="M1015" s="90">
        <f t="shared" si="78"/>
        <v>53.4324960510422</v>
      </c>
      <c r="N1015" s="91">
        <f t="shared" si="79"/>
        <v>0.00645161290322581</v>
      </c>
    </row>
    <row r="1016" s="2" customFormat="1" spans="1:14">
      <c r="A1016" s="86">
        <v>45816</v>
      </c>
      <c r="B1016" s="22">
        <v>1311.08</v>
      </c>
      <c r="C1016" s="29">
        <v>74263</v>
      </c>
      <c r="D1016" s="29">
        <v>815</v>
      </c>
      <c r="E1016" s="23">
        <v>3</v>
      </c>
      <c r="F1016" s="25">
        <v>79489</v>
      </c>
      <c r="G1016" s="23">
        <v>30</v>
      </c>
      <c r="H1016" s="23">
        <v>5</v>
      </c>
      <c r="I1016" s="23">
        <v>2</v>
      </c>
      <c r="J1016" s="189">
        <f t="shared" si="76"/>
        <v>0.0109745095134859</v>
      </c>
      <c r="K1016" s="89">
        <f t="shared" si="77"/>
        <v>1.60868711656442</v>
      </c>
      <c r="L1016" s="30">
        <f t="shared" si="80"/>
        <v>17.6545520649583</v>
      </c>
      <c r="M1016" s="90">
        <f t="shared" si="78"/>
        <v>60.6286420355737</v>
      </c>
      <c r="N1016" s="91">
        <f t="shared" si="79"/>
        <v>0.00368098159509202</v>
      </c>
    </row>
    <row r="1017" s="2" customFormat="1" spans="1:14">
      <c r="A1017" s="86">
        <v>45817</v>
      </c>
      <c r="B1017" s="22">
        <v>1300.86</v>
      </c>
      <c r="C1017" s="29">
        <v>55107</v>
      </c>
      <c r="D1017" s="29">
        <v>707</v>
      </c>
      <c r="E1017" s="23">
        <v>1</v>
      </c>
      <c r="F1017" s="25">
        <v>15092</v>
      </c>
      <c r="G1017" s="23">
        <v>29</v>
      </c>
      <c r="H1017" s="23">
        <v>5</v>
      </c>
      <c r="I1017" s="23">
        <v>5</v>
      </c>
      <c r="J1017" s="189">
        <f t="shared" si="76"/>
        <v>0.0128295860779937</v>
      </c>
      <c r="K1017" s="89">
        <f t="shared" si="77"/>
        <v>1.83997171145686</v>
      </c>
      <c r="L1017" s="30">
        <f t="shared" si="80"/>
        <v>23.6060754532092</v>
      </c>
      <c r="M1017" s="90">
        <f t="shared" si="78"/>
        <v>11.6015558937933</v>
      </c>
      <c r="N1017" s="91">
        <f t="shared" si="79"/>
        <v>0.00141442715700141</v>
      </c>
    </row>
    <row r="1018" s="2" customFormat="1" spans="1:14">
      <c r="A1018" s="86">
        <v>45818</v>
      </c>
      <c r="B1018" s="22">
        <v>1153.04</v>
      </c>
      <c r="C1018" s="29">
        <v>36758</v>
      </c>
      <c r="D1018" s="29">
        <v>508</v>
      </c>
      <c r="E1018" s="23">
        <v>1</v>
      </c>
      <c r="F1018" s="25">
        <v>4000</v>
      </c>
      <c r="G1018" s="23">
        <v>25</v>
      </c>
      <c r="H1018" s="23">
        <v>1</v>
      </c>
      <c r="I1018" s="23">
        <v>1</v>
      </c>
      <c r="J1018" s="189">
        <f t="shared" si="76"/>
        <v>0.0138201207900321</v>
      </c>
      <c r="K1018" s="89">
        <f t="shared" si="77"/>
        <v>2.26976377952756</v>
      </c>
      <c r="L1018" s="30">
        <f t="shared" si="80"/>
        <v>31.3684095979107</v>
      </c>
      <c r="M1018" s="90">
        <f t="shared" si="78"/>
        <v>3.46909040449594</v>
      </c>
      <c r="N1018" s="91">
        <f t="shared" si="79"/>
        <v>0.00196850393700787</v>
      </c>
    </row>
    <row r="1019" s="2" customFormat="1" spans="1:14">
      <c r="A1019" s="86">
        <v>45819</v>
      </c>
      <c r="B1019" s="22">
        <v>1141.78</v>
      </c>
      <c r="C1019" s="29">
        <v>30943</v>
      </c>
      <c r="D1019" s="29">
        <v>461</v>
      </c>
      <c r="E1019" s="23">
        <v>2</v>
      </c>
      <c r="F1019" s="25">
        <v>21202</v>
      </c>
      <c r="G1019" s="23">
        <v>21</v>
      </c>
      <c r="H1019" s="23">
        <v>3</v>
      </c>
      <c r="I1019" s="23">
        <v>1</v>
      </c>
      <c r="J1019" s="189">
        <f t="shared" si="76"/>
        <v>0.0148983615034095</v>
      </c>
      <c r="K1019" s="89">
        <f t="shared" si="77"/>
        <v>2.47674620390456</v>
      </c>
      <c r="L1019" s="30">
        <f t="shared" si="80"/>
        <v>36.8994602979672</v>
      </c>
      <c r="M1019" s="90">
        <f t="shared" si="78"/>
        <v>18.5692515195572</v>
      </c>
      <c r="N1019" s="91">
        <f t="shared" si="79"/>
        <v>0.00433839479392625</v>
      </c>
    </row>
    <row r="1020" s="2" customFormat="1" spans="1:14">
      <c r="A1020" s="86">
        <v>45820</v>
      </c>
      <c r="B1020" s="22">
        <v>1141.94</v>
      </c>
      <c r="C1020" s="29">
        <v>38928</v>
      </c>
      <c r="D1020" s="29">
        <v>505</v>
      </c>
      <c r="E1020" s="23">
        <v>3</v>
      </c>
      <c r="F1020" s="25">
        <v>65713</v>
      </c>
      <c r="G1020" s="23">
        <v>7</v>
      </c>
      <c r="H1020" s="23">
        <v>6</v>
      </c>
      <c r="I1020" s="23">
        <v>0</v>
      </c>
      <c r="J1020" s="189">
        <f t="shared" si="76"/>
        <v>0.0129726674886971</v>
      </c>
      <c r="K1020" s="89">
        <f t="shared" si="77"/>
        <v>2.26126732673267</v>
      </c>
      <c r="L1020" s="30">
        <f t="shared" si="80"/>
        <v>29.3346691327579</v>
      </c>
      <c r="M1020" s="90">
        <f t="shared" si="78"/>
        <v>57.5450549065625</v>
      </c>
      <c r="N1020" s="91">
        <f t="shared" si="79"/>
        <v>0.00594059405940594</v>
      </c>
    </row>
    <row r="1021" s="2" customFormat="1" spans="1:14">
      <c r="A1021" s="86">
        <v>45821</v>
      </c>
      <c r="B1021" s="22">
        <v>1125.77</v>
      </c>
      <c r="C1021" s="29">
        <v>30231</v>
      </c>
      <c r="D1021" s="29">
        <v>457</v>
      </c>
      <c r="E1021" s="23">
        <v>3</v>
      </c>
      <c r="F1021" s="25">
        <v>32862</v>
      </c>
      <c r="G1021" s="23">
        <v>25</v>
      </c>
      <c r="H1021" s="23">
        <v>2</v>
      </c>
      <c r="I1021" s="23">
        <v>0</v>
      </c>
      <c r="J1021" s="189">
        <f t="shared" si="76"/>
        <v>0.0151169329496212</v>
      </c>
      <c r="K1021" s="89">
        <f t="shared" si="77"/>
        <v>2.46339168490153</v>
      </c>
      <c r="L1021" s="30">
        <f t="shared" si="80"/>
        <v>37.238926929311</v>
      </c>
      <c r="M1021" s="90">
        <f t="shared" si="78"/>
        <v>29.19068726294</v>
      </c>
      <c r="N1021" s="91">
        <f t="shared" si="79"/>
        <v>0.00656455142231947</v>
      </c>
    </row>
    <row r="1022" s="2" customFormat="1" spans="1:14">
      <c r="A1022" s="86">
        <v>45822</v>
      </c>
      <c r="B1022" s="22">
        <v>1116.5</v>
      </c>
      <c r="C1022" s="29">
        <v>37105</v>
      </c>
      <c r="D1022" s="29">
        <v>512</v>
      </c>
      <c r="E1022" s="23">
        <v>1</v>
      </c>
      <c r="F1022" s="25">
        <v>23620</v>
      </c>
      <c r="G1022" s="23">
        <v>20</v>
      </c>
      <c r="H1022" s="23">
        <v>7</v>
      </c>
      <c r="I1022" s="23">
        <v>0</v>
      </c>
      <c r="J1022" s="189">
        <f t="shared" si="76"/>
        <v>0.0137986794232583</v>
      </c>
      <c r="K1022" s="89">
        <f t="shared" si="77"/>
        <v>2.1806640625</v>
      </c>
      <c r="L1022" s="30">
        <f t="shared" si="80"/>
        <v>30.0902843282576</v>
      </c>
      <c r="M1022" s="90">
        <f t="shared" si="78"/>
        <v>21.1553963278101</v>
      </c>
      <c r="N1022" s="91">
        <f t="shared" si="79"/>
        <v>0.001953125</v>
      </c>
    </row>
    <row r="1023" s="2" customFormat="1" spans="1:14">
      <c r="A1023" s="86">
        <v>45823</v>
      </c>
      <c r="B1023" s="22">
        <v>1148.77</v>
      </c>
      <c r="C1023" s="29">
        <v>26817</v>
      </c>
      <c r="D1023" s="29">
        <v>464</v>
      </c>
      <c r="E1023" s="23">
        <v>1</v>
      </c>
      <c r="F1023" s="25">
        <v>34108</v>
      </c>
      <c r="G1023" s="23">
        <v>18</v>
      </c>
      <c r="H1023" s="23">
        <v>7</v>
      </c>
      <c r="I1023" s="23">
        <v>2</v>
      </c>
      <c r="J1023" s="189">
        <f t="shared" si="76"/>
        <v>0.0173024573964276</v>
      </c>
      <c r="K1023" s="89">
        <f t="shared" si="77"/>
        <v>2.4757974137931</v>
      </c>
      <c r="L1023" s="30">
        <f t="shared" si="80"/>
        <v>42.8373792743409</v>
      </c>
      <c r="M1023" s="90">
        <f t="shared" si="78"/>
        <v>29.6908867745502</v>
      </c>
      <c r="N1023" s="91">
        <f t="shared" si="79"/>
        <v>0.0021551724137931</v>
      </c>
    </row>
    <row r="1024" s="2" customFormat="1" spans="1:14">
      <c r="A1024" s="86">
        <v>45824</v>
      </c>
      <c r="B1024" s="22">
        <v>2098.61</v>
      </c>
      <c r="C1024" s="29">
        <v>38228</v>
      </c>
      <c r="D1024" s="29">
        <v>726</v>
      </c>
      <c r="E1024" s="23">
        <v>2</v>
      </c>
      <c r="F1024" s="25">
        <v>15762</v>
      </c>
      <c r="G1024" s="23">
        <v>52</v>
      </c>
      <c r="H1024" s="23">
        <v>6</v>
      </c>
      <c r="I1024" s="23">
        <v>6</v>
      </c>
      <c r="J1024" s="189">
        <f t="shared" si="76"/>
        <v>0.018991315266297</v>
      </c>
      <c r="K1024" s="89">
        <f t="shared" si="77"/>
        <v>2.89064738292011</v>
      </c>
      <c r="L1024" s="30">
        <f t="shared" si="80"/>
        <v>54.897195772732</v>
      </c>
      <c r="M1024" s="90">
        <f t="shared" si="78"/>
        <v>7.51068564430742</v>
      </c>
      <c r="N1024" s="91">
        <f t="shared" si="79"/>
        <v>0.00275482093663912</v>
      </c>
    </row>
    <row r="1025" s="2" customFormat="1" spans="1:14">
      <c r="A1025" s="86">
        <v>45825</v>
      </c>
      <c r="B1025" s="22">
        <v>2319.63</v>
      </c>
      <c r="C1025" s="29">
        <v>50403</v>
      </c>
      <c r="D1025" s="29">
        <v>766</v>
      </c>
      <c r="E1025" s="23">
        <v>1</v>
      </c>
      <c r="F1025" s="25">
        <v>11272</v>
      </c>
      <c r="G1025" s="23">
        <v>34</v>
      </c>
      <c r="H1025" s="23">
        <v>14</v>
      </c>
      <c r="I1025" s="23">
        <v>0</v>
      </c>
      <c r="J1025" s="189">
        <f t="shared" si="76"/>
        <v>0.0151975080848362</v>
      </c>
      <c r="K1025" s="89">
        <f t="shared" si="77"/>
        <v>3.02823759791123</v>
      </c>
      <c r="L1025" s="30">
        <f t="shared" si="80"/>
        <v>46.0216653770609</v>
      </c>
      <c r="M1025" s="90">
        <f t="shared" si="78"/>
        <v>4.85939567948337</v>
      </c>
      <c r="N1025" s="91">
        <f t="shared" si="79"/>
        <v>0.00130548302872063</v>
      </c>
    </row>
    <row r="1026" s="2" customFormat="1" spans="1:14">
      <c r="A1026" s="86">
        <v>45826</v>
      </c>
      <c r="B1026" s="22">
        <v>2343.69</v>
      </c>
      <c r="C1026" s="29">
        <v>36081</v>
      </c>
      <c r="D1026" s="29">
        <v>605</v>
      </c>
      <c r="E1026" s="23">
        <v>8</v>
      </c>
      <c r="F1026" s="25">
        <v>88076</v>
      </c>
      <c r="G1026" s="23">
        <v>37</v>
      </c>
      <c r="H1026" s="23">
        <v>9</v>
      </c>
      <c r="I1026" s="23">
        <v>0</v>
      </c>
      <c r="J1026" s="189">
        <f t="shared" si="76"/>
        <v>0.0167678279426845</v>
      </c>
      <c r="K1026" s="89">
        <f t="shared" si="77"/>
        <v>3.87386776859504</v>
      </c>
      <c r="L1026" s="30">
        <f t="shared" si="80"/>
        <v>64.9563482165129</v>
      </c>
      <c r="M1026" s="90">
        <f t="shared" si="78"/>
        <v>37.5800553827511</v>
      </c>
      <c r="N1026" s="91">
        <f t="shared" si="79"/>
        <v>0.0132231404958678</v>
      </c>
    </row>
    <row r="1027" s="2" customFormat="1" spans="1:14">
      <c r="A1027" s="86">
        <v>45827</v>
      </c>
      <c r="B1027" s="22">
        <v>2323.58</v>
      </c>
      <c r="C1027" s="29">
        <v>41412</v>
      </c>
      <c r="D1027" s="29">
        <v>668</v>
      </c>
      <c r="E1027" s="23">
        <v>5</v>
      </c>
      <c r="F1027" s="25">
        <v>53566</v>
      </c>
      <c r="G1027" s="23">
        <v>36</v>
      </c>
      <c r="H1027" s="23">
        <v>6</v>
      </c>
      <c r="I1027" s="23">
        <v>1</v>
      </c>
      <c r="J1027" s="189">
        <f t="shared" si="76"/>
        <v>0.0161305901671013</v>
      </c>
      <c r="K1027" s="89">
        <f t="shared" si="77"/>
        <v>3.47841317365269</v>
      </c>
      <c r="L1027" s="30">
        <f t="shared" si="80"/>
        <v>56.1088573360379</v>
      </c>
      <c r="M1027" s="90">
        <f t="shared" si="78"/>
        <v>23.0532196007884</v>
      </c>
      <c r="N1027" s="91">
        <f t="shared" si="79"/>
        <v>0.00748502994011976</v>
      </c>
    </row>
    <row r="1028" s="2" customFormat="1" spans="1:14">
      <c r="A1028" s="86">
        <v>45828</v>
      </c>
      <c r="B1028" s="22">
        <v>2312.74</v>
      </c>
      <c r="C1028" s="29">
        <v>26865</v>
      </c>
      <c r="D1028" s="29">
        <v>433</v>
      </c>
      <c r="E1028" s="23">
        <v>2</v>
      </c>
      <c r="F1028" s="25">
        <v>19970</v>
      </c>
      <c r="G1028" s="23">
        <v>15</v>
      </c>
      <c r="H1028" s="23">
        <v>0</v>
      </c>
      <c r="I1028" s="23">
        <v>2</v>
      </c>
      <c r="J1028" s="189">
        <f t="shared" si="76"/>
        <v>0.0161176251628513</v>
      </c>
      <c r="K1028" s="89">
        <f t="shared" si="77"/>
        <v>5.34120092378753</v>
      </c>
      <c r="L1028" s="30">
        <f t="shared" si="80"/>
        <v>86.0874744090824</v>
      </c>
      <c r="M1028" s="90">
        <f t="shared" si="78"/>
        <v>8.63477952558437</v>
      </c>
      <c r="N1028" s="91">
        <f t="shared" si="79"/>
        <v>0.0046189376443418</v>
      </c>
    </row>
    <row r="1029" s="2" customFormat="1" spans="1:14">
      <c r="A1029" s="86">
        <v>45829</v>
      </c>
      <c r="B1029" s="22">
        <v>1142.49</v>
      </c>
      <c r="C1029" s="29">
        <v>21342</v>
      </c>
      <c r="D1029" s="29">
        <v>432</v>
      </c>
      <c r="E1029" s="23">
        <v>2</v>
      </c>
      <c r="F1029" s="25">
        <v>29599</v>
      </c>
      <c r="G1029" s="23">
        <v>40</v>
      </c>
      <c r="H1029" s="23">
        <v>3</v>
      </c>
      <c r="I1029" s="23">
        <v>0</v>
      </c>
      <c r="J1029" s="189">
        <f t="shared" si="76"/>
        <v>0.0202417767781839</v>
      </c>
      <c r="K1029" s="89">
        <f t="shared" si="77"/>
        <v>2.64465277777778</v>
      </c>
      <c r="L1029" s="30">
        <f t="shared" si="80"/>
        <v>53.5324711835817</v>
      </c>
      <c r="M1029" s="90">
        <f t="shared" si="78"/>
        <v>25.9074477675953</v>
      </c>
      <c r="N1029" s="91">
        <f t="shared" si="79"/>
        <v>0.00462962962962963</v>
      </c>
    </row>
    <row r="1030" s="2" customFormat="1" spans="1:14">
      <c r="A1030" s="86">
        <v>45830</v>
      </c>
      <c r="B1030" s="22">
        <v>1105.57</v>
      </c>
      <c r="C1030" s="29">
        <v>39239</v>
      </c>
      <c r="D1030" s="29">
        <v>621</v>
      </c>
      <c r="E1030" s="23">
        <v>1</v>
      </c>
      <c r="F1030" s="25">
        <v>46922</v>
      </c>
      <c r="G1030" s="23">
        <v>38</v>
      </c>
      <c r="H1030" s="23">
        <v>8</v>
      </c>
      <c r="I1030" s="23">
        <v>0</v>
      </c>
      <c r="J1030" s="189">
        <f t="shared" ref="J1030:J1088" si="81">D1030/C1030</f>
        <v>0.0158260913886694</v>
      </c>
      <c r="K1030" s="89">
        <f t="shared" ref="K1030:K1088" si="82">B1030/D1030</f>
        <v>1.78030595813205</v>
      </c>
      <c r="L1030" s="30">
        <f t="shared" si="80"/>
        <v>28.1752847931904</v>
      </c>
      <c r="M1030" s="90">
        <f t="shared" ref="M1030:M1088" si="83">F1030/B1030</f>
        <v>42.4414555387719</v>
      </c>
      <c r="N1030" s="91">
        <f t="shared" ref="N1030:N1093" si="84">E1030/D1030</f>
        <v>0.00161030595813205</v>
      </c>
    </row>
    <row r="1031" s="2" customFormat="1" spans="1:14">
      <c r="A1031" s="86">
        <v>45831</v>
      </c>
      <c r="B1031" s="22">
        <v>1285.69</v>
      </c>
      <c r="C1031" s="29">
        <v>51964</v>
      </c>
      <c r="D1031" s="29">
        <v>1013</v>
      </c>
      <c r="E1031" s="23">
        <v>1</v>
      </c>
      <c r="F1031" s="25">
        <v>18267</v>
      </c>
      <c r="G1031" s="23">
        <v>54</v>
      </c>
      <c r="H1031" s="23">
        <v>8</v>
      </c>
      <c r="I1031" s="23">
        <v>2</v>
      </c>
      <c r="J1031" s="189">
        <f t="shared" si="81"/>
        <v>0.019494265260565</v>
      </c>
      <c r="K1031" s="89">
        <f t="shared" si="82"/>
        <v>1.26919052319842</v>
      </c>
      <c r="L1031" s="30">
        <f t="shared" si="80"/>
        <v>24.7419367254253</v>
      </c>
      <c r="M1031" s="90">
        <f t="shared" si="83"/>
        <v>14.207935038773</v>
      </c>
      <c r="N1031" s="91">
        <f t="shared" si="84"/>
        <v>0.000987166831194472</v>
      </c>
    </row>
    <row r="1032" s="2" customFormat="1" spans="1:14">
      <c r="A1032" s="86">
        <v>45832</v>
      </c>
      <c r="B1032" s="22">
        <v>1290.38</v>
      </c>
      <c r="C1032" s="29">
        <v>57960</v>
      </c>
      <c r="D1032" s="29">
        <v>1143</v>
      </c>
      <c r="E1032" s="23">
        <v>0</v>
      </c>
      <c r="F1032" s="25">
        <v>0</v>
      </c>
      <c r="G1032" s="23">
        <v>57</v>
      </c>
      <c r="H1032" s="23">
        <v>18</v>
      </c>
      <c r="I1032" s="23">
        <v>5</v>
      </c>
      <c r="J1032" s="189">
        <f t="shared" si="81"/>
        <v>0.0197204968944099</v>
      </c>
      <c r="K1032" s="89">
        <f t="shared" si="82"/>
        <v>1.12894138232721</v>
      </c>
      <c r="L1032" s="30">
        <f t="shared" si="80"/>
        <v>22.2632850241546</v>
      </c>
      <c r="M1032" s="90">
        <f t="shared" si="83"/>
        <v>0</v>
      </c>
      <c r="N1032" s="91">
        <f t="shared" si="84"/>
        <v>0</v>
      </c>
    </row>
    <row r="1033" s="2" customFormat="1" spans="1:14">
      <c r="A1033" s="86">
        <v>45833</v>
      </c>
      <c r="B1033" s="22">
        <v>1276.5</v>
      </c>
      <c r="C1033" s="29">
        <v>78547</v>
      </c>
      <c r="D1033" s="29">
        <v>1393</v>
      </c>
      <c r="E1033" s="23">
        <v>1</v>
      </c>
      <c r="F1033" s="25">
        <v>19587</v>
      </c>
      <c r="G1033" s="23">
        <v>80</v>
      </c>
      <c r="H1033" s="23">
        <v>20</v>
      </c>
      <c r="I1033" s="23">
        <v>4</v>
      </c>
      <c r="J1033" s="189">
        <f t="shared" si="81"/>
        <v>0.0177346047589341</v>
      </c>
      <c r="K1033" s="89">
        <f t="shared" si="82"/>
        <v>0.916367552045944</v>
      </c>
      <c r="L1033" s="30">
        <f t="shared" si="80"/>
        <v>16.2514163494468</v>
      </c>
      <c r="M1033" s="90">
        <f t="shared" si="83"/>
        <v>15.3443008225617</v>
      </c>
      <c r="N1033" s="91">
        <f t="shared" si="84"/>
        <v>0.000717875089734386</v>
      </c>
    </row>
    <row r="1034" s="2" customFormat="1" spans="1:14">
      <c r="A1034" s="86">
        <v>45834</v>
      </c>
      <c r="B1034" s="22">
        <v>1866.59</v>
      </c>
      <c r="C1034" s="29">
        <v>94638</v>
      </c>
      <c r="D1034" s="29">
        <v>1603</v>
      </c>
      <c r="E1034" s="23">
        <v>0</v>
      </c>
      <c r="F1034" s="25">
        <v>0</v>
      </c>
      <c r="G1034" s="23">
        <v>94</v>
      </c>
      <c r="H1034" s="23">
        <v>25</v>
      </c>
      <c r="I1034" s="23">
        <v>8</v>
      </c>
      <c r="J1034" s="189">
        <f t="shared" si="81"/>
        <v>0.0169382277731989</v>
      </c>
      <c r="K1034" s="89">
        <f t="shared" si="82"/>
        <v>1.16443543356207</v>
      </c>
      <c r="L1034" s="30">
        <f t="shared" si="80"/>
        <v>19.723472600858</v>
      </c>
      <c r="M1034" s="90">
        <f t="shared" si="83"/>
        <v>0</v>
      </c>
      <c r="N1034" s="91">
        <f t="shared" si="84"/>
        <v>0</v>
      </c>
    </row>
    <row r="1035" s="2" customFormat="1" spans="1:14">
      <c r="A1035" s="86">
        <v>45835</v>
      </c>
      <c r="B1035" s="22">
        <v>1854.48</v>
      </c>
      <c r="C1035" s="29">
        <v>97155</v>
      </c>
      <c r="D1035" s="29">
        <v>1570</v>
      </c>
      <c r="E1035" s="23">
        <v>0</v>
      </c>
      <c r="F1035" s="25">
        <v>0</v>
      </c>
      <c r="G1035" s="23">
        <v>76</v>
      </c>
      <c r="H1035" s="23">
        <v>38</v>
      </c>
      <c r="I1035" s="23">
        <v>6</v>
      </c>
      <c r="J1035" s="189">
        <f t="shared" si="81"/>
        <v>0.0161597447377901</v>
      </c>
      <c r="K1035" s="89">
        <f t="shared" si="82"/>
        <v>1.1811974522293</v>
      </c>
      <c r="L1035" s="30">
        <f t="shared" si="80"/>
        <v>19.0878493129535</v>
      </c>
      <c r="M1035" s="90">
        <f t="shared" si="83"/>
        <v>0</v>
      </c>
      <c r="N1035" s="91">
        <f t="shared" si="84"/>
        <v>0</v>
      </c>
    </row>
    <row r="1036" s="2" customFormat="1" spans="1:14">
      <c r="A1036" s="86">
        <v>45836</v>
      </c>
      <c r="B1036" s="22">
        <v>2168.53</v>
      </c>
      <c r="C1036" s="29">
        <v>108750</v>
      </c>
      <c r="D1036" s="29">
        <v>1932</v>
      </c>
      <c r="E1036" s="23">
        <v>1</v>
      </c>
      <c r="F1036" s="25">
        <v>6032</v>
      </c>
      <c r="G1036" s="23">
        <v>73</v>
      </c>
      <c r="H1036" s="23">
        <v>35</v>
      </c>
      <c r="I1036" s="23">
        <v>8</v>
      </c>
      <c r="J1036" s="189">
        <f t="shared" si="81"/>
        <v>0.0177655172413793</v>
      </c>
      <c r="K1036" s="89">
        <f t="shared" si="82"/>
        <v>1.12242753623188</v>
      </c>
      <c r="L1036" s="30">
        <f t="shared" si="80"/>
        <v>19.9405057471264</v>
      </c>
      <c r="M1036" s="90">
        <f t="shared" si="83"/>
        <v>2.78160781727714</v>
      </c>
      <c r="N1036" s="91">
        <f t="shared" si="84"/>
        <v>0.0005175983436853</v>
      </c>
    </row>
    <row r="1037" s="2" customFormat="1" spans="1:14">
      <c r="A1037" s="86">
        <v>45837</v>
      </c>
      <c r="B1037" s="22">
        <v>2003.24</v>
      </c>
      <c r="C1037" s="29">
        <v>114633</v>
      </c>
      <c r="D1037" s="29">
        <v>2013</v>
      </c>
      <c r="E1037" s="23">
        <v>1</v>
      </c>
      <c r="F1037" s="25">
        <v>11434</v>
      </c>
      <c r="G1037" s="23">
        <v>88</v>
      </c>
      <c r="H1037" s="23">
        <v>40</v>
      </c>
      <c r="I1037" s="23">
        <v>6</v>
      </c>
      <c r="J1037" s="189">
        <f t="shared" si="81"/>
        <v>0.0175603883698411</v>
      </c>
      <c r="K1037" s="89">
        <f t="shared" si="82"/>
        <v>0.995151515151515</v>
      </c>
      <c r="L1037" s="30">
        <f t="shared" si="80"/>
        <v>17.4752470928965</v>
      </c>
      <c r="M1037" s="90">
        <f t="shared" si="83"/>
        <v>5.70775343942813</v>
      </c>
      <c r="N1037" s="91">
        <f t="shared" si="84"/>
        <v>0.000496770988574267</v>
      </c>
    </row>
    <row r="1038" s="2" customFormat="1" spans="1:14">
      <c r="A1038" s="86">
        <v>45838</v>
      </c>
      <c r="B1038" s="22">
        <v>1978.51</v>
      </c>
      <c r="C1038" s="29">
        <v>138346</v>
      </c>
      <c r="D1038" s="29">
        <v>2211</v>
      </c>
      <c r="E1038" s="23">
        <v>2</v>
      </c>
      <c r="F1038" s="25">
        <v>29388</v>
      </c>
      <c r="G1038" s="23">
        <v>95</v>
      </c>
      <c r="H1038" s="23">
        <v>39</v>
      </c>
      <c r="I1038" s="23">
        <v>3</v>
      </c>
      <c r="J1038" s="189">
        <f t="shared" si="81"/>
        <v>0.0159816691483671</v>
      </c>
      <c r="K1038" s="89">
        <f t="shared" si="82"/>
        <v>0.894848484848485</v>
      </c>
      <c r="L1038" s="30">
        <f t="shared" si="80"/>
        <v>14.3011724227661</v>
      </c>
      <c r="M1038" s="90">
        <f t="shared" si="83"/>
        <v>14.8536019529848</v>
      </c>
      <c r="N1038" s="91">
        <f t="shared" si="84"/>
        <v>0.000904568068747173</v>
      </c>
    </row>
    <row r="1039" s="2" customFormat="1" spans="1:14">
      <c r="A1039" s="86">
        <v>45839</v>
      </c>
      <c r="B1039" s="22">
        <v>1591.98</v>
      </c>
      <c r="C1039" s="29">
        <v>146720</v>
      </c>
      <c r="D1039" s="29">
        <v>1922</v>
      </c>
      <c r="E1039" s="23">
        <v>0</v>
      </c>
      <c r="F1039" s="25">
        <v>0</v>
      </c>
      <c r="G1039" s="23">
        <v>56</v>
      </c>
      <c r="H1039" s="23">
        <v>21</v>
      </c>
      <c r="I1039" s="23">
        <v>4</v>
      </c>
      <c r="J1039" s="189">
        <f t="shared" si="81"/>
        <v>0.0130997818974918</v>
      </c>
      <c r="K1039" s="89">
        <f t="shared" si="82"/>
        <v>0.828293444328824</v>
      </c>
      <c r="L1039" s="30">
        <f t="shared" si="80"/>
        <v>10.8504634678299</v>
      </c>
      <c r="M1039" s="90">
        <f t="shared" si="83"/>
        <v>0</v>
      </c>
      <c r="N1039" s="91">
        <f t="shared" si="84"/>
        <v>0</v>
      </c>
    </row>
    <row r="1040" s="2" customFormat="1" spans="1:14">
      <c r="A1040" s="86">
        <v>45840</v>
      </c>
      <c r="B1040" s="22">
        <v>995.66</v>
      </c>
      <c r="C1040" s="29">
        <v>146011</v>
      </c>
      <c r="D1040" s="29">
        <v>1475</v>
      </c>
      <c r="E1040" s="23">
        <v>3</v>
      </c>
      <c r="F1040" s="25">
        <v>62612</v>
      </c>
      <c r="G1040" s="23">
        <v>48</v>
      </c>
      <c r="H1040" s="23">
        <v>24</v>
      </c>
      <c r="I1040" s="23">
        <v>4</v>
      </c>
      <c r="J1040" s="189">
        <f t="shared" si="81"/>
        <v>0.0101019786180493</v>
      </c>
      <c r="K1040" s="89">
        <f t="shared" si="82"/>
        <v>0.675023728813559</v>
      </c>
      <c r="L1040" s="30">
        <f t="shared" si="80"/>
        <v>6.8190752751505</v>
      </c>
      <c r="M1040" s="90">
        <f t="shared" si="83"/>
        <v>62.8849205552096</v>
      </c>
      <c r="N1040" s="91">
        <f t="shared" si="84"/>
        <v>0.00203389830508475</v>
      </c>
    </row>
    <row r="1041" s="2" customFormat="1" spans="1:14">
      <c r="A1041" s="86">
        <v>45841</v>
      </c>
      <c r="B1041" s="22">
        <v>993.92</v>
      </c>
      <c r="C1041" s="29">
        <v>125321</v>
      </c>
      <c r="D1041" s="29">
        <v>1599</v>
      </c>
      <c r="E1041" s="23">
        <v>0</v>
      </c>
      <c r="F1041" s="25">
        <v>0</v>
      </c>
      <c r="G1041" s="23">
        <v>39</v>
      </c>
      <c r="H1041" s="23">
        <v>16</v>
      </c>
      <c r="I1041" s="23">
        <v>2</v>
      </c>
      <c r="J1041" s="189">
        <f t="shared" si="81"/>
        <v>0.0127592342863526</v>
      </c>
      <c r="K1041" s="89">
        <f t="shared" si="82"/>
        <v>0.621588492808005</v>
      </c>
      <c r="L1041" s="30">
        <f t="shared" si="80"/>
        <v>7.93099320943816</v>
      </c>
      <c r="M1041" s="90">
        <f t="shared" si="83"/>
        <v>0</v>
      </c>
      <c r="N1041" s="91">
        <f t="shared" si="84"/>
        <v>0</v>
      </c>
    </row>
    <row r="1042" s="2" customFormat="1" spans="1:14">
      <c r="A1042" s="86">
        <v>45842</v>
      </c>
      <c r="B1042" s="22">
        <v>994.94</v>
      </c>
      <c r="C1042" s="29">
        <v>137152</v>
      </c>
      <c r="D1042" s="29">
        <v>1740</v>
      </c>
      <c r="E1042" s="23">
        <v>2</v>
      </c>
      <c r="F1042" s="25">
        <v>58422</v>
      </c>
      <c r="G1042" s="23">
        <v>39</v>
      </c>
      <c r="H1042" s="23">
        <v>18</v>
      </c>
      <c r="I1042" s="23">
        <v>2</v>
      </c>
      <c r="J1042" s="189">
        <f t="shared" si="81"/>
        <v>0.0126866542230518</v>
      </c>
      <c r="K1042" s="89">
        <f t="shared" si="82"/>
        <v>0.571804597701149</v>
      </c>
      <c r="L1042" s="30">
        <f t="shared" si="80"/>
        <v>7.25428721418572</v>
      </c>
      <c r="M1042" s="90">
        <f t="shared" si="83"/>
        <v>58.7191187408286</v>
      </c>
      <c r="N1042" s="91">
        <f t="shared" si="84"/>
        <v>0.00114942528735632</v>
      </c>
    </row>
    <row r="1043" s="2" customFormat="1" spans="1:14">
      <c r="A1043" s="86">
        <v>45843</v>
      </c>
      <c r="B1043" s="22">
        <v>991.38</v>
      </c>
      <c r="C1043" s="29">
        <v>118653</v>
      </c>
      <c r="D1043" s="29">
        <v>1780</v>
      </c>
      <c r="E1043" s="23">
        <v>3</v>
      </c>
      <c r="F1043" s="25">
        <v>14274</v>
      </c>
      <c r="G1043" s="23">
        <v>43</v>
      </c>
      <c r="H1043" s="23">
        <v>22</v>
      </c>
      <c r="I1043" s="23">
        <v>3</v>
      </c>
      <c r="J1043" s="189">
        <f t="shared" si="81"/>
        <v>0.0150017277270697</v>
      </c>
      <c r="K1043" s="89">
        <f t="shared" si="82"/>
        <v>0.556955056179775</v>
      </c>
      <c r="L1043" s="30">
        <f t="shared" si="80"/>
        <v>8.35528810902379</v>
      </c>
      <c r="M1043" s="90">
        <f t="shared" si="83"/>
        <v>14.3981117230527</v>
      </c>
      <c r="N1043" s="91">
        <f t="shared" si="84"/>
        <v>0.00168539325842697</v>
      </c>
    </row>
    <row r="1044" s="2" customFormat="1" spans="1:14">
      <c r="A1044" s="86">
        <v>45844</v>
      </c>
      <c r="B1044" s="22">
        <v>993.99</v>
      </c>
      <c r="C1044" s="29">
        <v>95700</v>
      </c>
      <c r="D1044" s="29">
        <v>1498</v>
      </c>
      <c r="E1044" s="23">
        <v>1</v>
      </c>
      <c r="F1044" s="25">
        <v>15474</v>
      </c>
      <c r="G1044" s="23">
        <v>35</v>
      </c>
      <c r="H1044" s="23">
        <v>22</v>
      </c>
      <c r="I1044" s="23">
        <v>0</v>
      </c>
      <c r="J1044" s="189">
        <f t="shared" si="81"/>
        <v>0.0156530825496343</v>
      </c>
      <c r="K1044" s="89">
        <f t="shared" si="82"/>
        <v>0.663544726301736</v>
      </c>
      <c r="L1044" s="30">
        <f t="shared" si="80"/>
        <v>10.3865203761755</v>
      </c>
      <c r="M1044" s="90">
        <f t="shared" si="83"/>
        <v>15.5675610418616</v>
      </c>
      <c r="N1044" s="91">
        <f t="shared" si="84"/>
        <v>0.000667556742323097</v>
      </c>
    </row>
    <row r="1045" s="2" customFormat="1" spans="1:14">
      <c r="A1045" s="86">
        <v>45845</v>
      </c>
      <c r="B1045" s="22">
        <v>992.8</v>
      </c>
      <c r="C1045" s="29">
        <v>76723</v>
      </c>
      <c r="D1045" s="29">
        <v>1293</v>
      </c>
      <c r="E1045" s="23">
        <v>0</v>
      </c>
      <c r="F1045" s="25">
        <v>0</v>
      </c>
      <c r="G1045" s="23">
        <v>38</v>
      </c>
      <c r="H1045" s="23">
        <v>15</v>
      </c>
      <c r="I1045" s="23">
        <v>4</v>
      </c>
      <c r="J1045" s="189">
        <f t="shared" si="81"/>
        <v>0.0168528342218109</v>
      </c>
      <c r="K1045" s="89">
        <f t="shared" si="82"/>
        <v>0.767826759474091</v>
      </c>
      <c r="L1045" s="30">
        <f t="shared" si="80"/>
        <v>12.9400570884872</v>
      </c>
      <c r="M1045" s="90">
        <f t="shared" si="83"/>
        <v>0</v>
      </c>
      <c r="N1045" s="91">
        <f t="shared" si="84"/>
        <v>0</v>
      </c>
    </row>
    <row r="1046" s="2" customFormat="1" spans="1:14">
      <c r="A1046" s="86">
        <v>45846</v>
      </c>
      <c r="B1046" s="22">
        <v>994.4</v>
      </c>
      <c r="C1046" s="29">
        <v>66807</v>
      </c>
      <c r="D1046" s="29">
        <v>1267</v>
      </c>
      <c r="E1046" s="23">
        <v>0</v>
      </c>
      <c r="F1046" s="25">
        <v>0</v>
      </c>
      <c r="G1046" s="23">
        <v>30</v>
      </c>
      <c r="H1046" s="23">
        <v>14</v>
      </c>
      <c r="I1046" s="23">
        <v>1</v>
      </c>
      <c r="J1046" s="189">
        <f t="shared" si="81"/>
        <v>0.018965078509737</v>
      </c>
      <c r="K1046" s="89">
        <f t="shared" si="82"/>
        <v>0.784846093133386</v>
      </c>
      <c r="L1046" s="30">
        <f t="shared" si="80"/>
        <v>14.884667774335</v>
      </c>
      <c r="M1046" s="90">
        <f t="shared" si="83"/>
        <v>0</v>
      </c>
      <c r="N1046" s="91">
        <f t="shared" si="84"/>
        <v>0</v>
      </c>
    </row>
    <row r="1047" s="2" customFormat="1" spans="1:14">
      <c r="A1047" s="86">
        <v>45847</v>
      </c>
      <c r="B1047" s="22">
        <v>999.89</v>
      </c>
      <c r="C1047" s="29">
        <v>87913</v>
      </c>
      <c r="D1047" s="29">
        <v>1462</v>
      </c>
      <c r="E1047" s="23">
        <v>1</v>
      </c>
      <c r="F1047" s="25">
        <v>11901</v>
      </c>
      <c r="G1047" s="23">
        <v>35</v>
      </c>
      <c r="H1047" s="23">
        <v>15</v>
      </c>
      <c r="I1047" s="23">
        <v>2</v>
      </c>
      <c r="J1047" s="189">
        <f t="shared" si="81"/>
        <v>0.0166300774629463</v>
      </c>
      <c r="K1047" s="89">
        <f t="shared" si="82"/>
        <v>0.683919288645691</v>
      </c>
      <c r="L1047" s="30">
        <f t="shared" si="80"/>
        <v>11.373630748581</v>
      </c>
      <c r="M1047" s="90">
        <f t="shared" si="83"/>
        <v>11.9023092540179</v>
      </c>
      <c r="N1047" s="91">
        <f t="shared" si="84"/>
        <v>0.000683994528043776</v>
      </c>
    </row>
    <row r="1048" s="2" customFormat="1" spans="1:14">
      <c r="A1048" s="86">
        <v>45848</v>
      </c>
      <c r="B1048" s="22">
        <v>991.8</v>
      </c>
      <c r="C1048" s="29">
        <v>95233</v>
      </c>
      <c r="D1048" s="29">
        <v>1484</v>
      </c>
      <c r="E1048" s="23">
        <v>3</v>
      </c>
      <c r="F1048" s="25">
        <v>36710</v>
      </c>
      <c r="G1048" s="23">
        <v>38</v>
      </c>
      <c r="H1048" s="23">
        <v>26</v>
      </c>
      <c r="I1048" s="23">
        <v>1</v>
      </c>
      <c r="J1048" s="189">
        <f t="shared" si="81"/>
        <v>0.015582833681602</v>
      </c>
      <c r="K1048" s="89">
        <f t="shared" si="82"/>
        <v>0.66832884097035</v>
      </c>
      <c r="L1048" s="30">
        <f t="shared" si="80"/>
        <v>10.4144571734588</v>
      </c>
      <c r="M1048" s="90">
        <f t="shared" si="83"/>
        <v>37.0135107884654</v>
      </c>
      <c r="N1048" s="91">
        <f t="shared" si="84"/>
        <v>0.00202156334231806</v>
      </c>
    </row>
    <row r="1049" s="2" customFormat="1" spans="1:14">
      <c r="A1049" s="86">
        <v>45849</v>
      </c>
      <c r="B1049" s="22">
        <v>990.81</v>
      </c>
      <c r="C1049" s="29">
        <v>103415</v>
      </c>
      <c r="D1049" s="29">
        <v>1562</v>
      </c>
      <c r="E1049" s="23">
        <v>2</v>
      </c>
      <c r="F1049" s="25">
        <v>36243</v>
      </c>
      <c r="G1049" s="23">
        <v>55</v>
      </c>
      <c r="H1049" s="23">
        <v>24</v>
      </c>
      <c r="I1049" s="23">
        <v>1</v>
      </c>
      <c r="J1049" s="189">
        <f t="shared" si="81"/>
        <v>0.0151041918483779</v>
      </c>
      <c r="K1049" s="89">
        <f t="shared" si="82"/>
        <v>0.63432138284251</v>
      </c>
      <c r="L1049" s="30">
        <f t="shared" si="80"/>
        <v>9.58091185998163</v>
      </c>
      <c r="M1049" s="90">
        <f t="shared" si="83"/>
        <v>36.5791625034063</v>
      </c>
      <c r="N1049" s="91">
        <f t="shared" si="84"/>
        <v>0.00128040973111396</v>
      </c>
    </row>
    <row r="1050" s="2" customFormat="1" spans="1:14">
      <c r="A1050" s="86">
        <v>45850</v>
      </c>
      <c r="B1050" s="22">
        <v>1204.05</v>
      </c>
      <c r="C1050" s="29">
        <v>114734</v>
      </c>
      <c r="D1050" s="29">
        <v>1786</v>
      </c>
      <c r="E1050" s="23">
        <v>6</v>
      </c>
      <c r="F1050" s="25">
        <v>100900</v>
      </c>
      <c r="G1050" s="23">
        <v>66</v>
      </c>
      <c r="H1050" s="23">
        <v>30</v>
      </c>
      <c r="I1050" s="23">
        <v>8</v>
      </c>
      <c r="J1050" s="189">
        <f t="shared" si="81"/>
        <v>0.0155664406366029</v>
      </c>
      <c r="K1050" s="89">
        <f t="shared" si="82"/>
        <v>0.674160134378499</v>
      </c>
      <c r="L1050" s="30">
        <f t="shared" si="80"/>
        <v>10.4942737113672</v>
      </c>
      <c r="M1050" s="90">
        <f t="shared" si="83"/>
        <v>83.8005066234791</v>
      </c>
      <c r="N1050" s="91">
        <f t="shared" si="84"/>
        <v>0.00335946248600224</v>
      </c>
    </row>
    <row r="1051" s="2" customFormat="1" spans="1:14">
      <c r="A1051" s="86">
        <v>45851</v>
      </c>
      <c r="B1051" s="22">
        <v>1383.81</v>
      </c>
      <c r="C1051" s="29">
        <v>113674</v>
      </c>
      <c r="D1051" s="29">
        <v>1761</v>
      </c>
      <c r="E1051" s="23">
        <v>0</v>
      </c>
      <c r="F1051" s="25">
        <v>0</v>
      </c>
      <c r="G1051" s="23">
        <v>55</v>
      </c>
      <c r="H1051" s="23">
        <v>20</v>
      </c>
      <c r="I1051" s="23">
        <v>5</v>
      </c>
      <c r="J1051" s="189">
        <f t="shared" si="81"/>
        <v>0.0154916691591745</v>
      </c>
      <c r="K1051" s="89">
        <f t="shared" si="82"/>
        <v>0.785809199318569</v>
      </c>
      <c r="L1051" s="30">
        <f t="shared" si="80"/>
        <v>12.1734961380791</v>
      </c>
      <c r="M1051" s="90">
        <f t="shared" si="83"/>
        <v>0</v>
      </c>
      <c r="N1051" s="91">
        <f t="shared" si="84"/>
        <v>0</v>
      </c>
    </row>
    <row r="1052" s="2" customFormat="1" spans="1:14">
      <c r="A1052" s="86">
        <v>45852</v>
      </c>
      <c r="B1052" s="22">
        <v>1391.68</v>
      </c>
      <c r="C1052" s="29">
        <v>115546</v>
      </c>
      <c r="D1052" s="29">
        <v>1740</v>
      </c>
      <c r="E1052" s="23">
        <v>1</v>
      </c>
      <c r="F1052" s="25">
        <v>23091</v>
      </c>
      <c r="G1052" s="23">
        <v>52</v>
      </c>
      <c r="H1052" s="23">
        <v>9</v>
      </c>
      <c r="I1052" s="23">
        <v>4</v>
      </c>
      <c r="J1052" s="189">
        <f t="shared" si="81"/>
        <v>0.015058937565991</v>
      </c>
      <c r="K1052" s="89">
        <f t="shared" si="82"/>
        <v>0.799816091954023</v>
      </c>
      <c r="L1052" s="30">
        <f t="shared" si="80"/>
        <v>12.0443805930106</v>
      </c>
      <c r="M1052" s="90">
        <f t="shared" si="83"/>
        <v>16.5921763623822</v>
      </c>
      <c r="N1052" s="91">
        <f t="shared" si="84"/>
        <v>0.000574712643678161</v>
      </c>
    </row>
    <row r="1053" s="2" customFormat="1" spans="1:14">
      <c r="A1053" s="86">
        <v>45853</v>
      </c>
      <c r="B1053" s="22">
        <v>1394.39</v>
      </c>
      <c r="C1053" s="29">
        <v>123484</v>
      </c>
      <c r="D1053" s="29">
        <v>1762</v>
      </c>
      <c r="E1053" s="23">
        <v>0</v>
      </c>
      <c r="F1053" s="25">
        <v>0</v>
      </c>
      <c r="G1053" s="23">
        <v>62</v>
      </c>
      <c r="H1053" s="23">
        <v>11</v>
      </c>
      <c r="I1053" s="23">
        <v>6</v>
      </c>
      <c r="J1053" s="189">
        <f t="shared" si="81"/>
        <v>0.0142690551002559</v>
      </c>
      <c r="K1053" s="89">
        <f t="shared" si="82"/>
        <v>0.791367763904654</v>
      </c>
      <c r="L1053" s="30">
        <f t="shared" si="80"/>
        <v>11.2920702277218</v>
      </c>
      <c r="M1053" s="90">
        <f t="shared" si="83"/>
        <v>0</v>
      </c>
      <c r="N1053" s="91">
        <f t="shared" si="84"/>
        <v>0</v>
      </c>
    </row>
    <row r="1054" s="2" customFormat="1" spans="1:14">
      <c r="A1054" s="86">
        <v>45854</v>
      </c>
      <c r="B1054" s="22">
        <v>1393.87</v>
      </c>
      <c r="C1054" s="29">
        <v>78624</v>
      </c>
      <c r="D1054" s="29">
        <v>1403</v>
      </c>
      <c r="E1054" s="23">
        <v>1</v>
      </c>
      <c r="F1054" s="25">
        <v>3894</v>
      </c>
      <c r="G1054" s="23">
        <v>100</v>
      </c>
      <c r="H1054" s="23">
        <v>12</v>
      </c>
      <c r="I1054" s="23">
        <v>4</v>
      </c>
      <c r="J1054" s="189">
        <f t="shared" si="81"/>
        <v>0.0178444240944241</v>
      </c>
      <c r="K1054" s="89">
        <f t="shared" si="82"/>
        <v>0.993492516037063</v>
      </c>
      <c r="L1054" s="30">
        <f t="shared" si="80"/>
        <v>17.7283017908018</v>
      </c>
      <c r="M1054" s="90">
        <f t="shared" si="83"/>
        <v>2.79366081485361</v>
      </c>
      <c r="N1054" s="91">
        <f t="shared" si="84"/>
        <v>0.000712758374910905</v>
      </c>
    </row>
    <row r="1055" s="2" customFormat="1" spans="1:14">
      <c r="A1055" s="86">
        <v>45855</v>
      </c>
      <c r="B1055" s="22">
        <v>1393.82</v>
      </c>
      <c r="C1055" s="29">
        <v>97442</v>
      </c>
      <c r="D1055" s="29">
        <v>1718</v>
      </c>
      <c r="E1055" s="23">
        <v>3</v>
      </c>
      <c r="F1055" s="25">
        <v>25984</v>
      </c>
      <c r="G1055" s="23">
        <v>81</v>
      </c>
      <c r="H1055" s="23">
        <v>18</v>
      </c>
      <c r="I1055" s="23">
        <v>8</v>
      </c>
      <c r="J1055" s="189">
        <f t="shared" si="81"/>
        <v>0.0176310010057265</v>
      </c>
      <c r="K1055" s="89">
        <f t="shared" si="82"/>
        <v>0.811303841676368</v>
      </c>
      <c r="L1055" s="30">
        <f t="shared" si="80"/>
        <v>14.3040988485458</v>
      </c>
      <c r="M1055" s="90">
        <f t="shared" si="83"/>
        <v>18.6422924050451</v>
      </c>
      <c r="N1055" s="91">
        <f t="shared" si="84"/>
        <v>0.00174621653084983</v>
      </c>
    </row>
    <row r="1056" s="2" customFormat="1" spans="1:14">
      <c r="A1056" s="86">
        <v>45856</v>
      </c>
      <c r="B1056" s="22">
        <v>1392.02</v>
      </c>
      <c r="C1056" s="29">
        <v>94142</v>
      </c>
      <c r="D1056" s="29">
        <v>1558</v>
      </c>
      <c r="E1056" s="23">
        <v>0</v>
      </c>
      <c r="F1056" s="25">
        <v>0</v>
      </c>
      <c r="G1056" s="23">
        <v>58</v>
      </c>
      <c r="H1056" s="23">
        <v>14</v>
      </c>
      <c r="I1056" s="23">
        <v>7</v>
      </c>
      <c r="J1056" s="189">
        <f t="shared" si="81"/>
        <v>0.0165494678252002</v>
      </c>
      <c r="K1056" s="89">
        <f t="shared" si="82"/>
        <v>0.893465982028241</v>
      </c>
      <c r="L1056" s="30">
        <f t="shared" si="80"/>
        <v>14.7863865224873</v>
      </c>
      <c r="M1056" s="90">
        <f t="shared" si="83"/>
        <v>0</v>
      </c>
      <c r="N1056" s="91">
        <f t="shared" si="84"/>
        <v>0</v>
      </c>
    </row>
    <row r="1057" s="2" customFormat="1" spans="1:14">
      <c r="A1057" s="86">
        <v>45857</v>
      </c>
      <c r="B1057" s="22">
        <v>1390.41</v>
      </c>
      <c r="C1057" s="29">
        <v>139941</v>
      </c>
      <c r="D1057" s="29">
        <v>1912</v>
      </c>
      <c r="E1057" s="23">
        <v>3</v>
      </c>
      <c r="F1057" s="25">
        <v>32908</v>
      </c>
      <c r="G1057" s="23">
        <v>51</v>
      </c>
      <c r="H1057" s="23">
        <v>7</v>
      </c>
      <c r="I1057" s="23">
        <v>1</v>
      </c>
      <c r="J1057" s="189">
        <f t="shared" si="81"/>
        <v>0.013662900793906</v>
      </c>
      <c r="K1057" s="89">
        <f t="shared" si="82"/>
        <v>0.727201882845188</v>
      </c>
      <c r="L1057" s="30">
        <f t="shared" si="80"/>
        <v>9.93568718245546</v>
      </c>
      <c r="M1057" s="90">
        <f t="shared" si="83"/>
        <v>23.6678389827461</v>
      </c>
      <c r="N1057" s="91">
        <f t="shared" si="84"/>
        <v>0.00156903765690377</v>
      </c>
    </row>
    <row r="1058" s="2" customFormat="1" spans="1:14">
      <c r="A1058" s="86">
        <v>45858</v>
      </c>
      <c r="B1058" s="22">
        <v>1390.58</v>
      </c>
      <c r="C1058" s="29">
        <v>156122</v>
      </c>
      <c r="D1058" s="29">
        <v>1878</v>
      </c>
      <c r="E1058" s="23">
        <v>0</v>
      </c>
      <c r="F1058" s="25">
        <v>0</v>
      </c>
      <c r="G1058" s="23">
        <v>51</v>
      </c>
      <c r="H1058" s="23">
        <v>12</v>
      </c>
      <c r="I1058" s="23">
        <v>4</v>
      </c>
      <c r="J1058" s="189">
        <f t="shared" si="81"/>
        <v>0.0120290542012016</v>
      </c>
      <c r="K1058" s="89">
        <f t="shared" si="82"/>
        <v>0.740457933972311</v>
      </c>
      <c r="L1058" s="30">
        <f t="shared" si="80"/>
        <v>8.9070086214627</v>
      </c>
      <c r="M1058" s="90">
        <f t="shared" si="83"/>
        <v>0</v>
      </c>
      <c r="N1058" s="91">
        <f t="shared" si="84"/>
        <v>0</v>
      </c>
    </row>
    <row r="1059" s="2" customFormat="1" spans="1:14">
      <c r="A1059" s="86">
        <v>45859</v>
      </c>
      <c r="B1059" s="22">
        <v>1387.52</v>
      </c>
      <c r="C1059" s="29">
        <v>126062</v>
      </c>
      <c r="D1059" s="29">
        <v>2018</v>
      </c>
      <c r="E1059" s="23">
        <v>0</v>
      </c>
      <c r="F1059" s="25">
        <v>0</v>
      </c>
      <c r="G1059" s="23">
        <v>57</v>
      </c>
      <c r="H1059" s="23">
        <v>12</v>
      </c>
      <c r="I1059" s="23">
        <v>3</v>
      </c>
      <c r="J1059" s="189">
        <f t="shared" si="81"/>
        <v>0.0160079960654281</v>
      </c>
      <c r="K1059" s="89">
        <f t="shared" si="82"/>
        <v>0.687571853320119</v>
      </c>
      <c r="L1059" s="30">
        <f t="shared" si="80"/>
        <v>11.0066475226476</v>
      </c>
      <c r="M1059" s="90">
        <f t="shared" si="83"/>
        <v>0</v>
      </c>
      <c r="N1059" s="91">
        <f t="shared" si="84"/>
        <v>0</v>
      </c>
    </row>
    <row r="1060" s="2" customFormat="1" spans="1:14">
      <c r="A1060" s="86">
        <v>45860</v>
      </c>
      <c r="B1060" s="22">
        <v>1489.53</v>
      </c>
      <c r="C1060" s="29">
        <v>116520</v>
      </c>
      <c r="D1060" s="29">
        <v>2193</v>
      </c>
      <c r="E1060" s="23">
        <v>0</v>
      </c>
      <c r="F1060" s="25">
        <v>0</v>
      </c>
      <c r="G1060" s="23">
        <v>53</v>
      </c>
      <c r="H1060" s="23">
        <v>9</v>
      </c>
      <c r="I1060" s="23">
        <v>3</v>
      </c>
      <c r="J1060" s="189">
        <f t="shared" si="81"/>
        <v>0.0188208032955716</v>
      </c>
      <c r="K1060" s="89">
        <f t="shared" si="82"/>
        <v>0.67922024623803</v>
      </c>
      <c r="L1060" s="30">
        <f t="shared" si="80"/>
        <v>12.7834706488157</v>
      </c>
      <c r="M1060" s="90">
        <f t="shared" si="83"/>
        <v>0</v>
      </c>
      <c r="N1060" s="91">
        <f t="shared" si="84"/>
        <v>0</v>
      </c>
    </row>
    <row r="1061" s="2" customFormat="1" spans="1:14">
      <c r="A1061" s="86">
        <v>45861</v>
      </c>
      <c r="B1061" s="22">
        <v>1496.12</v>
      </c>
      <c r="C1061" s="29">
        <v>119182</v>
      </c>
      <c r="D1061" s="29">
        <v>1943</v>
      </c>
      <c r="E1061" s="23">
        <v>0</v>
      </c>
      <c r="F1061" s="25">
        <v>0</v>
      </c>
      <c r="G1061" s="23">
        <v>52</v>
      </c>
      <c r="H1061" s="23">
        <v>22</v>
      </c>
      <c r="I1061" s="23">
        <v>4</v>
      </c>
      <c r="J1061" s="189">
        <f t="shared" si="81"/>
        <v>0.0163027974022923</v>
      </c>
      <c r="K1061" s="89">
        <f t="shared" si="82"/>
        <v>0.770005146680391</v>
      </c>
      <c r="L1061" s="30">
        <f t="shared" si="80"/>
        <v>12.5532379050528</v>
      </c>
      <c r="M1061" s="90">
        <f t="shared" si="83"/>
        <v>0</v>
      </c>
      <c r="N1061" s="91">
        <f t="shared" si="84"/>
        <v>0</v>
      </c>
    </row>
    <row r="1062" s="2" customFormat="1" spans="1:14">
      <c r="A1062" s="86">
        <v>45862</v>
      </c>
      <c r="B1062" s="22">
        <v>1486.51</v>
      </c>
      <c r="C1062" s="29">
        <v>138112</v>
      </c>
      <c r="D1062" s="29">
        <v>2022</v>
      </c>
      <c r="E1062" s="23">
        <v>2</v>
      </c>
      <c r="F1062" s="25">
        <v>40178</v>
      </c>
      <c r="G1062" s="23">
        <v>72</v>
      </c>
      <c r="H1062" s="23">
        <v>15</v>
      </c>
      <c r="I1062" s="23">
        <v>3</v>
      </c>
      <c r="J1062" s="189">
        <f t="shared" si="81"/>
        <v>0.0146402919369787</v>
      </c>
      <c r="K1062" s="89">
        <f t="shared" si="82"/>
        <v>0.735168150346192</v>
      </c>
      <c r="L1062" s="30">
        <f t="shared" si="80"/>
        <v>10.7630763438369</v>
      </c>
      <c r="M1062" s="90">
        <f t="shared" si="83"/>
        <v>27.0284088233513</v>
      </c>
      <c r="N1062" s="91">
        <f t="shared" si="84"/>
        <v>0.000989119683481701</v>
      </c>
    </row>
    <row r="1063" s="2" customFormat="1" spans="1:14">
      <c r="A1063" s="86">
        <v>45863</v>
      </c>
      <c r="B1063" s="22">
        <v>1489.71</v>
      </c>
      <c r="C1063" s="29">
        <v>146655</v>
      </c>
      <c r="D1063" s="29">
        <v>2386</v>
      </c>
      <c r="E1063" s="23">
        <v>2</v>
      </c>
      <c r="F1063" s="25">
        <v>21566</v>
      </c>
      <c r="G1063" s="23">
        <v>50</v>
      </c>
      <c r="H1063" s="23">
        <v>29</v>
      </c>
      <c r="I1063" s="23">
        <v>6</v>
      </c>
      <c r="J1063" s="189">
        <f t="shared" si="81"/>
        <v>0.0162694759810439</v>
      </c>
      <c r="K1063" s="89">
        <f t="shared" si="82"/>
        <v>0.624354568315172</v>
      </c>
      <c r="L1063" s="30">
        <f t="shared" si="80"/>
        <v>10.1579216528588</v>
      </c>
      <c r="M1063" s="90">
        <f t="shared" si="83"/>
        <v>14.4766431050339</v>
      </c>
      <c r="N1063" s="91">
        <f t="shared" si="84"/>
        <v>0.000838222967309304</v>
      </c>
    </row>
    <row r="1064" s="2" customFormat="1" spans="1:14">
      <c r="A1064" s="86">
        <v>45864</v>
      </c>
      <c r="B1064" s="22">
        <v>1489.19</v>
      </c>
      <c r="C1064" s="29">
        <v>115532</v>
      </c>
      <c r="D1064" s="29">
        <v>2098</v>
      </c>
      <c r="E1064" s="23">
        <v>2</v>
      </c>
      <c r="F1064" s="25">
        <v>18398</v>
      </c>
      <c r="G1064" s="23">
        <v>67</v>
      </c>
      <c r="H1064" s="23">
        <v>21</v>
      </c>
      <c r="I1064" s="23">
        <v>9</v>
      </c>
      <c r="J1064" s="189">
        <f t="shared" si="81"/>
        <v>0.0181594709690822</v>
      </c>
      <c r="K1064" s="89">
        <f t="shared" si="82"/>
        <v>0.709814108674929</v>
      </c>
      <c r="L1064" s="30">
        <f t="shared" si="80"/>
        <v>12.8898486999273</v>
      </c>
      <c r="M1064" s="90">
        <f t="shared" si="83"/>
        <v>12.354367139183</v>
      </c>
      <c r="N1064" s="91">
        <f t="shared" si="84"/>
        <v>0.000953288846520496</v>
      </c>
    </row>
    <row r="1065" s="2" customFormat="1" spans="1:14">
      <c r="A1065" s="86">
        <v>45865</v>
      </c>
      <c r="B1065" s="22">
        <v>1483.89</v>
      </c>
      <c r="C1065" s="29">
        <v>143289</v>
      </c>
      <c r="D1065" s="29">
        <v>2150</v>
      </c>
      <c r="E1065" s="23">
        <v>1</v>
      </c>
      <c r="F1065" s="25">
        <v>7166</v>
      </c>
      <c r="G1065" s="23">
        <v>67</v>
      </c>
      <c r="H1065" s="23">
        <v>20</v>
      </c>
      <c r="I1065" s="23">
        <v>6</v>
      </c>
      <c r="J1065" s="189">
        <f t="shared" si="81"/>
        <v>0.0150046409703466</v>
      </c>
      <c r="K1065" s="89">
        <f t="shared" si="82"/>
        <v>0.690181395348837</v>
      </c>
      <c r="L1065" s="30">
        <f t="shared" ref="L1065:L1086" si="85">B1065/C1065*1000</f>
        <v>10.3559240416222</v>
      </c>
      <c r="M1065" s="90">
        <f t="shared" si="83"/>
        <v>4.82919892983981</v>
      </c>
      <c r="N1065" s="91">
        <f t="shared" si="84"/>
        <v>0.000465116279069767</v>
      </c>
    </row>
    <row r="1066" s="2" customFormat="1" spans="1:14">
      <c r="A1066" s="86">
        <v>45866</v>
      </c>
      <c r="B1066" s="22">
        <v>1473.68</v>
      </c>
      <c r="C1066" s="29">
        <v>155198</v>
      </c>
      <c r="D1066" s="29">
        <v>2287</v>
      </c>
      <c r="E1066" s="23">
        <v>0</v>
      </c>
      <c r="F1066" s="25">
        <v>0</v>
      </c>
      <c r="G1066" s="23">
        <v>44</v>
      </c>
      <c r="H1066" s="23">
        <v>16</v>
      </c>
      <c r="I1066" s="23">
        <v>2</v>
      </c>
      <c r="J1066" s="189">
        <f t="shared" si="81"/>
        <v>0.0147360146393639</v>
      </c>
      <c r="K1066" s="89">
        <f t="shared" si="82"/>
        <v>0.644372540445999</v>
      </c>
      <c r="L1066" s="30">
        <f t="shared" si="85"/>
        <v>9.49548318921636</v>
      </c>
      <c r="M1066" s="90">
        <f t="shared" si="83"/>
        <v>0</v>
      </c>
      <c r="N1066" s="91">
        <f t="shared" si="84"/>
        <v>0</v>
      </c>
    </row>
    <row r="1067" s="2" customFormat="1" spans="1:14">
      <c r="A1067" s="86">
        <v>45867</v>
      </c>
      <c r="B1067" s="22">
        <v>1478.47</v>
      </c>
      <c r="C1067" s="29">
        <v>113639</v>
      </c>
      <c r="D1067" s="29">
        <v>1861</v>
      </c>
      <c r="E1067" s="23">
        <v>3</v>
      </c>
      <c r="F1067" s="25">
        <v>28982</v>
      </c>
      <c r="G1067" s="23">
        <v>56</v>
      </c>
      <c r="H1067" s="23">
        <v>20</v>
      </c>
      <c r="I1067" s="23">
        <v>3</v>
      </c>
      <c r="J1067" s="189">
        <f t="shared" si="81"/>
        <v>0.0163764200670544</v>
      </c>
      <c r="K1067" s="89">
        <f t="shared" si="82"/>
        <v>0.794449220849006</v>
      </c>
      <c r="L1067" s="30">
        <f t="shared" si="85"/>
        <v>13.0102341625674</v>
      </c>
      <c r="M1067" s="90">
        <f t="shared" si="83"/>
        <v>19.6026973831055</v>
      </c>
      <c r="N1067" s="91">
        <f t="shared" si="84"/>
        <v>0.0016120365394949</v>
      </c>
    </row>
    <row r="1068" s="2" customFormat="1" spans="1:14">
      <c r="A1068" s="86">
        <v>45868</v>
      </c>
      <c r="B1068" s="22">
        <v>1497.17</v>
      </c>
      <c r="C1068" s="29">
        <v>104253</v>
      </c>
      <c r="D1068" s="29">
        <v>1779</v>
      </c>
      <c r="E1068" s="23">
        <v>1</v>
      </c>
      <c r="F1068" s="25">
        <v>10874</v>
      </c>
      <c r="G1068" s="23">
        <v>53</v>
      </c>
      <c r="H1068" s="23">
        <v>10</v>
      </c>
      <c r="I1068" s="23">
        <v>4</v>
      </c>
      <c r="J1068" s="189">
        <f t="shared" si="81"/>
        <v>0.0170642571436793</v>
      </c>
      <c r="K1068" s="89">
        <f t="shared" si="82"/>
        <v>0.841579539066892</v>
      </c>
      <c r="L1068" s="30">
        <f t="shared" si="85"/>
        <v>14.3609296614966</v>
      </c>
      <c r="M1068" s="90">
        <f t="shared" si="83"/>
        <v>7.26303626174716</v>
      </c>
      <c r="N1068" s="91">
        <f t="shared" si="84"/>
        <v>0.000562113546936481</v>
      </c>
    </row>
    <row r="1069" s="2" customFormat="1" spans="1:14">
      <c r="A1069" s="86">
        <v>45869</v>
      </c>
      <c r="B1069" s="22">
        <v>1484.01</v>
      </c>
      <c r="C1069" s="29">
        <v>77449</v>
      </c>
      <c r="D1069" s="29">
        <v>1379</v>
      </c>
      <c r="E1069" s="23">
        <v>1</v>
      </c>
      <c r="F1069" s="25">
        <v>12912</v>
      </c>
      <c r="G1069" s="23">
        <v>90</v>
      </c>
      <c r="H1069" s="23">
        <v>14</v>
      </c>
      <c r="I1069" s="23">
        <v>7</v>
      </c>
      <c r="J1069" s="189">
        <f t="shared" si="81"/>
        <v>0.0178052654004571</v>
      </c>
      <c r="K1069" s="89">
        <f t="shared" si="82"/>
        <v>1.07614938361131</v>
      </c>
      <c r="L1069" s="30">
        <f t="shared" si="85"/>
        <v>19.1611253857377</v>
      </c>
      <c r="M1069" s="90">
        <f t="shared" si="83"/>
        <v>8.70074999494613</v>
      </c>
      <c r="N1069" s="91">
        <f t="shared" si="84"/>
        <v>0.000725163161711385</v>
      </c>
    </row>
    <row r="1070" s="2" customFormat="1" spans="1:14">
      <c r="A1070" s="86">
        <v>45870</v>
      </c>
      <c r="B1070" s="22">
        <v>965.91</v>
      </c>
      <c r="C1070" s="29">
        <v>62000</v>
      </c>
      <c r="D1070" s="29">
        <v>829</v>
      </c>
      <c r="E1070" s="23">
        <v>0</v>
      </c>
      <c r="F1070" s="25">
        <v>0</v>
      </c>
      <c r="G1070" s="23">
        <v>30</v>
      </c>
      <c r="H1070" s="23">
        <v>4</v>
      </c>
      <c r="I1070" s="23">
        <v>1</v>
      </c>
      <c r="J1070" s="189">
        <f t="shared" si="81"/>
        <v>0.0133709677419355</v>
      </c>
      <c r="K1070" s="89">
        <f t="shared" si="82"/>
        <v>1.1651507840772</v>
      </c>
      <c r="L1070" s="30">
        <f t="shared" si="85"/>
        <v>15.5791935483871</v>
      </c>
      <c r="M1070" s="90">
        <f t="shared" si="83"/>
        <v>0</v>
      </c>
      <c r="N1070" s="91">
        <f t="shared" si="84"/>
        <v>0</v>
      </c>
    </row>
    <row r="1071" s="2" customFormat="1" spans="1:14">
      <c r="A1071" s="86">
        <v>45871</v>
      </c>
      <c r="B1071" s="22">
        <v>1455.33</v>
      </c>
      <c r="C1071" s="29">
        <v>80760</v>
      </c>
      <c r="D1071" s="29">
        <v>1482</v>
      </c>
      <c r="E1071" s="23">
        <v>0</v>
      </c>
      <c r="F1071" s="25">
        <v>0</v>
      </c>
      <c r="G1071" s="23">
        <v>42</v>
      </c>
      <c r="H1071" s="23">
        <v>18</v>
      </c>
      <c r="I1071" s="23">
        <v>7</v>
      </c>
      <c r="J1071" s="189">
        <f t="shared" si="81"/>
        <v>0.0183506686478455</v>
      </c>
      <c r="K1071" s="89">
        <f t="shared" si="82"/>
        <v>0.982004048582996</v>
      </c>
      <c r="L1071" s="30">
        <f t="shared" si="85"/>
        <v>18.0204309063893</v>
      </c>
      <c r="M1071" s="90">
        <f t="shared" si="83"/>
        <v>0</v>
      </c>
      <c r="N1071" s="91">
        <f t="shared" si="84"/>
        <v>0</v>
      </c>
    </row>
    <row r="1072" s="2" customFormat="1" spans="1:14">
      <c r="A1072" s="86">
        <v>45872</v>
      </c>
      <c r="B1072" s="22">
        <v>1489.79</v>
      </c>
      <c r="C1072" s="29">
        <v>104861</v>
      </c>
      <c r="D1072" s="29">
        <v>1473</v>
      </c>
      <c r="E1072" s="23">
        <v>0</v>
      </c>
      <c r="F1072" s="25">
        <v>0</v>
      </c>
      <c r="G1072" s="23">
        <v>53</v>
      </c>
      <c r="H1072" s="23">
        <v>13</v>
      </c>
      <c r="I1072" s="23">
        <v>4</v>
      </c>
      <c r="J1072" s="189">
        <f t="shared" si="81"/>
        <v>0.0140471672022964</v>
      </c>
      <c r="K1072" s="89">
        <f t="shared" si="82"/>
        <v>1.01139850644942</v>
      </c>
      <c r="L1072" s="30">
        <f t="shared" si="85"/>
        <v>14.2072839282479</v>
      </c>
      <c r="M1072" s="90">
        <f t="shared" si="83"/>
        <v>0</v>
      </c>
      <c r="N1072" s="91">
        <f t="shared" si="84"/>
        <v>0</v>
      </c>
    </row>
    <row r="1073" s="2" customFormat="1" spans="1:14">
      <c r="A1073" s="86">
        <v>45873</v>
      </c>
      <c r="B1073" s="22">
        <v>1490.5</v>
      </c>
      <c r="C1073" s="29">
        <v>105411</v>
      </c>
      <c r="D1073" s="29">
        <v>1418</v>
      </c>
      <c r="E1073" s="23">
        <v>0</v>
      </c>
      <c r="F1073" s="25">
        <v>0</v>
      </c>
      <c r="G1073" s="23">
        <v>44</v>
      </c>
      <c r="H1073" s="23">
        <v>11</v>
      </c>
      <c r="I1073" s="23">
        <v>3</v>
      </c>
      <c r="J1073" s="189">
        <f t="shared" si="81"/>
        <v>0.0134521065163977</v>
      </c>
      <c r="K1073" s="89">
        <f t="shared" si="82"/>
        <v>1.05112834978843</v>
      </c>
      <c r="L1073" s="30">
        <f t="shared" si="85"/>
        <v>14.1398905237594</v>
      </c>
      <c r="M1073" s="90">
        <f t="shared" si="83"/>
        <v>0</v>
      </c>
      <c r="N1073" s="91">
        <f t="shared" si="84"/>
        <v>0</v>
      </c>
    </row>
    <row r="1074" s="2" customFormat="1" spans="1:14">
      <c r="A1074" s="86">
        <v>45874</v>
      </c>
      <c r="B1074" s="22">
        <v>1490.07</v>
      </c>
      <c r="C1074" s="29">
        <v>103096</v>
      </c>
      <c r="D1074" s="29">
        <v>1736</v>
      </c>
      <c r="E1074" s="23">
        <v>0</v>
      </c>
      <c r="F1074" s="25">
        <v>0</v>
      </c>
      <c r="G1074" s="23">
        <v>72</v>
      </c>
      <c r="H1074" s="23">
        <v>10</v>
      </c>
      <c r="I1074" s="23">
        <v>5</v>
      </c>
      <c r="J1074" s="189">
        <f t="shared" si="81"/>
        <v>0.0168386746333514</v>
      </c>
      <c r="K1074" s="89">
        <f t="shared" si="82"/>
        <v>0.858335253456221</v>
      </c>
      <c r="L1074" s="30">
        <f t="shared" si="85"/>
        <v>14.4532280592845</v>
      </c>
      <c r="M1074" s="90">
        <f t="shared" si="83"/>
        <v>0</v>
      </c>
      <c r="N1074" s="91">
        <f t="shared" si="84"/>
        <v>0</v>
      </c>
    </row>
    <row r="1075" s="2" customFormat="1" spans="1:14">
      <c r="A1075" s="86">
        <v>45875</v>
      </c>
      <c r="B1075" s="22">
        <v>1498.05</v>
      </c>
      <c r="C1075" s="29">
        <v>105924</v>
      </c>
      <c r="D1075" s="29">
        <v>2009</v>
      </c>
      <c r="E1075" s="23">
        <v>3</v>
      </c>
      <c r="F1075" s="25">
        <v>21766</v>
      </c>
      <c r="G1075" s="23">
        <v>72</v>
      </c>
      <c r="H1075" s="23">
        <v>11</v>
      </c>
      <c r="I1075" s="23">
        <v>6</v>
      </c>
      <c r="J1075" s="189">
        <f t="shared" si="81"/>
        <v>0.0189664287602432</v>
      </c>
      <c r="K1075" s="89">
        <f t="shared" si="82"/>
        <v>0.745669487307118</v>
      </c>
      <c r="L1075" s="30">
        <f t="shared" si="85"/>
        <v>14.1426872096975</v>
      </c>
      <c r="M1075" s="90">
        <f t="shared" si="83"/>
        <v>14.5295550882814</v>
      </c>
      <c r="N1075" s="91">
        <f t="shared" si="84"/>
        <v>0.00149328023892484</v>
      </c>
    </row>
    <row r="1076" s="2" customFormat="1" spans="1:14">
      <c r="A1076" s="86">
        <v>45876</v>
      </c>
      <c r="B1076" s="22">
        <v>1454.31</v>
      </c>
      <c r="C1076" s="29">
        <v>92629</v>
      </c>
      <c r="D1076" s="29">
        <v>1805</v>
      </c>
      <c r="E1076" s="23">
        <v>0</v>
      </c>
      <c r="F1076" s="25">
        <v>0</v>
      </c>
      <c r="G1076" s="23">
        <v>56</v>
      </c>
      <c r="H1076" s="23">
        <v>11</v>
      </c>
      <c r="I1076" s="23">
        <v>4</v>
      </c>
      <c r="J1076" s="189">
        <f t="shared" si="81"/>
        <v>0.0194863379719094</v>
      </c>
      <c r="K1076" s="89">
        <f t="shared" si="82"/>
        <v>0.805711911357341</v>
      </c>
      <c r="L1076" s="30">
        <f t="shared" si="85"/>
        <v>15.7003746127023</v>
      </c>
      <c r="M1076" s="90">
        <f t="shared" si="83"/>
        <v>0</v>
      </c>
      <c r="N1076" s="91">
        <f t="shared" si="84"/>
        <v>0</v>
      </c>
    </row>
    <row r="1077" s="2" customFormat="1" spans="1:14">
      <c r="A1077" s="86">
        <v>45877</v>
      </c>
      <c r="B1077" s="22">
        <v>1235</v>
      </c>
      <c r="C1077" s="29">
        <v>87182</v>
      </c>
      <c r="D1077" s="29">
        <v>1472</v>
      </c>
      <c r="E1077" s="23">
        <v>1</v>
      </c>
      <c r="F1077" s="25">
        <v>7694</v>
      </c>
      <c r="G1077" s="23">
        <v>42</v>
      </c>
      <c r="H1077" s="23">
        <v>14</v>
      </c>
      <c r="I1077" s="23">
        <v>1</v>
      </c>
      <c r="J1077" s="189">
        <f t="shared" si="81"/>
        <v>0.0168842192195637</v>
      </c>
      <c r="K1077" s="89">
        <f t="shared" si="82"/>
        <v>0.838994565217391</v>
      </c>
      <c r="L1077" s="30">
        <f t="shared" si="85"/>
        <v>14.1657681631529</v>
      </c>
      <c r="M1077" s="90">
        <f t="shared" si="83"/>
        <v>6.22995951417004</v>
      </c>
      <c r="N1077" s="91">
        <f t="shared" si="84"/>
        <v>0.000679347826086957</v>
      </c>
    </row>
    <row r="1078" s="2" customFormat="1" spans="1:14">
      <c r="A1078" s="86">
        <v>45878</v>
      </c>
      <c r="B1078" s="22">
        <v>1234.1</v>
      </c>
      <c r="C1078" s="29">
        <v>72744</v>
      </c>
      <c r="D1078" s="29">
        <v>1433</v>
      </c>
      <c r="E1078" s="23">
        <v>14</v>
      </c>
      <c r="F1078" s="25">
        <v>134385</v>
      </c>
      <c r="G1078" s="23">
        <v>86</v>
      </c>
      <c r="H1078" s="23">
        <v>9</v>
      </c>
      <c r="I1078" s="23">
        <v>4</v>
      </c>
      <c r="J1078" s="189">
        <f t="shared" si="81"/>
        <v>0.0196992191795887</v>
      </c>
      <c r="K1078" s="89">
        <f t="shared" si="82"/>
        <v>0.861200279134682</v>
      </c>
      <c r="L1078" s="30">
        <f t="shared" si="85"/>
        <v>16.9649730561971</v>
      </c>
      <c r="M1078" s="90">
        <f t="shared" si="83"/>
        <v>108.893120492667</v>
      </c>
      <c r="N1078" s="91">
        <f t="shared" si="84"/>
        <v>0.00976971388695045</v>
      </c>
    </row>
    <row r="1079" s="2" customFormat="1" spans="1:14">
      <c r="A1079" s="86">
        <v>45879</v>
      </c>
      <c r="B1079" s="22">
        <v>1238.67</v>
      </c>
      <c r="C1079" s="29">
        <v>92660</v>
      </c>
      <c r="D1079" s="29">
        <v>1606</v>
      </c>
      <c r="E1079" s="23">
        <v>6</v>
      </c>
      <c r="F1079" s="25">
        <v>61839</v>
      </c>
      <c r="G1079" s="23">
        <v>59</v>
      </c>
      <c r="H1079" s="23">
        <v>15</v>
      </c>
      <c r="I1079" s="23">
        <v>1</v>
      </c>
      <c r="J1079" s="189">
        <f t="shared" si="81"/>
        <v>0.0173321821713792</v>
      </c>
      <c r="K1079" s="89">
        <f t="shared" si="82"/>
        <v>0.771276463262765</v>
      </c>
      <c r="L1079" s="30">
        <f t="shared" si="85"/>
        <v>13.3679041657673</v>
      </c>
      <c r="M1079" s="90">
        <f t="shared" si="83"/>
        <v>49.9237084937877</v>
      </c>
      <c r="N1079" s="91">
        <f t="shared" si="84"/>
        <v>0.0037359900373599</v>
      </c>
    </row>
    <row r="1080" s="2" customFormat="1" spans="1:14">
      <c r="A1080" s="86">
        <v>45880</v>
      </c>
      <c r="B1080" s="22">
        <v>1218.32</v>
      </c>
      <c r="C1080" s="29">
        <v>89623</v>
      </c>
      <c r="D1080" s="29">
        <v>1518</v>
      </c>
      <c r="E1080" s="23">
        <v>6</v>
      </c>
      <c r="F1080" s="25">
        <v>66766</v>
      </c>
      <c r="G1080" s="23">
        <v>34</v>
      </c>
      <c r="H1080" s="23">
        <v>8</v>
      </c>
      <c r="I1080" s="23">
        <v>4</v>
      </c>
      <c r="J1080" s="189">
        <f t="shared" si="81"/>
        <v>0.0169376164600605</v>
      </c>
      <c r="K1080" s="89">
        <f t="shared" si="82"/>
        <v>0.802582345191041</v>
      </c>
      <c r="L1080" s="30">
        <f t="shared" si="85"/>
        <v>13.5938319404617</v>
      </c>
      <c r="M1080" s="90">
        <f t="shared" si="83"/>
        <v>54.8016941361875</v>
      </c>
      <c r="N1080" s="91">
        <f t="shared" si="84"/>
        <v>0.00395256916996047</v>
      </c>
    </row>
    <row r="1081" s="2" customFormat="1" spans="1:14">
      <c r="A1081" s="86">
        <v>45881</v>
      </c>
      <c r="B1081" s="22">
        <v>806.45</v>
      </c>
      <c r="C1081" s="29">
        <v>66652</v>
      </c>
      <c r="D1081" s="29">
        <v>1102</v>
      </c>
      <c r="E1081" s="23">
        <v>1</v>
      </c>
      <c r="F1081" s="25">
        <v>10072</v>
      </c>
      <c r="G1081" s="23">
        <v>38</v>
      </c>
      <c r="H1081" s="23">
        <v>6</v>
      </c>
      <c r="I1081" s="23">
        <v>2</v>
      </c>
      <c r="J1081" s="189">
        <f t="shared" si="81"/>
        <v>0.016533637400228</v>
      </c>
      <c r="K1081" s="89">
        <f t="shared" si="82"/>
        <v>0.731805807622505</v>
      </c>
      <c r="L1081" s="30">
        <f t="shared" si="85"/>
        <v>12.0994118706115</v>
      </c>
      <c r="M1081" s="90">
        <f t="shared" si="83"/>
        <v>12.48930497861</v>
      </c>
      <c r="N1081" s="91">
        <f t="shared" si="84"/>
        <v>0.000907441016333938</v>
      </c>
    </row>
    <row r="1082" s="2" customFormat="1" spans="1:14">
      <c r="A1082" s="86">
        <v>45882</v>
      </c>
      <c r="B1082" s="22">
        <v>600.13</v>
      </c>
      <c r="C1082" s="29">
        <v>41544</v>
      </c>
      <c r="D1082" s="29">
        <v>607</v>
      </c>
      <c r="E1082" s="23">
        <v>4</v>
      </c>
      <c r="F1082" s="25">
        <v>43146</v>
      </c>
      <c r="G1082" s="23">
        <v>36</v>
      </c>
      <c r="H1082" s="23">
        <v>4</v>
      </c>
      <c r="I1082" s="23">
        <v>1</v>
      </c>
      <c r="J1082" s="189">
        <f t="shared" si="81"/>
        <v>0.0146110148276526</v>
      </c>
      <c r="K1082" s="89">
        <f t="shared" si="82"/>
        <v>0.988682042833608</v>
      </c>
      <c r="L1082" s="30">
        <f t="shared" si="85"/>
        <v>14.4456479876757</v>
      </c>
      <c r="M1082" s="90">
        <f t="shared" si="83"/>
        <v>71.8944228750437</v>
      </c>
      <c r="N1082" s="91">
        <f t="shared" si="84"/>
        <v>0.00658978583196046</v>
      </c>
    </row>
    <row r="1083" s="2" customFormat="1" spans="1:14">
      <c r="A1083" s="86">
        <v>45883</v>
      </c>
      <c r="B1083" s="22">
        <v>698.33</v>
      </c>
      <c r="C1083" s="29">
        <v>38026</v>
      </c>
      <c r="D1083" s="29">
        <v>689</v>
      </c>
      <c r="E1083" s="23">
        <v>2</v>
      </c>
      <c r="F1083" s="25">
        <v>24008</v>
      </c>
      <c r="G1083" s="23">
        <v>17</v>
      </c>
      <c r="H1083" s="23">
        <v>4</v>
      </c>
      <c r="I1083" s="23">
        <v>2</v>
      </c>
      <c r="J1083" s="189">
        <f t="shared" si="81"/>
        <v>0.0181191816125809</v>
      </c>
      <c r="K1083" s="89">
        <f t="shared" si="82"/>
        <v>1.01354136429608</v>
      </c>
      <c r="L1083" s="30">
        <f t="shared" si="85"/>
        <v>18.3645400515437</v>
      </c>
      <c r="M1083" s="90">
        <f t="shared" si="83"/>
        <v>34.3791617143757</v>
      </c>
      <c r="N1083" s="91">
        <f t="shared" si="84"/>
        <v>0.00290275761973875</v>
      </c>
    </row>
    <row r="1084" s="2" customFormat="1" spans="1:14">
      <c r="A1084" s="86">
        <v>45884</v>
      </c>
      <c r="B1084" s="22">
        <v>1096.28</v>
      </c>
      <c r="C1084" s="29">
        <v>73837</v>
      </c>
      <c r="D1084" s="29">
        <v>1107</v>
      </c>
      <c r="E1084" s="23">
        <v>0</v>
      </c>
      <c r="F1084" s="25">
        <v>0</v>
      </c>
      <c r="G1084" s="23">
        <v>38</v>
      </c>
      <c r="H1084" s="23">
        <v>5</v>
      </c>
      <c r="I1084" s="23">
        <v>1</v>
      </c>
      <c r="J1084" s="189">
        <f t="shared" si="81"/>
        <v>0.0149924834432602</v>
      </c>
      <c r="K1084" s="89">
        <f t="shared" si="82"/>
        <v>0.990316169828365</v>
      </c>
      <c r="L1084" s="30">
        <f t="shared" si="85"/>
        <v>14.8472987797446</v>
      </c>
      <c r="M1084" s="90">
        <f t="shared" si="83"/>
        <v>0</v>
      </c>
      <c r="N1084" s="91">
        <f t="shared" si="84"/>
        <v>0</v>
      </c>
    </row>
    <row r="1085" s="2" customFormat="1" spans="1:14">
      <c r="A1085" s="86">
        <v>45885</v>
      </c>
      <c r="B1085" s="22">
        <v>1088.04</v>
      </c>
      <c r="C1085" s="29">
        <v>47496</v>
      </c>
      <c r="D1085" s="29">
        <v>985</v>
      </c>
      <c r="E1085" s="23">
        <v>1</v>
      </c>
      <c r="F1085" s="25">
        <v>9254</v>
      </c>
      <c r="G1085" s="23">
        <v>43</v>
      </c>
      <c r="H1085" s="23">
        <v>10</v>
      </c>
      <c r="I1085" s="23">
        <v>3</v>
      </c>
      <c r="J1085" s="189">
        <f t="shared" si="81"/>
        <v>0.0207385885127169</v>
      </c>
      <c r="K1085" s="89">
        <f t="shared" si="82"/>
        <v>1.10460913705584</v>
      </c>
      <c r="L1085" s="30">
        <f t="shared" si="85"/>
        <v>22.9080343607883</v>
      </c>
      <c r="M1085" s="90">
        <f t="shared" si="83"/>
        <v>8.50520201463181</v>
      </c>
      <c r="N1085" s="91">
        <f t="shared" si="84"/>
        <v>0.00101522842639594</v>
      </c>
    </row>
    <row r="1086" s="2" customFormat="1" spans="1:14">
      <c r="A1086" s="86">
        <v>45886</v>
      </c>
      <c r="B1086" s="22">
        <v>1093.71</v>
      </c>
      <c r="C1086" s="29">
        <v>60013</v>
      </c>
      <c r="D1086" s="29">
        <v>1204</v>
      </c>
      <c r="E1086" s="23">
        <v>0</v>
      </c>
      <c r="F1086" s="25">
        <v>0</v>
      </c>
      <c r="G1086" s="23">
        <v>32</v>
      </c>
      <c r="H1086" s="23">
        <v>7</v>
      </c>
      <c r="I1086" s="23">
        <v>2</v>
      </c>
      <c r="J1086" s="189">
        <f t="shared" si="81"/>
        <v>0.0200623198307033</v>
      </c>
      <c r="K1086" s="89">
        <f t="shared" si="82"/>
        <v>0.908397009966777</v>
      </c>
      <c r="L1086" s="30">
        <f t="shared" si="85"/>
        <v>18.2245513472081</v>
      </c>
      <c r="M1086" s="90">
        <f t="shared" si="83"/>
        <v>0</v>
      </c>
      <c r="N1086" s="91">
        <f t="shared" si="84"/>
        <v>0</v>
      </c>
    </row>
    <row r="1087" s="2" customFormat="1" spans="1:14">
      <c r="A1087" s="86">
        <v>45887</v>
      </c>
      <c r="B1087" s="203">
        <v>1518.76</v>
      </c>
      <c r="C1087" s="204">
        <v>70288</v>
      </c>
      <c r="D1087" s="205">
        <v>1204</v>
      </c>
      <c r="E1087" s="205">
        <v>2</v>
      </c>
      <c r="F1087" s="206">
        <v>20197</v>
      </c>
      <c r="G1087" s="205">
        <v>79</v>
      </c>
      <c r="H1087" s="205">
        <v>14</v>
      </c>
      <c r="I1087" s="205">
        <v>3</v>
      </c>
      <c r="J1087" s="207">
        <f t="shared" si="81"/>
        <v>0.017129524243114</v>
      </c>
      <c r="K1087" s="208">
        <f t="shared" si="82"/>
        <v>1.26142857142857</v>
      </c>
      <c r="L1087" s="209">
        <f t="shared" ref="L1087:L1151" si="86">B1086/C1086*1000</f>
        <v>18.2245513472081</v>
      </c>
      <c r="M1087" s="210">
        <f t="shared" si="83"/>
        <v>13.2983486528484</v>
      </c>
      <c r="N1087" s="91">
        <f t="shared" si="84"/>
        <v>0.00166112956810631</v>
      </c>
    </row>
    <row r="1088" s="2" customFormat="1" spans="1:14">
      <c r="A1088" s="86">
        <v>45888</v>
      </c>
      <c r="B1088" s="203">
        <v>1524.51</v>
      </c>
      <c r="C1088" s="204">
        <v>77207</v>
      </c>
      <c r="D1088" s="205">
        <v>1369</v>
      </c>
      <c r="E1088" s="205">
        <v>1</v>
      </c>
      <c r="F1088" s="206">
        <v>13912</v>
      </c>
      <c r="G1088" s="205">
        <v>53</v>
      </c>
      <c r="H1088" s="205">
        <v>16</v>
      </c>
      <c r="I1088" s="205">
        <v>7</v>
      </c>
      <c r="J1088" s="207">
        <f t="shared" si="81"/>
        <v>0.0177315528384732</v>
      </c>
      <c r="K1088" s="208">
        <f t="shared" si="82"/>
        <v>1.1135938641344</v>
      </c>
      <c r="L1088" s="209">
        <f t="shared" si="86"/>
        <v>21.6076712952424</v>
      </c>
      <c r="M1088" s="210">
        <f t="shared" si="83"/>
        <v>9.12555509639163</v>
      </c>
      <c r="N1088" s="91">
        <f t="shared" si="84"/>
        <v>0.000730460189919649</v>
      </c>
    </row>
    <row r="1089" s="2" customFormat="1" spans="1:14">
      <c r="A1089" s="86">
        <v>45889</v>
      </c>
      <c r="B1089" s="22">
        <v>1466.44</v>
      </c>
      <c r="C1089" s="29">
        <v>87560</v>
      </c>
      <c r="D1089" s="24">
        <v>1459</v>
      </c>
      <c r="E1089" s="23">
        <v>0</v>
      </c>
      <c r="F1089" s="25">
        <v>0</v>
      </c>
      <c r="G1089" s="23">
        <v>69</v>
      </c>
      <c r="H1089" s="23">
        <v>12</v>
      </c>
      <c r="I1089" s="23">
        <v>2</v>
      </c>
      <c r="J1089" s="26">
        <v>0.016662859753312</v>
      </c>
      <c r="K1089" s="27">
        <v>1.00509938313914</v>
      </c>
      <c r="L1089" s="30">
        <v>19.7457484424987</v>
      </c>
      <c r="M1089" s="23">
        <v>0</v>
      </c>
      <c r="N1089" s="91">
        <f t="shared" si="84"/>
        <v>0</v>
      </c>
    </row>
    <row r="1090" s="2" customFormat="1" spans="1:14">
      <c r="A1090" s="86">
        <v>45890</v>
      </c>
      <c r="B1090" s="203">
        <v>1525.96</v>
      </c>
      <c r="C1090" s="204">
        <v>104532</v>
      </c>
      <c r="D1090" s="205">
        <v>1864</v>
      </c>
      <c r="E1090" s="205">
        <v>1</v>
      </c>
      <c r="F1090" s="206">
        <v>10062</v>
      </c>
      <c r="G1090" s="205">
        <v>46</v>
      </c>
      <c r="H1090" s="205">
        <v>22</v>
      </c>
      <c r="I1090" s="205">
        <v>5</v>
      </c>
      <c r="J1090" s="207">
        <f t="shared" ref="J1090:J1153" si="87">D1090/C1090</f>
        <v>0.0178318601002564</v>
      </c>
      <c r="K1090" s="208">
        <f t="shared" ref="K1090:K1153" si="88">B1090/D1090</f>
        <v>0.818648068669528</v>
      </c>
      <c r="L1090" s="209">
        <f t="shared" si="86"/>
        <v>16.7478300593879</v>
      </c>
      <c r="M1090" s="210">
        <f t="shared" ref="M1090:M1153" si="89">F1090/B1090</f>
        <v>6.59388188419094</v>
      </c>
      <c r="N1090" s="91">
        <f t="shared" si="84"/>
        <v>0.000536480686695279</v>
      </c>
    </row>
    <row r="1091" s="2" customFormat="1" spans="1:14">
      <c r="A1091" s="86">
        <v>45891</v>
      </c>
      <c r="B1091" s="203">
        <v>1538.24</v>
      </c>
      <c r="C1091" s="204">
        <v>109835</v>
      </c>
      <c r="D1091" s="205">
        <v>1829</v>
      </c>
      <c r="E1091" s="205">
        <v>3</v>
      </c>
      <c r="F1091" s="206">
        <v>37646</v>
      </c>
      <c r="G1091" s="205">
        <v>63</v>
      </c>
      <c r="H1091" s="205">
        <v>14</v>
      </c>
      <c r="I1091" s="205">
        <v>6</v>
      </c>
      <c r="J1091" s="207">
        <f t="shared" si="87"/>
        <v>0.0166522511039286</v>
      </c>
      <c r="K1091" s="208">
        <f t="shared" si="88"/>
        <v>0.841027884089666</v>
      </c>
      <c r="L1091" s="209">
        <f t="shared" si="86"/>
        <v>14.5980178318601</v>
      </c>
      <c r="M1091" s="210">
        <f t="shared" si="89"/>
        <v>24.4734241730809</v>
      </c>
      <c r="N1091" s="91">
        <f t="shared" si="84"/>
        <v>0.00164024056861673</v>
      </c>
    </row>
    <row r="1092" s="2" customFormat="1" spans="1:14">
      <c r="A1092" s="86">
        <v>45892</v>
      </c>
      <c r="B1092" s="203">
        <v>1509.56</v>
      </c>
      <c r="C1092" s="204">
        <v>86381</v>
      </c>
      <c r="D1092" s="205">
        <v>1504</v>
      </c>
      <c r="E1092" s="205">
        <v>3</v>
      </c>
      <c r="F1092" s="206">
        <v>36008</v>
      </c>
      <c r="G1092" s="205">
        <v>45</v>
      </c>
      <c r="H1092" s="205">
        <v>15</v>
      </c>
      <c r="I1092" s="205">
        <v>4</v>
      </c>
      <c r="J1092" s="207">
        <f t="shared" si="87"/>
        <v>0.0174112362672347</v>
      </c>
      <c r="K1092" s="208">
        <f t="shared" si="88"/>
        <v>1.00369680851064</v>
      </c>
      <c r="L1092" s="209">
        <f t="shared" si="86"/>
        <v>14.0050075112669</v>
      </c>
      <c r="M1092" s="210">
        <f t="shared" si="89"/>
        <v>23.8533082487612</v>
      </c>
      <c r="N1092" s="91">
        <f t="shared" si="84"/>
        <v>0.00199468085106383</v>
      </c>
    </row>
    <row r="1093" s="2" customFormat="1" spans="1:14">
      <c r="A1093" s="86">
        <v>45893</v>
      </c>
      <c r="B1093" s="203">
        <v>1520.01</v>
      </c>
      <c r="C1093" s="204">
        <v>122606</v>
      </c>
      <c r="D1093" s="205">
        <v>1787</v>
      </c>
      <c r="E1093" s="205">
        <v>2</v>
      </c>
      <c r="F1093" s="206">
        <v>15008</v>
      </c>
      <c r="G1093" s="205">
        <v>67</v>
      </c>
      <c r="H1093" s="205">
        <v>22</v>
      </c>
      <c r="I1093" s="205">
        <v>3</v>
      </c>
      <c r="J1093" s="207">
        <f t="shared" si="87"/>
        <v>0.014575143141445</v>
      </c>
      <c r="K1093" s="208">
        <f t="shared" si="88"/>
        <v>0.850593172915501</v>
      </c>
      <c r="L1093" s="209">
        <f t="shared" si="86"/>
        <v>17.4756022736481</v>
      </c>
      <c r="M1093" s="210">
        <f t="shared" si="89"/>
        <v>9.87361925250492</v>
      </c>
      <c r="N1093" s="91">
        <f t="shared" si="84"/>
        <v>0.00111919418019026</v>
      </c>
    </row>
    <row r="1094" s="2" customFormat="1" spans="1:14">
      <c r="A1094" s="86">
        <v>45894</v>
      </c>
      <c r="B1094" s="203">
        <v>1100.04</v>
      </c>
      <c r="C1094" s="204">
        <v>95728</v>
      </c>
      <c r="D1094" s="205">
        <v>1448</v>
      </c>
      <c r="E1094" s="205">
        <v>0</v>
      </c>
      <c r="F1094" s="205">
        <v>0</v>
      </c>
      <c r="G1094" s="205">
        <v>58</v>
      </c>
      <c r="H1094" s="205">
        <v>25</v>
      </c>
      <c r="I1094" s="205">
        <v>1</v>
      </c>
      <c r="J1094" s="207">
        <f t="shared" si="87"/>
        <v>0.0151261908741434</v>
      </c>
      <c r="K1094" s="208">
        <f t="shared" si="88"/>
        <v>0.759696132596685</v>
      </c>
      <c r="L1094" s="209">
        <f t="shared" si="86"/>
        <v>12.3975172503793</v>
      </c>
      <c r="M1094" s="210">
        <f t="shared" si="89"/>
        <v>0</v>
      </c>
      <c r="N1094" s="91">
        <f t="shared" ref="N1094:N1157" si="90">E1094/D1094</f>
        <v>0</v>
      </c>
    </row>
    <row r="1095" s="2" customFormat="1" spans="1:14">
      <c r="A1095" s="211">
        <v>45895</v>
      </c>
      <c r="B1095" s="203">
        <v>911.58</v>
      </c>
      <c r="C1095" s="204">
        <v>54588</v>
      </c>
      <c r="D1095" s="205">
        <v>770</v>
      </c>
      <c r="E1095" s="205">
        <v>1</v>
      </c>
      <c r="F1095" s="206">
        <v>11343</v>
      </c>
      <c r="G1095" s="205">
        <v>20</v>
      </c>
      <c r="H1095" s="205">
        <v>7</v>
      </c>
      <c r="I1095" s="205">
        <v>1</v>
      </c>
      <c r="J1095" s="207">
        <f t="shared" si="87"/>
        <v>0.0141056642485528</v>
      </c>
      <c r="K1095" s="208">
        <f t="shared" si="88"/>
        <v>1.18387012987013</v>
      </c>
      <c r="L1095" s="209">
        <f t="shared" si="86"/>
        <v>11.491308708006</v>
      </c>
      <c r="M1095" s="210">
        <f t="shared" si="89"/>
        <v>12.4432304350688</v>
      </c>
      <c r="N1095" s="91">
        <f t="shared" si="90"/>
        <v>0.0012987012987013</v>
      </c>
    </row>
    <row r="1096" s="2" customFormat="1" spans="1:14">
      <c r="A1096" s="211">
        <v>45896</v>
      </c>
      <c r="B1096" s="203">
        <v>648.15</v>
      </c>
      <c r="C1096" s="204">
        <v>48085</v>
      </c>
      <c r="D1096" s="205">
        <v>641</v>
      </c>
      <c r="E1096" s="205">
        <v>0</v>
      </c>
      <c r="F1096" s="205">
        <v>0</v>
      </c>
      <c r="G1096" s="205">
        <v>19</v>
      </c>
      <c r="H1096" s="205">
        <v>4</v>
      </c>
      <c r="I1096" s="205">
        <v>2</v>
      </c>
      <c r="J1096" s="207">
        <f t="shared" si="87"/>
        <v>0.0133305604658417</v>
      </c>
      <c r="K1096" s="208">
        <f t="shared" si="88"/>
        <v>1.01115444617785</v>
      </c>
      <c r="L1096" s="209">
        <f t="shared" si="86"/>
        <v>16.6992745658386</v>
      </c>
      <c r="M1096" s="210">
        <f t="shared" si="89"/>
        <v>0</v>
      </c>
      <c r="N1096" s="91">
        <f t="shared" si="90"/>
        <v>0</v>
      </c>
    </row>
    <row r="1097" s="2" customFormat="1" spans="1:14">
      <c r="A1097" s="211">
        <v>45897</v>
      </c>
      <c r="B1097" s="203">
        <v>646.16</v>
      </c>
      <c r="C1097" s="204">
        <v>34473</v>
      </c>
      <c r="D1097" s="205">
        <v>525</v>
      </c>
      <c r="E1097" s="205">
        <v>0</v>
      </c>
      <c r="F1097" s="205">
        <v>0</v>
      </c>
      <c r="G1097" s="205">
        <v>27</v>
      </c>
      <c r="H1097" s="205">
        <v>3</v>
      </c>
      <c r="I1097" s="205">
        <v>1</v>
      </c>
      <c r="J1097" s="207">
        <f t="shared" si="87"/>
        <v>0.0152293098947002</v>
      </c>
      <c r="K1097" s="208">
        <f t="shared" si="88"/>
        <v>1.23078095238095</v>
      </c>
      <c r="L1097" s="209">
        <f t="shared" si="86"/>
        <v>13.4792554850785</v>
      </c>
      <c r="M1097" s="210">
        <f t="shared" si="89"/>
        <v>0</v>
      </c>
      <c r="N1097" s="91">
        <f t="shared" si="90"/>
        <v>0</v>
      </c>
    </row>
    <row r="1098" s="2" customFormat="1" spans="1:14">
      <c r="A1098" s="211">
        <v>45898</v>
      </c>
      <c r="B1098" s="203">
        <v>1296.59</v>
      </c>
      <c r="C1098" s="204">
        <v>68197</v>
      </c>
      <c r="D1098" s="205">
        <v>1060</v>
      </c>
      <c r="E1098" s="205">
        <v>1</v>
      </c>
      <c r="F1098" s="206">
        <v>11860</v>
      </c>
      <c r="G1098" s="205">
        <v>54</v>
      </c>
      <c r="H1098" s="205">
        <v>9</v>
      </c>
      <c r="I1098" s="205">
        <v>2</v>
      </c>
      <c r="J1098" s="207">
        <f t="shared" si="87"/>
        <v>0.0155432057128613</v>
      </c>
      <c r="K1098" s="208">
        <f t="shared" si="88"/>
        <v>1.22319811320755</v>
      </c>
      <c r="L1098" s="209">
        <f t="shared" si="86"/>
        <v>18.7439445363038</v>
      </c>
      <c r="M1098" s="210">
        <f t="shared" si="89"/>
        <v>9.14707039233682</v>
      </c>
      <c r="N1098" s="91">
        <f t="shared" si="90"/>
        <v>0.000943396226415094</v>
      </c>
    </row>
    <row r="1099" s="2" customFormat="1" spans="1:14">
      <c r="A1099" s="211">
        <v>45899</v>
      </c>
      <c r="B1099" s="203">
        <v>1277.26</v>
      </c>
      <c r="C1099" s="204">
        <v>66019</v>
      </c>
      <c r="D1099" s="205">
        <v>1103</v>
      </c>
      <c r="E1099" s="205">
        <v>4</v>
      </c>
      <c r="F1099" s="206">
        <v>54576</v>
      </c>
      <c r="G1099" s="205">
        <v>71</v>
      </c>
      <c r="H1099" s="205">
        <v>7</v>
      </c>
      <c r="I1099" s="205">
        <v>4</v>
      </c>
      <c r="J1099" s="207">
        <f t="shared" si="87"/>
        <v>0.0167073115315288</v>
      </c>
      <c r="K1099" s="208">
        <f t="shared" si="88"/>
        <v>1.15798730734361</v>
      </c>
      <c r="L1099" s="209">
        <f t="shared" si="86"/>
        <v>19.0124199011687</v>
      </c>
      <c r="M1099" s="210">
        <f t="shared" si="89"/>
        <v>42.72896669433</v>
      </c>
      <c r="N1099" s="91">
        <f t="shared" si="90"/>
        <v>0.00362647325475975</v>
      </c>
    </row>
    <row r="1100" s="2" customFormat="1" spans="1:14">
      <c r="A1100" s="211">
        <v>45900</v>
      </c>
      <c r="B1100" s="203">
        <v>1292.18</v>
      </c>
      <c r="C1100" s="204">
        <v>54973</v>
      </c>
      <c r="D1100" s="205">
        <v>1028</v>
      </c>
      <c r="E1100" s="205">
        <v>2</v>
      </c>
      <c r="F1100" s="206">
        <v>12585</v>
      </c>
      <c r="G1100" s="205">
        <v>45</v>
      </c>
      <c r="H1100" s="205">
        <v>20</v>
      </c>
      <c r="I1100" s="205">
        <v>1</v>
      </c>
      <c r="J1100" s="207">
        <f t="shared" si="87"/>
        <v>0.0187000891346661</v>
      </c>
      <c r="K1100" s="208">
        <f t="shared" si="88"/>
        <v>1.25698443579767</v>
      </c>
      <c r="L1100" s="209">
        <f t="shared" si="86"/>
        <v>19.3468546933459</v>
      </c>
      <c r="M1100" s="210">
        <f t="shared" si="89"/>
        <v>9.7393551981922</v>
      </c>
      <c r="N1100" s="91">
        <f t="shared" si="90"/>
        <v>0.00194552529182879</v>
      </c>
    </row>
    <row r="1101" s="2" customFormat="1" spans="1:14">
      <c r="A1101" s="211">
        <v>45901</v>
      </c>
      <c r="B1101" s="203">
        <v>1285.28</v>
      </c>
      <c r="C1101" s="204">
        <v>57939</v>
      </c>
      <c r="D1101" s="205">
        <v>1120</v>
      </c>
      <c r="E1101" s="205">
        <v>0</v>
      </c>
      <c r="F1101" s="205">
        <v>0</v>
      </c>
      <c r="G1101" s="205">
        <v>30</v>
      </c>
      <c r="H1101" s="205">
        <v>9</v>
      </c>
      <c r="I1101" s="205">
        <v>3</v>
      </c>
      <c r="J1101" s="207">
        <f t="shared" si="87"/>
        <v>0.0193306753654706</v>
      </c>
      <c r="K1101" s="208">
        <f t="shared" si="88"/>
        <v>1.14757142857143</v>
      </c>
      <c r="L1101" s="209">
        <f t="shared" si="86"/>
        <v>23.5057209903043</v>
      </c>
      <c r="M1101" s="210">
        <f t="shared" si="89"/>
        <v>0</v>
      </c>
      <c r="N1101" s="91">
        <f t="shared" si="90"/>
        <v>0</v>
      </c>
    </row>
    <row r="1102" s="2" customFormat="1" spans="1:14">
      <c r="A1102" s="211">
        <v>45902</v>
      </c>
      <c r="B1102" s="203">
        <v>1293.54</v>
      </c>
      <c r="C1102" s="204">
        <v>56439</v>
      </c>
      <c r="D1102" s="205">
        <v>1101</v>
      </c>
      <c r="E1102" s="205">
        <v>0</v>
      </c>
      <c r="F1102" s="205">
        <v>0</v>
      </c>
      <c r="G1102" s="205">
        <v>53</v>
      </c>
      <c r="H1102" s="205">
        <v>7</v>
      </c>
      <c r="I1102" s="205">
        <v>4</v>
      </c>
      <c r="J1102" s="207">
        <f t="shared" si="87"/>
        <v>0.0195077871684474</v>
      </c>
      <c r="K1102" s="208">
        <f t="shared" si="88"/>
        <v>1.17487738419619</v>
      </c>
      <c r="L1102" s="209">
        <f t="shared" si="86"/>
        <v>22.1833307444036</v>
      </c>
      <c r="M1102" s="210">
        <f t="shared" si="89"/>
        <v>0</v>
      </c>
      <c r="N1102" s="91">
        <f t="shared" si="90"/>
        <v>0</v>
      </c>
    </row>
    <row r="1103" s="2" customFormat="1" spans="1:14">
      <c r="A1103" s="211">
        <v>45903</v>
      </c>
      <c r="B1103" s="203">
        <v>1285.56</v>
      </c>
      <c r="C1103" s="204">
        <v>59316</v>
      </c>
      <c r="D1103" s="205">
        <v>1254</v>
      </c>
      <c r="E1103" s="205">
        <v>0</v>
      </c>
      <c r="F1103" s="205">
        <v>0</v>
      </c>
      <c r="G1103" s="205">
        <v>54</v>
      </c>
      <c r="H1103" s="205">
        <v>11</v>
      </c>
      <c r="I1103" s="205">
        <v>3</v>
      </c>
      <c r="J1103" s="207">
        <f t="shared" si="87"/>
        <v>0.0211410074853328</v>
      </c>
      <c r="K1103" s="208">
        <f t="shared" si="88"/>
        <v>1.02516746411483</v>
      </c>
      <c r="L1103" s="209">
        <f t="shared" si="86"/>
        <v>22.9192579599213</v>
      </c>
      <c r="M1103" s="210">
        <f t="shared" si="89"/>
        <v>0</v>
      </c>
      <c r="N1103" s="91">
        <f t="shared" si="90"/>
        <v>0</v>
      </c>
    </row>
    <row r="1104" s="2" customFormat="1" spans="1:14">
      <c r="A1104" s="211">
        <v>45904</v>
      </c>
      <c r="B1104" s="203">
        <v>1292.22</v>
      </c>
      <c r="C1104" s="204">
        <v>111510</v>
      </c>
      <c r="D1104" s="205">
        <v>1530</v>
      </c>
      <c r="E1104" s="205">
        <v>1</v>
      </c>
      <c r="F1104" s="206">
        <v>16054</v>
      </c>
      <c r="G1104" s="205">
        <v>36</v>
      </c>
      <c r="H1104" s="205">
        <v>17</v>
      </c>
      <c r="I1104" s="205">
        <v>1</v>
      </c>
      <c r="J1104" s="207">
        <f t="shared" si="87"/>
        <v>0.0137207425343019</v>
      </c>
      <c r="K1104" s="208">
        <f t="shared" si="88"/>
        <v>0.844588235294118</v>
      </c>
      <c r="L1104" s="209">
        <f t="shared" si="86"/>
        <v>21.6730730325713</v>
      </c>
      <c r="M1104" s="210">
        <f t="shared" si="89"/>
        <v>12.4235811239572</v>
      </c>
      <c r="N1104" s="91">
        <f t="shared" si="90"/>
        <v>0.00065359477124183</v>
      </c>
    </row>
    <row r="1105" s="2" customFormat="1" spans="1:14">
      <c r="A1105" s="211">
        <v>45905</v>
      </c>
      <c r="B1105" s="203">
        <v>1293.46</v>
      </c>
      <c r="C1105" s="204">
        <v>80929</v>
      </c>
      <c r="D1105" s="205">
        <v>1238</v>
      </c>
      <c r="E1105" s="205">
        <v>1</v>
      </c>
      <c r="F1105" s="206">
        <v>7254</v>
      </c>
      <c r="G1105" s="205">
        <v>28</v>
      </c>
      <c r="H1105" s="205">
        <v>11</v>
      </c>
      <c r="I1105" s="205">
        <v>1</v>
      </c>
      <c r="J1105" s="207">
        <f t="shared" si="87"/>
        <v>0.0152973594138072</v>
      </c>
      <c r="K1105" s="208">
        <f t="shared" si="88"/>
        <v>1.04479806138934</v>
      </c>
      <c r="L1105" s="209">
        <f t="shared" si="86"/>
        <v>11.5883777239709</v>
      </c>
      <c r="M1105" s="210">
        <f t="shared" si="89"/>
        <v>5.60821362856215</v>
      </c>
      <c r="N1105" s="91">
        <f t="shared" si="90"/>
        <v>0.000807754442649435</v>
      </c>
    </row>
    <row r="1106" s="2" customFormat="1" spans="1:14">
      <c r="A1106" s="211">
        <v>45906</v>
      </c>
      <c r="B1106" s="203">
        <v>1270.04</v>
      </c>
      <c r="C1106" s="204">
        <v>89809</v>
      </c>
      <c r="D1106" s="205">
        <v>1290</v>
      </c>
      <c r="E1106" s="205">
        <v>0</v>
      </c>
      <c r="F1106" s="205">
        <v>0</v>
      </c>
      <c r="G1106" s="205">
        <v>46</v>
      </c>
      <c r="H1106" s="205">
        <v>17</v>
      </c>
      <c r="I1106" s="205">
        <v>5</v>
      </c>
      <c r="J1106" s="207">
        <f t="shared" si="87"/>
        <v>0.0143638165439989</v>
      </c>
      <c r="K1106" s="208">
        <f t="shared" si="88"/>
        <v>0.984527131782946</v>
      </c>
      <c r="L1106" s="209">
        <f t="shared" si="86"/>
        <v>15.9826514599217</v>
      </c>
      <c r="M1106" s="210">
        <f t="shared" si="89"/>
        <v>0</v>
      </c>
      <c r="N1106" s="91">
        <f t="shared" si="90"/>
        <v>0</v>
      </c>
    </row>
    <row r="1107" s="2" customFormat="1" spans="1:14">
      <c r="A1107" s="211">
        <v>45907</v>
      </c>
      <c r="B1107" s="203">
        <v>1283.8</v>
      </c>
      <c r="C1107" s="204">
        <v>105351</v>
      </c>
      <c r="D1107" s="205">
        <v>1510</v>
      </c>
      <c r="E1107" s="205">
        <v>0</v>
      </c>
      <c r="F1107" s="205">
        <v>0</v>
      </c>
      <c r="G1107" s="205">
        <v>40</v>
      </c>
      <c r="H1107" s="205">
        <v>20</v>
      </c>
      <c r="I1107" s="205">
        <v>5</v>
      </c>
      <c r="J1107" s="207">
        <f t="shared" si="87"/>
        <v>0.0143330390788887</v>
      </c>
      <c r="K1107" s="208">
        <f t="shared" si="88"/>
        <v>0.850198675496689</v>
      </c>
      <c r="L1107" s="209">
        <f t="shared" si="86"/>
        <v>14.1415671035197</v>
      </c>
      <c r="M1107" s="210">
        <f t="shared" si="89"/>
        <v>0</v>
      </c>
      <c r="N1107" s="91">
        <f t="shared" si="90"/>
        <v>0</v>
      </c>
    </row>
    <row r="1108" s="2" customFormat="1" spans="1:14">
      <c r="A1108" s="211">
        <v>45908</v>
      </c>
      <c r="B1108" s="203">
        <v>1289.65</v>
      </c>
      <c r="C1108" s="204">
        <v>74822</v>
      </c>
      <c r="D1108" s="205">
        <v>1147</v>
      </c>
      <c r="E1108" s="205">
        <v>0</v>
      </c>
      <c r="F1108" s="205">
        <v>0</v>
      </c>
      <c r="G1108" s="205">
        <v>57</v>
      </c>
      <c r="H1108" s="205">
        <v>11</v>
      </c>
      <c r="I1108" s="205">
        <v>4</v>
      </c>
      <c r="J1108" s="207">
        <f t="shared" si="87"/>
        <v>0.015329715858972</v>
      </c>
      <c r="K1108" s="208">
        <f t="shared" si="88"/>
        <v>1.1243679163034</v>
      </c>
      <c r="L1108" s="209">
        <f t="shared" si="86"/>
        <v>12.1859308407134</v>
      </c>
      <c r="M1108" s="210">
        <f t="shared" si="89"/>
        <v>0</v>
      </c>
      <c r="N1108" s="91">
        <f t="shared" si="90"/>
        <v>0</v>
      </c>
    </row>
    <row r="1109" s="2" customFormat="1" spans="1:14">
      <c r="A1109" s="211">
        <v>45909</v>
      </c>
      <c r="B1109" s="203">
        <v>1280.93</v>
      </c>
      <c r="C1109" s="204">
        <v>70146</v>
      </c>
      <c r="D1109" s="205">
        <v>1290</v>
      </c>
      <c r="E1109" s="205">
        <v>1</v>
      </c>
      <c r="F1109" s="206">
        <v>200</v>
      </c>
      <c r="G1109" s="205">
        <v>42</v>
      </c>
      <c r="H1109" s="205">
        <v>16</v>
      </c>
      <c r="I1109" s="205">
        <v>0</v>
      </c>
      <c r="J1109" s="207">
        <f t="shared" si="87"/>
        <v>0.0183902146950646</v>
      </c>
      <c r="K1109" s="208">
        <f t="shared" si="88"/>
        <v>0.992968992248062</v>
      </c>
      <c r="L1109" s="209">
        <f t="shared" si="86"/>
        <v>17.2362406778755</v>
      </c>
      <c r="M1109" s="210">
        <f t="shared" si="89"/>
        <v>0.156136557032781</v>
      </c>
      <c r="N1109" s="91">
        <f t="shared" si="90"/>
        <v>0.000775193798449612</v>
      </c>
    </row>
    <row r="1110" s="2" customFormat="1" spans="1:14">
      <c r="A1110" s="211">
        <v>45910</v>
      </c>
      <c r="B1110" s="203">
        <v>1289.85</v>
      </c>
      <c r="C1110" s="204">
        <v>53688</v>
      </c>
      <c r="D1110" s="205">
        <v>998</v>
      </c>
      <c r="E1110" s="205">
        <v>1</v>
      </c>
      <c r="F1110" s="206">
        <v>3000</v>
      </c>
      <c r="G1110" s="205">
        <v>35</v>
      </c>
      <c r="H1110" s="205">
        <v>12</v>
      </c>
      <c r="I1110" s="205">
        <v>3</v>
      </c>
      <c r="J1110" s="207">
        <f t="shared" si="87"/>
        <v>0.0185888839219192</v>
      </c>
      <c r="K1110" s="208">
        <f t="shared" si="88"/>
        <v>1.29243486973948</v>
      </c>
      <c r="L1110" s="209">
        <f t="shared" si="86"/>
        <v>18.2609129529838</v>
      </c>
      <c r="M1110" s="210">
        <f t="shared" si="89"/>
        <v>2.32585184323759</v>
      </c>
      <c r="N1110" s="91">
        <f t="shared" si="90"/>
        <v>0.00100200400801603</v>
      </c>
    </row>
    <row r="1111" s="2" customFormat="1" spans="1:14">
      <c r="A1111" s="211">
        <v>45911</v>
      </c>
      <c r="B1111" s="203">
        <v>603.47</v>
      </c>
      <c r="C1111" s="204">
        <v>22522</v>
      </c>
      <c r="D1111" s="205">
        <v>429</v>
      </c>
      <c r="E1111" s="205">
        <v>1</v>
      </c>
      <c r="F1111" s="206">
        <v>20346</v>
      </c>
      <c r="G1111" s="205">
        <v>21</v>
      </c>
      <c r="H1111" s="205">
        <v>2</v>
      </c>
      <c r="I1111" s="205">
        <v>1</v>
      </c>
      <c r="J1111" s="207">
        <f t="shared" si="87"/>
        <v>0.0190480419145724</v>
      </c>
      <c r="K1111" s="208">
        <f t="shared" si="88"/>
        <v>1.40668997668998</v>
      </c>
      <c r="L1111" s="209">
        <f t="shared" si="86"/>
        <v>24.024921770228</v>
      </c>
      <c r="M1111" s="210">
        <f t="shared" si="89"/>
        <v>33.7150148308947</v>
      </c>
      <c r="N1111" s="91">
        <f t="shared" si="90"/>
        <v>0.00233100233100233</v>
      </c>
    </row>
    <row r="1112" s="2" customFormat="1" spans="1:14">
      <c r="A1112" s="211">
        <v>45912</v>
      </c>
      <c r="B1112" s="203">
        <v>599.99</v>
      </c>
      <c r="C1112" s="204">
        <v>24892</v>
      </c>
      <c r="D1112" s="205">
        <v>402</v>
      </c>
      <c r="E1112" s="205">
        <v>0</v>
      </c>
      <c r="F1112" s="205">
        <v>0</v>
      </c>
      <c r="G1112" s="205">
        <v>7</v>
      </c>
      <c r="H1112" s="205">
        <v>3</v>
      </c>
      <c r="I1112" s="205">
        <v>0</v>
      </c>
      <c r="J1112" s="207">
        <f t="shared" si="87"/>
        <v>0.0161497669934115</v>
      </c>
      <c r="K1112" s="208">
        <f t="shared" si="88"/>
        <v>1.49251243781095</v>
      </c>
      <c r="L1112" s="209">
        <f t="shared" si="86"/>
        <v>26.7946896367996</v>
      </c>
      <c r="M1112" s="210">
        <f t="shared" si="89"/>
        <v>0</v>
      </c>
      <c r="N1112" s="91">
        <f t="shared" si="90"/>
        <v>0</v>
      </c>
    </row>
    <row r="1113" s="2" customFormat="1" spans="1:14">
      <c r="A1113" s="211">
        <v>45913</v>
      </c>
      <c r="B1113" s="203">
        <v>594.81</v>
      </c>
      <c r="C1113" s="204">
        <v>27447</v>
      </c>
      <c r="D1113" s="205">
        <v>507</v>
      </c>
      <c r="E1113" s="205">
        <v>0</v>
      </c>
      <c r="F1113" s="205">
        <v>0</v>
      </c>
      <c r="G1113" s="205">
        <v>7</v>
      </c>
      <c r="H1113" s="205">
        <v>5</v>
      </c>
      <c r="I1113" s="205">
        <v>2</v>
      </c>
      <c r="J1113" s="207">
        <f t="shared" si="87"/>
        <v>0.0184719641490873</v>
      </c>
      <c r="K1113" s="208">
        <f t="shared" si="88"/>
        <v>1.17319526627219</v>
      </c>
      <c r="L1113" s="209">
        <f t="shared" si="86"/>
        <v>24.1037281054154</v>
      </c>
      <c r="M1113" s="210">
        <f t="shared" si="89"/>
        <v>0</v>
      </c>
      <c r="N1113" s="91">
        <f t="shared" si="90"/>
        <v>0</v>
      </c>
    </row>
    <row r="1114" s="2" customFormat="1" spans="1:14">
      <c r="A1114" s="211">
        <v>45914</v>
      </c>
      <c r="B1114" s="203">
        <v>399.33</v>
      </c>
      <c r="C1114" s="204">
        <v>19038</v>
      </c>
      <c r="D1114" s="205">
        <v>318</v>
      </c>
      <c r="E1114" s="205">
        <v>0</v>
      </c>
      <c r="F1114" s="205">
        <v>0</v>
      </c>
      <c r="G1114" s="205">
        <v>7</v>
      </c>
      <c r="H1114" s="205">
        <v>5</v>
      </c>
      <c r="I1114" s="205">
        <v>0</v>
      </c>
      <c r="J1114" s="207">
        <f t="shared" si="87"/>
        <v>0.0167034352347936</v>
      </c>
      <c r="K1114" s="208">
        <f t="shared" si="88"/>
        <v>1.25575471698113</v>
      </c>
      <c r="L1114" s="209">
        <f t="shared" si="86"/>
        <v>21.6712208984588</v>
      </c>
      <c r="M1114" s="210">
        <f t="shared" si="89"/>
        <v>0</v>
      </c>
      <c r="N1114" s="91">
        <f t="shared" si="90"/>
        <v>0</v>
      </c>
    </row>
    <row r="1115" s="2" customFormat="1" spans="1:14">
      <c r="A1115" s="211">
        <v>45915</v>
      </c>
      <c r="B1115" s="203">
        <v>396.78</v>
      </c>
      <c r="C1115" s="204">
        <v>25679</v>
      </c>
      <c r="D1115" s="205">
        <v>376</v>
      </c>
      <c r="E1115" s="205">
        <v>0</v>
      </c>
      <c r="F1115" s="205">
        <v>0</v>
      </c>
      <c r="G1115" s="205">
        <v>12</v>
      </c>
      <c r="H1115" s="205">
        <v>7</v>
      </c>
      <c r="I1115" s="205">
        <v>0</v>
      </c>
      <c r="J1115" s="207">
        <f t="shared" si="87"/>
        <v>0.0146423147318821</v>
      </c>
      <c r="K1115" s="208">
        <f t="shared" si="88"/>
        <v>1.05526595744681</v>
      </c>
      <c r="L1115" s="209">
        <f t="shared" si="86"/>
        <v>20.9754175858809</v>
      </c>
      <c r="M1115" s="210">
        <f t="shared" si="89"/>
        <v>0</v>
      </c>
      <c r="N1115" s="91">
        <f t="shared" si="90"/>
        <v>0</v>
      </c>
    </row>
    <row r="1116" s="2" customFormat="1" spans="1:14">
      <c r="A1116" s="211">
        <v>45916</v>
      </c>
      <c r="B1116" s="203">
        <v>606.66</v>
      </c>
      <c r="C1116" s="204">
        <v>25222</v>
      </c>
      <c r="D1116" s="205">
        <v>486</v>
      </c>
      <c r="E1116" s="205">
        <v>0</v>
      </c>
      <c r="F1116" s="205">
        <v>0</v>
      </c>
      <c r="G1116" s="205">
        <v>10</v>
      </c>
      <c r="H1116" s="205">
        <v>11</v>
      </c>
      <c r="I1116" s="205">
        <v>0</v>
      </c>
      <c r="J1116" s="207">
        <f t="shared" si="87"/>
        <v>0.019268892236936</v>
      </c>
      <c r="K1116" s="208">
        <f t="shared" si="88"/>
        <v>1.24827160493827</v>
      </c>
      <c r="L1116" s="209">
        <f t="shared" si="86"/>
        <v>15.4515362747771</v>
      </c>
      <c r="M1116" s="210">
        <f t="shared" si="89"/>
        <v>0</v>
      </c>
      <c r="N1116" s="91">
        <f t="shared" si="90"/>
        <v>0</v>
      </c>
    </row>
    <row r="1117" s="2" customFormat="1" spans="1:14">
      <c r="A1117" s="211">
        <v>45917</v>
      </c>
      <c r="B1117" s="203">
        <v>592.6</v>
      </c>
      <c r="C1117" s="204">
        <v>26373</v>
      </c>
      <c r="D1117" s="205">
        <v>490</v>
      </c>
      <c r="E1117" s="205">
        <v>0</v>
      </c>
      <c r="F1117" s="205">
        <v>0</v>
      </c>
      <c r="G1117" s="205">
        <v>12</v>
      </c>
      <c r="H1117" s="205">
        <v>1</v>
      </c>
      <c r="I1117" s="205">
        <v>1</v>
      </c>
      <c r="J1117" s="207">
        <f t="shared" si="87"/>
        <v>0.0185796079323551</v>
      </c>
      <c r="K1117" s="208">
        <f t="shared" si="88"/>
        <v>1.20938775510204</v>
      </c>
      <c r="L1117" s="209">
        <f t="shared" si="86"/>
        <v>24.0528110379827</v>
      </c>
      <c r="M1117" s="210">
        <f t="shared" si="89"/>
        <v>0</v>
      </c>
      <c r="N1117" s="91">
        <f t="shared" si="90"/>
        <v>0</v>
      </c>
    </row>
    <row r="1118" s="2" customFormat="1" spans="1:14">
      <c r="A1118" s="211">
        <v>45918</v>
      </c>
      <c r="B1118" s="203">
        <v>598.48</v>
      </c>
      <c r="C1118" s="204">
        <v>35026</v>
      </c>
      <c r="D1118" s="205">
        <v>579</v>
      </c>
      <c r="E1118" s="205">
        <v>0</v>
      </c>
      <c r="F1118" s="205">
        <v>0</v>
      </c>
      <c r="G1118" s="205">
        <v>20</v>
      </c>
      <c r="H1118" s="205">
        <v>6</v>
      </c>
      <c r="I1118" s="205">
        <v>0</v>
      </c>
      <c r="J1118" s="207">
        <f t="shared" si="87"/>
        <v>0.0165305772854451</v>
      </c>
      <c r="K1118" s="208">
        <f t="shared" si="88"/>
        <v>1.03364421416235</v>
      </c>
      <c r="L1118" s="209">
        <f t="shared" si="86"/>
        <v>22.469950327987</v>
      </c>
      <c r="M1118" s="210">
        <f t="shared" si="89"/>
        <v>0</v>
      </c>
      <c r="N1118" s="91">
        <f t="shared" si="90"/>
        <v>0</v>
      </c>
    </row>
    <row r="1119" s="2" customFormat="1" spans="1:14">
      <c r="A1119" s="211">
        <v>45919</v>
      </c>
      <c r="B1119" s="203">
        <v>593.3</v>
      </c>
      <c r="C1119" s="204">
        <v>51675</v>
      </c>
      <c r="D1119" s="205">
        <v>698</v>
      </c>
      <c r="E1119" s="205">
        <v>0</v>
      </c>
      <c r="F1119" s="205">
        <v>0</v>
      </c>
      <c r="G1119" s="205">
        <v>13</v>
      </c>
      <c r="H1119" s="205">
        <v>8</v>
      </c>
      <c r="I1119" s="205">
        <v>1</v>
      </c>
      <c r="J1119" s="207">
        <f t="shared" si="87"/>
        <v>0.0135074987905177</v>
      </c>
      <c r="K1119" s="208">
        <f t="shared" si="88"/>
        <v>0.85</v>
      </c>
      <c r="L1119" s="209">
        <f t="shared" si="86"/>
        <v>17.0867355678639</v>
      </c>
      <c r="M1119" s="210">
        <f t="shared" si="89"/>
        <v>0</v>
      </c>
      <c r="N1119" s="91">
        <f t="shared" si="90"/>
        <v>0</v>
      </c>
    </row>
    <row r="1120" s="2" customFormat="1" spans="1:14">
      <c r="A1120" s="211">
        <v>45920</v>
      </c>
      <c r="B1120" s="203">
        <v>588.53</v>
      </c>
      <c r="C1120" s="204">
        <v>40691</v>
      </c>
      <c r="D1120" s="205">
        <v>565</v>
      </c>
      <c r="E1120" s="205">
        <v>1</v>
      </c>
      <c r="F1120" s="206">
        <v>14714</v>
      </c>
      <c r="G1120" s="205">
        <v>24</v>
      </c>
      <c r="H1120" s="205">
        <v>7</v>
      </c>
      <c r="I1120" s="205">
        <v>2</v>
      </c>
      <c r="J1120" s="207">
        <f t="shared" si="87"/>
        <v>0.0138851343048831</v>
      </c>
      <c r="K1120" s="208">
        <f t="shared" si="88"/>
        <v>1.04164601769911</v>
      </c>
      <c r="L1120" s="209">
        <f t="shared" si="86"/>
        <v>11.48137397194</v>
      </c>
      <c r="M1120" s="210">
        <f t="shared" si="89"/>
        <v>25.0012743615449</v>
      </c>
      <c r="N1120" s="91">
        <f t="shared" si="90"/>
        <v>0.00176991150442478</v>
      </c>
    </row>
    <row r="1121" s="2" customFormat="1" spans="1:14">
      <c r="A1121" s="211">
        <v>45921</v>
      </c>
      <c r="B1121" s="203">
        <v>598.86</v>
      </c>
      <c r="C1121" s="204">
        <v>36658</v>
      </c>
      <c r="D1121" s="205">
        <v>572</v>
      </c>
      <c r="E1121" s="205">
        <v>1</v>
      </c>
      <c r="F1121" s="206">
        <v>13834</v>
      </c>
      <c r="G1121" s="205">
        <v>11</v>
      </c>
      <c r="H1121" s="205">
        <v>5</v>
      </c>
      <c r="I1121" s="205">
        <v>1</v>
      </c>
      <c r="J1121" s="207">
        <f t="shared" si="87"/>
        <v>0.0156036881444705</v>
      </c>
      <c r="K1121" s="208">
        <f t="shared" si="88"/>
        <v>1.04695804195804</v>
      </c>
      <c r="L1121" s="209">
        <f t="shared" si="86"/>
        <v>14.4633948538989</v>
      </c>
      <c r="M1121" s="210">
        <f t="shared" si="89"/>
        <v>23.1005577263467</v>
      </c>
      <c r="N1121" s="91">
        <f t="shared" si="90"/>
        <v>0.00174825174825175</v>
      </c>
    </row>
    <row r="1122" s="2" customFormat="1" spans="1:14">
      <c r="A1122" s="211">
        <v>45922</v>
      </c>
      <c r="B1122" s="203">
        <v>592.57</v>
      </c>
      <c r="C1122" s="204">
        <v>37679</v>
      </c>
      <c r="D1122" s="205">
        <v>576</v>
      </c>
      <c r="E1122" s="205">
        <v>0</v>
      </c>
      <c r="F1122" s="205">
        <v>0</v>
      </c>
      <c r="G1122" s="205">
        <v>24</v>
      </c>
      <c r="H1122" s="205">
        <v>2</v>
      </c>
      <c r="I1122" s="205">
        <v>1</v>
      </c>
      <c r="J1122" s="207">
        <f t="shared" si="87"/>
        <v>0.0152870299105603</v>
      </c>
      <c r="K1122" s="208">
        <f t="shared" si="88"/>
        <v>1.02876736111111</v>
      </c>
      <c r="L1122" s="209">
        <f t="shared" si="86"/>
        <v>16.3364067870588</v>
      </c>
      <c r="M1122" s="210">
        <f t="shared" si="89"/>
        <v>0</v>
      </c>
      <c r="N1122" s="91">
        <f t="shared" si="90"/>
        <v>0</v>
      </c>
    </row>
    <row r="1123" s="2" customFormat="1" spans="1:14">
      <c r="A1123" s="211">
        <v>45923</v>
      </c>
      <c r="B1123" s="203">
        <v>594.52</v>
      </c>
      <c r="C1123" s="204">
        <v>33113</v>
      </c>
      <c r="D1123" s="205">
        <v>553</v>
      </c>
      <c r="E1123" s="205">
        <v>0</v>
      </c>
      <c r="F1123" s="205">
        <v>0</v>
      </c>
      <c r="G1123" s="205">
        <v>16</v>
      </c>
      <c r="H1123" s="205">
        <v>1</v>
      </c>
      <c r="I1123" s="205">
        <v>3</v>
      </c>
      <c r="J1123" s="207">
        <f t="shared" si="87"/>
        <v>0.0167003895750914</v>
      </c>
      <c r="K1123" s="208">
        <f t="shared" si="88"/>
        <v>1.07508137432188</v>
      </c>
      <c r="L1123" s="209">
        <f t="shared" si="86"/>
        <v>15.7267974203137</v>
      </c>
      <c r="M1123" s="210">
        <f t="shared" si="89"/>
        <v>0</v>
      </c>
      <c r="N1123" s="91">
        <f t="shared" si="90"/>
        <v>0</v>
      </c>
    </row>
    <row r="1124" s="2" customFormat="1" spans="1:14">
      <c r="A1124" s="211">
        <v>45924</v>
      </c>
      <c r="B1124" s="203">
        <v>596.39</v>
      </c>
      <c r="C1124" s="204">
        <v>37214</v>
      </c>
      <c r="D1124" s="205">
        <v>673</v>
      </c>
      <c r="E1124" s="205">
        <v>2</v>
      </c>
      <c r="F1124" s="206">
        <v>26242</v>
      </c>
      <c r="G1124" s="205">
        <v>18</v>
      </c>
      <c r="H1124" s="205">
        <v>10</v>
      </c>
      <c r="I1124" s="205">
        <v>1</v>
      </c>
      <c r="J1124" s="207">
        <f t="shared" si="87"/>
        <v>0.0180845918202827</v>
      </c>
      <c r="K1124" s="208">
        <f t="shared" si="88"/>
        <v>0.886166419019316</v>
      </c>
      <c r="L1124" s="209">
        <f t="shared" si="86"/>
        <v>17.9542777761</v>
      </c>
      <c r="M1124" s="210">
        <f t="shared" si="89"/>
        <v>44.0014084743205</v>
      </c>
      <c r="N1124" s="91">
        <f t="shared" si="90"/>
        <v>0.00297176820208024</v>
      </c>
    </row>
    <row r="1125" s="2" customFormat="1" spans="1:14">
      <c r="A1125" s="211">
        <v>45925</v>
      </c>
      <c r="B1125" s="203">
        <v>1109.92</v>
      </c>
      <c r="C1125" s="204">
        <v>59701</v>
      </c>
      <c r="D1125" s="205">
        <v>1005</v>
      </c>
      <c r="E1125" s="205">
        <v>1</v>
      </c>
      <c r="F1125" s="206">
        <v>11298</v>
      </c>
      <c r="G1125" s="205">
        <v>18</v>
      </c>
      <c r="H1125" s="205">
        <v>9</v>
      </c>
      <c r="I1125" s="205">
        <v>5</v>
      </c>
      <c r="J1125" s="207">
        <f t="shared" si="87"/>
        <v>0.0168338888795833</v>
      </c>
      <c r="K1125" s="208">
        <f t="shared" si="88"/>
        <v>1.10439800995025</v>
      </c>
      <c r="L1125" s="209">
        <f t="shared" si="86"/>
        <v>16.0259579728059</v>
      </c>
      <c r="M1125" s="210">
        <f t="shared" si="89"/>
        <v>10.1791120080727</v>
      </c>
      <c r="N1125" s="91">
        <f t="shared" si="90"/>
        <v>0.00099502487562189</v>
      </c>
    </row>
    <row r="1126" s="2" customFormat="1" spans="1:14">
      <c r="A1126" s="211">
        <v>45926</v>
      </c>
      <c r="B1126" s="203">
        <v>1097.41</v>
      </c>
      <c r="C1126" s="204">
        <v>49495</v>
      </c>
      <c r="D1126" s="205">
        <v>923</v>
      </c>
      <c r="E1126" s="205">
        <v>0</v>
      </c>
      <c r="F1126" s="205">
        <v>0</v>
      </c>
      <c r="G1126" s="205">
        <v>12</v>
      </c>
      <c r="H1126" s="205">
        <v>10</v>
      </c>
      <c r="I1126" s="205">
        <v>1</v>
      </c>
      <c r="J1126" s="207">
        <f t="shared" si="87"/>
        <v>0.0186483483180119</v>
      </c>
      <c r="K1126" s="208">
        <f t="shared" si="88"/>
        <v>1.18895991332611</v>
      </c>
      <c r="L1126" s="209">
        <f t="shared" si="86"/>
        <v>18.5913133783354</v>
      </c>
      <c r="M1126" s="210">
        <f t="shared" si="89"/>
        <v>0</v>
      </c>
      <c r="N1126" s="91">
        <f t="shared" si="90"/>
        <v>0</v>
      </c>
    </row>
    <row r="1127" s="2" customFormat="1" spans="1:14">
      <c r="A1127" s="211">
        <v>45927</v>
      </c>
      <c r="B1127" s="203">
        <v>1095.11</v>
      </c>
      <c r="C1127" s="204">
        <v>63234</v>
      </c>
      <c r="D1127" s="205">
        <v>1259</v>
      </c>
      <c r="E1127" s="205">
        <v>2</v>
      </c>
      <c r="F1127" s="206">
        <v>8715</v>
      </c>
      <c r="G1127" s="205">
        <v>27</v>
      </c>
      <c r="H1127" s="205">
        <v>14</v>
      </c>
      <c r="I1127" s="205">
        <v>2</v>
      </c>
      <c r="J1127" s="207">
        <f t="shared" si="87"/>
        <v>0.0199101749059051</v>
      </c>
      <c r="K1127" s="208">
        <f t="shared" si="88"/>
        <v>0.869825258141382</v>
      </c>
      <c r="L1127" s="209">
        <f t="shared" si="86"/>
        <v>22.1721385998586</v>
      </c>
      <c r="M1127" s="210">
        <f t="shared" si="89"/>
        <v>7.95810466528477</v>
      </c>
      <c r="N1127" s="91">
        <f t="shared" si="90"/>
        <v>0.00158856235107228</v>
      </c>
    </row>
    <row r="1128" s="2" customFormat="1" spans="1:14">
      <c r="A1128" s="211">
        <v>45928</v>
      </c>
      <c r="B1128" s="203">
        <v>1077.26</v>
      </c>
      <c r="C1128" s="204">
        <v>69333</v>
      </c>
      <c r="D1128" s="205">
        <v>1363</v>
      </c>
      <c r="E1128" s="205">
        <v>0</v>
      </c>
      <c r="F1128" s="205">
        <v>0</v>
      </c>
      <c r="G1128" s="205">
        <v>18</v>
      </c>
      <c r="H1128" s="205">
        <v>13</v>
      </c>
      <c r="I1128" s="205">
        <v>2</v>
      </c>
      <c r="J1128" s="207">
        <f t="shared" si="87"/>
        <v>0.0196587483593671</v>
      </c>
      <c r="K1128" s="208">
        <f t="shared" si="88"/>
        <v>0.790359501100514</v>
      </c>
      <c r="L1128" s="209">
        <f t="shared" si="86"/>
        <v>17.3183730271689</v>
      </c>
      <c r="M1128" s="210">
        <f t="shared" si="89"/>
        <v>0</v>
      </c>
      <c r="N1128" s="91">
        <f t="shared" si="90"/>
        <v>0</v>
      </c>
    </row>
    <row r="1129" s="2" customFormat="1" spans="1:14">
      <c r="A1129" s="211">
        <v>45929</v>
      </c>
      <c r="B1129" s="203">
        <v>702.69</v>
      </c>
      <c r="C1129" s="204">
        <v>44467</v>
      </c>
      <c r="D1129" s="205">
        <v>728</v>
      </c>
      <c r="E1129" s="205">
        <v>0</v>
      </c>
      <c r="F1129" s="205">
        <v>0</v>
      </c>
      <c r="G1129" s="205">
        <v>29</v>
      </c>
      <c r="H1129" s="205">
        <v>7</v>
      </c>
      <c r="I1129" s="205">
        <v>1</v>
      </c>
      <c r="J1129" s="207">
        <f t="shared" si="87"/>
        <v>0.0163716913666314</v>
      </c>
      <c r="K1129" s="208">
        <f t="shared" si="88"/>
        <v>0.965233516483517</v>
      </c>
      <c r="L1129" s="209">
        <f t="shared" si="86"/>
        <v>15.5374785455699</v>
      </c>
      <c r="M1129" s="210">
        <f t="shared" si="89"/>
        <v>0</v>
      </c>
      <c r="N1129" s="91">
        <f t="shared" si="90"/>
        <v>0</v>
      </c>
    </row>
    <row r="1130" s="2" customFormat="1" spans="1:14">
      <c r="A1130" s="211">
        <v>45930</v>
      </c>
      <c r="B1130" s="203">
        <v>629.15</v>
      </c>
      <c r="C1130" s="204">
        <v>41582</v>
      </c>
      <c r="D1130" s="205">
        <v>694</v>
      </c>
      <c r="E1130" s="205">
        <v>0</v>
      </c>
      <c r="F1130" s="205">
        <v>0</v>
      </c>
      <c r="G1130" s="205">
        <v>28</v>
      </c>
      <c r="H1130" s="205">
        <v>3</v>
      </c>
      <c r="I1130" s="205">
        <v>3</v>
      </c>
      <c r="J1130" s="207">
        <f t="shared" si="87"/>
        <v>0.0166899139050551</v>
      </c>
      <c r="K1130" s="208">
        <f t="shared" si="88"/>
        <v>0.906556195965418</v>
      </c>
      <c r="L1130" s="209">
        <f t="shared" si="86"/>
        <v>15.8025052285965</v>
      </c>
      <c r="M1130" s="210">
        <f t="shared" si="89"/>
        <v>0</v>
      </c>
      <c r="N1130" s="91">
        <f t="shared" si="90"/>
        <v>0</v>
      </c>
    </row>
    <row r="1131" s="2" customFormat="1" spans="1:14">
      <c r="A1131" s="211">
        <v>45931</v>
      </c>
      <c r="B1131" s="203">
        <v>442.76</v>
      </c>
      <c r="C1131" s="204">
        <v>46372</v>
      </c>
      <c r="D1131" s="205">
        <v>598</v>
      </c>
      <c r="E1131" s="205">
        <v>0</v>
      </c>
      <c r="F1131" s="205">
        <v>0</v>
      </c>
      <c r="G1131" s="205">
        <v>11</v>
      </c>
      <c r="H1131" s="205">
        <v>8</v>
      </c>
      <c r="I1131" s="205">
        <v>0</v>
      </c>
      <c r="J1131" s="207">
        <f t="shared" si="87"/>
        <v>0.0128957129302165</v>
      </c>
      <c r="K1131" s="208">
        <f t="shared" si="88"/>
        <v>0.740401337792642</v>
      </c>
      <c r="L1131" s="209">
        <f t="shared" si="86"/>
        <v>15.1303448607571</v>
      </c>
      <c r="M1131" s="210">
        <f t="shared" si="89"/>
        <v>0</v>
      </c>
      <c r="N1131" s="91">
        <f t="shared" si="90"/>
        <v>0</v>
      </c>
    </row>
    <row r="1132" s="2" customFormat="1" spans="1:14">
      <c r="A1132" s="211">
        <v>45932</v>
      </c>
      <c r="B1132" s="203">
        <v>440.95</v>
      </c>
      <c r="C1132" s="204">
        <v>28981</v>
      </c>
      <c r="D1132" s="205">
        <v>447</v>
      </c>
      <c r="E1132" s="205">
        <v>1</v>
      </c>
      <c r="F1132" s="205">
        <v>1</v>
      </c>
      <c r="G1132" s="205">
        <v>14</v>
      </c>
      <c r="H1132" s="205">
        <v>14</v>
      </c>
      <c r="I1132" s="205">
        <v>4</v>
      </c>
      <c r="J1132" s="207">
        <f t="shared" si="87"/>
        <v>0.0154238984162037</v>
      </c>
      <c r="K1132" s="208">
        <f t="shared" si="88"/>
        <v>0.986465324384787</v>
      </c>
      <c r="L1132" s="209">
        <f t="shared" si="86"/>
        <v>9.54800310532218</v>
      </c>
      <c r="M1132" s="210">
        <f t="shared" si="89"/>
        <v>0.00226783081982084</v>
      </c>
      <c r="N1132" s="91">
        <f t="shared" si="90"/>
        <v>0.00223713646532438</v>
      </c>
    </row>
    <row r="1133" s="2" customFormat="1" spans="1:14">
      <c r="A1133" s="211">
        <v>45933</v>
      </c>
      <c r="B1133" s="203">
        <v>1545.9</v>
      </c>
      <c r="C1133" s="204">
        <v>80484</v>
      </c>
      <c r="D1133" s="205">
        <v>1282</v>
      </c>
      <c r="E1133" s="205">
        <v>2</v>
      </c>
      <c r="F1133" s="206">
        <v>2</v>
      </c>
      <c r="G1133" s="205">
        <v>40</v>
      </c>
      <c r="H1133" s="205">
        <v>25</v>
      </c>
      <c r="I1133" s="205">
        <v>6</v>
      </c>
      <c r="J1133" s="207">
        <f t="shared" si="87"/>
        <v>0.0159286317777446</v>
      </c>
      <c r="K1133" s="208">
        <f t="shared" si="88"/>
        <v>1.20585023400936</v>
      </c>
      <c r="L1133" s="209">
        <f t="shared" si="86"/>
        <v>15.2151409544184</v>
      </c>
      <c r="M1133" s="210">
        <f t="shared" si="89"/>
        <v>0.00129374474416198</v>
      </c>
      <c r="N1133" s="91">
        <f t="shared" si="90"/>
        <v>0.0015600624024961</v>
      </c>
    </row>
    <row r="1134" s="2" customFormat="1" spans="1:14">
      <c r="A1134" s="211">
        <v>45934</v>
      </c>
      <c r="B1134" s="203">
        <v>1494.4</v>
      </c>
      <c r="C1134" s="204">
        <v>105061</v>
      </c>
      <c r="D1134" s="205">
        <v>1818</v>
      </c>
      <c r="E1134" s="205">
        <v>6</v>
      </c>
      <c r="F1134" s="206">
        <v>6</v>
      </c>
      <c r="G1134" s="205">
        <v>51</v>
      </c>
      <c r="H1134" s="205">
        <v>15</v>
      </c>
      <c r="I1134" s="205">
        <v>0</v>
      </c>
      <c r="J1134" s="207">
        <f t="shared" si="87"/>
        <v>0.0173042327790522</v>
      </c>
      <c r="K1134" s="208">
        <f t="shared" si="88"/>
        <v>0.822002200220022</v>
      </c>
      <c r="L1134" s="209">
        <f t="shared" si="86"/>
        <v>19.2075443566423</v>
      </c>
      <c r="M1134" s="210">
        <f t="shared" si="89"/>
        <v>0.00401498929336188</v>
      </c>
      <c r="N1134" s="91">
        <f t="shared" si="90"/>
        <v>0.0033003300330033</v>
      </c>
    </row>
    <row r="1135" s="2" customFormat="1" spans="1:14">
      <c r="A1135" s="211">
        <v>45935</v>
      </c>
      <c r="B1135" s="203">
        <v>1495.23</v>
      </c>
      <c r="C1135" s="204">
        <v>96173</v>
      </c>
      <c r="D1135" s="205">
        <v>1818</v>
      </c>
      <c r="E1135" s="205">
        <v>3</v>
      </c>
      <c r="F1135" s="206">
        <v>10063</v>
      </c>
      <c r="G1135" s="205">
        <v>61</v>
      </c>
      <c r="H1135" s="205">
        <v>14</v>
      </c>
      <c r="I1135" s="205">
        <v>7</v>
      </c>
      <c r="J1135" s="207">
        <f t="shared" si="87"/>
        <v>0.0189034344358604</v>
      </c>
      <c r="K1135" s="208">
        <f t="shared" si="88"/>
        <v>0.822458745874587</v>
      </c>
      <c r="L1135" s="209">
        <f t="shared" si="86"/>
        <v>14.2241174175003</v>
      </c>
      <c r="M1135" s="210">
        <f t="shared" si="89"/>
        <v>6.73006828380918</v>
      </c>
      <c r="N1135" s="91">
        <f t="shared" si="90"/>
        <v>0.00165016501650165</v>
      </c>
    </row>
    <row r="1136" s="2" customFormat="1" spans="1:14">
      <c r="A1136" s="211">
        <v>45936</v>
      </c>
      <c r="B1136" s="203">
        <v>1496.24</v>
      </c>
      <c r="C1136" s="204">
        <v>73354</v>
      </c>
      <c r="D1136" s="205">
        <v>1416</v>
      </c>
      <c r="E1136" s="205">
        <v>2</v>
      </c>
      <c r="F1136" s="206">
        <v>2</v>
      </c>
      <c r="G1136" s="205">
        <v>72</v>
      </c>
      <c r="H1136" s="205">
        <v>14</v>
      </c>
      <c r="I1136" s="205">
        <v>4</v>
      </c>
      <c r="J1136" s="207">
        <f t="shared" si="87"/>
        <v>0.019303650789323</v>
      </c>
      <c r="K1136" s="208">
        <f t="shared" si="88"/>
        <v>1.05666666666667</v>
      </c>
      <c r="L1136" s="209">
        <f t="shared" si="86"/>
        <v>15.5472949788402</v>
      </c>
      <c r="M1136" s="210">
        <f t="shared" si="89"/>
        <v>0.00133668395444581</v>
      </c>
      <c r="N1136" s="91">
        <f t="shared" si="90"/>
        <v>0.00141242937853107</v>
      </c>
    </row>
    <row r="1137" s="2" customFormat="1" spans="1:14">
      <c r="A1137" s="211">
        <v>45937</v>
      </c>
      <c r="B1137" s="203">
        <v>1494.22</v>
      </c>
      <c r="C1137" s="204">
        <v>83357</v>
      </c>
      <c r="D1137" s="205">
        <v>1664</v>
      </c>
      <c r="E1137" s="205">
        <v>1</v>
      </c>
      <c r="F1137" s="206">
        <v>1</v>
      </c>
      <c r="G1137" s="205">
        <v>75</v>
      </c>
      <c r="H1137" s="205">
        <v>14</v>
      </c>
      <c r="I1137" s="205">
        <v>2</v>
      </c>
      <c r="J1137" s="207">
        <f t="shared" si="87"/>
        <v>0.0199623306980817</v>
      </c>
      <c r="K1137" s="208">
        <f t="shared" si="88"/>
        <v>0.89796875</v>
      </c>
      <c r="L1137" s="209">
        <f t="shared" si="86"/>
        <v>20.3975243340513</v>
      </c>
      <c r="M1137" s="210">
        <f t="shared" si="89"/>
        <v>0.000669245492631607</v>
      </c>
      <c r="N1137" s="91">
        <f t="shared" si="90"/>
        <v>0.000600961538461538</v>
      </c>
    </row>
    <row r="1138" s="2" customFormat="1" spans="1:14">
      <c r="A1138" s="211">
        <v>45938</v>
      </c>
      <c r="B1138" s="203">
        <v>1494.21</v>
      </c>
      <c r="C1138" s="204">
        <v>69945</v>
      </c>
      <c r="D1138" s="205">
        <v>1542</v>
      </c>
      <c r="E1138" s="205">
        <v>1</v>
      </c>
      <c r="F1138" s="206">
        <v>12558</v>
      </c>
      <c r="G1138" s="205">
        <v>97</v>
      </c>
      <c r="H1138" s="205">
        <v>15</v>
      </c>
      <c r="I1138" s="205">
        <v>3</v>
      </c>
      <c r="J1138" s="207">
        <f t="shared" si="87"/>
        <v>0.0220458932018014</v>
      </c>
      <c r="K1138" s="208">
        <f t="shared" si="88"/>
        <v>0.969007782101167</v>
      </c>
      <c r="L1138" s="209">
        <f t="shared" si="86"/>
        <v>17.9255491440431</v>
      </c>
      <c r="M1138" s="210">
        <f t="shared" si="89"/>
        <v>8.40444114281125</v>
      </c>
      <c r="N1138" s="91">
        <f t="shared" si="90"/>
        <v>0.000648508430609598</v>
      </c>
    </row>
    <row r="1139" s="2" customFormat="1" spans="1:14">
      <c r="A1139" s="211">
        <v>45939</v>
      </c>
      <c r="B1139" s="203">
        <v>1500.24</v>
      </c>
      <c r="C1139" s="204">
        <v>69764</v>
      </c>
      <c r="D1139" s="205">
        <v>1398</v>
      </c>
      <c r="E1139" s="205">
        <v>0</v>
      </c>
      <c r="F1139" s="205">
        <v>0</v>
      </c>
      <c r="G1139" s="205">
        <v>83</v>
      </c>
      <c r="H1139" s="205">
        <v>17</v>
      </c>
      <c r="I1139" s="205">
        <v>5</v>
      </c>
      <c r="J1139" s="207">
        <f t="shared" si="87"/>
        <v>0.0200389885901038</v>
      </c>
      <c r="K1139" s="208">
        <f t="shared" si="88"/>
        <v>1.0731330472103</v>
      </c>
      <c r="L1139" s="209">
        <f t="shared" si="86"/>
        <v>21.3626420759168</v>
      </c>
      <c r="M1139" s="210">
        <f t="shared" si="89"/>
        <v>0</v>
      </c>
      <c r="N1139" s="91">
        <f t="shared" si="90"/>
        <v>0</v>
      </c>
    </row>
    <row r="1140" s="2" customFormat="1" spans="1:14">
      <c r="A1140" s="211">
        <v>45940</v>
      </c>
      <c r="B1140" s="203">
        <v>1492.19</v>
      </c>
      <c r="C1140" s="204">
        <v>63689</v>
      </c>
      <c r="D1140" s="205">
        <v>1289</v>
      </c>
      <c r="E1140" s="205">
        <v>3</v>
      </c>
      <c r="F1140" s="206">
        <v>14138</v>
      </c>
      <c r="G1140" s="205">
        <v>78</v>
      </c>
      <c r="H1140" s="205">
        <v>18</v>
      </c>
      <c r="I1140" s="205">
        <v>3</v>
      </c>
      <c r="J1140" s="207">
        <f t="shared" si="87"/>
        <v>0.0202389737631302</v>
      </c>
      <c r="K1140" s="208">
        <f t="shared" si="88"/>
        <v>1.15763382467029</v>
      </c>
      <c r="L1140" s="209">
        <f t="shared" si="86"/>
        <v>21.5045008887105</v>
      </c>
      <c r="M1140" s="210">
        <f t="shared" si="89"/>
        <v>9.47466475448837</v>
      </c>
      <c r="N1140" s="91">
        <f t="shared" si="90"/>
        <v>0.00232738557020946</v>
      </c>
    </row>
    <row r="1141" s="2" customFormat="1" spans="1:14">
      <c r="A1141" s="211">
        <v>45941</v>
      </c>
      <c r="B1141" s="203">
        <v>1492.59</v>
      </c>
      <c r="C1141" s="204">
        <v>61486</v>
      </c>
      <c r="D1141" s="205">
        <v>1294</v>
      </c>
      <c r="E1141" s="205">
        <v>1</v>
      </c>
      <c r="F1141" s="206">
        <v>1</v>
      </c>
      <c r="G1141" s="205">
        <v>69</v>
      </c>
      <c r="H1141" s="205">
        <v>16</v>
      </c>
      <c r="I1141" s="205">
        <v>1</v>
      </c>
      <c r="J1141" s="207">
        <f t="shared" si="87"/>
        <v>0.021045441238656</v>
      </c>
      <c r="K1141" s="208">
        <f t="shared" si="88"/>
        <v>1.15346986089645</v>
      </c>
      <c r="L1141" s="209">
        <f t="shared" si="86"/>
        <v>23.429320604814</v>
      </c>
      <c r="M1141" s="210">
        <f t="shared" si="89"/>
        <v>0.000669976349834851</v>
      </c>
      <c r="N1141" s="91">
        <f t="shared" si="90"/>
        <v>0.000772797527047913</v>
      </c>
    </row>
    <row r="1142" s="2" customFormat="1" spans="1:14">
      <c r="A1142" s="211">
        <v>45942</v>
      </c>
      <c r="B1142" s="203">
        <v>1490.41</v>
      </c>
      <c r="C1142" s="204">
        <v>56544</v>
      </c>
      <c r="D1142" s="205">
        <v>1376</v>
      </c>
      <c r="E1142" s="205">
        <v>0</v>
      </c>
      <c r="F1142" s="205">
        <v>0</v>
      </c>
      <c r="G1142" s="205">
        <v>95</v>
      </c>
      <c r="H1142" s="205">
        <v>13</v>
      </c>
      <c r="I1142" s="205">
        <v>2</v>
      </c>
      <c r="J1142" s="207">
        <f t="shared" si="87"/>
        <v>0.0243350311262026</v>
      </c>
      <c r="K1142" s="208">
        <f t="shared" si="88"/>
        <v>1.08314680232558</v>
      </c>
      <c r="L1142" s="209">
        <f t="shared" si="86"/>
        <v>24.2752821780568</v>
      </c>
      <c r="M1142" s="210">
        <f t="shared" si="89"/>
        <v>0</v>
      </c>
      <c r="N1142" s="91">
        <f t="shared" si="90"/>
        <v>0</v>
      </c>
    </row>
    <row r="1143" s="2" customFormat="1" spans="1:14">
      <c r="A1143" s="211">
        <v>45943</v>
      </c>
      <c r="B1143" s="203">
        <v>1519.9</v>
      </c>
      <c r="C1143" s="204">
        <v>57595</v>
      </c>
      <c r="D1143" s="205">
        <v>1324</v>
      </c>
      <c r="E1143" s="205">
        <v>0</v>
      </c>
      <c r="F1143" s="205">
        <v>0</v>
      </c>
      <c r="G1143" s="205">
        <v>75</v>
      </c>
      <c r="H1143" s="205">
        <v>9</v>
      </c>
      <c r="I1143" s="205">
        <v>3</v>
      </c>
      <c r="J1143" s="207">
        <f t="shared" si="87"/>
        <v>0.0229881066064763</v>
      </c>
      <c r="K1143" s="208">
        <f t="shared" si="88"/>
        <v>1.14796072507553</v>
      </c>
      <c r="L1143" s="209">
        <f t="shared" si="86"/>
        <v>26.3584111488398</v>
      </c>
      <c r="M1143" s="210">
        <f t="shared" si="89"/>
        <v>0</v>
      </c>
      <c r="N1143" s="91">
        <f t="shared" si="90"/>
        <v>0</v>
      </c>
    </row>
    <row r="1144" s="2" customFormat="1" spans="1:14">
      <c r="A1144" s="211">
        <v>45944</v>
      </c>
      <c r="B1144" s="203">
        <v>1898.28</v>
      </c>
      <c r="C1144" s="204">
        <v>51988</v>
      </c>
      <c r="D1144" s="205">
        <v>1265</v>
      </c>
      <c r="E1144" s="205">
        <v>2</v>
      </c>
      <c r="F1144" s="206">
        <v>7615</v>
      </c>
      <c r="G1144" s="205">
        <v>95</v>
      </c>
      <c r="H1144" s="205">
        <v>10</v>
      </c>
      <c r="I1144" s="205">
        <v>5</v>
      </c>
      <c r="J1144" s="207">
        <f t="shared" si="87"/>
        <v>0.0243325382780642</v>
      </c>
      <c r="K1144" s="208">
        <f t="shared" si="88"/>
        <v>1.50061660079051</v>
      </c>
      <c r="L1144" s="209">
        <f t="shared" si="86"/>
        <v>26.389443528084</v>
      </c>
      <c r="M1144" s="210">
        <f t="shared" si="89"/>
        <v>4.01152622373939</v>
      </c>
      <c r="N1144" s="91">
        <f t="shared" si="90"/>
        <v>0.00158102766798419</v>
      </c>
    </row>
    <row r="1145" s="2" customFormat="1" spans="1:14">
      <c r="A1145" s="211">
        <v>45945</v>
      </c>
      <c r="B1145" s="203">
        <v>2572.17</v>
      </c>
      <c r="C1145" s="204">
        <v>45180</v>
      </c>
      <c r="D1145" s="205">
        <v>1142</v>
      </c>
      <c r="E1145" s="205">
        <v>3</v>
      </c>
      <c r="F1145" s="206">
        <v>59696</v>
      </c>
      <c r="G1145" s="205">
        <v>99</v>
      </c>
      <c r="H1145" s="205">
        <v>9</v>
      </c>
      <c r="I1145" s="205">
        <v>4</v>
      </c>
      <c r="J1145" s="207">
        <f t="shared" si="87"/>
        <v>0.0252766710934042</v>
      </c>
      <c r="K1145" s="208">
        <f t="shared" si="88"/>
        <v>2.25233800350263</v>
      </c>
      <c r="L1145" s="209">
        <f t="shared" si="86"/>
        <v>36.5138108794337</v>
      </c>
      <c r="M1145" s="210">
        <f t="shared" si="89"/>
        <v>23.2084193501985</v>
      </c>
      <c r="N1145" s="91">
        <f t="shared" si="90"/>
        <v>0.00262697022767075</v>
      </c>
    </row>
    <row r="1146" s="2" customFormat="1" spans="1:14">
      <c r="A1146" s="211">
        <v>45946</v>
      </c>
      <c r="B1146" s="203">
        <v>1957.08</v>
      </c>
      <c r="C1146" s="204">
        <v>38700</v>
      </c>
      <c r="D1146" s="205">
        <v>831</v>
      </c>
      <c r="E1146" s="205">
        <v>1</v>
      </c>
      <c r="F1146" s="206">
        <v>1</v>
      </c>
      <c r="G1146" s="205">
        <v>52</v>
      </c>
      <c r="H1146" s="205">
        <v>6</v>
      </c>
      <c r="I1146" s="205">
        <v>6</v>
      </c>
      <c r="J1146" s="207">
        <f t="shared" si="87"/>
        <v>0.0214728682170543</v>
      </c>
      <c r="K1146" s="208">
        <f t="shared" si="88"/>
        <v>2.35509025270758</v>
      </c>
      <c r="L1146" s="209">
        <f t="shared" si="86"/>
        <v>56.9316069057105</v>
      </c>
      <c r="M1146" s="210">
        <f t="shared" si="89"/>
        <v>0.000510965315674372</v>
      </c>
      <c r="N1146" s="91">
        <f t="shared" si="90"/>
        <v>0.00120336943441637</v>
      </c>
    </row>
    <row r="1147" s="2" customFormat="1" spans="1:14">
      <c r="A1147" s="211">
        <v>45947</v>
      </c>
      <c r="B1147" s="203">
        <v>1957.38</v>
      </c>
      <c r="C1147" s="204">
        <v>40405</v>
      </c>
      <c r="D1147" s="205">
        <v>742</v>
      </c>
      <c r="E1147" s="205">
        <v>3</v>
      </c>
      <c r="F1147" s="206">
        <v>30204</v>
      </c>
      <c r="G1147" s="205">
        <v>49</v>
      </c>
      <c r="H1147" s="205">
        <v>6</v>
      </c>
      <c r="I1147" s="205">
        <v>8</v>
      </c>
      <c r="J1147" s="207">
        <f t="shared" si="87"/>
        <v>0.0183640638534835</v>
      </c>
      <c r="K1147" s="208">
        <f t="shared" si="88"/>
        <v>2.63797843665768</v>
      </c>
      <c r="L1147" s="212">
        <f t="shared" si="86"/>
        <v>50.5705426356589</v>
      </c>
      <c r="M1147" s="213">
        <f t="shared" si="89"/>
        <v>15.4308310087975</v>
      </c>
      <c r="N1147" s="91">
        <f t="shared" si="90"/>
        <v>0.00404312668463612</v>
      </c>
    </row>
    <row r="1148" s="2" customFormat="1" spans="1:14">
      <c r="A1148" s="211">
        <v>45948</v>
      </c>
      <c r="B1148" s="203">
        <v>1876.76</v>
      </c>
      <c r="C1148" s="204">
        <v>65491</v>
      </c>
      <c r="D1148" s="205">
        <v>1064</v>
      </c>
      <c r="E1148" s="205">
        <v>5</v>
      </c>
      <c r="F1148" s="206">
        <v>5</v>
      </c>
      <c r="G1148" s="205">
        <v>59</v>
      </c>
      <c r="H1148" s="205">
        <v>8</v>
      </c>
      <c r="I1148" s="205">
        <v>7</v>
      </c>
      <c r="J1148" s="207">
        <f t="shared" si="87"/>
        <v>0.0162465071536547</v>
      </c>
      <c r="K1148" s="208">
        <f t="shared" si="88"/>
        <v>1.76387218045113</v>
      </c>
      <c r="L1148" s="212">
        <f t="shared" si="86"/>
        <v>48.4440044548942</v>
      </c>
      <c r="M1148" s="213">
        <f t="shared" si="89"/>
        <v>0.00266416590293911</v>
      </c>
      <c r="N1148" s="91">
        <f t="shared" si="90"/>
        <v>0.00469924812030075</v>
      </c>
    </row>
    <row r="1149" s="2" customFormat="1" spans="1:14">
      <c r="A1149" s="214">
        <v>45949</v>
      </c>
      <c r="B1149" s="215">
        <v>1817.25</v>
      </c>
      <c r="C1149" s="216">
        <v>47328</v>
      </c>
      <c r="D1149" s="217">
        <v>909</v>
      </c>
      <c r="E1149" s="217">
        <v>3</v>
      </c>
      <c r="F1149" s="218">
        <v>19829</v>
      </c>
      <c r="G1149" s="217">
        <v>63</v>
      </c>
      <c r="H1149" s="217">
        <v>10</v>
      </c>
      <c r="I1149" s="217">
        <v>4</v>
      </c>
      <c r="J1149" s="219">
        <f t="shared" si="87"/>
        <v>0.0192063894523327</v>
      </c>
      <c r="K1149" s="220">
        <f t="shared" si="88"/>
        <v>1.99917491749175</v>
      </c>
      <c r="L1149" s="221">
        <f t="shared" si="86"/>
        <v>28.6567619978318</v>
      </c>
      <c r="M1149" s="213">
        <f t="shared" si="89"/>
        <v>10.9115421653597</v>
      </c>
      <c r="N1149" s="91">
        <f t="shared" si="90"/>
        <v>0.0033003300330033</v>
      </c>
    </row>
    <row r="1150" s="2" customFormat="1" spans="1:14">
      <c r="A1150" s="211">
        <v>45950</v>
      </c>
      <c r="B1150" s="203">
        <v>1796.79</v>
      </c>
      <c r="C1150" s="204">
        <v>32732</v>
      </c>
      <c r="D1150" s="205">
        <v>686</v>
      </c>
      <c r="E1150" s="205">
        <v>17</v>
      </c>
      <c r="F1150" s="206">
        <v>156839</v>
      </c>
      <c r="G1150" s="205">
        <v>49</v>
      </c>
      <c r="H1150" s="205">
        <v>6</v>
      </c>
      <c r="I1150" s="205">
        <v>3</v>
      </c>
      <c r="J1150" s="207">
        <f t="shared" si="87"/>
        <v>0.0209580838323353</v>
      </c>
      <c r="K1150" s="208">
        <f t="shared" si="88"/>
        <v>2.61922740524781</v>
      </c>
      <c r="L1150" s="209">
        <f t="shared" si="86"/>
        <v>38.3969320486815</v>
      </c>
      <c r="M1150" s="210">
        <f t="shared" si="89"/>
        <v>87.2884421663077</v>
      </c>
      <c r="N1150" s="91">
        <f t="shared" si="90"/>
        <v>0.0247813411078717</v>
      </c>
    </row>
    <row r="1151" s="2" customFormat="1" spans="1:14">
      <c r="A1151" s="211">
        <v>45951</v>
      </c>
      <c r="B1151" s="203">
        <v>2005.61</v>
      </c>
      <c r="C1151" s="204">
        <v>38403</v>
      </c>
      <c r="D1151" s="205">
        <v>910</v>
      </c>
      <c r="E1151" s="205">
        <v>23</v>
      </c>
      <c r="F1151" s="206">
        <v>188877</v>
      </c>
      <c r="G1151" s="205">
        <v>64</v>
      </c>
      <c r="H1151" s="205">
        <v>12</v>
      </c>
      <c r="I1151" s="205">
        <v>5</v>
      </c>
      <c r="J1151" s="207">
        <f t="shared" si="87"/>
        <v>0.0236960654115564</v>
      </c>
      <c r="K1151" s="208">
        <f t="shared" si="88"/>
        <v>2.20396703296703</v>
      </c>
      <c r="L1151" s="209">
        <f t="shared" si="86"/>
        <v>54.8939875351338</v>
      </c>
      <c r="M1151" s="210">
        <f t="shared" si="89"/>
        <v>94.1743409735691</v>
      </c>
      <c r="N1151" s="91">
        <f t="shared" si="90"/>
        <v>0.0252747252747253</v>
      </c>
    </row>
    <row r="1152" s="2" customFormat="1" spans="1:14">
      <c r="A1152" s="211">
        <v>45952</v>
      </c>
      <c r="B1152" s="203">
        <v>2181.34</v>
      </c>
      <c r="C1152" s="204">
        <v>56500</v>
      </c>
      <c r="D1152" s="205">
        <v>1191</v>
      </c>
      <c r="E1152" s="205">
        <v>5</v>
      </c>
      <c r="F1152" s="206">
        <v>40890</v>
      </c>
      <c r="G1152" s="205">
        <v>48</v>
      </c>
      <c r="H1152" s="205">
        <v>13</v>
      </c>
      <c r="I1152" s="205">
        <v>1</v>
      </c>
      <c r="J1152" s="207">
        <f t="shared" si="87"/>
        <v>0.0210796460176991</v>
      </c>
      <c r="K1152" s="208">
        <f t="shared" si="88"/>
        <v>1.83151973131822</v>
      </c>
      <c r="L1152" s="209">
        <f t="shared" ref="L1152:L1215" si="91">B1151/C1151*1000</f>
        <v>52.2253469781007</v>
      </c>
      <c r="M1152" s="210">
        <f t="shared" si="89"/>
        <v>18.7453583577067</v>
      </c>
      <c r="N1152" s="91">
        <f t="shared" si="90"/>
        <v>0.00419815281276238</v>
      </c>
    </row>
    <row r="1153" s="2" customFormat="1" spans="1:14">
      <c r="A1153" s="211">
        <v>45953</v>
      </c>
      <c r="B1153" s="203">
        <v>2179.81</v>
      </c>
      <c r="C1153" s="204">
        <v>66857</v>
      </c>
      <c r="D1153" s="205">
        <v>1294</v>
      </c>
      <c r="E1153" s="205">
        <v>7</v>
      </c>
      <c r="F1153" s="206">
        <v>80122</v>
      </c>
      <c r="G1153" s="205">
        <v>49</v>
      </c>
      <c r="H1153" s="205">
        <v>14</v>
      </c>
      <c r="I1153" s="205">
        <v>2</v>
      </c>
      <c r="J1153" s="207">
        <f t="shared" si="87"/>
        <v>0.0193547422109876</v>
      </c>
      <c r="K1153" s="208">
        <f t="shared" si="88"/>
        <v>1.68455177743431</v>
      </c>
      <c r="L1153" s="209">
        <f t="shared" si="91"/>
        <v>38.6077876106195</v>
      </c>
      <c r="M1153" s="210">
        <f t="shared" si="89"/>
        <v>36.756414549892</v>
      </c>
      <c r="N1153" s="91">
        <f t="shared" si="90"/>
        <v>0.00540958268933539</v>
      </c>
    </row>
    <row r="1154" s="2" customFormat="1" spans="1:14">
      <c r="A1154" s="211">
        <v>45954</v>
      </c>
      <c r="B1154" s="203">
        <v>2124.56</v>
      </c>
      <c r="C1154" s="204">
        <v>67921</v>
      </c>
      <c r="D1154" s="205">
        <v>1225</v>
      </c>
      <c r="E1154" s="205">
        <v>3</v>
      </c>
      <c r="F1154" s="206">
        <v>15696</v>
      </c>
      <c r="G1154" s="205">
        <v>73</v>
      </c>
      <c r="H1154" s="205">
        <v>18</v>
      </c>
      <c r="I1154" s="205">
        <v>4</v>
      </c>
      <c r="J1154" s="207">
        <f t="shared" ref="J1154:J1217" si="92">D1154/C1154</f>
        <v>0.018035659074513</v>
      </c>
      <c r="K1154" s="208">
        <f t="shared" ref="K1154:K1217" si="93">B1154/D1154</f>
        <v>1.73433469387755</v>
      </c>
      <c r="L1154" s="209">
        <f t="shared" si="91"/>
        <v>32.6040653933021</v>
      </c>
      <c r="M1154" s="210">
        <f t="shared" ref="M1154:M1217" si="94">F1154/B1154</f>
        <v>7.38788266746997</v>
      </c>
      <c r="N1154" s="91">
        <f t="shared" si="90"/>
        <v>0.00244897959183673</v>
      </c>
    </row>
    <row r="1155" s="2" customFormat="1" spans="1:14">
      <c r="A1155" s="211">
        <v>45955</v>
      </c>
      <c r="B1155" s="203">
        <v>2116.2</v>
      </c>
      <c r="C1155" s="204">
        <v>65627</v>
      </c>
      <c r="D1155" s="205">
        <v>1248</v>
      </c>
      <c r="E1155" s="205">
        <v>8</v>
      </c>
      <c r="F1155" s="206">
        <v>89493</v>
      </c>
      <c r="G1155" s="205">
        <v>45</v>
      </c>
      <c r="H1155" s="205">
        <v>15</v>
      </c>
      <c r="I1155" s="205">
        <v>4</v>
      </c>
      <c r="J1155" s="207">
        <f t="shared" si="92"/>
        <v>0.0190165633047374</v>
      </c>
      <c r="K1155" s="208">
        <f t="shared" si="93"/>
        <v>1.69567307692308</v>
      </c>
      <c r="L1155" s="209">
        <f t="shared" si="91"/>
        <v>31.2798692598754</v>
      </c>
      <c r="M1155" s="210">
        <f t="shared" si="94"/>
        <v>42.2894811454494</v>
      </c>
      <c r="N1155" s="91">
        <f t="shared" si="90"/>
        <v>0.00641025641025641</v>
      </c>
    </row>
    <row r="1156" s="2" customFormat="1" spans="1:14">
      <c r="A1156" s="211">
        <v>45956</v>
      </c>
      <c r="B1156" s="203">
        <v>2129.16</v>
      </c>
      <c r="C1156" s="204">
        <v>58962</v>
      </c>
      <c r="D1156" s="205">
        <v>1141</v>
      </c>
      <c r="E1156" s="205">
        <v>4</v>
      </c>
      <c r="F1156" s="206">
        <v>20097</v>
      </c>
      <c r="G1156" s="205">
        <v>52</v>
      </c>
      <c r="H1156" s="205">
        <v>7</v>
      </c>
      <c r="I1156" s="205">
        <v>1</v>
      </c>
      <c r="J1156" s="207">
        <f t="shared" si="92"/>
        <v>0.0193514466944812</v>
      </c>
      <c r="K1156" s="208">
        <f t="shared" si="93"/>
        <v>1.86604732690622</v>
      </c>
      <c r="L1156" s="209">
        <f t="shared" si="91"/>
        <v>32.2458744114465</v>
      </c>
      <c r="M1156" s="210">
        <f t="shared" si="94"/>
        <v>9.43893366398016</v>
      </c>
      <c r="N1156" s="91">
        <f t="shared" si="90"/>
        <v>0.0035056967572305</v>
      </c>
    </row>
    <row r="1157" s="2" customFormat="1" spans="1:14">
      <c r="A1157" s="211">
        <v>45957</v>
      </c>
      <c r="B1157" s="203">
        <v>2092.52</v>
      </c>
      <c r="C1157" s="204">
        <v>82007</v>
      </c>
      <c r="D1157" s="205">
        <v>1529</v>
      </c>
      <c r="E1157" s="205">
        <v>4</v>
      </c>
      <c r="F1157" s="206">
        <v>16953</v>
      </c>
      <c r="G1157" s="205">
        <v>29</v>
      </c>
      <c r="H1157" s="205">
        <v>5</v>
      </c>
      <c r="I1157" s="205">
        <v>2</v>
      </c>
      <c r="J1157" s="207">
        <f t="shared" si="92"/>
        <v>0.0186447498384284</v>
      </c>
      <c r="K1157" s="208">
        <f t="shared" si="93"/>
        <v>1.36855461085677</v>
      </c>
      <c r="L1157" s="209">
        <f t="shared" si="91"/>
        <v>36.1107153760049</v>
      </c>
      <c r="M1157" s="210">
        <f t="shared" si="94"/>
        <v>8.10171467895169</v>
      </c>
      <c r="N1157" s="91">
        <f t="shared" si="90"/>
        <v>0.0026160889470242</v>
      </c>
    </row>
    <row r="1158" s="2" customFormat="1" spans="1:14">
      <c r="A1158" s="211">
        <v>45958</v>
      </c>
      <c r="B1158" s="203">
        <v>2096.65</v>
      </c>
      <c r="C1158" s="204">
        <v>63448</v>
      </c>
      <c r="D1158" s="205">
        <v>1418</v>
      </c>
      <c r="E1158" s="205">
        <v>2</v>
      </c>
      <c r="F1158" s="206">
        <v>2</v>
      </c>
      <c r="G1158" s="205">
        <v>37</v>
      </c>
      <c r="H1158" s="205">
        <v>7</v>
      </c>
      <c r="I1158" s="205">
        <v>1</v>
      </c>
      <c r="J1158" s="207">
        <f t="shared" si="92"/>
        <v>0.0223490102130879</v>
      </c>
      <c r="K1158" s="208">
        <f t="shared" si="93"/>
        <v>1.47859661495063</v>
      </c>
      <c r="L1158" s="209">
        <f t="shared" si="91"/>
        <v>25.5163583596522</v>
      </c>
      <c r="M1158" s="210">
        <f t="shared" si="94"/>
        <v>0.000953902654234135</v>
      </c>
      <c r="N1158" s="91">
        <f t="shared" ref="N1158:N1221" si="95">E1158/D1158</f>
        <v>0.00141043723554302</v>
      </c>
    </row>
    <row r="1159" s="2" customFormat="1" spans="1:14">
      <c r="A1159" s="211">
        <v>45959</v>
      </c>
      <c r="B1159" s="203">
        <v>1735.96</v>
      </c>
      <c r="C1159" s="204">
        <v>50253</v>
      </c>
      <c r="D1159" s="205">
        <v>1271</v>
      </c>
      <c r="E1159" s="205">
        <v>6</v>
      </c>
      <c r="F1159" s="206">
        <v>41284</v>
      </c>
      <c r="G1159" s="205">
        <v>27</v>
      </c>
      <c r="H1159" s="205">
        <v>5</v>
      </c>
      <c r="I1159" s="205">
        <v>2</v>
      </c>
      <c r="J1159" s="207">
        <f t="shared" si="92"/>
        <v>0.0252920223668239</v>
      </c>
      <c r="K1159" s="208">
        <f t="shared" si="93"/>
        <v>1.36582218725413</v>
      </c>
      <c r="L1159" s="209">
        <f t="shared" si="91"/>
        <v>33.0451708485689</v>
      </c>
      <c r="M1159" s="210">
        <f t="shared" si="94"/>
        <v>23.7816539551603</v>
      </c>
      <c r="N1159" s="91">
        <f t="shared" si="95"/>
        <v>0.004720692368214</v>
      </c>
    </row>
    <row r="1160" s="2" customFormat="1" spans="1:14">
      <c r="A1160" s="211">
        <v>45960</v>
      </c>
      <c r="B1160" s="203">
        <v>2324.36</v>
      </c>
      <c r="C1160" s="204">
        <v>69852</v>
      </c>
      <c r="D1160" s="205">
        <v>1582</v>
      </c>
      <c r="E1160" s="205">
        <v>3</v>
      </c>
      <c r="F1160" s="206">
        <v>32851</v>
      </c>
      <c r="G1160" s="205">
        <v>40</v>
      </c>
      <c r="H1160" s="205">
        <v>5</v>
      </c>
      <c r="I1160" s="205">
        <v>5</v>
      </c>
      <c r="J1160" s="207">
        <f t="shared" si="92"/>
        <v>0.0226478840978068</v>
      </c>
      <c r="K1160" s="208">
        <f t="shared" si="93"/>
        <v>1.46925410872314</v>
      </c>
      <c r="L1160" s="209">
        <f t="shared" si="91"/>
        <v>34.5444053091358</v>
      </c>
      <c r="M1160" s="210">
        <f t="shared" si="94"/>
        <v>14.1333528369099</v>
      </c>
      <c r="N1160" s="91">
        <f t="shared" si="95"/>
        <v>0.00189633375474083</v>
      </c>
    </row>
    <row r="1161" s="2" customFormat="1" spans="1:14">
      <c r="A1161" s="211">
        <v>45961</v>
      </c>
      <c r="B1161" s="203">
        <v>2342.32</v>
      </c>
      <c r="C1161" s="204">
        <v>63887</v>
      </c>
      <c r="D1161" s="205">
        <v>1489</v>
      </c>
      <c r="E1161" s="205">
        <v>6</v>
      </c>
      <c r="F1161" s="206">
        <v>54170</v>
      </c>
      <c r="G1161" s="205">
        <v>46</v>
      </c>
      <c r="H1161" s="205">
        <v>20</v>
      </c>
      <c r="I1161" s="205">
        <v>5</v>
      </c>
      <c r="J1161" s="207">
        <f t="shared" si="92"/>
        <v>0.0233067760264217</v>
      </c>
      <c r="K1161" s="208">
        <f t="shared" si="93"/>
        <v>1.57308260577569</v>
      </c>
      <c r="L1161" s="209">
        <f t="shared" si="91"/>
        <v>33.275496764588</v>
      </c>
      <c r="M1161" s="210">
        <f t="shared" si="94"/>
        <v>23.1266436695242</v>
      </c>
      <c r="N1161" s="91">
        <f t="shared" si="95"/>
        <v>0.00402955003357958</v>
      </c>
    </row>
    <row r="1162" s="2" customFormat="1" spans="1:14">
      <c r="A1162" s="211">
        <v>45962</v>
      </c>
      <c r="B1162" s="203">
        <v>2362.25</v>
      </c>
      <c r="C1162" s="204">
        <v>55621</v>
      </c>
      <c r="D1162" s="205">
        <v>1511</v>
      </c>
      <c r="E1162" s="205">
        <v>4</v>
      </c>
      <c r="F1162" s="206">
        <v>26193</v>
      </c>
      <c r="G1162" s="205">
        <v>34</v>
      </c>
      <c r="H1162" s="205">
        <v>7</v>
      </c>
      <c r="I1162" s="205">
        <v>1</v>
      </c>
      <c r="J1162" s="207">
        <f t="shared" si="92"/>
        <v>0.0271659984538214</v>
      </c>
      <c r="K1162" s="208">
        <f t="shared" si="93"/>
        <v>1.56336863004633</v>
      </c>
      <c r="L1162" s="209">
        <f t="shared" si="91"/>
        <v>36.6634839638737</v>
      </c>
      <c r="M1162" s="210">
        <f t="shared" si="94"/>
        <v>11.0881574769817</v>
      </c>
      <c r="N1162" s="91">
        <f t="shared" si="95"/>
        <v>0.00264725347452019</v>
      </c>
    </row>
    <row r="1163" s="2" customFormat="1" spans="1:14">
      <c r="A1163" s="211">
        <v>45963</v>
      </c>
      <c r="B1163" s="203">
        <v>1948.51</v>
      </c>
      <c r="C1163" s="204">
        <v>55928</v>
      </c>
      <c r="D1163" s="205">
        <v>1368</v>
      </c>
      <c r="E1163" s="205">
        <v>3</v>
      </c>
      <c r="F1163" s="206">
        <v>31726</v>
      </c>
      <c r="G1163" s="205">
        <v>19</v>
      </c>
      <c r="H1163" s="205">
        <v>15</v>
      </c>
      <c r="I1163" s="205">
        <v>5</v>
      </c>
      <c r="J1163" s="207">
        <f t="shared" si="92"/>
        <v>0.0244600200257474</v>
      </c>
      <c r="K1163" s="208">
        <f t="shared" si="93"/>
        <v>1.42434941520468</v>
      </c>
      <c r="L1163" s="209">
        <f t="shared" si="91"/>
        <v>42.4704697865914</v>
      </c>
      <c r="M1163" s="210">
        <f t="shared" si="94"/>
        <v>16.2821848489359</v>
      </c>
      <c r="N1163" s="91">
        <f t="shared" si="95"/>
        <v>0.00219298245614035</v>
      </c>
    </row>
    <row r="1164" s="2" customFormat="1" spans="1:14">
      <c r="A1164" s="211">
        <v>45964</v>
      </c>
      <c r="B1164" s="203">
        <v>2294.71</v>
      </c>
      <c r="C1164" s="204">
        <v>68197</v>
      </c>
      <c r="D1164" s="205">
        <v>1530</v>
      </c>
      <c r="E1164" s="205">
        <v>2</v>
      </c>
      <c r="F1164" s="206">
        <v>5199</v>
      </c>
      <c r="G1164" s="205">
        <v>32</v>
      </c>
      <c r="H1164" s="205">
        <v>16</v>
      </c>
      <c r="I1164" s="205">
        <v>3</v>
      </c>
      <c r="J1164" s="207">
        <f t="shared" si="92"/>
        <v>0.0224350044723375</v>
      </c>
      <c r="K1164" s="208">
        <f t="shared" si="93"/>
        <v>1.49981045751634</v>
      </c>
      <c r="L1164" s="209">
        <f t="shared" si="91"/>
        <v>34.839615219568</v>
      </c>
      <c r="M1164" s="210">
        <f t="shared" si="94"/>
        <v>2.26564576787481</v>
      </c>
      <c r="N1164" s="91">
        <f t="shared" si="95"/>
        <v>0.00130718954248366</v>
      </c>
    </row>
    <row r="1165" s="2" customFormat="1" spans="1:14">
      <c r="A1165" s="211">
        <v>45965</v>
      </c>
      <c r="B1165" s="203">
        <v>2325.42</v>
      </c>
      <c r="C1165" s="204">
        <v>69769</v>
      </c>
      <c r="D1165" s="205">
        <v>1550</v>
      </c>
      <c r="E1165" s="205">
        <v>3</v>
      </c>
      <c r="F1165" s="206">
        <v>47961</v>
      </c>
      <c r="G1165" s="205">
        <v>32</v>
      </c>
      <c r="H1165" s="205">
        <v>10</v>
      </c>
      <c r="I1165" s="205">
        <v>3</v>
      </c>
      <c r="J1165" s="207">
        <f t="shared" si="92"/>
        <v>0.0222161705055254</v>
      </c>
      <c r="K1165" s="208">
        <f t="shared" si="93"/>
        <v>1.50027096774194</v>
      </c>
      <c r="L1165" s="209">
        <f t="shared" si="91"/>
        <v>33.6482543220376</v>
      </c>
      <c r="M1165" s="210">
        <f t="shared" si="94"/>
        <v>20.6246613514978</v>
      </c>
      <c r="N1165" s="91">
        <f t="shared" si="95"/>
        <v>0.00193548387096774</v>
      </c>
    </row>
    <row r="1166" s="2" customFormat="1" spans="1:14">
      <c r="A1166" s="211">
        <v>45966</v>
      </c>
      <c r="B1166" s="203">
        <v>2521.9</v>
      </c>
      <c r="C1166" s="204">
        <v>73110</v>
      </c>
      <c r="D1166" s="205">
        <v>1668</v>
      </c>
      <c r="E1166" s="205">
        <v>4</v>
      </c>
      <c r="F1166" s="206">
        <v>31492</v>
      </c>
      <c r="G1166" s="205">
        <v>41</v>
      </c>
      <c r="H1166" s="205">
        <v>20</v>
      </c>
      <c r="I1166" s="205">
        <v>0</v>
      </c>
      <c r="J1166" s="207">
        <f t="shared" si="92"/>
        <v>0.0228149363972097</v>
      </c>
      <c r="K1166" s="208">
        <f t="shared" si="93"/>
        <v>1.51193045563549</v>
      </c>
      <c r="L1166" s="209">
        <f t="shared" si="91"/>
        <v>33.3302756238444</v>
      </c>
      <c r="M1166" s="210">
        <f t="shared" si="94"/>
        <v>12.4874102858956</v>
      </c>
      <c r="N1166" s="91">
        <f t="shared" si="95"/>
        <v>0.00239808153477218</v>
      </c>
    </row>
    <row r="1167" s="2" customFormat="1" spans="1:14">
      <c r="A1167" s="211">
        <v>45967</v>
      </c>
      <c r="B1167" s="203">
        <v>3344.48</v>
      </c>
      <c r="C1167" s="204">
        <v>101587</v>
      </c>
      <c r="D1167" s="205">
        <v>1975</v>
      </c>
      <c r="E1167" s="205">
        <v>5</v>
      </c>
      <c r="F1167" s="206">
        <v>31493</v>
      </c>
      <c r="G1167" s="205">
        <v>48</v>
      </c>
      <c r="H1167" s="205">
        <v>9</v>
      </c>
      <c r="I1167" s="205">
        <v>2</v>
      </c>
      <c r="J1167" s="207">
        <f t="shared" si="92"/>
        <v>0.0194414639668462</v>
      </c>
      <c r="K1167" s="208">
        <f t="shared" si="93"/>
        <v>1.69340759493671</v>
      </c>
      <c r="L1167" s="209">
        <f t="shared" si="91"/>
        <v>34.494597182328</v>
      </c>
      <c r="M1167" s="210">
        <f t="shared" si="94"/>
        <v>9.41641151987753</v>
      </c>
      <c r="N1167" s="91">
        <f t="shared" si="95"/>
        <v>0.00253164556962025</v>
      </c>
    </row>
    <row r="1168" s="2" customFormat="1" spans="1:14">
      <c r="A1168" s="211">
        <v>45968</v>
      </c>
      <c r="B1168" s="203">
        <v>3320.36</v>
      </c>
      <c r="C1168" s="204">
        <v>85062</v>
      </c>
      <c r="D1168" s="205">
        <v>1647</v>
      </c>
      <c r="E1168" s="205">
        <v>3</v>
      </c>
      <c r="F1168" s="206">
        <v>15696</v>
      </c>
      <c r="G1168" s="205">
        <v>50</v>
      </c>
      <c r="H1168" s="205">
        <v>18</v>
      </c>
      <c r="I1168" s="205">
        <v>5</v>
      </c>
      <c r="J1168" s="207">
        <f t="shared" si="92"/>
        <v>0.0193623474642026</v>
      </c>
      <c r="K1168" s="208">
        <f t="shared" si="93"/>
        <v>2.01600485731633</v>
      </c>
      <c r="L1168" s="209">
        <f t="shared" si="91"/>
        <v>32.9223227381456</v>
      </c>
      <c r="M1168" s="210">
        <f t="shared" si="94"/>
        <v>4.72719825561084</v>
      </c>
      <c r="N1168" s="91">
        <f t="shared" si="95"/>
        <v>0.00182149362477231</v>
      </c>
    </row>
    <row r="1169" s="2" customFormat="1" spans="1:14">
      <c r="A1169" s="211">
        <v>45969</v>
      </c>
      <c r="B1169" s="203">
        <v>3304.77</v>
      </c>
      <c r="C1169" s="204">
        <v>83668</v>
      </c>
      <c r="D1169" s="205">
        <v>1759</v>
      </c>
      <c r="E1169" s="205">
        <v>7</v>
      </c>
      <c r="F1169" s="206">
        <v>52404</v>
      </c>
      <c r="G1169" s="205">
        <v>84</v>
      </c>
      <c r="H1169" s="205">
        <v>19</v>
      </c>
      <c r="I1169" s="205">
        <v>6</v>
      </c>
      <c r="J1169" s="207">
        <f t="shared" si="92"/>
        <v>0.0210235693455084</v>
      </c>
      <c r="K1169" s="208">
        <f t="shared" si="93"/>
        <v>1.87877771461057</v>
      </c>
      <c r="L1169" s="209">
        <f t="shared" si="91"/>
        <v>39.034586536879</v>
      </c>
      <c r="M1169" s="210">
        <f t="shared" si="94"/>
        <v>15.8570793126299</v>
      </c>
      <c r="N1169" s="91">
        <f t="shared" si="95"/>
        <v>0.00397953382603752</v>
      </c>
    </row>
    <row r="1170" s="2" customFormat="1" spans="1:14">
      <c r="A1170" s="211">
        <v>45970</v>
      </c>
      <c r="B1170" s="203">
        <v>3331.55</v>
      </c>
      <c r="C1170" s="204">
        <v>64233</v>
      </c>
      <c r="D1170" s="205">
        <v>1504</v>
      </c>
      <c r="E1170" s="205">
        <v>3</v>
      </c>
      <c r="F1170" s="206">
        <v>10397</v>
      </c>
      <c r="G1170" s="205">
        <v>68</v>
      </c>
      <c r="H1170" s="205">
        <v>20</v>
      </c>
      <c r="I1170" s="205">
        <v>3</v>
      </c>
      <c r="J1170" s="207">
        <f t="shared" si="92"/>
        <v>0.0234147556551928</v>
      </c>
      <c r="K1170" s="208">
        <f t="shared" si="93"/>
        <v>2.21512632978723</v>
      </c>
      <c r="L1170" s="209">
        <f t="shared" si="91"/>
        <v>39.4986135679113</v>
      </c>
      <c r="M1170" s="210">
        <f t="shared" si="94"/>
        <v>3.12076961174228</v>
      </c>
      <c r="N1170" s="91">
        <f t="shared" si="95"/>
        <v>0.00199468085106383</v>
      </c>
    </row>
    <row r="1171" s="2" customFormat="1" spans="1:14">
      <c r="A1171" s="211">
        <v>45971</v>
      </c>
      <c r="B1171" s="203">
        <v>6753.95</v>
      </c>
      <c r="C1171" s="204">
        <v>94433</v>
      </c>
      <c r="D1171" s="205">
        <v>2258</v>
      </c>
      <c r="E1171" s="205">
        <v>15</v>
      </c>
      <c r="F1171" s="206">
        <v>136816</v>
      </c>
      <c r="G1171" s="205">
        <v>90</v>
      </c>
      <c r="H1171" s="205">
        <v>20</v>
      </c>
      <c r="I1171" s="205">
        <v>6</v>
      </c>
      <c r="J1171" s="207">
        <f t="shared" si="92"/>
        <v>0.0239111327607934</v>
      </c>
      <c r="K1171" s="208">
        <f t="shared" si="93"/>
        <v>2.99112046058459</v>
      </c>
      <c r="L1171" s="209">
        <f t="shared" si="91"/>
        <v>51.8666417573521</v>
      </c>
      <c r="M1171" s="210">
        <f t="shared" si="94"/>
        <v>20.2571828337491</v>
      </c>
      <c r="N1171" s="91">
        <f t="shared" si="95"/>
        <v>0.00664304694419841</v>
      </c>
    </row>
    <row r="1172" s="2" customFormat="1" spans="1:14">
      <c r="A1172" s="211">
        <v>45972</v>
      </c>
      <c r="B1172" s="203">
        <v>3757.51</v>
      </c>
      <c r="C1172" s="204">
        <v>51337</v>
      </c>
      <c r="D1172" s="205">
        <v>1147</v>
      </c>
      <c r="E1172" s="205">
        <v>20</v>
      </c>
      <c r="F1172" s="206">
        <v>197958</v>
      </c>
      <c r="G1172" s="205">
        <v>88</v>
      </c>
      <c r="H1172" s="205">
        <v>9</v>
      </c>
      <c r="I1172" s="205">
        <v>8</v>
      </c>
      <c r="J1172" s="207">
        <f t="shared" si="92"/>
        <v>0.0223425599470168</v>
      </c>
      <c r="K1172" s="208">
        <f t="shared" si="93"/>
        <v>3.27594594594595</v>
      </c>
      <c r="L1172" s="209">
        <f t="shared" si="91"/>
        <v>71.5210784365635</v>
      </c>
      <c r="M1172" s="210">
        <f t="shared" si="94"/>
        <v>52.6832929253681</v>
      </c>
      <c r="N1172" s="91">
        <f t="shared" si="95"/>
        <v>0.01743679163034</v>
      </c>
    </row>
    <row r="1173" s="2" customFormat="1" spans="1:14">
      <c r="A1173" s="211">
        <v>45973</v>
      </c>
      <c r="B1173" s="203">
        <v>3725.01</v>
      </c>
      <c r="C1173" s="204">
        <v>78419</v>
      </c>
      <c r="D1173" s="205">
        <v>1583</v>
      </c>
      <c r="E1173" s="205">
        <v>9</v>
      </c>
      <c r="F1173" s="206">
        <v>78990</v>
      </c>
      <c r="G1173" s="205">
        <v>93</v>
      </c>
      <c r="H1173" s="205">
        <v>14</v>
      </c>
      <c r="I1173" s="205">
        <v>3</v>
      </c>
      <c r="J1173" s="207">
        <f t="shared" si="92"/>
        <v>0.0201864344100282</v>
      </c>
      <c r="K1173" s="208">
        <f t="shared" si="93"/>
        <v>2.3531332912192</v>
      </c>
      <c r="L1173" s="209">
        <f t="shared" si="91"/>
        <v>73.1930186804839</v>
      </c>
      <c r="M1173" s="210">
        <f t="shared" si="94"/>
        <v>21.2053122005042</v>
      </c>
      <c r="N1173" s="91">
        <f t="shared" si="95"/>
        <v>0.00568540745420088</v>
      </c>
    </row>
    <row r="1174" s="2" customFormat="1" spans="1:14">
      <c r="A1174" s="211">
        <v>45974</v>
      </c>
      <c r="B1174" s="203">
        <v>3673.18</v>
      </c>
      <c r="C1174" s="204">
        <v>88589</v>
      </c>
      <c r="D1174" s="205">
        <v>1632</v>
      </c>
      <c r="E1174" s="205">
        <v>9</v>
      </c>
      <c r="F1174" s="206">
        <v>43985</v>
      </c>
      <c r="G1174" s="205">
        <v>59</v>
      </c>
      <c r="H1174" s="205">
        <v>19</v>
      </c>
      <c r="I1174" s="205">
        <v>4</v>
      </c>
      <c r="J1174" s="207">
        <f t="shared" si="92"/>
        <v>0.018422151734414</v>
      </c>
      <c r="K1174" s="208">
        <f t="shared" si="93"/>
        <v>2.25072303921569</v>
      </c>
      <c r="L1174" s="209">
        <f t="shared" si="91"/>
        <v>47.5013708412502</v>
      </c>
      <c r="M1174" s="210">
        <f t="shared" si="94"/>
        <v>11.9746377797984</v>
      </c>
      <c r="N1174" s="91">
        <f t="shared" si="95"/>
        <v>0.00551470588235294</v>
      </c>
    </row>
    <row r="1175" s="2" customFormat="1" spans="1:14">
      <c r="A1175" s="211">
        <v>45975</v>
      </c>
      <c r="B1175" s="203">
        <v>2277.85</v>
      </c>
      <c r="C1175" s="204">
        <v>48443</v>
      </c>
      <c r="D1175" s="205">
        <v>954</v>
      </c>
      <c r="E1175" s="205">
        <v>6</v>
      </c>
      <c r="F1175" s="206">
        <v>71880</v>
      </c>
      <c r="G1175" s="205">
        <v>37</v>
      </c>
      <c r="H1175" s="205">
        <v>7</v>
      </c>
      <c r="I1175" s="205">
        <v>1</v>
      </c>
      <c r="J1175" s="207">
        <f t="shared" si="92"/>
        <v>0.0196932477344508</v>
      </c>
      <c r="K1175" s="208">
        <f t="shared" si="93"/>
        <v>2.38768343815514</v>
      </c>
      <c r="L1175" s="209">
        <f t="shared" si="91"/>
        <v>41.4631613405728</v>
      </c>
      <c r="M1175" s="210">
        <f t="shared" si="94"/>
        <v>31.5560726123318</v>
      </c>
      <c r="N1175" s="91">
        <f t="shared" si="95"/>
        <v>0.00628930817610063</v>
      </c>
    </row>
    <row r="1176" s="2" customFormat="1" spans="1:14">
      <c r="A1176" s="211">
        <v>45976</v>
      </c>
      <c r="B1176" s="203">
        <v>821.02</v>
      </c>
      <c r="C1176" s="204">
        <v>48628</v>
      </c>
      <c r="D1176" s="205">
        <v>974</v>
      </c>
      <c r="E1176" s="205">
        <v>0</v>
      </c>
      <c r="F1176" s="205">
        <v>0</v>
      </c>
      <c r="G1176" s="205">
        <v>24</v>
      </c>
      <c r="H1176" s="205">
        <v>23</v>
      </c>
      <c r="I1176" s="205">
        <v>1</v>
      </c>
      <c r="J1176" s="207">
        <f t="shared" si="92"/>
        <v>0.0200296125688904</v>
      </c>
      <c r="K1176" s="208">
        <f t="shared" si="93"/>
        <v>0.842936344969199</v>
      </c>
      <c r="L1176" s="209">
        <f t="shared" si="91"/>
        <v>47.0212414590343</v>
      </c>
      <c r="M1176" s="210">
        <f t="shared" si="94"/>
        <v>0</v>
      </c>
      <c r="N1176" s="91">
        <f t="shared" si="95"/>
        <v>0</v>
      </c>
    </row>
    <row r="1177" s="2" customFormat="1" spans="1:14">
      <c r="A1177" s="211">
        <v>45977</v>
      </c>
      <c r="B1177" s="203">
        <v>788.4</v>
      </c>
      <c r="C1177" s="204">
        <v>50805</v>
      </c>
      <c r="D1177" s="205">
        <v>1069</v>
      </c>
      <c r="E1177" s="205">
        <v>0</v>
      </c>
      <c r="F1177" s="205">
        <v>0</v>
      </c>
      <c r="G1177" s="205">
        <v>20</v>
      </c>
      <c r="H1177" s="205">
        <v>11</v>
      </c>
      <c r="I1177" s="205">
        <v>0</v>
      </c>
      <c r="J1177" s="207">
        <f t="shared" si="92"/>
        <v>0.0210412360988092</v>
      </c>
      <c r="K1177" s="208">
        <f t="shared" si="93"/>
        <v>0.737511693171188</v>
      </c>
      <c r="L1177" s="209">
        <f t="shared" si="91"/>
        <v>16.8836884099696</v>
      </c>
      <c r="M1177" s="210">
        <f t="shared" si="94"/>
        <v>0</v>
      </c>
      <c r="N1177" s="91">
        <f t="shared" si="95"/>
        <v>0</v>
      </c>
    </row>
    <row r="1178" s="2" customFormat="1" spans="1:14">
      <c r="A1178" s="211">
        <v>45978</v>
      </c>
      <c r="B1178" s="203">
        <v>593.86</v>
      </c>
      <c r="C1178" s="204">
        <v>45909</v>
      </c>
      <c r="D1178" s="205">
        <v>764</v>
      </c>
      <c r="E1178" s="205">
        <v>0</v>
      </c>
      <c r="F1178" s="205">
        <v>0</v>
      </c>
      <c r="G1178" s="205">
        <v>17</v>
      </c>
      <c r="H1178" s="205">
        <v>2</v>
      </c>
      <c r="I1178" s="205">
        <v>1</v>
      </c>
      <c r="J1178" s="207">
        <f t="shared" si="92"/>
        <v>0.0166416171121131</v>
      </c>
      <c r="K1178" s="208">
        <f t="shared" si="93"/>
        <v>0.777303664921466</v>
      </c>
      <c r="L1178" s="209">
        <f t="shared" si="91"/>
        <v>15.5181576616475</v>
      </c>
      <c r="M1178" s="210">
        <f t="shared" si="94"/>
        <v>0</v>
      </c>
      <c r="N1178" s="91">
        <f t="shared" si="95"/>
        <v>0</v>
      </c>
    </row>
    <row r="1179" s="2" customFormat="1" spans="1:14">
      <c r="A1179" s="211">
        <v>45979</v>
      </c>
      <c r="B1179" s="203">
        <v>591.14</v>
      </c>
      <c r="C1179" s="204">
        <v>34217</v>
      </c>
      <c r="D1179" s="205">
        <v>702</v>
      </c>
      <c r="E1179" s="205">
        <v>0</v>
      </c>
      <c r="F1179" s="205">
        <v>0</v>
      </c>
      <c r="G1179" s="205">
        <v>16</v>
      </c>
      <c r="H1179" s="205">
        <v>2</v>
      </c>
      <c r="I1179" s="205">
        <v>1</v>
      </c>
      <c r="J1179" s="207">
        <f t="shared" si="92"/>
        <v>0.0205161177192624</v>
      </c>
      <c r="K1179" s="208">
        <f t="shared" si="93"/>
        <v>0.842079772079772</v>
      </c>
      <c r="L1179" s="209">
        <f t="shared" si="91"/>
        <v>12.9355899714653</v>
      </c>
      <c r="M1179" s="210">
        <f t="shared" si="94"/>
        <v>0</v>
      </c>
      <c r="N1179" s="91">
        <f t="shared" si="95"/>
        <v>0</v>
      </c>
    </row>
    <row r="1180" s="2" customFormat="1" spans="1:14">
      <c r="A1180" s="211">
        <v>45980</v>
      </c>
      <c r="B1180" s="203">
        <v>592.95</v>
      </c>
      <c r="C1180" s="204">
        <v>35477</v>
      </c>
      <c r="D1180" s="205">
        <v>724</v>
      </c>
      <c r="E1180" s="205">
        <v>0</v>
      </c>
      <c r="F1180" s="205">
        <v>0</v>
      </c>
      <c r="G1180" s="205">
        <v>20</v>
      </c>
      <c r="H1180" s="205">
        <v>6</v>
      </c>
      <c r="I1180" s="205">
        <v>0</v>
      </c>
      <c r="J1180" s="207">
        <f t="shared" si="92"/>
        <v>0.0204075880147701</v>
      </c>
      <c r="K1180" s="208">
        <f t="shared" si="93"/>
        <v>0.818991712707182</v>
      </c>
      <c r="L1180" s="209">
        <f t="shared" si="91"/>
        <v>17.2762077329982</v>
      </c>
      <c r="M1180" s="205">
        <f t="shared" si="94"/>
        <v>0</v>
      </c>
      <c r="N1180" s="91">
        <f t="shared" si="95"/>
        <v>0</v>
      </c>
    </row>
    <row r="1181" s="2" customFormat="1" spans="1:14">
      <c r="A1181" s="211">
        <v>45981</v>
      </c>
      <c r="B1181" s="203">
        <v>585.86</v>
      </c>
      <c r="C1181" s="204">
        <v>38878</v>
      </c>
      <c r="D1181" s="205">
        <v>887</v>
      </c>
      <c r="E1181" s="205">
        <v>0</v>
      </c>
      <c r="F1181" s="205">
        <v>0</v>
      </c>
      <c r="G1181" s="205">
        <v>16</v>
      </c>
      <c r="H1181" s="205">
        <v>6</v>
      </c>
      <c r="I1181" s="205">
        <v>1</v>
      </c>
      <c r="J1181" s="207">
        <f t="shared" si="92"/>
        <v>0.0228149596172643</v>
      </c>
      <c r="K1181" s="208">
        <f t="shared" si="93"/>
        <v>0.660496054114994</v>
      </c>
      <c r="L1181" s="209">
        <f t="shared" si="91"/>
        <v>16.7136454604392</v>
      </c>
      <c r="M1181" s="205">
        <f t="shared" si="94"/>
        <v>0</v>
      </c>
      <c r="N1181" s="91">
        <f t="shared" si="95"/>
        <v>0</v>
      </c>
    </row>
    <row r="1182" s="2" customFormat="1" spans="1:14">
      <c r="A1182" s="211">
        <v>45982</v>
      </c>
      <c r="B1182" s="203">
        <v>712.22</v>
      </c>
      <c r="C1182" s="204">
        <v>41572</v>
      </c>
      <c r="D1182" s="205">
        <v>895</v>
      </c>
      <c r="E1182" s="205">
        <v>0</v>
      </c>
      <c r="F1182" s="205">
        <v>0</v>
      </c>
      <c r="G1182" s="205">
        <v>29</v>
      </c>
      <c r="H1182" s="205">
        <v>30</v>
      </c>
      <c r="I1182" s="205">
        <v>1</v>
      </c>
      <c r="J1182" s="207">
        <f t="shared" si="92"/>
        <v>0.021528913691908</v>
      </c>
      <c r="K1182" s="208">
        <f t="shared" si="93"/>
        <v>0.795776536312849</v>
      </c>
      <c r="L1182" s="209">
        <f t="shared" si="91"/>
        <v>15.069190801996</v>
      </c>
      <c r="M1182" s="205">
        <f t="shared" si="94"/>
        <v>0</v>
      </c>
      <c r="N1182" s="91">
        <f t="shared" si="95"/>
        <v>0</v>
      </c>
    </row>
    <row r="1183" s="2" customFormat="1" spans="1:14">
      <c r="A1183" s="211">
        <v>45983</v>
      </c>
      <c r="B1183" s="203">
        <v>690.7</v>
      </c>
      <c r="C1183" s="204">
        <v>39723</v>
      </c>
      <c r="D1183" s="205">
        <v>927</v>
      </c>
      <c r="E1183" s="205">
        <v>0</v>
      </c>
      <c r="F1183" s="205">
        <v>0</v>
      </c>
      <c r="G1183" s="205">
        <v>14</v>
      </c>
      <c r="H1183" s="205">
        <v>36</v>
      </c>
      <c r="I1183" s="205">
        <v>4</v>
      </c>
      <c r="J1183" s="207">
        <f t="shared" si="92"/>
        <v>0.0233366059965259</v>
      </c>
      <c r="K1183" s="208">
        <f t="shared" si="93"/>
        <v>0.745091693635383</v>
      </c>
      <c r="L1183" s="209">
        <f t="shared" si="91"/>
        <v>17.1322043683248</v>
      </c>
      <c r="M1183" s="205">
        <f t="shared" si="94"/>
        <v>0</v>
      </c>
      <c r="N1183" s="91">
        <f t="shared" si="95"/>
        <v>0</v>
      </c>
    </row>
    <row r="1184" s="2" customFormat="1" spans="1:14">
      <c r="A1184" s="211">
        <v>45984</v>
      </c>
      <c r="B1184" s="203">
        <v>693.37</v>
      </c>
      <c r="C1184" s="204">
        <v>34952</v>
      </c>
      <c r="D1184" s="205">
        <v>814</v>
      </c>
      <c r="E1184" s="205">
        <v>0</v>
      </c>
      <c r="F1184" s="205">
        <v>0</v>
      </c>
      <c r="G1184" s="205">
        <v>31</v>
      </c>
      <c r="H1184" s="205">
        <v>4</v>
      </c>
      <c r="I1184" s="205">
        <v>6</v>
      </c>
      <c r="J1184" s="207">
        <f t="shared" si="92"/>
        <v>0.0232890821698329</v>
      </c>
      <c r="K1184" s="208">
        <f t="shared" si="93"/>
        <v>0.851805896805897</v>
      </c>
      <c r="L1184" s="209">
        <f t="shared" si="91"/>
        <v>17.3879112856531</v>
      </c>
      <c r="M1184" s="205">
        <f t="shared" si="94"/>
        <v>0</v>
      </c>
      <c r="N1184" s="91">
        <f t="shared" si="95"/>
        <v>0</v>
      </c>
    </row>
    <row r="1185" s="2" customFormat="1" spans="1:14">
      <c r="A1185" s="211">
        <v>45985</v>
      </c>
      <c r="B1185" s="203">
        <v>682.03</v>
      </c>
      <c r="C1185" s="204">
        <v>38137</v>
      </c>
      <c r="D1185" s="205">
        <v>768</v>
      </c>
      <c r="E1185" s="205">
        <v>0</v>
      </c>
      <c r="F1185" s="205">
        <v>0</v>
      </c>
      <c r="G1185" s="205">
        <v>19</v>
      </c>
      <c r="H1185" s="205">
        <v>1</v>
      </c>
      <c r="I1185" s="205">
        <v>2</v>
      </c>
      <c r="J1185" s="207">
        <f t="shared" si="92"/>
        <v>0.0201379238010331</v>
      </c>
      <c r="K1185" s="208">
        <f t="shared" si="93"/>
        <v>0.888059895833333</v>
      </c>
      <c r="L1185" s="209">
        <f t="shared" si="91"/>
        <v>19.8377775234607</v>
      </c>
      <c r="M1185" s="210">
        <f t="shared" si="94"/>
        <v>0</v>
      </c>
      <c r="N1185" s="91">
        <f t="shared" si="95"/>
        <v>0</v>
      </c>
    </row>
    <row r="1186" s="2" customFormat="1" spans="1:14">
      <c r="A1186" s="211">
        <v>45986</v>
      </c>
      <c r="B1186" s="203">
        <v>748.82</v>
      </c>
      <c r="C1186" s="204">
        <v>26124</v>
      </c>
      <c r="D1186" s="205">
        <v>600</v>
      </c>
      <c r="E1186" s="205">
        <v>0</v>
      </c>
      <c r="F1186" s="205">
        <v>0</v>
      </c>
      <c r="G1186" s="205">
        <v>15</v>
      </c>
      <c r="H1186" s="205">
        <v>5</v>
      </c>
      <c r="I1186" s="205">
        <v>2</v>
      </c>
      <c r="J1186" s="207">
        <f t="shared" si="92"/>
        <v>0.0229673863114378</v>
      </c>
      <c r="K1186" s="208">
        <f t="shared" si="93"/>
        <v>1.24803333333333</v>
      </c>
      <c r="L1186" s="209">
        <f t="shared" si="91"/>
        <v>17.8836825130451</v>
      </c>
      <c r="M1186" s="210">
        <f t="shared" si="94"/>
        <v>0</v>
      </c>
      <c r="N1186" s="91">
        <f t="shared" si="95"/>
        <v>0</v>
      </c>
    </row>
    <row r="1187" s="2" customFormat="1" spans="1:14">
      <c r="A1187" s="211">
        <v>45987</v>
      </c>
      <c r="B1187" s="203">
        <v>675.14</v>
      </c>
      <c r="C1187" s="204">
        <v>30271</v>
      </c>
      <c r="D1187" s="205">
        <v>676</v>
      </c>
      <c r="E1187" s="205">
        <v>0</v>
      </c>
      <c r="F1187" s="205">
        <v>0</v>
      </c>
      <c r="G1187" s="205">
        <v>12</v>
      </c>
      <c r="H1187" s="205">
        <v>10</v>
      </c>
      <c r="I1187" s="205">
        <v>1</v>
      </c>
      <c r="J1187" s="207">
        <f t="shared" si="92"/>
        <v>0.0223316045059628</v>
      </c>
      <c r="K1187" s="208">
        <f t="shared" si="93"/>
        <v>0.998727810650888</v>
      </c>
      <c r="L1187" s="209">
        <f t="shared" si="91"/>
        <v>28.664063696218</v>
      </c>
      <c r="M1187" s="205">
        <f t="shared" si="94"/>
        <v>0</v>
      </c>
      <c r="N1187" s="91">
        <f t="shared" si="95"/>
        <v>0</v>
      </c>
    </row>
    <row r="1188" s="2" customFormat="1" spans="1:14">
      <c r="A1188" s="211">
        <v>45988</v>
      </c>
      <c r="B1188" s="203">
        <v>698.25</v>
      </c>
      <c r="C1188" s="204">
        <v>31800</v>
      </c>
      <c r="D1188" s="205">
        <v>797</v>
      </c>
      <c r="E1188" s="205">
        <v>0</v>
      </c>
      <c r="F1188" s="205">
        <v>0</v>
      </c>
      <c r="G1188" s="205">
        <v>8</v>
      </c>
      <c r="H1188" s="205">
        <v>20</v>
      </c>
      <c r="I1188" s="205">
        <v>0</v>
      </c>
      <c r="J1188" s="207">
        <f t="shared" si="92"/>
        <v>0.025062893081761</v>
      </c>
      <c r="K1188" s="208">
        <f t="shared" si="93"/>
        <v>0.876097867001255</v>
      </c>
      <c r="L1188" s="209">
        <f t="shared" si="91"/>
        <v>22.3031944765617</v>
      </c>
      <c r="M1188" s="205">
        <f t="shared" si="94"/>
        <v>0</v>
      </c>
      <c r="N1188" s="91">
        <f t="shared" si="95"/>
        <v>0</v>
      </c>
    </row>
    <row r="1189" s="2" customFormat="1" spans="1:14">
      <c r="A1189" s="211">
        <v>45989</v>
      </c>
      <c r="B1189" s="203">
        <v>697.59</v>
      </c>
      <c r="C1189" s="204">
        <v>28544</v>
      </c>
      <c r="D1189" s="205">
        <v>644</v>
      </c>
      <c r="E1189" s="205">
        <v>0</v>
      </c>
      <c r="F1189" s="205">
        <v>0</v>
      </c>
      <c r="G1189" s="205">
        <v>7</v>
      </c>
      <c r="H1189" s="205">
        <v>9</v>
      </c>
      <c r="I1189" s="205">
        <v>0</v>
      </c>
      <c r="J1189" s="207">
        <f t="shared" si="92"/>
        <v>0.0225616591928251</v>
      </c>
      <c r="K1189" s="208">
        <f t="shared" si="93"/>
        <v>1.08321428571429</v>
      </c>
      <c r="L1189" s="209">
        <f t="shared" si="91"/>
        <v>21.9575471698113</v>
      </c>
      <c r="M1189" s="210">
        <f t="shared" si="94"/>
        <v>0</v>
      </c>
      <c r="N1189" s="91">
        <f t="shared" si="95"/>
        <v>0</v>
      </c>
    </row>
    <row r="1190" s="2" customFormat="1" spans="1:14">
      <c r="A1190" s="211">
        <v>45990</v>
      </c>
      <c r="B1190" s="203">
        <v>690.5</v>
      </c>
      <c r="C1190" s="204">
        <v>28230</v>
      </c>
      <c r="D1190" s="205">
        <v>655</v>
      </c>
      <c r="E1190" s="205">
        <v>0</v>
      </c>
      <c r="F1190" s="205">
        <v>0</v>
      </c>
      <c r="G1190" s="205">
        <v>12</v>
      </c>
      <c r="H1190" s="205">
        <v>4</v>
      </c>
      <c r="I1190" s="205">
        <v>1</v>
      </c>
      <c r="J1190" s="207">
        <f t="shared" si="92"/>
        <v>0.0232022670917464</v>
      </c>
      <c r="K1190" s="208">
        <f t="shared" si="93"/>
        <v>1.05419847328244</v>
      </c>
      <c r="L1190" s="209">
        <f t="shared" si="91"/>
        <v>24.4391115470852</v>
      </c>
      <c r="M1190" s="210">
        <f t="shared" si="94"/>
        <v>0</v>
      </c>
      <c r="N1190" s="91">
        <f t="shared" si="95"/>
        <v>0</v>
      </c>
    </row>
    <row r="1191" s="2" customFormat="1" spans="1:14">
      <c r="A1191" s="211">
        <v>45991</v>
      </c>
      <c r="B1191" s="203">
        <v>688.23</v>
      </c>
      <c r="C1191" s="204">
        <v>27308</v>
      </c>
      <c r="D1191" s="205">
        <v>613</v>
      </c>
      <c r="E1191" s="205">
        <v>0</v>
      </c>
      <c r="F1191" s="205">
        <v>0</v>
      </c>
      <c r="G1191" s="205">
        <v>8</v>
      </c>
      <c r="H1191" s="205">
        <v>4</v>
      </c>
      <c r="I1191" s="205">
        <v>2</v>
      </c>
      <c r="J1191" s="207">
        <f t="shared" si="92"/>
        <v>0.0224476343928519</v>
      </c>
      <c r="K1191" s="208">
        <f t="shared" si="93"/>
        <v>1.12272430668842</v>
      </c>
      <c r="L1191" s="209">
        <f t="shared" si="91"/>
        <v>24.4597945448105</v>
      </c>
      <c r="M1191" s="210">
        <f t="shared" si="94"/>
        <v>0</v>
      </c>
      <c r="N1191" s="91">
        <f t="shared" si="95"/>
        <v>0</v>
      </c>
    </row>
    <row r="1192" s="2" customFormat="1" spans="1:14">
      <c r="A1192" s="211">
        <v>45992</v>
      </c>
      <c r="B1192" s="203">
        <v>688.47</v>
      </c>
      <c r="C1192" s="204">
        <v>28078</v>
      </c>
      <c r="D1192" s="205">
        <v>588</v>
      </c>
      <c r="E1192" s="205">
        <v>0</v>
      </c>
      <c r="F1192" s="205">
        <v>0</v>
      </c>
      <c r="G1192" s="205">
        <v>7</v>
      </c>
      <c r="H1192" s="205">
        <v>1</v>
      </c>
      <c r="I1192" s="205">
        <v>2</v>
      </c>
      <c r="J1192" s="207">
        <f t="shared" si="92"/>
        <v>0.0209416625115749</v>
      </c>
      <c r="K1192" s="208">
        <f t="shared" si="93"/>
        <v>1.17086734693878</v>
      </c>
      <c r="L1192" s="209">
        <f t="shared" si="91"/>
        <v>25.2025047605097</v>
      </c>
      <c r="M1192" s="210">
        <f t="shared" si="94"/>
        <v>0</v>
      </c>
      <c r="N1192" s="91">
        <f t="shared" si="95"/>
        <v>0</v>
      </c>
    </row>
    <row r="1193" s="2" customFormat="1" spans="1:14">
      <c r="A1193" s="211">
        <v>45993</v>
      </c>
      <c r="B1193" s="203">
        <v>682.25</v>
      </c>
      <c r="C1193" s="204">
        <v>34291</v>
      </c>
      <c r="D1193" s="205">
        <v>631</v>
      </c>
      <c r="E1193" s="205">
        <v>0</v>
      </c>
      <c r="F1193" s="205">
        <v>0</v>
      </c>
      <c r="G1193" s="205">
        <v>14</v>
      </c>
      <c r="H1193" s="205">
        <v>5</v>
      </c>
      <c r="I1193" s="205">
        <v>1</v>
      </c>
      <c r="J1193" s="207">
        <f t="shared" si="92"/>
        <v>0.0184013297949899</v>
      </c>
      <c r="K1193" s="208">
        <f t="shared" si="93"/>
        <v>1.08122028526149</v>
      </c>
      <c r="L1193" s="209">
        <f t="shared" si="91"/>
        <v>24.5199088254149</v>
      </c>
      <c r="M1193" s="210">
        <f t="shared" si="94"/>
        <v>0</v>
      </c>
      <c r="N1193" s="91">
        <f t="shared" si="95"/>
        <v>0</v>
      </c>
    </row>
    <row r="1194" s="2" customFormat="1" spans="1:14">
      <c r="A1194" s="211">
        <v>45994</v>
      </c>
      <c r="B1194" s="203">
        <v>690.86</v>
      </c>
      <c r="C1194" s="204">
        <v>33292</v>
      </c>
      <c r="D1194" s="205">
        <v>677</v>
      </c>
      <c r="E1194" s="205">
        <v>0</v>
      </c>
      <c r="F1194" s="205">
        <v>0</v>
      </c>
      <c r="G1194" s="205">
        <v>12</v>
      </c>
      <c r="H1194" s="205">
        <v>6</v>
      </c>
      <c r="I1194" s="205">
        <v>1</v>
      </c>
      <c r="J1194" s="207">
        <f t="shared" si="92"/>
        <v>0.0203352156674276</v>
      </c>
      <c r="K1194" s="208">
        <f t="shared" si="93"/>
        <v>1.02047267355982</v>
      </c>
      <c r="L1194" s="209">
        <f t="shared" si="91"/>
        <v>19.8958910501298</v>
      </c>
      <c r="M1194" s="210">
        <f t="shared" si="94"/>
        <v>0</v>
      </c>
      <c r="N1194" s="91">
        <f t="shared" si="95"/>
        <v>0</v>
      </c>
    </row>
    <row r="1195" s="2" customFormat="1" spans="1:14">
      <c r="A1195" s="211">
        <v>45995</v>
      </c>
      <c r="B1195" s="203">
        <v>689.34</v>
      </c>
      <c r="C1195" s="204">
        <v>38754</v>
      </c>
      <c r="D1195" s="205">
        <v>675</v>
      </c>
      <c r="E1195" s="205">
        <v>0</v>
      </c>
      <c r="F1195" s="205">
        <v>0</v>
      </c>
      <c r="G1195" s="205">
        <v>11</v>
      </c>
      <c r="H1195" s="205">
        <v>5</v>
      </c>
      <c r="I1195" s="205">
        <v>1</v>
      </c>
      <c r="J1195" s="207">
        <f t="shared" si="92"/>
        <v>0.0174175568973525</v>
      </c>
      <c r="K1195" s="208">
        <f t="shared" si="93"/>
        <v>1.02124444444444</v>
      </c>
      <c r="L1195" s="209">
        <f t="shared" si="91"/>
        <v>20.7515318995554</v>
      </c>
      <c r="M1195" s="210">
        <f t="shared" si="94"/>
        <v>0</v>
      </c>
      <c r="N1195" s="91">
        <f t="shared" si="95"/>
        <v>0</v>
      </c>
    </row>
    <row r="1196" s="2" customFormat="1" spans="1:14">
      <c r="A1196" s="211">
        <v>45996</v>
      </c>
      <c r="B1196" s="203">
        <v>692.7</v>
      </c>
      <c r="C1196" s="204">
        <v>55945</v>
      </c>
      <c r="D1196" s="205">
        <v>1092</v>
      </c>
      <c r="E1196" s="205">
        <v>0</v>
      </c>
      <c r="F1196" s="205">
        <v>0</v>
      </c>
      <c r="G1196" s="205">
        <v>18</v>
      </c>
      <c r="H1196" s="205">
        <v>6</v>
      </c>
      <c r="I1196" s="205">
        <v>1</v>
      </c>
      <c r="J1196" s="207">
        <f t="shared" si="92"/>
        <v>0.0195191706139959</v>
      </c>
      <c r="K1196" s="208">
        <f t="shared" si="93"/>
        <v>0.634340659340659</v>
      </c>
      <c r="L1196" s="209">
        <f t="shared" si="91"/>
        <v>17.7875832172163</v>
      </c>
      <c r="M1196" s="210">
        <f t="shared" si="94"/>
        <v>0</v>
      </c>
      <c r="N1196" s="91">
        <f t="shared" si="95"/>
        <v>0</v>
      </c>
    </row>
    <row r="1197" s="2" customFormat="1" spans="1:14">
      <c r="A1197" s="211">
        <v>45997</v>
      </c>
      <c r="B1197" s="203">
        <v>1299.31</v>
      </c>
      <c r="C1197" s="204">
        <v>64786</v>
      </c>
      <c r="D1197" s="205">
        <v>1370</v>
      </c>
      <c r="E1197" s="205">
        <v>0</v>
      </c>
      <c r="F1197" s="205">
        <v>0</v>
      </c>
      <c r="G1197" s="205">
        <v>21</v>
      </c>
      <c r="H1197" s="205">
        <v>11</v>
      </c>
      <c r="I1197" s="205">
        <v>2</v>
      </c>
      <c r="J1197" s="207">
        <f t="shared" si="92"/>
        <v>0.0211465440064211</v>
      </c>
      <c r="K1197" s="208">
        <f t="shared" si="93"/>
        <v>0.948401459854015</v>
      </c>
      <c r="L1197" s="209">
        <f t="shared" si="91"/>
        <v>12.381803557065</v>
      </c>
      <c r="M1197" s="210">
        <f t="shared" si="94"/>
        <v>0</v>
      </c>
      <c r="N1197" s="91">
        <f t="shared" si="95"/>
        <v>0</v>
      </c>
    </row>
    <row r="1198" s="2" customFormat="1" spans="1:14">
      <c r="A1198" s="211">
        <v>45998</v>
      </c>
      <c r="B1198" s="203">
        <v>1290.84</v>
      </c>
      <c r="C1198" s="204">
        <v>63747</v>
      </c>
      <c r="D1198" s="205">
        <v>1377</v>
      </c>
      <c r="E1198" s="205">
        <v>0</v>
      </c>
      <c r="F1198" s="205">
        <v>0</v>
      </c>
      <c r="G1198" s="205">
        <v>17</v>
      </c>
      <c r="H1198" s="205">
        <v>11</v>
      </c>
      <c r="I1198" s="205">
        <v>0</v>
      </c>
      <c r="J1198" s="207">
        <f t="shared" si="92"/>
        <v>0.0216010165184244</v>
      </c>
      <c r="K1198" s="208">
        <f t="shared" si="93"/>
        <v>0.937429193899782</v>
      </c>
      <c r="L1198" s="209">
        <f t="shared" si="91"/>
        <v>20.055413206557</v>
      </c>
      <c r="M1198" s="210">
        <f t="shared" si="94"/>
        <v>0</v>
      </c>
      <c r="N1198" s="91">
        <f t="shared" si="95"/>
        <v>0</v>
      </c>
    </row>
    <row r="1199" s="2" customFormat="1" spans="1:14">
      <c r="A1199" s="211">
        <v>45999</v>
      </c>
      <c r="B1199" s="203">
        <v>1315.57</v>
      </c>
      <c r="C1199" s="204">
        <v>62515</v>
      </c>
      <c r="D1199" s="205">
        <v>1557</v>
      </c>
      <c r="E1199" s="205">
        <v>0</v>
      </c>
      <c r="F1199" s="205">
        <v>0</v>
      </c>
      <c r="G1199" s="205">
        <v>22</v>
      </c>
      <c r="H1199" s="205">
        <v>15</v>
      </c>
      <c r="I1199" s="205">
        <v>3</v>
      </c>
      <c r="J1199" s="207">
        <f t="shared" si="92"/>
        <v>0.0249060225545869</v>
      </c>
      <c r="K1199" s="208">
        <f t="shared" si="93"/>
        <v>0.844938985228002</v>
      </c>
      <c r="L1199" s="209">
        <f t="shared" si="91"/>
        <v>20.2494235022825</v>
      </c>
      <c r="M1199" s="210">
        <f t="shared" si="94"/>
        <v>0</v>
      </c>
      <c r="N1199" s="91">
        <f t="shared" si="95"/>
        <v>0</v>
      </c>
    </row>
    <row r="1200" s="2" customFormat="1" spans="1:14">
      <c r="A1200" s="211">
        <v>46000</v>
      </c>
      <c r="B1200" s="203">
        <v>1608.45</v>
      </c>
      <c r="C1200" s="204">
        <v>84367</v>
      </c>
      <c r="D1200" s="205">
        <v>2005</v>
      </c>
      <c r="E1200" s="205">
        <v>0</v>
      </c>
      <c r="F1200" s="205">
        <v>0</v>
      </c>
      <c r="G1200" s="205">
        <v>29</v>
      </c>
      <c r="H1200" s="205">
        <v>12</v>
      </c>
      <c r="I1200" s="205">
        <v>4</v>
      </c>
      <c r="J1200" s="207">
        <f t="shared" si="92"/>
        <v>0.0237652162575415</v>
      </c>
      <c r="K1200" s="208">
        <f t="shared" si="93"/>
        <v>0.802219451371571</v>
      </c>
      <c r="L1200" s="209">
        <f t="shared" si="91"/>
        <v>21.0440694233384</v>
      </c>
      <c r="M1200" s="210">
        <f t="shared" si="94"/>
        <v>0</v>
      </c>
      <c r="N1200" s="91">
        <f t="shared" si="95"/>
        <v>0</v>
      </c>
    </row>
    <row r="1201" s="2" customFormat="1" spans="1:14">
      <c r="A1201" s="211">
        <v>46001</v>
      </c>
      <c r="B1201" s="203">
        <v>1601.54</v>
      </c>
      <c r="C1201" s="204">
        <v>125745</v>
      </c>
      <c r="D1201" s="205">
        <v>2914</v>
      </c>
      <c r="E1201" s="205">
        <v>2</v>
      </c>
      <c r="F1201" s="206">
        <v>16798</v>
      </c>
      <c r="G1201" s="205">
        <v>42</v>
      </c>
      <c r="H1201" s="205">
        <v>9</v>
      </c>
      <c r="I1201" s="205">
        <v>4</v>
      </c>
      <c r="J1201" s="207">
        <f t="shared" si="92"/>
        <v>0.0231738836534256</v>
      </c>
      <c r="K1201" s="208">
        <f t="shared" si="93"/>
        <v>0.549601921757035</v>
      </c>
      <c r="L1201" s="209">
        <f t="shared" si="91"/>
        <v>19.0649187478516</v>
      </c>
      <c r="M1201" s="210">
        <f t="shared" si="94"/>
        <v>10.4886546698802</v>
      </c>
      <c r="N1201" s="91">
        <f t="shared" si="95"/>
        <v>0.000686341798215511</v>
      </c>
    </row>
    <row r="1202" s="2" customFormat="1" spans="1:14">
      <c r="A1202" s="211">
        <v>46002</v>
      </c>
      <c r="B1202" s="203">
        <v>1601.23</v>
      </c>
      <c r="C1202" s="204">
        <v>98456</v>
      </c>
      <c r="D1202" s="205">
        <v>2603</v>
      </c>
      <c r="E1202" s="205">
        <v>3</v>
      </c>
      <c r="F1202" s="206">
        <v>16772</v>
      </c>
      <c r="G1202" s="205">
        <v>26</v>
      </c>
      <c r="H1202" s="205">
        <v>9</v>
      </c>
      <c r="I1202" s="205">
        <v>3</v>
      </c>
      <c r="J1202" s="207">
        <f t="shared" si="92"/>
        <v>0.0264382058990818</v>
      </c>
      <c r="K1202" s="208">
        <f t="shared" si="93"/>
        <v>0.615147906262005</v>
      </c>
      <c r="L1202" s="209">
        <f t="shared" si="91"/>
        <v>12.7364109904966</v>
      </c>
      <c r="M1202" s="210">
        <f t="shared" si="94"/>
        <v>10.4744477682781</v>
      </c>
      <c r="N1202" s="91">
        <f t="shared" si="95"/>
        <v>0.00115251632731464</v>
      </c>
    </row>
    <row r="1203" s="2" customFormat="1" spans="1:14">
      <c r="A1203" s="211">
        <v>46003</v>
      </c>
      <c r="B1203" s="203">
        <v>1605.18</v>
      </c>
      <c r="C1203" s="204">
        <v>132222</v>
      </c>
      <c r="D1203" s="205">
        <v>4105</v>
      </c>
      <c r="E1203" s="205">
        <v>1</v>
      </c>
      <c r="F1203" s="206">
        <v>5274</v>
      </c>
      <c r="G1203" s="205">
        <v>25</v>
      </c>
      <c r="H1203" s="205">
        <v>9</v>
      </c>
      <c r="I1203" s="205">
        <v>0</v>
      </c>
      <c r="J1203" s="207">
        <f t="shared" si="92"/>
        <v>0.0310462706660011</v>
      </c>
      <c r="K1203" s="208">
        <f t="shared" si="93"/>
        <v>0.391030450669915</v>
      </c>
      <c r="L1203" s="209">
        <f t="shared" si="91"/>
        <v>16.263407004144</v>
      </c>
      <c r="M1203" s="210">
        <f t="shared" si="94"/>
        <v>3.28561282846784</v>
      </c>
      <c r="N1203" s="91">
        <f t="shared" si="95"/>
        <v>0.000243605359317905</v>
      </c>
    </row>
    <row r="1204" s="2" customFormat="1" spans="1:14">
      <c r="A1204" s="211">
        <v>46004</v>
      </c>
      <c r="B1204" s="203">
        <v>1612.4</v>
      </c>
      <c r="C1204" s="204">
        <v>132843</v>
      </c>
      <c r="D1204" s="205">
        <v>3838</v>
      </c>
      <c r="E1204" s="205">
        <v>0</v>
      </c>
      <c r="F1204" s="205">
        <v>0</v>
      </c>
      <c r="G1204" s="205">
        <v>30</v>
      </c>
      <c r="H1204" s="205">
        <v>35</v>
      </c>
      <c r="I1204" s="205">
        <v>2</v>
      </c>
      <c r="J1204" s="207">
        <f t="shared" si="92"/>
        <v>0.0288912475629126</v>
      </c>
      <c r="K1204" s="208">
        <f t="shared" si="93"/>
        <v>0.420114643043252</v>
      </c>
      <c r="L1204" s="209">
        <f t="shared" si="91"/>
        <v>12.1400372101466</v>
      </c>
      <c r="M1204" s="210">
        <f t="shared" si="94"/>
        <v>0</v>
      </c>
      <c r="N1204" s="91">
        <f t="shared" si="95"/>
        <v>0</v>
      </c>
    </row>
    <row r="1205" s="2" customFormat="1" spans="1:14">
      <c r="A1205" s="211">
        <v>46005</v>
      </c>
      <c r="B1205" s="203">
        <v>1602.74</v>
      </c>
      <c r="C1205" s="204">
        <v>100411</v>
      </c>
      <c r="D1205" s="205">
        <v>2751</v>
      </c>
      <c r="E1205" s="205">
        <v>0</v>
      </c>
      <c r="F1205" s="205">
        <v>0</v>
      </c>
      <c r="G1205" s="205">
        <v>31</v>
      </c>
      <c r="H1205" s="205">
        <v>34</v>
      </c>
      <c r="I1205" s="205">
        <v>2</v>
      </c>
      <c r="J1205" s="207">
        <f t="shared" si="92"/>
        <v>0.0273973966995648</v>
      </c>
      <c r="K1205" s="208">
        <f t="shared" si="93"/>
        <v>0.582602689930934</v>
      </c>
      <c r="L1205" s="209">
        <f t="shared" si="91"/>
        <v>12.1376361569672</v>
      </c>
      <c r="M1205" s="210">
        <f t="shared" si="94"/>
        <v>0</v>
      </c>
      <c r="N1205" s="91">
        <f t="shared" si="95"/>
        <v>0</v>
      </c>
    </row>
    <row r="1206" s="2" customFormat="1" spans="1:14">
      <c r="A1206" s="211">
        <v>46006</v>
      </c>
      <c r="B1206" s="203">
        <v>1745.31</v>
      </c>
      <c r="C1206" s="204">
        <v>85775</v>
      </c>
      <c r="D1206" s="205">
        <v>1684</v>
      </c>
      <c r="E1206" s="205">
        <v>1</v>
      </c>
      <c r="F1206" s="206">
        <v>9592</v>
      </c>
      <c r="G1206" s="205">
        <v>24</v>
      </c>
      <c r="H1206" s="205">
        <v>5</v>
      </c>
      <c r="I1206" s="205">
        <v>1</v>
      </c>
      <c r="J1206" s="207">
        <f t="shared" si="92"/>
        <v>0.0196327601282425</v>
      </c>
      <c r="K1206" s="208">
        <f t="shared" si="93"/>
        <v>1.03640736342043</v>
      </c>
      <c r="L1206" s="209">
        <f t="shared" si="91"/>
        <v>15.9617970142713</v>
      </c>
      <c r="M1206" s="210">
        <f t="shared" si="94"/>
        <v>5.49587179354957</v>
      </c>
      <c r="N1206" s="91">
        <f t="shared" si="95"/>
        <v>0.000593824228028504</v>
      </c>
    </row>
    <row r="1207" s="2" customFormat="1" spans="1:14">
      <c r="A1207" s="211">
        <v>46007</v>
      </c>
      <c r="B1207" s="203">
        <v>1497.26</v>
      </c>
      <c r="C1207" s="204">
        <v>101009</v>
      </c>
      <c r="D1207" s="205">
        <v>1562</v>
      </c>
      <c r="E1207" s="205">
        <v>0</v>
      </c>
      <c r="F1207" s="205">
        <v>0</v>
      </c>
      <c r="G1207" s="205">
        <v>32</v>
      </c>
      <c r="H1207" s="205">
        <v>5</v>
      </c>
      <c r="I1207" s="205">
        <v>2</v>
      </c>
      <c r="J1207" s="207">
        <f t="shared" si="92"/>
        <v>0.0154639685572573</v>
      </c>
      <c r="K1207" s="208">
        <f t="shared" si="93"/>
        <v>0.958553137003841</v>
      </c>
      <c r="L1207" s="209">
        <f t="shared" si="91"/>
        <v>20.3475371611775</v>
      </c>
      <c r="M1207" s="205">
        <f t="shared" si="94"/>
        <v>0</v>
      </c>
      <c r="N1207" s="91">
        <f t="shared" si="95"/>
        <v>0</v>
      </c>
    </row>
    <row r="1208" s="2" customFormat="1" spans="1:14">
      <c r="A1208" s="211">
        <v>46008</v>
      </c>
      <c r="B1208" s="203">
        <v>1494.77</v>
      </c>
      <c r="C1208" s="204">
        <v>75028</v>
      </c>
      <c r="D1208" s="205">
        <v>1607</v>
      </c>
      <c r="E1208" s="205">
        <v>0</v>
      </c>
      <c r="F1208" s="205">
        <v>0</v>
      </c>
      <c r="G1208" s="205">
        <v>23</v>
      </c>
      <c r="H1208" s="205">
        <v>12</v>
      </c>
      <c r="I1208" s="205">
        <v>4</v>
      </c>
      <c r="J1208" s="207">
        <f t="shared" si="92"/>
        <v>0.0214186703630645</v>
      </c>
      <c r="K1208" s="208">
        <f t="shared" si="93"/>
        <v>0.930161792159303</v>
      </c>
      <c r="L1208" s="209">
        <f t="shared" si="91"/>
        <v>14.8230355710877</v>
      </c>
      <c r="M1208" s="210">
        <f t="shared" si="94"/>
        <v>0</v>
      </c>
      <c r="N1208" s="91">
        <f t="shared" si="95"/>
        <v>0</v>
      </c>
    </row>
    <row r="1209" s="2" customFormat="1" spans="1:14">
      <c r="A1209" s="211">
        <v>46009</v>
      </c>
      <c r="B1209" s="203">
        <v>1498.9</v>
      </c>
      <c r="C1209" s="204">
        <v>125578</v>
      </c>
      <c r="D1209" s="205">
        <v>2410</v>
      </c>
      <c r="E1209" s="205">
        <v>1</v>
      </c>
      <c r="F1209" s="206">
        <v>9552</v>
      </c>
      <c r="G1209" s="205">
        <v>17</v>
      </c>
      <c r="H1209" s="205">
        <v>26</v>
      </c>
      <c r="I1209" s="205">
        <v>2</v>
      </c>
      <c r="J1209" s="207">
        <f t="shared" si="92"/>
        <v>0.0191912596155378</v>
      </c>
      <c r="K1209" s="208">
        <f t="shared" si="93"/>
        <v>0.62195020746888</v>
      </c>
      <c r="L1209" s="209">
        <f t="shared" si="91"/>
        <v>19.9228288105774</v>
      </c>
      <c r="M1209" s="210">
        <f t="shared" si="94"/>
        <v>6.37267329374875</v>
      </c>
      <c r="N1209" s="91">
        <f t="shared" si="95"/>
        <v>0.0004149377593361</v>
      </c>
    </row>
    <row r="1210" s="2" customFormat="1" spans="1:14">
      <c r="A1210" s="211">
        <v>46010</v>
      </c>
      <c r="B1210" s="203">
        <v>1827.75</v>
      </c>
      <c r="C1210" s="204">
        <v>155449</v>
      </c>
      <c r="D1210" s="205">
        <v>3529</v>
      </c>
      <c r="E1210" s="205">
        <v>0</v>
      </c>
      <c r="F1210" s="205">
        <v>0</v>
      </c>
      <c r="G1210" s="205">
        <v>45</v>
      </c>
      <c r="H1210" s="205">
        <v>54</v>
      </c>
      <c r="I1210" s="205">
        <v>8</v>
      </c>
      <c r="J1210" s="207">
        <f t="shared" si="92"/>
        <v>0.0227019794273363</v>
      </c>
      <c r="K1210" s="208">
        <f t="shared" si="93"/>
        <v>0.517922924341173</v>
      </c>
      <c r="L1210" s="209">
        <f t="shared" si="91"/>
        <v>11.9360078994728</v>
      </c>
      <c r="M1210" s="210">
        <f t="shared" si="94"/>
        <v>0</v>
      </c>
      <c r="N1210" s="91">
        <f t="shared" si="95"/>
        <v>0</v>
      </c>
    </row>
    <row r="1211" s="2" customFormat="1" spans="1:14">
      <c r="A1211" s="211">
        <v>46011</v>
      </c>
      <c r="B1211" s="203">
        <v>1587.91</v>
      </c>
      <c r="C1211" s="204">
        <v>139243</v>
      </c>
      <c r="D1211" s="205">
        <v>2682</v>
      </c>
      <c r="E1211" s="205">
        <v>0</v>
      </c>
      <c r="F1211" s="205">
        <v>0</v>
      </c>
      <c r="G1211" s="205">
        <v>24</v>
      </c>
      <c r="H1211" s="205">
        <v>20</v>
      </c>
      <c r="I1211" s="205">
        <v>2</v>
      </c>
      <c r="J1211" s="207">
        <f t="shared" si="92"/>
        <v>0.0192612914114174</v>
      </c>
      <c r="K1211" s="208">
        <f t="shared" si="93"/>
        <v>0.592061894108874</v>
      </c>
      <c r="L1211" s="209">
        <f t="shared" si="91"/>
        <v>11.7578755733392</v>
      </c>
      <c r="M1211" s="210">
        <f t="shared" si="94"/>
        <v>0</v>
      </c>
      <c r="N1211" s="91">
        <f t="shared" si="95"/>
        <v>0</v>
      </c>
    </row>
    <row r="1212" s="2" customFormat="1" spans="1:14">
      <c r="A1212" s="211">
        <v>46012</v>
      </c>
      <c r="B1212" s="203">
        <v>1410.85</v>
      </c>
      <c r="C1212" s="204">
        <v>107951</v>
      </c>
      <c r="D1212" s="205">
        <v>1717</v>
      </c>
      <c r="E1212" s="205">
        <v>1</v>
      </c>
      <c r="F1212" s="206">
        <v>7176</v>
      </c>
      <c r="G1212" s="205">
        <v>27</v>
      </c>
      <c r="H1212" s="205">
        <v>6</v>
      </c>
      <c r="I1212" s="205">
        <v>3</v>
      </c>
      <c r="J1212" s="207">
        <f t="shared" si="92"/>
        <v>0.0159053644709174</v>
      </c>
      <c r="K1212" s="208">
        <f t="shared" si="93"/>
        <v>0.821694816540477</v>
      </c>
      <c r="L1212" s="209">
        <f t="shared" si="91"/>
        <v>11.4038766760268</v>
      </c>
      <c r="M1212" s="210">
        <f t="shared" si="94"/>
        <v>5.08629549562321</v>
      </c>
      <c r="N1212" s="91">
        <f t="shared" si="95"/>
        <v>0.0005824111822947</v>
      </c>
    </row>
    <row r="1213" s="2" customFormat="1" spans="1:14">
      <c r="A1213" s="211">
        <v>46013</v>
      </c>
      <c r="B1213" s="203">
        <v>1340.73</v>
      </c>
      <c r="C1213" s="204">
        <v>113479</v>
      </c>
      <c r="D1213" s="205">
        <v>1663</v>
      </c>
      <c r="E1213" s="205">
        <v>1</v>
      </c>
      <c r="F1213" s="206">
        <v>11082</v>
      </c>
      <c r="G1213" s="205">
        <v>25</v>
      </c>
      <c r="H1213" s="205">
        <v>4</v>
      </c>
      <c r="I1213" s="205">
        <v>4</v>
      </c>
      <c r="J1213" s="207">
        <f t="shared" si="92"/>
        <v>0.0146546938200019</v>
      </c>
      <c r="K1213" s="208">
        <f t="shared" si="93"/>
        <v>0.806211665664462</v>
      </c>
      <c r="L1213" s="209">
        <f t="shared" si="91"/>
        <v>13.0693555409399</v>
      </c>
      <c r="M1213" s="210">
        <f t="shared" si="94"/>
        <v>8.26564632700096</v>
      </c>
      <c r="N1213" s="91">
        <f t="shared" si="95"/>
        <v>0.000601322910402886</v>
      </c>
    </row>
    <row r="1214" s="2" customFormat="1" spans="1:14">
      <c r="A1214" s="211">
        <v>46014</v>
      </c>
      <c r="B1214" s="203">
        <v>1689.44</v>
      </c>
      <c r="C1214" s="204">
        <v>91938</v>
      </c>
      <c r="D1214" s="205">
        <v>1640</v>
      </c>
      <c r="E1214" s="205">
        <v>0</v>
      </c>
      <c r="F1214" s="205">
        <v>0</v>
      </c>
      <c r="G1214" s="205">
        <v>14</v>
      </c>
      <c r="H1214" s="205">
        <v>8</v>
      </c>
      <c r="I1214" s="205">
        <v>1</v>
      </c>
      <c r="J1214" s="207">
        <f t="shared" si="92"/>
        <v>0.0178381082903696</v>
      </c>
      <c r="K1214" s="208">
        <f t="shared" si="93"/>
        <v>1.03014634146341</v>
      </c>
      <c r="L1214" s="209">
        <f t="shared" si="91"/>
        <v>11.8147851144265</v>
      </c>
      <c r="M1214" s="210">
        <f t="shared" si="94"/>
        <v>0</v>
      </c>
      <c r="N1214" s="91">
        <f t="shared" si="95"/>
        <v>0</v>
      </c>
    </row>
    <row r="1215" s="2" customFormat="1" spans="1:14">
      <c r="A1215" s="211">
        <v>46015</v>
      </c>
      <c r="B1215" s="203">
        <v>1688.53</v>
      </c>
      <c r="C1215" s="204">
        <v>104625</v>
      </c>
      <c r="D1215" s="205">
        <v>2084</v>
      </c>
      <c r="E1215" s="205">
        <v>0</v>
      </c>
      <c r="F1215" s="205">
        <v>0</v>
      </c>
      <c r="G1215" s="205">
        <v>33</v>
      </c>
      <c r="H1215" s="205">
        <v>12</v>
      </c>
      <c r="I1215" s="205">
        <v>2</v>
      </c>
      <c r="J1215" s="207">
        <f t="shared" si="92"/>
        <v>0.0199187574671446</v>
      </c>
      <c r="K1215" s="208">
        <f t="shared" si="93"/>
        <v>0.810235124760077</v>
      </c>
      <c r="L1215" s="209">
        <f t="shared" si="91"/>
        <v>18.3758619939524</v>
      </c>
      <c r="M1215" s="210">
        <f t="shared" si="94"/>
        <v>0</v>
      </c>
      <c r="N1215" s="91">
        <f t="shared" si="95"/>
        <v>0</v>
      </c>
    </row>
    <row r="1216" s="2" customFormat="1" spans="1:14">
      <c r="A1216" s="211">
        <v>46016</v>
      </c>
      <c r="B1216" s="203">
        <v>1692.28</v>
      </c>
      <c r="C1216" s="204">
        <v>126499</v>
      </c>
      <c r="D1216" s="205">
        <v>2218</v>
      </c>
      <c r="E1216" s="205">
        <v>0</v>
      </c>
      <c r="F1216" s="205">
        <v>0</v>
      </c>
      <c r="G1216" s="205">
        <v>12</v>
      </c>
      <c r="H1216" s="205">
        <v>11</v>
      </c>
      <c r="I1216" s="205">
        <v>0</v>
      </c>
      <c r="J1216" s="207">
        <f t="shared" si="92"/>
        <v>0.017533735444549</v>
      </c>
      <c r="K1216" s="208">
        <f t="shared" si="93"/>
        <v>0.76297565374211</v>
      </c>
      <c r="L1216" s="209">
        <f t="shared" ref="L1216:L1279" si="96">B1215/C1215*1000</f>
        <v>16.1388769414576</v>
      </c>
      <c r="M1216" s="210">
        <f t="shared" si="94"/>
        <v>0</v>
      </c>
      <c r="N1216" s="91">
        <f t="shared" si="95"/>
        <v>0</v>
      </c>
    </row>
    <row r="1217" s="2" customFormat="1" spans="1:14">
      <c r="A1217" s="211">
        <v>46017</v>
      </c>
      <c r="B1217" s="203">
        <v>1687.87</v>
      </c>
      <c r="C1217" s="204">
        <v>176455</v>
      </c>
      <c r="D1217" s="205">
        <v>2855</v>
      </c>
      <c r="E1217" s="205">
        <v>0</v>
      </c>
      <c r="F1217" s="205">
        <v>0</v>
      </c>
      <c r="G1217" s="205">
        <v>33</v>
      </c>
      <c r="H1217" s="205">
        <v>14</v>
      </c>
      <c r="I1217" s="205">
        <v>0</v>
      </c>
      <c r="J1217" s="207">
        <f t="shared" si="92"/>
        <v>0.0161797625456915</v>
      </c>
      <c r="K1217" s="208">
        <f t="shared" si="93"/>
        <v>0.591197898423818</v>
      </c>
      <c r="L1217" s="209">
        <f t="shared" si="96"/>
        <v>13.377813263346</v>
      </c>
      <c r="M1217" s="210">
        <f t="shared" si="94"/>
        <v>0</v>
      </c>
      <c r="N1217" s="91">
        <f t="shared" si="95"/>
        <v>0</v>
      </c>
    </row>
    <row r="1218" s="2" customFormat="1" spans="1:14">
      <c r="A1218" s="211">
        <v>46018</v>
      </c>
      <c r="B1218" s="203">
        <v>1691.71</v>
      </c>
      <c r="C1218" s="204">
        <v>116936</v>
      </c>
      <c r="D1218" s="205">
        <v>2390</v>
      </c>
      <c r="E1218" s="205">
        <v>0</v>
      </c>
      <c r="F1218" s="205">
        <v>0</v>
      </c>
      <c r="G1218" s="205">
        <v>20</v>
      </c>
      <c r="H1218" s="205">
        <v>16</v>
      </c>
      <c r="I1218" s="205">
        <v>1</v>
      </c>
      <c r="J1218" s="207">
        <f t="shared" ref="J1218:J1281" si="97">D1218/C1218</f>
        <v>0.0204385304782103</v>
      </c>
      <c r="K1218" s="208">
        <f t="shared" ref="K1218:K1281" si="98">B1218/D1218</f>
        <v>0.707828451882845</v>
      </c>
      <c r="L1218" s="209">
        <f t="shared" si="96"/>
        <v>9.56544161400924</v>
      </c>
      <c r="M1218" s="210">
        <f t="shared" ref="M1218:M1281" si="99">F1218/B1218</f>
        <v>0</v>
      </c>
      <c r="N1218" s="91">
        <f t="shared" si="95"/>
        <v>0</v>
      </c>
    </row>
    <row r="1219" s="2" customFormat="1" spans="1:14">
      <c r="A1219" s="211">
        <v>46019</v>
      </c>
      <c r="B1219" s="203">
        <v>1702.9</v>
      </c>
      <c r="C1219" s="204">
        <v>105586</v>
      </c>
      <c r="D1219" s="205">
        <v>2221</v>
      </c>
      <c r="E1219" s="205">
        <v>0</v>
      </c>
      <c r="F1219" s="205">
        <v>0</v>
      </c>
      <c r="G1219" s="205">
        <v>35</v>
      </c>
      <c r="H1219" s="205">
        <v>23</v>
      </c>
      <c r="I1219" s="205">
        <v>2</v>
      </c>
      <c r="J1219" s="207">
        <f t="shared" si="97"/>
        <v>0.0210349856988616</v>
      </c>
      <c r="K1219" s="208">
        <f t="shared" si="98"/>
        <v>0.766726699684827</v>
      </c>
      <c r="L1219" s="209">
        <f t="shared" si="96"/>
        <v>14.4669733871519</v>
      </c>
      <c r="M1219" s="210">
        <f t="shared" si="99"/>
        <v>0</v>
      </c>
      <c r="N1219" s="91">
        <f t="shared" si="95"/>
        <v>0</v>
      </c>
    </row>
    <row r="1220" s="2" customFormat="1" spans="1:14">
      <c r="A1220" s="211">
        <v>46020</v>
      </c>
      <c r="B1220" s="203">
        <v>2149.24</v>
      </c>
      <c r="C1220" s="204">
        <v>186340</v>
      </c>
      <c r="D1220" s="205">
        <v>4347</v>
      </c>
      <c r="E1220" s="205">
        <v>0</v>
      </c>
      <c r="F1220" s="205">
        <v>0</v>
      </c>
      <c r="G1220" s="205">
        <v>27</v>
      </c>
      <c r="H1220" s="205">
        <v>14</v>
      </c>
      <c r="I1220" s="205">
        <v>1</v>
      </c>
      <c r="J1220" s="207">
        <f t="shared" si="97"/>
        <v>0.023328324567994</v>
      </c>
      <c r="K1220" s="208">
        <f t="shared" si="98"/>
        <v>0.494419139636531</v>
      </c>
      <c r="L1220" s="209">
        <f t="shared" si="96"/>
        <v>16.1280851628057</v>
      </c>
      <c r="M1220" s="210">
        <f t="shared" si="99"/>
        <v>0</v>
      </c>
      <c r="N1220" s="91">
        <f t="shared" si="95"/>
        <v>0</v>
      </c>
    </row>
    <row r="1221" s="2" customFormat="1" spans="1:14">
      <c r="A1221" s="211">
        <v>46021</v>
      </c>
      <c r="B1221" s="203">
        <v>2285.3</v>
      </c>
      <c r="C1221" s="204">
        <v>215913</v>
      </c>
      <c r="D1221" s="205">
        <v>4295</v>
      </c>
      <c r="E1221" s="205">
        <v>0</v>
      </c>
      <c r="F1221" s="205">
        <v>0</v>
      </c>
      <c r="G1221" s="205">
        <v>33</v>
      </c>
      <c r="H1221" s="205">
        <v>22</v>
      </c>
      <c r="I1221" s="205">
        <v>5</v>
      </c>
      <c r="J1221" s="207">
        <f t="shared" si="97"/>
        <v>0.0198922714241384</v>
      </c>
      <c r="K1221" s="208">
        <f t="shared" si="98"/>
        <v>0.532083818393481</v>
      </c>
      <c r="L1221" s="209">
        <f t="shared" si="96"/>
        <v>11.5339701620693</v>
      </c>
      <c r="M1221" s="210">
        <f t="shared" si="99"/>
        <v>0</v>
      </c>
      <c r="N1221" s="91">
        <f t="shared" si="95"/>
        <v>0</v>
      </c>
    </row>
    <row r="1222" s="2" customFormat="1" spans="1:14">
      <c r="A1222" s="211">
        <v>46022</v>
      </c>
      <c r="B1222" s="203">
        <v>2466.71</v>
      </c>
      <c r="C1222" s="204">
        <v>199650</v>
      </c>
      <c r="D1222" s="205">
        <v>3585</v>
      </c>
      <c r="E1222" s="205">
        <v>0</v>
      </c>
      <c r="F1222" s="205">
        <v>0</v>
      </c>
      <c r="G1222" s="205">
        <v>56</v>
      </c>
      <c r="H1222" s="205">
        <v>10</v>
      </c>
      <c r="I1222" s="205">
        <v>4</v>
      </c>
      <c r="J1222" s="207">
        <f t="shared" si="97"/>
        <v>0.0179564237415477</v>
      </c>
      <c r="K1222" s="208">
        <f t="shared" si="98"/>
        <v>0.688064156206416</v>
      </c>
      <c r="L1222" s="209">
        <f t="shared" si="96"/>
        <v>10.5843557358751</v>
      </c>
      <c r="M1222" s="210">
        <f t="shared" si="99"/>
        <v>0</v>
      </c>
      <c r="N1222" s="91">
        <f t="shared" ref="N1222:N1285" si="100">E1222/D1222</f>
        <v>0</v>
      </c>
    </row>
    <row r="1223" s="2" customFormat="1" spans="1:14">
      <c r="A1223" s="211">
        <v>46023</v>
      </c>
      <c r="B1223" s="203">
        <v>2411.54</v>
      </c>
      <c r="C1223" s="204">
        <v>151329</v>
      </c>
      <c r="D1223" s="205">
        <v>2987</v>
      </c>
      <c r="E1223" s="205">
        <v>0</v>
      </c>
      <c r="F1223" s="205">
        <v>0</v>
      </c>
      <c r="G1223" s="205">
        <v>28</v>
      </c>
      <c r="H1223" s="205">
        <v>9</v>
      </c>
      <c r="I1223" s="205">
        <v>4</v>
      </c>
      <c r="J1223" s="207">
        <f t="shared" si="97"/>
        <v>0.0197384506604815</v>
      </c>
      <c r="K1223" s="208">
        <f t="shared" si="98"/>
        <v>0.807345162370271</v>
      </c>
      <c r="L1223" s="209">
        <f t="shared" si="96"/>
        <v>12.3551715502129</v>
      </c>
      <c r="M1223" s="210">
        <f t="shared" si="99"/>
        <v>0</v>
      </c>
      <c r="N1223" s="91">
        <f t="shared" si="100"/>
        <v>0</v>
      </c>
    </row>
    <row r="1224" s="2" customFormat="1" spans="1:14">
      <c r="A1224" s="211">
        <v>46024</v>
      </c>
      <c r="B1224" s="203">
        <v>2372.65</v>
      </c>
      <c r="C1224" s="204">
        <v>173648</v>
      </c>
      <c r="D1224" s="205">
        <v>3115</v>
      </c>
      <c r="E1224" s="205">
        <v>0</v>
      </c>
      <c r="F1224" s="205">
        <v>0</v>
      </c>
      <c r="G1224" s="205">
        <v>31</v>
      </c>
      <c r="H1224" s="205">
        <v>19</v>
      </c>
      <c r="I1224" s="205">
        <v>4</v>
      </c>
      <c r="J1224" s="207">
        <f t="shared" si="97"/>
        <v>0.0179385884087349</v>
      </c>
      <c r="K1224" s="208">
        <f t="shared" si="98"/>
        <v>0.761685393258427</v>
      </c>
      <c r="L1224" s="209">
        <f t="shared" si="96"/>
        <v>15.935742653424</v>
      </c>
      <c r="M1224" s="210">
        <f t="shared" si="99"/>
        <v>0</v>
      </c>
      <c r="N1224" s="91">
        <f t="shared" si="100"/>
        <v>0</v>
      </c>
    </row>
    <row r="1225" s="2" customFormat="1" spans="1:14">
      <c r="A1225" s="211">
        <v>46025</v>
      </c>
      <c r="B1225" s="203">
        <v>2348.33</v>
      </c>
      <c r="C1225" s="204">
        <v>125399</v>
      </c>
      <c r="D1225" s="205">
        <v>2783</v>
      </c>
      <c r="E1225" s="205">
        <v>0</v>
      </c>
      <c r="F1225" s="205">
        <v>0</v>
      </c>
      <c r="G1225" s="205">
        <v>47</v>
      </c>
      <c r="H1225" s="205">
        <v>11</v>
      </c>
      <c r="I1225" s="205">
        <v>6</v>
      </c>
      <c r="J1225" s="207">
        <f t="shared" si="97"/>
        <v>0.0221931594350832</v>
      </c>
      <c r="K1225" s="208">
        <f t="shared" si="98"/>
        <v>0.843812432626662</v>
      </c>
      <c r="L1225" s="209">
        <f t="shared" si="96"/>
        <v>13.6635607666083</v>
      </c>
      <c r="M1225" s="210">
        <f t="shared" si="99"/>
        <v>0</v>
      </c>
      <c r="N1225" s="91">
        <f t="shared" si="100"/>
        <v>0</v>
      </c>
    </row>
    <row r="1226" s="2" customFormat="1" spans="1:14">
      <c r="A1226" s="211">
        <v>46026</v>
      </c>
      <c r="B1226" s="203">
        <v>2324.38</v>
      </c>
      <c r="C1226" s="204">
        <v>137178</v>
      </c>
      <c r="D1226" s="205">
        <v>2666</v>
      </c>
      <c r="E1226" s="205">
        <v>0</v>
      </c>
      <c r="F1226" s="205">
        <v>0</v>
      </c>
      <c r="G1226" s="205">
        <v>29</v>
      </c>
      <c r="H1226" s="205">
        <v>3</v>
      </c>
      <c r="I1226" s="205">
        <v>0</v>
      </c>
      <c r="J1226" s="207">
        <f t="shared" si="97"/>
        <v>0.0194346032162592</v>
      </c>
      <c r="K1226" s="208">
        <f t="shared" si="98"/>
        <v>0.871860465116279</v>
      </c>
      <c r="L1226" s="209">
        <f t="shared" si="96"/>
        <v>18.7268638505889</v>
      </c>
      <c r="M1226" s="210">
        <f t="shared" si="99"/>
        <v>0</v>
      </c>
      <c r="N1226" s="91">
        <f t="shared" si="100"/>
        <v>0</v>
      </c>
    </row>
    <row r="1227" s="2" customFormat="1" spans="1:14">
      <c r="A1227" s="211">
        <v>46027</v>
      </c>
      <c r="B1227" s="203">
        <v>2316.17</v>
      </c>
      <c r="C1227" s="204">
        <v>106786</v>
      </c>
      <c r="D1227" s="205">
        <v>2547</v>
      </c>
      <c r="E1227" s="205">
        <v>1</v>
      </c>
      <c r="F1227" s="206">
        <v>10152</v>
      </c>
      <c r="G1227" s="205">
        <v>33</v>
      </c>
      <c r="H1227" s="205">
        <v>11</v>
      </c>
      <c r="I1227" s="205">
        <v>1</v>
      </c>
      <c r="J1227" s="207">
        <f t="shared" si="97"/>
        <v>0.0238514412001573</v>
      </c>
      <c r="K1227" s="208">
        <f t="shared" si="98"/>
        <v>0.909371809972517</v>
      </c>
      <c r="L1227" s="209">
        <f t="shared" si="96"/>
        <v>16.9442621994781</v>
      </c>
      <c r="M1227" s="210">
        <f t="shared" si="99"/>
        <v>4.38309795913081</v>
      </c>
      <c r="N1227" s="91">
        <f t="shared" si="100"/>
        <v>0.000392618767177071</v>
      </c>
    </row>
    <row r="1228" s="2" customFormat="1" spans="1:14">
      <c r="A1228" s="211">
        <v>46028</v>
      </c>
      <c r="B1228" s="203">
        <v>1823.86</v>
      </c>
      <c r="C1228" s="204">
        <v>162180</v>
      </c>
      <c r="D1228" s="205">
        <v>3625</v>
      </c>
      <c r="E1228" s="205">
        <v>0</v>
      </c>
      <c r="F1228" s="205">
        <v>0</v>
      </c>
      <c r="G1228" s="205">
        <v>41</v>
      </c>
      <c r="H1228" s="205">
        <v>8</v>
      </c>
      <c r="I1228" s="205">
        <v>1</v>
      </c>
      <c r="J1228" s="207">
        <f t="shared" si="97"/>
        <v>0.022351707978789</v>
      </c>
      <c r="K1228" s="208">
        <f t="shared" si="98"/>
        <v>0.503133793103448</v>
      </c>
      <c r="L1228" s="209">
        <f t="shared" si="96"/>
        <v>21.6898282546401</v>
      </c>
      <c r="M1228" s="210">
        <f t="shared" si="99"/>
        <v>0</v>
      </c>
      <c r="N1228" s="91">
        <f t="shared" si="100"/>
        <v>0</v>
      </c>
    </row>
    <row r="1229" s="2" customFormat="1" spans="1:14">
      <c r="A1229" s="211">
        <v>46029</v>
      </c>
      <c r="B1229" s="203">
        <v>1823.59</v>
      </c>
      <c r="C1229" s="204">
        <v>132521</v>
      </c>
      <c r="D1229" s="205">
        <v>3556</v>
      </c>
      <c r="E1229" s="205">
        <v>1</v>
      </c>
      <c r="F1229" s="206">
        <v>22570</v>
      </c>
      <c r="G1229" s="205">
        <v>38</v>
      </c>
      <c r="H1229" s="205">
        <v>12</v>
      </c>
      <c r="I1229" s="205">
        <v>5</v>
      </c>
      <c r="J1229" s="207">
        <f t="shared" si="97"/>
        <v>0.0268334829951479</v>
      </c>
      <c r="K1229" s="208">
        <f t="shared" si="98"/>
        <v>0.512820584926884</v>
      </c>
      <c r="L1229" s="209">
        <f t="shared" si="96"/>
        <v>11.2458996177087</v>
      </c>
      <c r="M1229" s="210">
        <f t="shared" si="99"/>
        <v>12.376685548835</v>
      </c>
      <c r="N1229" s="91">
        <f t="shared" si="100"/>
        <v>0.000281214848143982</v>
      </c>
    </row>
    <row r="1230" s="2" customFormat="1" spans="1:14">
      <c r="A1230" s="211">
        <v>46030</v>
      </c>
      <c r="B1230" s="203">
        <v>1821.15</v>
      </c>
      <c r="C1230" s="204">
        <v>233536</v>
      </c>
      <c r="D1230" s="205">
        <v>4102</v>
      </c>
      <c r="E1230" s="205">
        <v>0</v>
      </c>
      <c r="F1230" s="205">
        <v>0</v>
      </c>
      <c r="G1230" s="205">
        <v>39</v>
      </c>
      <c r="H1230" s="205">
        <v>23</v>
      </c>
      <c r="I1230" s="205">
        <v>0</v>
      </c>
      <c r="J1230" s="207">
        <f t="shared" si="97"/>
        <v>0.0175647437654152</v>
      </c>
      <c r="K1230" s="208">
        <f t="shared" si="98"/>
        <v>0.443966357874208</v>
      </c>
      <c r="L1230" s="209">
        <f t="shared" si="96"/>
        <v>13.7607624451974</v>
      </c>
      <c r="M1230" s="210">
        <f t="shared" si="99"/>
        <v>0</v>
      </c>
      <c r="N1230" s="91">
        <f t="shared" si="100"/>
        <v>0</v>
      </c>
    </row>
    <row r="1231" s="2" customFormat="1" spans="1:14">
      <c r="A1231" s="211">
        <v>46031</v>
      </c>
      <c r="B1231" s="203">
        <v>1736.43</v>
      </c>
      <c r="C1231" s="204">
        <v>333798</v>
      </c>
      <c r="D1231" s="205">
        <v>6761</v>
      </c>
      <c r="E1231" s="205">
        <v>0</v>
      </c>
      <c r="F1231" s="205">
        <v>0</v>
      </c>
      <c r="G1231" s="205">
        <v>36</v>
      </c>
      <c r="H1231" s="205">
        <v>39</v>
      </c>
      <c r="I1231" s="205">
        <v>4</v>
      </c>
      <c r="J1231" s="207">
        <f t="shared" si="97"/>
        <v>0.0202547648577882</v>
      </c>
      <c r="K1231" s="208">
        <f t="shared" si="98"/>
        <v>0.256830350539861</v>
      </c>
      <c r="L1231" s="209">
        <f t="shared" si="96"/>
        <v>7.79815531652508</v>
      </c>
      <c r="M1231" s="210">
        <f t="shared" si="99"/>
        <v>0</v>
      </c>
      <c r="N1231" s="91">
        <f t="shared" si="100"/>
        <v>0</v>
      </c>
    </row>
    <row r="1232" s="2" customFormat="1" spans="1:14">
      <c r="A1232" s="211">
        <v>46032</v>
      </c>
      <c r="B1232" s="203">
        <v>995.33</v>
      </c>
      <c r="C1232" s="204">
        <v>181065</v>
      </c>
      <c r="D1232" s="205">
        <v>4433</v>
      </c>
      <c r="E1232" s="205">
        <v>0</v>
      </c>
      <c r="F1232" s="205">
        <v>0</v>
      </c>
      <c r="G1232" s="205">
        <v>25</v>
      </c>
      <c r="H1232" s="205">
        <v>31</v>
      </c>
      <c r="I1232" s="205">
        <v>2</v>
      </c>
      <c r="J1232" s="207">
        <f t="shared" si="97"/>
        <v>0.0244829204981636</v>
      </c>
      <c r="K1232" s="208">
        <f t="shared" si="98"/>
        <v>0.224527408075795</v>
      </c>
      <c r="L1232" s="209">
        <f t="shared" si="96"/>
        <v>5.20203835852821</v>
      </c>
      <c r="M1232" s="210">
        <f t="shared" si="99"/>
        <v>0</v>
      </c>
      <c r="N1232" s="91">
        <f t="shared" si="100"/>
        <v>0</v>
      </c>
    </row>
    <row r="1233" s="2" customFormat="1" spans="1:14">
      <c r="A1233" s="211">
        <v>46033</v>
      </c>
      <c r="B1233" s="203">
        <v>992.24</v>
      </c>
      <c r="C1233" s="204">
        <v>93204</v>
      </c>
      <c r="D1233" s="205">
        <v>2198</v>
      </c>
      <c r="E1233" s="205">
        <v>0</v>
      </c>
      <c r="F1233" s="205">
        <v>0</v>
      </c>
      <c r="G1233" s="205">
        <v>24</v>
      </c>
      <c r="H1233" s="205">
        <v>11</v>
      </c>
      <c r="I1233" s="205">
        <v>2</v>
      </c>
      <c r="J1233" s="207">
        <f t="shared" si="97"/>
        <v>0.0235826788549848</v>
      </c>
      <c r="K1233" s="208">
        <f t="shared" si="98"/>
        <v>0.451428571428571</v>
      </c>
      <c r="L1233" s="209">
        <f t="shared" si="96"/>
        <v>5.49708668157844</v>
      </c>
      <c r="M1233" s="210">
        <f t="shared" si="99"/>
        <v>0</v>
      </c>
      <c r="N1233" s="91">
        <f t="shared" si="100"/>
        <v>0</v>
      </c>
    </row>
    <row r="1234" s="2" customFormat="1" spans="1:14">
      <c r="A1234" s="211">
        <v>46034</v>
      </c>
      <c r="B1234" s="203">
        <v>984.29</v>
      </c>
      <c r="C1234" s="204">
        <v>65498</v>
      </c>
      <c r="D1234" s="205">
        <v>1620</v>
      </c>
      <c r="E1234" s="205">
        <v>0</v>
      </c>
      <c r="F1234" s="205">
        <v>0</v>
      </c>
      <c r="G1234" s="205">
        <v>29</v>
      </c>
      <c r="H1234" s="205">
        <v>6</v>
      </c>
      <c r="I1234" s="205">
        <v>2</v>
      </c>
      <c r="J1234" s="207">
        <f t="shared" si="97"/>
        <v>0.0247335796512871</v>
      </c>
      <c r="K1234" s="208">
        <f t="shared" si="98"/>
        <v>0.607586419753086</v>
      </c>
      <c r="L1234" s="209">
        <f t="shared" si="96"/>
        <v>10.6458950259646</v>
      </c>
      <c r="M1234" s="210">
        <f t="shared" si="99"/>
        <v>0</v>
      </c>
      <c r="N1234" s="91">
        <f t="shared" si="100"/>
        <v>0</v>
      </c>
    </row>
    <row r="1235" s="2" customFormat="1" spans="1:14">
      <c r="A1235" s="211">
        <v>46035</v>
      </c>
      <c r="B1235" s="203">
        <v>1003.82</v>
      </c>
      <c r="C1235" s="204">
        <v>50914</v>
      </c>
      <c r="D1235" s="205">
        <v>2190</v>
      </c>
      <c r="E1235" s="205">
        <v>1</v>
      </c>
      <c r="F1235" s="206">
        <v>5616</v>
      </c>
      <c r="G1235" s="205">
        <v>19</v>
      </c>
      <c r="H1235" s="205">
        <v>4</v>
      </c>
      <c r="I1235" s="205">
        <v>3</v>
      </c>
      <c r="J1235" s="207">
        <f t="shared" si="97"/>
        <v>0.0430137093923086</v>
      </c>
      <c r="K1235" s="208">
        <f t="shared" si="98"/>
        <v>0.458365296803653</v>
      </c>
      <c r="L1235" s="209">
        <f t="shared" si="96"/>
        <v>15.0277871080033</v>
      </c>
      <c r="M1235" s="210">
        <f t="shared" si="99"/>
        <v>5.5946285190572</v>
      </c>
      <c r="N1235" s="91">
        <f t="shared" si="100"/>
        <v>0.00045662100456621</v>
      </c>
    </row>
    <row r="1236" s="2" customFormat="1" spans="1:14">
      <c r="A1236" s="211">
        <v>46036</v>
      </c>
      <c r="B1236" s="203">
        <v>996.47</v>
      </c>
      <c r="C1236" s="204">
        <v>82682</v>
      </c>
      <c r="D1236" s="205">
        <v>2976</v>
      </c>
      <c r="E1236" s="205">
        <v>1</v>
      </c>
      <c r="F1236" s="206">
        <v>9006</v>
      </c>
      <c r="G1236" s="205">
        <v>24</v>
      </c>
      <c r="H1236" s="205">
        <v>10</v>
      </c>
      <c r="I1236" s="205">
        <v>3</v>
      </c>
      <c r="J1236" s="207">
        <f t="shared" si="97"/>
        <v>0.0359933238189691</v>
      </c>
      <c r="K1236" s="208">
        <f t="shared" si="98"/>
        <v>0.334835349462366</v>
      </c>
      <c r="L1236" s="209">
        <f t="shared" si="96"/>
        <v>19.7159916722316</v>
      </c>
      <c r="M1236" s="210">
        <f t="shared" si="99"/>
        <v>9.03790380041547</v>
      </c>
      <c r="N1236" s="91">
        <f t="shared" si="100"/>
        <v>0.000336021505376344</v>
      </c>
    </row>
    <row r="1237" s="2" customFormat="1" spans="1:14">
      <c r="A1237" s="211">
        <v>46037</v>
      </c>
      <c r="B1237" s="203">
        <v>1286.48</v>
      </c>
      <c r="C1237" s="204">
        <v>53898</v>
      </c>
      <c r="D1237" s="205">
        <v>1714</v>
      </c>
      <c r="E1237" s="205">
        <v>0</v>
      </c>
      <c r="F1237" s="205">
        <v>0</v>
      </c>
      <c r="G1237" s="205">
        <v>28</v>
      </c>
      <c r="H1237" s="205">
        <v>23</v>
      </c>
      <c r="I1237" s="205">
        <v>0</v>
      </c>
      <c r="J1237" s="207">
        <f t="shared" si="97"/>
        <v>0.0318008089353965</v>
      </c>
      <c r="K1237" s="208">
        <f t="shared" si="98"/>
        <v>0.750571761960327</v>
      </c>
      <c r="L1237" s="209">
        <f t="shared" si="96"/>
        <v>12.0518371592366</v>
      </c>
      <c r="M1237" s="210">
        <f t="shared" si="99"/>
        <v>0</v>
      </c>
      <c r="N1237" s="91">
        <f t="shared" si="100"/>
        <v>0</v>
      </c>
    </row>
    <row r="1238" s="2" customFormat="1" spans="1:14">
      <c r="A1238" s="211">
        <v>46038</v>
      </c>
      <c r="B1238" s="203">
        <v>1286.36</v>
      </c>
      <c r="C1238" s="204">
        <v>56037</v>
      </c>
      <c r="D1238" s="205">
        <v>1920</v>
      </c>
      <c r="E1238" s="205">
        <v>1</v>
      </c>
      <c r="F1238" s="206">
        <v>19466</v>
      </c>
      <c r="G1238" s="205">
        <v>38</v>
      </c>
      <c r="H1238" s="205">
        <v>21</v>
      </c>
      <c r="I1238" s="205">
        <v>5</v>
      </c>
      <c r="J1238" s="207">
        <f t="shared" si="97"/>
        <v>0.0342630761818084</v>
      </c>
      <c r="K1238" s="208">
        <f t="shared" si="98"/>
        <v>0.669979166666667</v>
      </c>
      <c r="L1238" s="209">
        <f t="shared" si="96"/>
        <v>23.8687891944042</v>
      </c>
      <c r="M1238" s="210">
        <f t="shared" si="99"/>
        <v>15.1326222830312</v>
      </c>
      <c r="N1238" s="91">
        <f t="shared" si="100"/>
        <v>0.000520833333333333</v>
      </c>
    </row>
    <row r="1239" s="2" customFormat="1" spans="1:14">
      <c r="A1239" s="211">
        <v>46039</v>
      </c>
      <c r="B1239" s="203">
        <v>1301.89</v>
      </c>
      <c r="C1239" s="204">
        <v>53087</v>
      </c>
      <c r="D1239" s="205">
        <v>1920</v>
      </c>
      <c r="E1239" s="205">
        <v>0</v>
      </c>
      <c r="F1239" s="205">
        <v>0</v>
      </c>
      <c r="G1239" s="205">
        <v>25</v>
      </c>
      <c r="H1239" s="205">
        <v>16</v>
      </c>
      <c r="I1239" s="205">
        <v>2</v>
      </c>
      <c r="J1239" s="207">
        <f t="shared" si="97"/>
        <v>0.0361670465462354</v>
      </c>
      <c r="K1239" s="208">
        <f t="shared" si="98"/>
        <v>0.678067708333333</v>
      </c>
      <c r="L1239" s="209">
        <f t="shared" si="96"/>
        <v>22.9555472277245</v>
      </c>
      <c r="M1239" s="210">
        <f t="shared" si="99"/>
        <v>0</v>
      </c>
      <c r="N1239" s="91">
        <f t="shared" si="100"/>
        <v>0</v>
      </c>
    </row>
    <row r="1240" s="2" customFormat="1" spans="1:14">
      <c r="A1240" s="211">
        <v>46040</v>
      </c>
      <c r="B1240" s="203">
        <v>1223.82</v>
      </c>
      <c r="C1240" s="204">
        <v>56000</v>
      </c>
      <c r="D1240" s="205">
        <v>2263</v>
      </c>
      <c r="E1240" s="205">
        <v>0</v>
      </c>
      <c r="F1240" s="205">
        <v>0</v>
      </c>
      <c r="G1240" s="205">
        <v>30</v>
      </c>
      <c r="H1240" s="205">
        <v>14</v>
      </c>
      <c r="I1240" s="205">
        <v>2</v>
      </c>
      <c r="J1240" s="207">
        <f t="shared" si="97"/>
        <v>0.0404107142857143</v>
      </c>
      <c r="K1240" s="208">
        <f t="shared" si="98"/>
        <v>0.540795404330535</v>
      </c>
      <c r="L1240" s="209">
        <f t="shared" si="96"/>
        <v>24.5237063687909</v>
      </c>
      <c r="M1240" s="210">
        <f t="shared" si="99"/>
        <v>0</v>
      </c>
      <c r="N1240" s="91">
        <f t="shared" si="100"/>
        <v>0</v>
      </c>
    </row>
    <row r="1241" s="2" customFormat="1" spans="1:14">
      <c r="A1241" s="211">
        <v>46041</v>
      </c>
      <c r="B1241" s="203">
        <v>1223.8</v>
      </c>
      <c r="C1241" s="204">
        <v>63669</v>
      </c>
      <c r="D1241" s="205">
        <v>2229</v>
      </c>
      <c r="E1241" s="205">
        <v>3</v>
      </c>
      <c r="F1241" s="206">
        <v>43671</v>
      </c>
      <c r="G1241" s="205">
        <v>24</v>
      </c>
      <c r="H1241" s="205">
        <v>10</v>
      </c>
      <c r="I1241" s="205">
        <v>2</v>
      </c>
      <c r="J1241" s="207">
        <f t="shared" si="97"/>
        <v>0.0350091881449371</v>
      </c>
      <c r="K1241" s="208">
        <f t="shared" si="98"/>
        <v>0.549035441902198</v>
      </c>
      <c r="L1241" s="209">
        <f t="shared" si="96"/>
        <v>21.8539285714286</v>
      </c>
      <c r="M1241" s="210">
        <f t="shared" si="99"/>
        <v>35.6847524105246</v>
      </c>
      <c r="N1241" s="91">
        <f t="shared" si="100"/>
        <v>0.00134589502018843</v>
      </c>
    </row>
    <row r="1242" s="2" customFormat="1" spans="1:14">
      <c r="A1242" s="211">
        <v>46042</v>
      </c>
      <c r="B1242" s="203">
        <v>1638.8</v>
      </c>
      <c r="C1242" s="204">
        <v>85319</v>
      </c>
      <c r="D1242" s="205">
        <v>2825</v>
      </c>
      <c r="E1242" s="205">
        <v>0</v>
      </c>
      <c r="F1242" s="205">
        <v>0</v>
      </c>
      <c r="G1242" s="205">
        <v>12</v>
      </c>
      <c r="H1242" s="205">
        <v>5</v>
      </c>
      <c r="I1242" s="205">
        <v>4</v>
      </c>
      <c r="J1242" s="207">
        <f t="shared" si="97"/>
        <v>0.0331110303683822</v>
      </c>
      <c r="K1242" s="208">
        <f t="shared" si="98"/>
        <v>0.580106194690265</v>
      </c>
      <c r="L1242" s="209">
        <f t="shared" si="96"/>
        <v>19.2212850837927</v>
      </c>
      <c r="M1242" s="210">
        <f t="shared" si="99"/>
        <v>0</v>
      </c>
      <c r="N1242" s="91">
        <f t="shared" si="100"/>
        <v>0</v>
      </c>
    </row>
    <row r="1243" s="2" customFormat="1" spans="1:14">
      <c r="A1243" s="211">
        <v>46043</v>
      </c>
      <c r="B1243" s="203">
        <v>1673.25</v>
      </c>
      <c r="C1243" s="204">
        <v>81696</v>
      </c>
      <c r="D1243" s="205">
        <v>2488</v>
      </c>
      <c r="E1243" s="205">
        <v>0</v>
      </c>
      <c r="F1243" s="205">
        <v>0</v>
      </c>
      <c r="G1243" s="205">
        <v>27</v>
      </c>
      <c r="H1243" s="205">
        <v>3</v>
      </c>
      <c r="I1243" s="205">
        <v>4</v>
      </c>
      <c r="J1243" s="207">
        <f t="shared" si="97"/>
        <v>0.0304543674108891</v>
      </c>
      <c r="K1243" s="208">
        <f t="shared" si="98"/>
        <v>0.672528135048232</v>
      </c>
      <c r="L1243" s="209">
        <f t="shared" si="96"/>
        <v>19.207913829276</v>
      </c>
      <c r="M1243" s="210">
        <f t="shared" si="99"/>
        <v>0</v>
      </c>
      <c r="N1243" s="91">
        <f t="shared" si="100"/>
        <v>0</v>
      </c>
    </row>
    <row r="1244" s="2" customFormat="1" spans="1:14">
      <c r="A1244" s="211">
        <v>46044</v>
      </c>
      <c r="B1244" s="203">
        <v>1643.28</v>
      </c>
      <c r="C1244" s="204">
        <v>88720</v>
      </c>
      <c r="D1244" s="205">
        <v>2301</v>
      </c>
      <c r="E1244" s="205">
        <v>1</v>
      </c>
      <c r="F1244" s="206">
        <v>12794</v>
      </c>
      <c r="G1244" s="205">
        <v>27</v>
      </c>
      <c r="H1244" s="205">
        <v>13</v>
      </c>
      <c r="I1244" s="205">
        <v>6</v>
      </c>
      <c r="J1244" s="207">
        <f t="shared" si="97"/>
        <v>0.0259355275022543</v>
      </c>
      <c r="K1244" s="208">
        <f t="shared" si="98"/>
        <v>0.714159061277705</v>
      </c>
      <c r="L1244" s="209">
        <f t="shared" si="96"/>
        <v>20.4814189189189</v>
      </c>
      <c r="M1244" s="210">
        <f t="shared" si="99"/>
        <v>7.78564821576359</v>
      </c>
      <c r="N1244" s="91">
        <f t="shared" si="100"/>
        <v>0.000434593654932638</v>
      </c>
    </row>
    <row r="1245" s="2" customFormat="1" spans="1:14">
      <c r="A1245" s="211">
        <v>46045</v>
      </c>
      <c r="B1245" s="203">
        <v>1675.48</v>
      </c>
      <c r="C1245" s="204">
        <v>183278</v>
      </c>
      <c r="D1245" s="205">
        <v>3933</v>
      </c>
      <c r="E1245" s="205">
        <v>3</v>
      </c>
      <c r="F1245" s="206">
        <v>20044</v>
      </c>
      <c r="G1245" s="205">
        <v>24</v>
      </c>
      <c r="H1245" s="205">
        <v>9</v>
      </c>
      <c r="I1245" s="205">
        <v>3</v>
      </c>
      <c r="J1245" s="207">
        <f t="shared" si="97"/>
        <v>0.0214592040506771</v>
      </c>
      <c r="K1245" s="208">
        <f t="shared" si="98"/>
        <v>0.426005593694381</v>
      </c>
      <c r="L1245" s="209">
        <f t="shared" si="96"/>
        <v>18.522091974752</v>
      </c>
      <c r="M1245" s="210">
        <f t="shared" si="99"/>
        <v>11.9631389213837</v>
      </c>
      <c r="N1245" s="91">
        <f t="shared" si="100"/>
        <v>0.0007627765064836</v>
      </c>
    </row>
    <row r="1246" s="2" customFormat="1" spans="1:14">
      <c r="A1246" s="211">
        <v>46046</v>
      </c>
      <c r="B1246" s="203">
        <v>1669.93</v>
      </c>
      <c r="C1246" s="204">
        <v>197232</v>
      </c>
      <c r="D1246" s="205">
        <v>3479</v>
      </c>
      <c r="E1246" s="205">
        <v>0</v>
      </c>
      <c r="F1246" s="205">
        <v>0</v>
      </c>
      <c r="G1246" s="205">
        <v>36</v>
      </c>
      <c r="H1246" s="205">
        <v>24</v>
      </c>
      <c r="I1246" s="205">
        <v>2</v>
      </c>
      <c r="J1246" s="207">
        <f t="shared" si="97"/>
        <v>0.0176391254968768</v>
      </c>
      <c r="K1246" s="208">
        <f t="shared" si="98"/>
        <v>0.480002874389192</v>
      </c>
      <c r="L1246" s="209">
        <f t="shared" si="96"/>
        <v>9.14174096181757</v>
      </c>
      <c r="M1246" s="210">
        <f t="shared" si="99"/>
        <v>0</v>
      </c>
      <c r="N1246" s="91">
        <f t="shared" si="100"/>
        <v>0</v>
      </c>
    </row>
    <row r="1247" s="2" customFormat="1" spans="1:14">
      <c r="A1247" s="211">
        <v>46047</v>
      </c>
      <c r="B1247" s="203">
        <v>1693.1</v>
      </c>
      <c r="C1247" s="204">
        <v>79964</v>
      </c>
      <c r="D1247" s="205">
        <v>2569</v>
      </c>
      <c r="E1247" s="205">
        <v>1</v>
      </c>
      <c r="F1247" s="205">
        <v>8294</v>
      </c>
      <c r="G1247" s="205">
        <v>39</v>
      </c>
      <c r="H1247" s="205">
        <v>27</v>
      </c>
      <c r="I1247" s="205">
        <v>2</v>
      </c>
      <c r="J1247" s="207">
        <f t="shared" si="97"/>
        <v>0.0321269571307088</v>
      </c>
      <c r="K1247" s="208">
        <f t="shared" si="98"/>
        <v>0.659050214091086</v>
      </c>
      <c r="L1247" s="209">
        <f t="shared" si="96"/>
        <v>8.46683094021254</v>
      </c>
      <c r="M1247" s="210">
        <f t="shared" si="99"/>
        <v>4.89870651467722</v>
      </c>
      <c r="N1247" s="91">
        <f t="shared" si="100"/>
        <v>0.000389256520046711</v>
      </c>
    </row>
    <row r="1248" s="2" customFormat="1" spans="1:14">
      <c r="A1248" s="211">
        <v>46048</v>
      </c>
      <c r="B1248" s="203">
        <v>1526.45</v>
      </c>
      <c r="C1248" s="204">
        <v>93404</v>
      </c>
      <c r="D1248" s="205">
        <v>2387</v>
      </c>
      <c r="E1248" s="205">
        <v>0</v>
      </c>
      <c r="F1248" s="205">
        <v>0</v>
      </c>
      <c r="G1248" s="205">
        <v>34</v>
      </c>
      <c r="H1248" s="205">
        <v>10</v>
      </c>
      <c r="I1248" s="205">
        <v>2</v>
      </c>
      <c r="J1248" s="207">
        <f t="shared" si="97"/>
        <v>0.0255556507215965</v>
      </c>
      <c r="K1248" s="208">
        <f t="shared" si="98"/>
        <v>0.639484708839548</v>
      </c>
      <c r="L1248" s="209">
        <f t="shared" si="96"/>
        <v>21.1732779750888</v>
      </c>
      <c r="M1248" s="210">
        <f t="shared" si="99"/>
        <v>0</v>
      </c>
      <c r="N1248" s="91">
        <f t="shared" si="100"/>
        <v>0</v>
      </c>
    </row>
    <row r="1249" s="2" customFormat="1" spans="1:14">
      <c r="A1249" s="211">
        <v>46049</v>
      </c>
      <c r="B1249" s="203">
        <v>1890.45</v>
      </c>
      <c r="C1249" s="204">
        <v>130222</v>
      </c>
      <c r="D1249" s="205">
        <v>2115</v>
      </c>
      <c r="E1249" s="205">
        <v>0</v>
      </c>
      <c r="F1249" s="205">
        <v>0</v>
      </c>
      <c r="G1249" s="205">
        <v>28</v>
      </c>
      <c r="H1249" s="205">
        <v>7</v>
      </c>
      <c r="I1249" s="205">
        <v>2</v>
      </c>
      <c r="J1249" s="207">
        <f t="shared" si="97"/>
        <v>0.0162414952926541</v>
      </c>
      <c r="K1249" s="208">
        <f t="shared" si="98"/>
        <v>0.893829787234043</v>
      </c>
      <c r="L1249" s="209">
        <f t="shared" si="96"/>
        <v>16.3424478609053</v>
      </c>
      <c r="M1249" s="210">
        <f t="shared" si="99"/>
        <v>0</v>
      </c>
      <c r="N1249" s="91">
        <f t="shared" si="100"/>
        <v>0</v>
      </c>
    </row>
    <row r="1250" s="2" customFormat="1" spans="1:14">
      <c r="A1250" s="211">
        <v>46050</v>
      </c>
      <c r="B1250" s="203">
        <v>2209.59</v>
      </c>
      <c r="C1250" s="204">
        <v>98172</v>
      </c>
      <c r="D1250" s="205">
        <v>1411</v>
      </c>
      <c r="E1250" s="205">
        <v>4</v>
      </c>
      <c r="F1250" s="206">
        <v>28489</v>
      </c>
      <c r="G1250" s="205">
        <v>21</v>
      </c>
      <c r="H1250" s="205">
        <v>19</v>
      </c>
      <c r="I1250" s="205">
        <v>2</v>
      </c>
      <c r="J1250" s="207">
        <f t="shared" si="97"/>
        <v>0.0143727335696533</v>
      </c>
      <c r="K1250" s="208">
        <f t="shared" si="98"/>
        <v>1.56597448618001</v>
      </c>
      <c r="L1250" s="209">
        <f t="shared" si="96"/>
        <v>14.5171322817957</v>
      </c>
      <c r="M1250" s="210">
        <f t="shared" si="99"/>
        <v>12.8933422037573</v>
      </c>
      <c r="N1250" s="91">
        <f t="shared" si="100"/>
        <v>0.00283486888731396</v>
      </c>
    </row>
    <row r="1251" s="2" customFormat="1" spans="1:14">
      <c r="A1251" s="211">
        <v>46051</v>
      </c>
      <c r="B1251" s="203">
        <v>1782.95</v>
      </c>
      <c r="C1251" s="204">
        <v>84129</v>
      </c>
      <c r="D1251" s="205">
        <v>1354</v>
      </c>
      <c r="E1251" s="205">
        <v>1</v>
      </c>
      <c r="F1251" s="206">
        <v>9744</v>
      </c>
      <c r="G1251" s="205">
        <v>19</v>
      </c>
      <c r="H1251" s="205">
        <v>11</v>
      </c>
      <c r="I1251" s="205">
        <v>7</v>
      </c>
      <c r="J1251" s="207">
        <f t="shared" si="97"/>
        <v>0.0160943313245135</v>
      </c>
      <c r="K1251" s="208">
        <f t="shared" si="98"/>
        <v>1.31680206794682</v>
      </c>
      <c r="L1251" s="209">
        <f t="shared" si="96"/>
        <v>22.50733406674</v>
      </c>
      <c r="M1251" s="210">
        <f t="shared" si="99"/>
        <v>5.46509997476093</v>
      </c>
      <c r="N1251" s="91">
        <f t="shared" si="100"/>
        <v>0.000738552437223043</v>
      </c>
    </row>
    <row r="1252" s="2" customFormat="1" spans="1:14">
      <c r="A1252" s="211">
        <v>46052</v>
      </c>
      <c r="B1252" s="203">
        <v>1787.6</v>
      </c>
      <c r="C1252" s="204">
        <v>45903</v>
      </c>
      <c r="D1252" s="205">
        <v>955</v>
      </c>
      <c r="E1252" s="205">
        <v>2</v>
      </c>
      <c r="F1252" s="206">
        <v>26582</v>
      </c>
      <c r="G1252" s="205">
        <v>27</v>
      </c>
      <c r="H1252" s="205">
        <v>5</v>
      </c>
      <c r="I1252" s="205">
        <v>2</v>
      </c>
      <c r="J1252" s="207">
        <f t="shared" si="97"/>
        <v>0.0208047404309087</v>
      </c>
      <c r="K1252" s="208">
        <f t="shared" si="98"/>
        <v>1.87183246073298</v>
      </c>
      <c r="L1252" s="209">
        <f t="shared" si="96"/>
        <v>21.1930487703408</v>
      </c>
      <c r="M1252" s="210">
        <f t="shared" si="99"/>
        <v>14.8702170507944</v>
      </c>
      <c r="N1252" s="91">
        <f t="shared" si="100"/>
        <v>0.00209424083769634</v>
      </c>
    </row>
    <row r="1253" s="2" customFormat="1" spans="1:14">
      <c r="A1253" s="211">
        <v>46053</v>
      </c>
      <c r="B1253" s="203">
        <v>1770.87</v>
      </c>
      <c r="C1253" s="204">
        <v>35722</v>
      </c>
      <c r="D1253" s="205">
        <v>954</v>
      </c>
      <c r="E1253" s="205">
        <v>0</v>
      </c>
      <c r="F1253" s="205">
        <v>0</v>
      </c>
      <c r="G1253" s="205">
        <v>10</v>
      </c>
      <c r="H1253" s="205">
        <v>7</v>
      </c>
      <c r="I1253" s="205">
        <v>1</v>
      </c>
      <c r="J1253" s="207">
        <f t="shared" si="97"/>
        <v>0.0267062314540059</v>
      </c>
      <c r="K1253" s="208">
        <f t="shared" si="98"/>
        <v>1.85625786163522</v>
      </c>
      <c r="L1253" s="209">
        <f t="shared" si="96"/>
        <v>38.9429884756988</v>
      </c>
      <c r="M1253" s="210">
        <f t="shared" si="99"/>
        <v>0</v>
      </c>
      <c r="N1253" s="91">
        <f t="shared" si="100"/>
        <v>0</v>
      </c>
    </row>
    <row r="1254" s="2" customFormat="1" spans="1:14">
      <c r="A1254" s="211">
        <v>46054</v>
      </c>
      <c r="B1254" s="203">
        <v>1776.51</v>
      </c>
      <c r="C1254" s="204">
        <v>40952</v>
      </c>
      <c r="D1254" s="205">
        <v>931</v>
      </c>
      <c r="E1254" s="205">
        <v>0</v>
      </c>
      <c r="F1254" s="205">
        <v>0</v>
      </c>
      <c r="G1254" s="205">
        <v>14</v>
      </c>
      <c r="H1254" s="205">
        <v>7</v>
      </c>
      <c r="I1254" s="205">
        <v>4</v>
      </c>
      <c r="J1254" s="207">
        <f t="shared" si="97"/>
        <v>0.0227339324086736</v>
      </c>
      <c r="K1254" s="208">
        <f t="shared" si="98"/>
        <v>1.90817400644468</v>
      </c>
      <c r="L1254" s="209">
        <f t="shared" si="96"/>
        <v>49.5736520911483</v>
      </c>
      <c r="M1254" s="210">
        <f t="shared" si="99"/>
        <v>0</v>
      </c>
      <c r="N1254" s="91">
        <f t="shared" si="100"/>
        <v>0</v>
      </c>
    </row>
    <row r="1255" s="2" customFormat="1" spans="1:14">
      <c r="A1255" s="211">
        <v>46055</v>
      </c>
      <c r="B1255" s="203">
        <v>1779.22</v>
      </c>
      <c r="C1255" s="204">
        <v>37659</v>
      </c>
      <c r="D1255" s="205">
        <v>933</v>
      </c>
      <c r="E1255" s="205">
        <v>0</v>
      </c>
      <c r="F1255" s="205">
        <v>0</v>
      </c>
      <c r="G1255" s="205">
        <v>21</v>
      </c>
      <c r="H1255" s="205">
        <v>0</v>
      </c>
      <c r="I1255" s="205">
        <v>1</v>
      </c>
      <c r="J1255" s="207">
        <f t="shared" si="97"/>
        <v>0.0247749541942165</v>
      </c>
      <c r="K1255" s="208">
        <f t="shared" si="98"/>
        <v>1.90698821007503</v>
      </c>
      <c r="L1255" s="209">
        <f t="shared" si="96"/>
        <v>43.3802988865013</v>
      </c>
      <c r="M1255" s="210">
        <f t="shared" si="99"/>
        <v>0</v>
      </c>
      <c r="N1255" s="91">
        <f t="shared" si="100"/>
        <v>0</v>
      </c>
    </row>
    <row r="1256" s="2" customFormat="1" spans="1:14">
      <c r="A1256" s="211">
        <v>46056</v>
      </c>
      <c r="B1256" s="203">
        <v>1765.07</v>
      </c>
      <c r="C1256" s="204">
        <v>37875</v>
      </c>
      <c r="D1256" s="205">
        <v>889</v>
      </c>
      <c r="E1256" s="205">
        <v>1</v>
      </c>
      <c r="F1256" s="206">
        <v>19331</v>
      </c>
      <c r="G1256" s="205">
        <v>20</v>
      </c>
      <c r="H1256" s="205">
        <v>11</v>
      </c>
      <c r="I1256" s="205">
        <v>1</v>
      </c>
      <c r="J1256" s="207">
        <f t="shared" si="97"/>
        <v>0.0234719471947195</v>
      </c>
      <c r="K1256" s="208">
        <f t="shared" si="98"/>
        <v>1.98545556805399</v>
      </c>
      <c r="L1256" s="209">
        <f t="shared" si="96"/>
        <v>47.2455455535197</v>
      </c>
      <c r="M1256" s="210">
        <f t="shared" si="99"/>
        <v>10.9519735761188</v>
      </c>
      <c r="N1256" s="91">
        <f t="shared" si="100"/>
        <v>0.00112485939257593</v>
      </c>
    </row>
    <row r="1257" s="2" customFormat="1" spans="1:14">
      <c r="A1257" s="211">
        <v>46057</v>
      </c>
      <c r="B1257" s="203">
        <v>1535.7</v>
      </c>
      <c r="C1257" s="204">
        <v>36876</v>
      </c>
      <c r="D1257" s="205">
        <v>892</v>
      </c>
      <c r="E1257" s="205">
        <v>1</v>
      </c>
      <c r="F1257" s="206">
        <v>11622</v>
      </c>
      <c r="G1257" s="205">
        <v>37</v>
      </c>
      <c r="H1257" s="205">
        <v>32</v>
      </c>
      <c r="I1257" s="205">
        <v>1</v>
      </c>
      <c r="J1257" s="207">
        <f t="shared" si="97"/>
        <v>0.0241891745308602</v>
      </c>
      <c r="K1257" s="208">
        <f t="shared" si="98"/>
        <v>1.72163677130045</v>
      </c>
      <c r="L1257" s="209">
        <f t="shared" si="96"/>
        <v>46.6025082508251</v>
      </c>
      <c r="M1257" s="210">
        <f t="shared" si="99"/>
        <v>7.56788435241258</v>
      </c>
      <c r="N1257" s="91">
        <f t="shared" si="100"/>
        <v>0.00112107623318386</v>
      </c>
    </row>
    <row r="1258" s="2" customFormat="1" spans="1:14">
      <c r="A1258" s="211">
        <v>46058</v>
      </c>
      <c r="B1258" s="203">
        <v>1529.38</v>
      </c>
      <c r="C1258" s="204">
        <v>36413</v>
      </c>
      <c r="D1258" s="205">
        <v>886</v>
      </c>
      <c r="E1258" s="205">
        <v>0</v>
      </c>
      <c r="F1258" s="205">
        <v>0</v>
      </c>
      <c r="G1258" s="205">
        <v>35</v>
      </c>
      <c r="H1258" s="205">
        <v>42</v>
      </c>
      <c r="I1258" s="205">
        <v>3</v>
      </c>
      <c r="J1258" s="207">
        <f t="shared" si="97"/>
        <v>0.0243319693516052</v>
      </c>
      <c r="K1258" s="208">
        <f t="shared" si="98"/>
        <v>1.7261625282167</v>
      </c>
      <c r="L1258" s="209">
        <f t="shared" si="96"/>
        <v>41.6449723397332</v>
      </c>
      <c r="M1258" s="210">
        <f t="shared" si="99"/>
        <v>0</v>
      </c>
      <c r="N1258" s="91">
        <f t="shared" si="100"/>
        <v>0</v>
      </c>
    </row>
    <row r="1259" s="2" customFormat="1" spans="1:14">
      <c r="A1259" s="211">
        <v>46059</v>
      </c>
      <c r="B1259" s="203">
        <v>1720.13</v>
      </c>
      <c r="C1259" s="204">
        <v>40960</v>
      </c>
      <c r="D1259" s="205">
        <v>816</v>
      </c>
      <c r="E1259" s="205">
        <v>1</v>
      </c>
      <c r="F1259" s="206">
        <v>9996</v>
      </c>
      <c r="G1259" s="205">
        <v>25</v>
      </c>
      <c r="H1259" s="205">
        <v>15</v>
      </c>
      <c r="I1259" s="205">
        <v>1</v>
      </c>
      <c r="J1259" s="207">
        <f t="shared" si="97"/>
        <v>0.019921875</v>
      </c>
      <c r="K1259" s="208">
        <f t="shared" si="98"/>
        <v>2.10800245098039</v>
      </c>
      <c r="L1259" s="209">
        <f t="shared" si="96"/>
        <v>42.0009337324582</v>
      </c>
      <c r="M1259" s="210">
        <f t="shared" si="99"/>
        <v>5.81118868922698</v>
      </c>
      <c r="N1259" s="91">
        <f t="shared" si="100"/>
        <v>0.00122549019607843</v>
      </c>
    </row>
    <row r="1260" s="2" customFormat="1" spans="1:14">
      <c r="A1260" s="211">
        <v>46060</v>
      </c>
      <c r="B1260" s="203">
        <v>1781.16</v>
      </c>
      <c r="C1260" s="204">
        <v>39111</v>
      </c>
      <c r="D1260" s="205">
        <v>777</v>
      </c>
      <c r="E1260" s="205">
        <v>1</v>
      </c>
      <c r="F1260" s="206">
        <v>19076</v>
      </c>
      <c r="G1260" s="205">
        <v>30</v>
      </c>
      <c r="H1260" s="205">
        <v>9</v>
      </c>
      <c r="I1260" s="205">
        <v>1</v>
      </c>
      <c r="J1260" s="207">
        <f t="shared" si="97"/>
        <v>0.0198665337117435</v>
      </c>
      <c r="K1260" s="208">
        <f t="shared" si="98"/>
        <v>2.29235521235521</v>
      </c>
      <c r="L1260" s="209">
        <f t="shared" si="96"/>
        <v>41.995361328125</v>
      </c>
      <c r="M1260" s="210">
        <f t="shared" si="99"/>
        <v>10.7098744638326</v>
      </c>
      <c r="N1260" s="91">
        <f t="shared" si="100"/>
        <v>0.00128700128700129</v>
      </c>
    </row>
    <row r="1261" s="2" customFormat="1" spans="1:14">
      <c r="A1261" s="211">
        <v>46061</v>
      </c>
      <c r="B1261" s="203">
        <v>1769.71</v>
      </c>
      <c r="C1261" s="204">
        <v>34003</v>
      </c>
      <c r="D1261" s="205">
        <v>776</v>
      </c>
      <c r="E1261" s="205">
        <v>0</v>
      </c>
      <c r="F1261" s="205">
        <v>0</v>
      </c>
      <c r="G1261" s="205">
        <v>20</v>
      </c>
      <c r="H1261" s="205">
        <v>1</v>
      </c>
      <c r="I1261" s="205">
        <v>0</v>
      </c>
      <c r="J1261" s="207">
        <f t="shared" si="97"/>
        <v>0.0228215157486104</v>
      </c>
      <c r="K1261" s="208">
        <f t="shared" si="98"/>
        <v>2.28055412371134</v>
      </c>
      <c r="L1261" s="209">
        <f t="shared" si="96"/>
        <v>45.5411521055458</v>
      </c>
      <c r="M1261" s="210">
        <f t="shared" si="99"/>
        <v>0</v>
      </c>
      <c r="N1261" s="91">
        <f t="shared" si="100"/>
        <v>0</v>
      </c>
    </row>
    <row r="1262" s="2" customFormat="1" spans="1:14">
      <c r="A1262" s="211">
        <v>46062</v>
      </c>
      <c r="B1262" s="203">
        <v>1767.97</v>
      </c>
      <c r="C1262" s="204">
        <v>46265</v>
      </c>
      <c r="D1262" s="205">
        <v>876</v>
      </c>
      <c r="E1262" s="205">
        <v>0</v>
      </c>
      <c r="F1262" s="205">
        <v>0</v>
      </c>
      <c r="G1262" s="205">
        <v>17</v>
      </c>
      <c r="H1262" s="205">
        <v>3</v>
      </c>
      <c r="I1262" s="205">
        <v>0</v>
      </c>
      <c r="J1262" s="207">
        <f t="shared" si="97"/>
        <v>0.0189343996541662</v>
      </c>
      <c r="K1262" s="208">
        <f t="shared" si="98"/>
        <v>2.01823059360731</v>
      </c>
      <c r="L1262" s="209">
        <f t="shared" si="96"/>
        <v>52.0457018498368</v>
      </c>
      <c r="M1262" s="210">
        <f t="shared" si="99"/>
        <v>0</v>
      </c>
      <c r="N1262" s="91">
        <f t="shared" si="100"/>
        <v>0</v>
      </c>
    </row>
    <row r="1263" s="2" customFormat="1" spans="1:14">
      <c r="A1263" s="211">
        <v>46063</v>
      </c>
      <c r="B1263" s="203">
        <v>1262.17</v>
      </c>
      <c r="C1263" s="204">
        <v>43396</v>
      </c>
      <c r="D1263" s="205">
        <v>827</v>
      </c>
      <c r="E1263" s="205">
        <v>0</v>
      </c>
      <c r="F1263" s="205">
        <v>0</v>
      </c>
      <c r="G1263" s="205">
        <v>13</v>
      </c>
      <c r="H1263" s="205">
        <v>10</v>
      </c>
      <c r="I1263" s="205">
        <v>3</v>
      </c>
      <c r="J1263" s="207">
        <f t="shared" si="97"/>
        <v>0.0190570559498571</v>
      </c>
      <c r="K1263" s="208">
        <f t="shared" si="98"/>
        <v>1.52620314389359</v>
      </c>
      <c r="L1263" s="209">
        <f t="shared" si="96"/>
        <v>38.2139846536259</v>
      </c>
      <c r="M1263" s="210">
        <f t="shared" si="99"/>
        <v>0</v>
      </c>
      <c r="N1263" s="91">
        <f t="shared" si="100"/>
        <v>0</v>
      </c>
    </row>
    <row r="1264" s="2" customFormat="1" spans="1:14">
      <c r="A1264" s="211">
        <v>46064</v>
      </c>
      <c r="B1264" s="203">
        <v>1187.28</v>
      </c>
      <c r="C1264" s="204">
        <v>38309</v>
      </c>
      <c r="D1264" s="205">
        <v>1150</v>
      </c>
      <c r="E1264" s="205">
        <v>2</v>
      </c>
      <c r="F1264" s="206">
        <v>46144</v>
      </c>
      <c r="G1264" s="205">
        <v>17</v>
      </c>
      <c r="H1264" s="205">
        <v>33</v>
      </c>
      <c r="I1264" s="205">
        <v>3</v>
      </c>
      <c r="J1264" s="207">
        <f t="shared" si="97"/>
        <v>0.0300190555744081</v>
      </c>
      <c r="K1264" s="208">
        <f t="shared" si="98"/>
        <v>1.03241739130435</v>
      </c>
      <c r="L1264" s="209">
        <f t="shared" si="96"/>
        <v>29.084938704028</v>
      </c>
      <c r="M1264" s="210">
        <f t="shared" si="99"/>
        <v>38.8653055724008</v>
      </c>
      <c r="N1264" s="91">
        <f t="shared" si="100"/>
        <v>0.00173913043478261</v>
      </c>
    </row>
    <row r="1265" s="2" customFormat="1" spans="1:14">
      <c r="A1265" s="211">
        <v>46065</v>
      </c>
      <c r="B1265" s="203">
        <v>1194.73</v>
      </c>
      <c r="C1265" s="204">
        <v>48760</v>
      </c>
      <c r="D1265" s="205">
        <v>1614</v>
      </c>
      <c r="E1265" s="205">
        <v>0</v>
      </c>
      <c r="F1265" s="205">
        <v>0</v>
      </c>
      <c r="G1265" s="205">
        <v>15</v>
      </c>
      <c r="H1265" s="205">
        <v>43</v>
      </c>
      <c r="I1265" s="205">
        <v>4</v>
      </c>
      <c r="J1265" s="207">
        <f t="shared" si="97"/>
        <v>0.0331009023789992</v>
      </c>
      <c r="K1265" s="208">
        <f t="shared" si="98"/>
        <v>0.740229244114002</v>
      </c>
      <c r="L1265" s="209">
        <f t="shared" si="96"/>
        <v>30.9921950455507</v>
      </c>
      <c r="M1265" s="210">
        <f t="shared" si="99"/>
        <v>0</v>
      </c>
      <c r="N1265" s="91">
        <f t="shared" si="100"/>
        <v>0</v>
      </c>
    </row>
    <row r="1266" s="2" customFormat="1" spans="1:14">
      <c r="A1266" s="211">
        <v>46066</v>
      </c>
      <c r="B1266" s="203">
        <v>718.75</v>
      </c>
      <c r="C1266" s="204">
        <v>28810</v>
      </c>
      <c r="D1266" s="205">
        <v>915</v>
      </c>
      <c r="E1266" s="205">
        <v>0</v>
      </c>
      <c r="F1266" s="205">
        <v>0</v>
      </c>
      <c r="G1266" s="205">
        <v>12</v>
      </c>
      <c r="H1266" s="205">
        <v>15</v>
      </c>
      <c r="I1266" s="205">
        <v>1</v>
      </c>
      <c r="J1266" s="207">
        <f t="shared" si="97"/>
        <v>0.0317598056230476</v>
      </c>
      <c r="K1266" s="208">
        <f t="shared" si="98"/>
        <v>0.78551912568306</v>
      </c>
      <c r="L1266" s="209">
        <f t="shared" si="96"/>
        <v>24.502255947498</v>
      </c>
      <c r="M1266" s="210">
        <f t="shared" si="99"/>
        <v>0</v>
      </c>
      <c r="N1266" s="91">
        <f t="shared" si="100"/>
        <v>0</v>
      </c>
    </row>
    <row r="1267" s="2" customFormat="1" spans="1:14">
      <c r="A1267" s="211">
        <v>46067</v>
      </c>
      <c r="B1267" s="203">
        <v>798.52</v>
      </c>
      <c r="C1267" s="204">
        <v>32357</v>
      </c>
      <c r="D1267" s="205">
        <v>1201</v>
      </c>
      <c r="E1267" s="205">
        <v>0</v>
      </c>
      <c r="F1267" s="205">
        <v>0</v>
      </c>
      <c r="G1267" s="205">
        <v>12</v>
      </c>
      <c r="H1267" s="205">
        <v>8</v>
      </c>
      <c r="I1267" s="205">
        <v>0</v>
      </c>
      <c r="J1267" s="207">
        <f t="shared" si="97"/>
        <v>0.0371171616651729</v>
      </c>
      <c r="K1267" s="208">
        <f t="shared" si="98"/>
        <v>0.664879267277269</v>
      </c>
      <c r="L1267" s="209">
        <f t="shared" si="96"/>
        <v>24.9479347448802</v>
      </c>
      <c r="M1267" s="210">
        <f t="shared" si="99"/>
        <v>0</v>
      </c>
      <c r="N1267" s="91">
        <f t="shared" si="100"/>
        <v>0</v>
      </c>
    </row>
    <row r="1268" s="2" customFormat="1" spans="1:14">
      <c r="A1268" s="211">
        <v>46068</v>
      </c>
      <c r="B1268" s="203">
        <v>799.01</v>
      </c>
      <c r="C1268" s="204">
        <v>32576</v>
      </c>
      <c r="D1268" s="205">
        <v>1470</v>
      </c>
      <c r="E1268" s="205">
        <v>1</v>
      </c>
      <c r="F1268" s="206">
        <v>7524</v>
      </c>
      <c r="G1268" s="205">
        <v>16</v>
      </c>
      <c r="H1268" s="205">
        <v>3</v>
      </c>
      <c r="I1268" s="205">
        <v>0</v>
      </c>
      <c r="J1268" s="207">
        <f t="shared" si="97"/>
        <v>0.0451252455795678</v>
      </c>
      <c r="K1268" s="208">
        <f t="shared" si="98"/>
        <v>0.543544217687075</v>
      </c>
      <c r="L1268" s="209">
        <f t="shared" si="96"/>
        <v>24.6784312513521</v>
      </c>
      <c r="M1268" s="210">
        <f t="shared" si="99"/>
        <v>9.41665310822142</v>
      </c>
      <c r="N1268" s="91">
        <f t="shared" si="100"/>
        <v>0.000680272108843537</v>
      </c>
    </row>
    <row r="1269" s="2" customFormat="1" spans="1:14">
      <c r="A1269" s="211">
        <v>46069</v>
      </c>
      <c r="B1269" s="203">
        <v>993.05</v>
      </c>
      <c r="C1269" s="204">
        <v>39331</v>
      </c>
      <c r="D1269" s="205">
        <v>1424</v>
      </c>
      <c r="E1269" s="205">
        <v>0</v>
      </c>
      <c r="F1269" s="205">
        <v>0</v>
      </c>
      <c r="G1269" s="205">
        <v>17</v>
      </c>
      <c r="H1269" s="205">
        <v>7</v>
      </c>
      <c r="I1269" s="205">
        <v>0</v>
      </c>
      <c r="J1269" s="207">
        <f t="shared" si="97"/>
        <v>0.0362055376166383</v>
      </c>
      <c r="K1269" s="208">
        <f t="shared" si="98"/>
        <v>0.697366573033708</v>
      </c>
      <c r="L1269" s="209">
        <f t="shared" si="96"/>
        <v>24.5275663064833</v>
      </c>
      <c r="M1269" s="210">
        <f t="shared" si="99"/>
        <v>0</v>
      </c>
      <c r="N1269" s="91">
        <f t="shared" si="100"/>
        <v>0</v>
      </c>
    </row>
    <row r="1270" s="2" customFormat="1" spans="1:14">
      <c r="A1270" s="211">
        <v>46070</v>
      </c>
      <c r="B1270" s="203">
        <v>990.14</v>
      </c>
      <c r="C1270" s="204">
        <v>45313</v>
      </c>
      <c r="D1270" s="205">
        <v>1940</v>
      </c>
      <c r="E1270" s="205">
        <v>1</v>
      </c>
      <c r="F1270" s="206">
        <v>6176</v>
      </c>
      <c r="G1270" s="205">
        <v>32</v>
      </c>
      <c r="H1270" s="205">
        <v>27</v>
      </c>
      <c r="I1270" s="205">
        <v>4</v>
      </c>
      <c r="J1270" s="207">
        <f t="shared" si="97"/>
        <v>0.0428133206805994</v>
      </c>
      <c r="K1270" s="208">
        <f t="shared" si="98"/>
        <v>0.510381443298969</v>
      </c>
      <c r="L1270" s="209">
        <f t="shared" si="96"/>
        <v>25.248531692558</v>
      </c>
      <c r="M1270" s="210">
        <f t="shared" si="99"/>
        <v>6.23750176742683</v>
      </c>
      <c r="N1270" s="91">
        <f t="shared" si="100"/>
        <v>0.000515463917525773</v>
      </c>
    </row>
    <row r="1271" s="2" customFormat="1" spans="1:14">
      <c r="A1271" s="211">
        <v>46071</v>
      </c>
      <c r="B1271" s="203">
        <v>991.44</v>
      </c>
      <c r="C1271" s="204">
        <v>48285</v>
      </c>
      <c r="D1271" s="205">
        <v>2294</v>
      </c>
      <c r="E1271" s="205">
        <v>0</v>
      </c>
      <c r="F1271" s="205">
        <v>0</v>
      </c>
      <c r="G1271" s="205">
        <v>29</v>
      </c>
      <c r="H1271" s="205">
        <v>35</v>
      </c>
      <c r="I1271" s="205">
        <v>4</v>
      </c>
      <c r="J1271" s="207">
        <f t="shared" si="97"/>
        <v>0.0475095785440613</v>
      </c>
      <c r="K1271" s="208">
        <f t="shared" si="98"/>
        <v>0.432188317349608</v>
      </c>
      <c r="L1271" s="209">
        <f t="shared" si="96"/>
        <v>21.8511244013859</v>
      </c>
      <c r="M1271" s="210">
        <f t="shared" si="99"/>
        <v>0</v>
      </c>
      <c r="N1271" s="91">
        <f t="shared" si="100"/>
        <v>0</v>
      </c>
    </row>
    <row r="1272" s="2" customFormat="1" spans="1:14">
      <c r="A1272" s="211">
        <v>46072</v>
      </c>
      <c r="B1272" s="203">
        <v>993.46</v>
      </c>
      <c r="C1272" s="204">
        <v>50606</v>
      </c>
      <c r="D1272" s="205">
        <v>2391</v>
      </c>
      <c r="E1272" s="205">
        <v>0</v>
      </c>
      <c r="F1272" s="205">
        <v>0</v>
      </c>
      <c r="G1272" s="205">
        <v>35</v>
      </c>
      <c r="H1272" s="205">
        <v>22</v>
      </c>
      <c r="I1272" s="205">
        <v>4</v>
      </c>
      <c r="J1272" s="207">
        <f t="shared" si="97"/>
        <v>0.0472473619728886</v>
      </c>
      <c r="K1272" s="208">
        <f t="shared" si="98"/>
        <v>0.415499790882476</v>
      </c>
      <c r="L1272" s="209">
        <f t="shared" si="96"/>
        <v>20.5330848089469</v>
      </c>
      <c r="M1272" s="210">
        <f t="shared" si="99"/>
        <v>0</v>
      </c>
      <c r="N1272" s="91">
        <f t="shared" si="100"/>
        <v>0</v>
      </c>
    </row>
    <row r="1273" s="2" customFormat="1" spans="1:14">
      <c r="A1273" s="211">
        <v>46073</v>
      </c>
      <c r="B1273" s="203">
        <v>996.7</v>
      </c>
      <c r="C1273" s="204">
        <v>57223</v>
      </c>
      <c r="D1273" s="205">
        <v>2479</v>
      </c>
      <c r="E1273" s="205">
        <v>0</v>
      </c>
      <c r="F1273" s="205">
        <v>0</v>
      </c>
      <c r="G1273" s="205">
        <v>31</v>
      </c>
      <c r="H1273" s="205">
        <v>12</v>
      </c>
      <c r="I1273" s="205">
        <v>1</v>
      </c>
      <c r="J1273" s="207">
        <f t="shared" si="97"/>
        <v>0.0433217412578858</v>
      </c>
      <c r="K1273" s="208">
        <f t="shared" si="98"/>
        <v>0.402057281161759</v>
      </c>
      <c r="L1273" s="209">
        <f t="shared" si="96"/>
        <v>19.6312690194839</v>
      </c>
      <c r="M1273" s="210">
        <f t="shared" si="99"/>
        <v>0</v>
      </c>
      <c r="N1273" s="91">
        <f t="shared" si="100"/>
        <v>0</v>
      </c>
    </row>
    <row r="1274" s="2" customFormat="1" spans="1:14">
      <c r="A1274" s="211">
        <v>46074</v>
      </c>
      <c r="B1274" s="203">
        <v>996.15</v>
      </c>
      <c r="C1274" s="204">
        <v>54435</v>
      </c>
      <c r="D1274" s="205">
        <v>2313</v>
      </c>
      <c r="E1274" s="205">
        <v>0</v>
      </c>
      <c r="F1274" s="205">
        <v>0</v>
      </c>
      <c r="G1274" s="205">
        <v>19</v>
      </c>
      <c r="H1274" s="205">
        <v>6</v>
      </c>
      <c r="I1274" s="205">
        <v>2</v>
      </c>
      <c r="J1274" s="207">
        <f t="shared" si="97"/>
        <v>0.0424910443648388</v>
      </c>
      <c r="K1274" s="208">
        <f t="shared" si="98"/>
        <v>0.430674448767834</v>
      </c>
      <c r="L1274" s="209">
        <f t="shared" si="96"/>
        <v>17.4178215053388</v>
      </c>
      <c r="M1274" s="210">
        <f t="shared" si="99"/>
        <v>0</v>
      </c>
      <c r="N1274" s="91">
        <f t="shared" si="100"/>
        <v>0</v>
      </c>
    </row>
    <row r="1275" s="2" customFormat="1" spans="1:14">
      <c r="A1275" s="211">
        <v>46075</v>
      </c>
      <c r="B1275" s="203">
        <v>790.35</v>
      </c>
      <c r="C1275" s="204">
        <v>33632</v>
      </c>
      <c r="D1275" s="205">
        <v>1588</v>
      </c>
      <c r="E1275" s="205">
        <v>1</v>
      </c>
      <c r="F1275" s="206">
        <v>14552</v>
      </c>
      <c r="G1275" s="205">
        <v>15</v>
      </c>
      <c r="H1275" s="205">
        <v>8</v>
      </c>
      <c r="I1275" s="205">
        <v>0</v>
      </c>
      <c r="J1275" s="207">
        <f t="shared" si="97"/>
        <v>0.0472169362511893</v>
      </c>
      <c r="K1275" s="208">
        <f t="shared" si="98"/>
        <v>0.497701511335013</v>
      </c>
      <c r="L1275" s="209">
        <f t="shared" si="96"/>
        <v>18.2998071093965</v>
      </c>
      <c r="M1275" s="210">
        <f t="shared" si="99"/>
        <v>18.4120959068767</v>
      </c>
      <c r="N1275" s="91">
        <f t="shared" si="100"/>
        <v>0.000629722921914358</v>
      </c>
    </row>
    <row r="1276" s="2" customFormat="1" spans="1:14">
      <c r="A1276" s="211">
        <v>46076</v>
      </c>
      <c r="B1276" s="203">
        <v>797.68</v>
      </c>
      <c r="C1276" s="204">
        <v>42011</v>
      </c>
      <c r="D1276" s="205">
        <v>1809</v>
      </c>
      <c r="E1276" s="205">
        <v>0</v>
      </c>
      <c r="F1276" s="205">
        <v>0</v>
      </c>
      <c r="G1276" s="205">
        <v>23</v>
      </c>
      <c r="H1276" s="205">
        <v>15</v>
      </c>
      <c r="I1276" s="205">
        <v>1</v>
      </c>
      <c r="J1276" s="207">
        <f t="shared" si="97"/>
        <v>0.0430601509128562</v>
      </c>
      <c r="K1276" s="208">
        <f t="shared" si="98"/>
        <v>0.440950801547816</v>
      </c>
      <c r="L1276" s="209">
        <f t="shared" si="96"/>
        <v>23.4999405328259</v>
      </c>
      <c r="M1276" s="210">
        <f t="shared" si="99"/>
        <v>0</v>
      </c>
      <c r="N1276" s="91">
        <f t="shared" si="100"/>
        <v>0</v>
      </c>
    </row>
    <row r="1277" s="2" customFormat="1" spans="1:14">
      <c r="A1277" s="211">
        <v>46077</v>
      </c>
      <c r="B1277" s="203">
        <v>798.04</v>
      </c>
      <c r="C1277" s="204">
        <v>37387</v>
      </c>
      <c r="D1277" s="205">
        <v>1293</v>
      </c>
      <c r="E1277" s="205">
        <v>0</v>
      </c>
      <c r="F1277" s="205">
        <v>0</v>
      </c>
      <c r="G1277" s="205">
        <v>48</v>
      </c>
      <c r="H1277" s="205">
        <v>7</v>
      </c>
      <c r="I1277" s="205">
        <v>0</v>
      </c>
      <c r="J1277" s="207">
        <f t="shared" si="97"/>
        <v>0.0345842137641426</v>
      </c>
      <c r="K1277" s="208">
        <f t="shared" si="98"/>
        <v>0.617200309358082</v>
      </c>
      <c r="L1277" s="209">
        <f t="shared" si="96"/>
        <v>18.9874080597939</v>
      </c>
      <c r="M1277" s="210">
        <f t="shared" si="99"/>
        <v>0</v>
      </c>
      <c r="N1277" s="91">
        <f t="shared" si="100"/>
        <v>0</v>
      </c>
    </row>
    <row r="1278" s="2" customFormat="1" spans="1:14">
      <c r="A1278" s="211">
        <v>46078</v>
      </c>
      <c r="B1278" s="203">
        <v>749.86</v>
      </c>
      <c r="C1278" s="204">
        <v>35568</v>
      </c>
      <c r="D1278" s="205">
        <v>1510</v>
      </c>
      <c r="E1278" s="205">
        <v>1</v>
      </c>
      <c r="F1278" s="206">
        <v>8716</v>
      </c>
      <c r="G1278" s="205">
        <v>23</v>
      </c>
      <c r="H1278" s="205">
        <v>3</v>
      </c>
      <c r="I1278" s="205">
        <v>4</v>
      </c>
      <c r="J1278" s="207">
        <f t="shared" si="97"/>
        <v>0.0424538911381017</v>
      </c>
      <c r="K1278" s="208">
        <f t="shared" si="98"/>
        <v>0.496596026490066</v>
      </c>
      <c r="L1278" s="209">
        <f t="shared" si="96"/>
        <v>21.3453874341349</v>
      </c>
      <c r="M1278" s="210">
        <f t="shared" si="99"/>
        <v>11.6235030539034</v>
      </c>
      <c r="N1278" s="91">
        <f t="shared" si="100"/>
        <v>0.000662251655629139</v>
      </c>
    </row>
    <row r="1279" s="2" customFormat="1" spans="1:14">
      <c r="A1279" s="211">
        <v>46079</v>
      </c>
      <c r="B1279" s="203">
        <v>747.51</v>
      </c>
      <c r="C1279" s="204">
        <v>24988</v>
      </c>
      <c r="D1279" s="205">
        <v>1178</v>
      </c>
      <c r="E1279" s="205">
        <v>0</v>
      </c>
      <c r="F1279" s="205">
        <v>0</v>
      </c>
      <c r="G1279" s="205">
        <v>21</v>
      </c>
      <c r="H1279" s="205">
        <v>2</v>
      </c>
      <c r="I1279" s="205">
        <v>0</v>
      </c>
      <c r="J1279" s="207">
        <f t="shared" si="97"/>
        <v>0.0471426284616616</v>
      </c>
      <c r="K1279" s="208">
        <f t="shared" si="98"/>
        <v>0.63455857385399</v>
      </c>
      <c r="L1279" s="209">
        <f t="shared" si="96"/>
        <v>21.0824336482231</v>
      </c>
      <c r="M1279" s="210">
        <f t="shared" si="99"/>
        <v>0</v>
      </c>
      <c r="N1279" s="91">
        <f t="shared" si="100"/>
        <v>0</v>
      </c>
    </row>
    <row r="1280" s="2" customFormat="1" spans="1:14">
      <c r="A1280" s="211">
        <v>46080</v>
      </c>
      <c r="B1280" s="203">
        <v>935.46</v>
      </c>
      <c r="C1280" s="204">
        <v>44945</v>
      </c>
      <c r="D1280" s="205">
        <v>1668</v>
      </c>
      <c r="E1280" s="205">
        <v>0</v>
      </c>
      <c r="F1280" s="205">
        <v>0</v>
      </c>
      <c r="G1280" s="205">
        <v>25</v>
      </c>
      <c r="H1280" s="205">
        <v>16</v>
      </c>
      <c r="I1280" s="205">
        <v>3</v>
      </c>
      <c r="J1280" s="207">
        <f t="shared" si="97"/>
        <v>0.0371120258093225</v>
      </c>
      <c r="K1280" s="208">
        <f t="shared" si="98"/>
        <v>0.560827338129496</v>
      </c>
      <c r="L1280" s="209">
        <f t="shared" ref="L1280:L1326" si="101">B1279/C1279*1000</f>
        <v>29.9147590843605</v>
      </c>
      <c r="M1280" s="210">
        <f t="shared" si="99"/>
        <v>0</v>
      </c>
      <c r="N1280" s="91">
        <f t="shared" si="100"/>
        <v>0</v>
      </c>
    </row>
    <row r="1281" s="2" customFormat="1" spans="1:14">
      <c r="A1281" s="211">
        <v>46081</v>
      </c>
      <c r="B1281" s="203">
        <v>931.55</v>
      </c>
      <c r="C1281" s="204">
        <v>46885</v>
      </c>
      <c r="D1281" s="205">
        <v>1717</v>
      </c>
      <c r="E1281" s="205">
        <v>1</v>
      </c>
      <c r="F1281" s="206">
        <v>9215</v>
      </c>
      <c r="G1281" s="205">
        <v>38</v>
      </c>
      <c r="H1281" s="205">
        <v>29</v>
      </c>
      <c r="I1281" s="205">
        <v>3</v>
      </c>
      <c r="J1281" s="207">
        <f t="shared" si="97"/>
        <v>0.0366215207422417</v>
      </c>
      <c r="K1281" s="208">
        <f t="shared" si="98"/>
        <v>0.542545136866628</v>
      </c>
      <c r="L1281" s="209">
        <f t="shared" si="101"/>
        <v>20.8134386472355</v>
      </c>
      <c r="M1281" s="210">
        <f t="shared" si="99"/>
        <v>9.8921152917181</v>
      </c>
      <c r="N1281" s="91">
        <f t="shared" si="100"/>
        <v>0.0005824111822947</v>
      </c>
    </row>
    <row r="1282" s="2" customFormat="1" spans="1:14">
      <c r="A1282" s="211">
        <v>46082</v>
      </c>
      <c r="B1282" s="203">
        <v>889.09</v>
      </c>
      <c r="C1282" s="204">
        <v>35324</v>
      </c>
      <c r="D1282" s="205">
        <v>1623</v>
      </c>
      <c r="E1282" s="205">
        <v>1</v>
      </c>
      <c r="F1282" s="206">
        <v>9174</v>
      </c>
      <c r="G1282" s="205">
        <v>28</v>
      </c>
      <c r="H1282" s="205">
        <v>20</v>
      </c>
      <c r="I1282" s="205">
        <v>0</v>
      </c>
      <c r="J1282" s="207">
        <f t="shared" ref="J1282:J1326" si="102">D1282/C1282</f>
        <v>0.0459460989695391</v>
      </c>
      <c r="K1282" s="208">
        <f t="shared" ref="K1282:K1326" si="103">B1282/D1282</f>
        <v>0.547806531115219</v>
      </c>
      <c r="L1282" s="209">
        <f t="shared" si="101"/>
        <v>19.8688279833635</v>
      </c>
      <c r="M1282" s="210">
        <f t="shared" ref="M1282:M1326" si="104">F1282/B1282</f>
        <v>10.3184154585025</v>
      </c>
      <c r="N1282" s="91">
        <f t="shared" si="100"/>
        <v>0.000616142945163278</v>
      </c>
    </row>
    <row r="1283" s="2" customFormat="1" spans="1:14">
      <c r="A1283" s="211">
        <v>46083</v>
      </c>
      <c r="B1283" s="203">
        <v>895.53</v>
      </c>
      <c r="C1283" s="204">
        <v>31862</v>
      </c>
      <c r="D1283" s="205">
        <v>1133</v>
      </c>
      <c r="E1283" s="205">
        <v>3</v>
      </c>
      <c r="F1283" s="206">
        <v>18946</v>
      </c>
      <c r="G1283" s="205">
        <v>34</v>
      </c>
      <c r="H1283" s="205">
        <v>9</v>
      </c>
      <c r="I1283" s="205">
        <v>4</v>
      </c>
      <c r="J1283" s="207">
        <f t="shared" si="102"/>
        <v>0.0355596007783567</v>
      </c>
      <c r="K1283" s="208">
        <f t="shared" si="103"/>
        <v>0.790406001765225</v>
      </c>
      <c r="L1283" s="209">
        <f t="shared" si="101"/>
        <v>25.1695730947798</v>
      </c>
      <c r="M1283" s="210">
        <f t="shared" si="104"/>
        <v>21.1561868390785</v>
      </c>
      <c r="N1283" s="91">
        <f t="shared" si="100"/>
        <v>0.00264783759929391</v>
      </c>
    </row>
    <row r="1284" s="2" customFormat="1" spans="1:14">
      <c r="A1284" s="211">
        <v>46084</v>
      </c>
      <c r="B1284" s="203">
        <v>895.01</v>
      </c>
      <c r="C1284" s="204">
        <v>26248</v>
      </c>
      <c r="D1284" s="205">
        <v>707</v>
      </c>
      <c r="E1284" s="205">
        <v>0</v>
      </c>
      <c r="F1284" s="205">
        <v>0</v>
      </c>
      <c r="G1284" s="205">
        <v>20</v>
      </c>
      <c r="H1284" s="205">
        <v>10</v>
      </c>
      <c r="I1284" s="205">
        <v>2</v>
      </c>
      <c r="J1284" s="207">
        <f t="shared" si="102"/>
        <v>0.026935385553185</v>
      </c>
      <c r="K1284" s="208">
        <f t="shared" si="103"/>
        <v>1.26592644978784</v>
      </c>
      <c r="L1284" s="209">
        <f t="shared" si="101"/>
        <v>28.1065218755885</v>
      </c>
      <c r="M1284" s="210">
        <f t="shared" si="104"/>
        <v>0</v>
      </c>
      <c r="N1284" s="91">
        <f t="shared" si="100"/>
        <v>0</v>
      </c>
    </row>
    <row r="1285" s="2" customFormat="1" spans="1:14">
      <c r="A1285" s="211">
        <v>46085</v>
      </c>
      <c r="B1285" s="203">
        <v>1939.76</v>
      </c>
      <c r="C1285" s="204">
        <v>65539</v>
      </c>
      <c r="D1285" s="205">
        <v>1746</v>
      </c>
      <c r="E1285" s="205">
        <v>1</v>
      </c>
      <c r="F1285" s="206">
        <v>12494</v>
      </c>
      <c r="G1285" s="205">
        <v>31</v>
      </c>
      <c r="H1285" s="205">
        <v>20</v>
      </c>
      <c r="I1285" s="205">
        <v>5</v>
      </c>
      <c r="J1285" s="207">
        <f t="shared" si="102"/>
        <v>0.0266406261920383</v>
      </c>
      <c r="K1285" s="208">
        <f t="shared" si="103"/>
        <v>1.11097365406644</v>
      </c>
      <c r="L1285" s="209">
        <f t="shared" si="101"/>
        <v>34.0982170070101</v>
      </c>
      <c r="M1285" s="210">
        <f t="shared" si="104"/>
        <v>6.44100301068173</v>
      </c>
      <c r="N1285" s="91">
        <f t="shared" si="100"/>
        <v>0.000572737686139748</v>
      </c>
    </row>
    <row r="1286" s="2" customFormat="1" spans="1:14">
      <c r="A1286" s="211">
        <v>46086</v>
      </c>
      <c r="B1286" s="203">
        <v>2000.84</v>
      </c>
      <c r="C1286" s="204">
        <v>94145</v>
      </c>
      <c r="D1286" s="205">
        <v>2599</v>
      </c>
      <c r="E1286" s="205">
        <v>1</v>
      </c>
      <c r="F1286" s="206">
        <v>33640</v>
      </c>
      <c r="G1286" s="205">
        <v>40</v>
      </c>
      <c r="H1286" s="205">
        <v>47</v>
      </c>
      <c r="I1286" s="205">
        <v>2</v>
      </c>
      <c r="J1286" s="207">
        <f t="shared" si="102"/>
        <v>0.0276063519039779</v>
      </c>
      <c r="K1286" s="208">
        <f t="shared" si="103"/>
        <v>0.769849942285494</v>
      </c>
      <c r="L1286" s="209">
        <f t="shared" si="101"/>
        <v>29.5970338271869</v>
      </c>
      <c r="M1286" s="210">
        <f t="shared" si="104"/>
        <v>16.8129385658024</v>
      </c>
      <c r="N1286" s="91">
        <f t="shared" ref="N1286:N1326" si="105">E1286/D1286</f>
        <v>0.000384763370527126</v>
      </c>
    </row>
    <row r="1287" s="2" customFormat="1" spans="1:14">
      <c r="A1287" s="211">
        <v>46087</v>
      </c>
      <c r="B1287" s="203">
        <v>1999.48</v>
      </c>
      <c r="C1287" s="204">
        <v>91632</v>
      </c>
      <c r="D1287" s="205">
        <v>2912</v>
      </c>
      <c r="E1287" s="205">
        <v>0</v>
      </c>
      <c r="F1287" s="205">
        <v>0</v>
      </c>
      <c r="G1287" s="205">
        <v>42</v>
      </c>
      <c r="H1287" s="205">
        <v>79</v>
      </c>
      <c r="I1287" s="205">
        <v>1</v>
      </c>
      <c r="J1287" s="207">
        <f t="shared" si="102"/>
        <v>0.0317792910773529</v>
      </c>
      <c r="K1287" s="208">
        <f t="shared" si="103"/>
        <v>0.686634615384615</v>
      </c>
      <c r="L1287" s="209">
        <f t="shared" si="101"/>
        <v>21.2527484199904</v>
      </c>
      <c r="M1287" s="210">
        <f t="shared" si="104"/>
        <v>0</v>
      </c>
      <c r="N1287" s="91">
        <f t="shared" si="105"/>
        <v>0</v>
      </c>
    </row>
    <row r="1288" s="2" customFormat="1" spans="1:14">
      <c r="A1288" s="211">
        <v>46088</v>
      </c>
      <c r="B1288" s="203">
        <v>2188.35</v>
      </c>
      <c r="C1288" s="204">
        <v>99866</v>
      </c>
      <c r="D1288" s="205">
        <v>3276</v>
      </c>
      <c r="E1288" s="205">
        <v>0</v>
      </c>
      <c r="F1288" s="205">
        <v>0</v>
      </c>
      <c r="G1288" s="205">
        <v>56</v>
      </c>
      <c r="H1288" s="205">
        <v>84</v>
      </c>
      <c r="I1288" s="205">
        <v>4</v>
      </c>
      <c r="J1288" s="207">
        <f t="shared" si="102"/>
        <v>0.0328039573027857</v>
      </c>
      <c r="K1288" s="208">
        <f t="shared" si="103"/>
        <v>0.667994505494505</v>
      </c>
      <c r="L1288" s="209">
        <f t="shared" si="101"/>
        <v>21.8207613060939</v>
      </c>
      <c r="M1288" s="210">
        <f t="shared" si="104"/>
        <v>0</v>
      </c>
      <c r="N1288" s="91">
        <f t="shared" si="105"/>
        <v>0</v>
      </c>
    </row>
    <row r="1289" s="2" customFormat="1" spans="1:14">
      <c r="A1289" s="211">
        <v>46089</v>
      </c>
      <c r="B1289" s="203">
        <v>2205.34</v>
      </c>
      <c r="C1289" s="204">
        <v>102395</v>
      </c>
      <c r="D1289" s="205">
        <v>3037</v>
      </c>
      <c r="E1289" s="205">
        <v>0</v>
      </c>
      <c r="F1289" s="205">
        <v>0</v>
      </c>
      <c r="G1289" s="205">
        <v>46</v>
      </c>
      <c r="H1289" s="205">
        <v>20</v>
      </c>
      <c r="I1289" s="205">
        <v>5</v>
      </c>
      <c r="J1289" s="207">
        <f t="shared" si="102"/>
        <v>0.0296596513501636</v>
      </c>
      <c r="K1289" s="208">
        <f t="shared" si="103"/>
        <v>0.726157392163319</v>
      </c>
      <c r="L1289" s="209">
        <f t="shared" si="101"/>
        <v>21.9128632367372</v>
      </c>
      <c r="M1289" s="210">
        <f t="shared" si="104"/>
        <v>0</v>
      </c>
      <c r="N1289" s="91">
        <f t="shared" si="105"/>
        <v>0</v>
      </c>
    </row>
    <row r="1290" s="2" customFormat="1" spans="1:14">
      <c r="A1290" s="211">
        <v>46090</v>
      </c>
      <c r="B1290" s="203">
        <v>2204.73</v>
      </c>
      <c r="C1290" s="204">
        <v>61551</v>
      </c>
      <c r="D1290" s="205">
        <v>2006</v>
      </c>
      <c r="E1290" s="205">
        <v>2</v>
      </c>
      <c r="F1290" s="206">
        <v>30064</v>
      </c>
      <c r="G1290" s="205">
        <v>24</v>
      </c>
      <c r="H1290" s="205">
        <v>5</v>
      </c>
      <c r="I1290" s="205">
        <v>0</v>
      </c>
      <c r="J1290" s="207">
        <f t="shared" si="102"/>
        <v>0.032590859612354</v>
      </c>
      <c r="K1290" s="208">
        <f t="shared" si="103"/>
        <v>1.09906779661017</v>
      </c>
      <c r="L1290" s="209">
        <f t="shared" si="101"/>
        <v>21.5375750769081</v>
      </c>
      <c r="M1290" s="210">
        <f t="shared" si="104"/>
        <v>13.6361368512244</v>
      </c>
      <c r="N1290" s="91">
        <f t="shared" si="105"/>
        <v>0.000997008973080758</v>
      </c>
    </row>
    <row r="1291" s="2" customFormat="1" spans="1:14">
      <c r="A1291" s="211">
        <v>46091</v>
      </c>
      <c r="B1291" s="203">
        <v>2172.31</v>
      </c>
      <c r="C1291" s="204">
        <v>77667</v>
      </c>
      <c r="D1291" s="205">
        <v>2257</v>
      </c>
      <c r="E1291" s="205">
        <v>1</v>
      </c>
      <c r="F1291" s="206">
        <v>14752</v>
      </c>
      <c r="G1291" s="205">
        <v>35</v>
      </c>
      <c r="H1291" s="205">
        <v>29</v>
      </c>
      <c r="I1291" s="205">
        <v>3</v>
      </c>
      <c r="J1291" s="207">
        <f t="shared" si="102"/>
        <v>0.0290599611160467</v>
      </c>
      <c r="K1291" s="208">
        <f t="shared" si="103"/>
        <v>0.962476739034116</v>
      </c>
      <c r="L1291" s="209">
        <f t="shared" si="101"/>
        <v>35.8195642637813</v>
      </c>
      <c r="M1291" s="210">
        <f t="shared" si="104"/>
        <v>6.79092763003439</v>
      </c>
      <c r="N1291" s="91">
        <f t="shared" si="105"/>
        <v>0.000443066016836509</v>
      </c>
    </row>
    <row r="1292" s="2" customFormat="1" spans="1:14">
      <c r="A1292" s="211">
        <v>46092</v>
      </c>
      <c r="B1292" s="203">
        <v>2184.74</v>
      </c>
      <c r="C1292" s="204">
        <v>81864</v>
      </c>
      <c r="D1292" s="205">
        <v>2623</v>
      </c>
      <c r="E1292" s="205">
        <v>0</v>
      </c>
      <c r="F1292" s="205">
        <v>0</v>
      </c>
      <c r="G1292" s="205">
        <v>51</v>
      </c>
      <c r="H1292" s="205">
        <v>64</v>
      </c>
      <c r="I1292" s="205">
        <v>7</v>
      </c>
      <c r="J1292" s="207">
        <f t="shared" si="102"/>
        <v>0.0320409459591518</v>
      </c>
      <c r="K1292" s="208">
        <f t="shared" si="103"/>
        <v>0.832916507815478</v>
      </c>
      <c r="L1292" s="209">
        <f t="shared" si="101"/>
        <v>27.9695366114309</v>
      </c>
      <c r="M1292" s="210">
        <f t="shared" si="104"/>
        <v>0</v>
      </c>
      <c r="N1292" s="91">
        <f t="shared" si="105"/>
        <v>0</v>
      </c>
    </row>
    <row r="1293" s="2" customFormat="1" spans="1:14">
      <c r="A1293" s="211">
        <v>46093</v>
      </c>
      <c r="B1293" s="203">
        <v>2175.74</v>
      </c>
      <c r="C1293" s="204">
        <v>92716</v>
      </c>
      <c r="D1293" s="205">
        <v>2591</v>
      </c>
      <c r="E1293" s="205">
        <v>1</v>
      </c>
      <c r="F1293" s="206">
        <v>9996</v>
      </c>
      <c r="G1293" s="205">
        <v>42</v>
      </c>
      <c r="H1293" s="205">
        <v>62</v>
      </c>
      <c r="I1293" s="205">
        <v>5</v>
      </c>
      <c r="J1293" s="207">
        <f t="shared" si="102"/>
        <v>0.0279455541654083</v>
      </c>
      <c r="K1293" s="208">
        <f t="shared" si="103"/>
        <v>0.839729834040911</v>
      </c>
      <c r="L1293" s="209">
        <f t="shared" si="101"/>
        <v>26.6874328154011</v>
      </c>
      <c r="M1293" s="210">
        <f t="shared" si="104"/>
        <v>4.59429895116144</v>
      </c>
      <c r="N1293" s="91">
        <f t="shared" si="105"/>
        <v>0.000385951370127364</v>
      </c>
    </row>
    <row r="1294" s="2" customFormat="1" spans="1:14">
      <c r="A1294" s="211">
        <v>46094</v>
      </c>
      <c r="B1294" s="203">
        <v>2190.1</v>
      </c>
      <c r="C1294" s="204">
        <v>140553</v>
      </c>
      <c r="D1294" s="205">
        <v>2954</v>
      </c>
      <c r="E1294" s="205">
        <v>0</v>
      </c>
      <c r="F1294" s="205">
        <v>0</v>
      </c>
      <c r="G1294" s="205">
        <v>41</v>
      </c>
      <c r="H1294" s="205">
        <v>38</v>
      </c>
      <c r="I1294" s="205">
        <v>10</v>
      </c>
      <c r="J1294" s="207">
        <f t="shared" si="102"/>
        <v>0.021016982917476</v>
      </c>
      <c r="K1294" s="208">
        <f t="shared" si="103"/>
        <v>0.741401489505755</v>
      </c>
      <c r="L1294" s="209">
        <f t="shared" si="101"/>
        <v>23.4667155614996</v>
      </c>
      <c r="M1294" s="210">
        <f t="shared" si="104"/>
        <v>0</v>
      </c>
      <c r="N1294" s="91">
        <f t="shared" si="105"/>
        <v>0</v>
      </c>
    </row>
    <row r="1295" s="2" customFormat="1" spans="1:14">
      <c r="A1295" s="211">
        <v>46095</v>
      </c>
      <c r="B1295" s="203">
        <v>1959.96</v>
      </c>
      <c r="C1295" s="204">
        <v>111160</v>
      </c>
      <c r="D1295" s="205">
        <v>2702</v>
      </c>
      <c r="E1295" s="205">
        <v>0</v>
      </c>
      <c r="F1295" s="205">
        <v>0</v>
      </c>
      <c r="G1295" s="205">
        <v>39</v>
      </c>
      <c r="H1295" s="205">
        <v>46</v>
      </c>
      <c r="I1295" s="205">
        <v>2</v>
      </c>
      <c r="J1295" s="207">
        <f t="shared" si="102"/>
        <v>0.0243073047858942</v>
      </c>
      <c r="K1295" s="208">
        <f t="shared" si="103"/>
        <v>0.725373797187269</v>
      </c>
      <c r="L1295" s="209">
        <f t="shared" si="101"/>
        <v>15.5820224399337</v>
      </c>
      <c r="M1295" s="210">
        <f t="shared" si="104"/>
        <v>0</v>
      </c>
      <c r="N1295" s="91">
        <f t="shared" si="105"/>
        <v>0</v>
      </c>
    </row>
    <row r="1296" s="2" customFormat="1" spans="1:14">
      <c r="A1296" s="211">
        <v>46096</v>
      </c>
      <c r="B1296" s="203">
        <v>1078.59</v>
      </c>
      <c r="C1296" s="204">
        <v>45178</v>
      </c>
      <c r="D1296" s="205">
        <v>1261</v>
      </c>
      <c r="E1296" s="205">
        <v>0</v>
      </c>
      <c r="F1296" s="205">
        <v>0</v>
      </c>
      <c r="G1296" s="205">
        <v>13</v>
      </c>
      <c r="H1296" s="205">
        <v>16</v>
      </c>
      <c r="I1296" s="205">
        <v>1</v>
      </c>
      <c r="J1296" s="207">
        <f t="shared" si="102"/>
        <v>0.0279118154854133</v>
      </c>
      <c r="K1296" s="208">
        <f t="shared" si="103"/>
        <v>0.855344964314036</v>
      </c>
      <c r="L1296" s="209">
        <f t="shared" si="101"/>
        <v>17.6318819719323</v>
      </c>
      <c r="M1296" s="210">
        <f t="shared" si="104"/>
        <v>0</v>
      </c>
      <c r="N1296" s="91">
        <f t="shared" si="105"/>
        <v>0</v>
      </c>
    </row>
    <row r="1297" s="2" customFormat="1" spans="1:14">
      <c r="A1297" s="211">
        <v>46097</v>
      </c>
      <c r="B1297" s="203">
        <v>994.77</v>
      </c>
      <c r="C1297" s="204">
        <v>36088</v>
      </c>
      <c r="D1297" s="205">
        <v>1463</v>
      </c>
      <c r="E1297" s="205">
        <v>1</v>
      </c>
      <c r="F1297" s="206">
        <v>10490</v>
      </c>
      <c r="G1297" s="205">
        <v>30</v>
      </c>
      <c r="H1297" s="205">
        <v>14</v>
      </c>
      <c r="I1297" s="205">
        <v>1</v>
      </c>
      <c r="J1297" s="207">
        <f t="shared" si="102"/>
        <v>0.0405397916204833</v>
      </c>
      <c r="K1297" s="208">
        <f t="shared" si="103"/>
        <v>0.679952153110048</v>
      </c>
      <c r="L1297" s="209">
        <f t="shared" si="101"/>
        <v>23.8742308203108</v>
      </c>
      <c r="M1297" s="210">
        <f t="shared" si="104"/>
        <v>10.5451511404646</v>
      </c>
      <c r="N1297" s="91">
        <f t="shared" si="105"/>
        <v>0.000683526999316473</v>
      </c>
    </row>
    <row r="1298" s="2" customFormat="1" spans="1:14">
      <c r="A1298" s="211">
        <v>46098</v>
      </c>
      <c r="B1298" s="203">
        <v>1904.38</v>
      </c>
      <c r="C1298" s="204">
        <v>78585</v>
      </c>
      <c r="D1298" s="205">
        <v>2749</v>
      </c>
      <c r="E1298" s="205">
        <v>1</v>
      </c>
      <c r="F1298" s="206">
        <v>33830</v>
      </c>
      <c r="G1298" s="205">
        <v>36</v>
      </c>
      <c r="H1298" s="205">
        <v>65</v>
      </c>
      <c r="I1298" s="205">
        <v>2</v>
      </c>
      <c r="J1298" s="207">
        <f t="shared" si="102"/>
        <v>0.0349812305147293</v>
      </c>
      <c r="K1298" s="208">
        <f t="shared" si="103"/>
        <v>0.692753728628592</v>
      </c>
      <c r="L1298" s="209">
        <f t="shared" si="101"/>
        <v>27.5651185989803</v>
      </c>
      <c r="M1298" s="210">
        <f t="shared" si="104"/>
        <v>17.7643117445048</v>
      </c>
      <c r="N1298" s="91">
        <f t="shared" si="105"/>
        <v>0.000363768643142961</v>
      </c>
    </row>
    <row r="1299" s="2" customFormat="1" spans="1:14">
      <c r="A1299" s="211">
        <v>46099</v>
      </c>
      <c r="B1299" s="203">
        <v>1940.61</v>
      </c>
      <c r="C1299" s="204">
        <v>109577</v>
      </c>
      <c r="D1299" s="205">
        <v>2557</v>
      </c>
      <c r="E1299" s="205">
        <v>0</v>
      </c>
      <c r="F1299" s="205">
        <v>0</v>
      </c>
      <c r="G1299" s="205">
        <v>32</v>
      </c>
      <c r="H1299" s="205">
        <v>34</v>
      </c>
      <c r="I1299" s="205">
        <v>4</v>
      </c>
      <c r="J1299" s="207">
        <f t="shared" si="102"/>
        <v>0.0233351889538863</v>
      </c>
      <c r="K1299" s="208">
        <f t="shared" si="103"/>
        <v>0.758940164254986</v>
      </c>
      <c r="L1299" s="209">
        <f t="shared" si="101"/>
        <v>24.233377871095</v>
      </c>
      <c r="M1299" s="210">
        <f t="shared" si="104"/>
        <v>0</v>
      </c>
      <c r="N1299" s="91">
        <f t="shared" si="105"/>
        <v>0</v>
      </c>
    </row>
    <row r="1300" s="2" customFormat="1" spans="1:14">
      <c r="A1300" s="211">
        <v>46100</v>
      </c>
      <c r="B1300" s="203">
        <v>1858.62</v>
      </c>
      <c r="C1300" s="204">
        <v>98119</v>
      </c>
      <c r="D1300" s="205">
        <v>2354</v>
      </c>
      <c r="E1300" s="205">
        <v>0</v>
      </c>
      <c r="F1300" s="205">
        <v>0</v>
      </c>
      <c r="G1300" s="205">
        <v>25</v>
      </c>
      <c r="H1300" s="205">
        <v>23</v>
      </c>
      <c r="I1300" s="205">
        <v>1</v>
      </c>
      <c r="J1300" s="207">
        <f t="shared" si="102"/>
        <v>0.0239912758996728</v>
      </c>
      <c r="K1300" s="208">
        <f t="shared" si="103"/>
        <v>0.789558198810535</v>
      </c>
      <c r="L1300" s="209">
        <f t="shared" si="101"/>
        <v>17.7100121375836</v>
      </c>
      <c r="M1300" s="210">
        <f t="shared" si="104"/>
        <v>0</v>
      </c>
      <c r="N1300" s="91">
        <f t="shared" si="105"/>
        <v>0</v>
      </c>
    </row>
    <row r="1301" s="2" customFormat="1" spans="1:14">
      <c r="A1301" s="211">
        <v>46101</v>
      </c>
      <c r="B1301" s="203">
        <v>1815.68</v>
      </c>
      <c r="C1301" s="204">
        <v>95308</v>
      </c>
      <c r="D1301" s="205">
        <v>2858</v>
      </c>
      <c r="E1301" s="205">
        <v>4</v>
      </c>
      <c r="F1301" s="205">
        <v>41575</v>
      </c>
      <c r="G1301" s="205">
        <v>37</v>
      </c>
      <c r="H1301" s="205">
        <v>9</v>
      </c>
      <c r="I1301" s="205">
        <v>0</v>
      </c>
      <c r="J1301" s="207">
        <f t="shared" si="102"/>
        <v>0.0299869895496705</v>
      </c>
      <c r="K1301" s="208">
        <f t="shared" si="103"/>
        <v>0.635297410776767</v>
      </c>
      <c r="L1301" s="209">
        <f t="shared" si="101"/>
        <v>18.9425085865123</v>
      </c>
      <c r="M1301" s="210">
        <f t="shared" si="104"/>
        <v>22.8977573140642</v>
      </c>
      <c r="N1301" s="91">
        <f t="shared" si="105"/>
        <v>0.00139958012596221</v>
      </c>
    </row>
    <row r="1302" s="2" customFormat="1" spans="1:14">
      <c r="A1302" s="211">
        <v>46102</v>
      </c>
      <c r="B1302" s="203">
        <v>1298.05</v>
      </c>
      <c r="C1302" s="204">
        <v>50262</v>
      </c>
      <c r="D1302" s="205">
        <v>1361</v>
      </c>
      <c r="E1302" s="205">
        <v>4</v>
      </c>
      <c r="F1302" s="206">
        <v>32892</v>
      </c>
      <c r="G1302" s="205">
        <v>24</v>
      </c>
      <c r="H1302" s="205">
        <v>19</v>
      </c>
      <c r="I1302" s="205">
        <v>3</v>
      </c>
      <c r="J1302" s="207">
        <f t="shared" si="102"/>
        <v>0.0270781106999324</v>
      </c>
      <c r="K1302" s="208">
        <f t="shared" si="103"/>
        <v>0.953747244673035</v>
      </c>
      <c r="L1302" s="209">
        <f t="shared" si="101"/>
        <v>19.0506568178957</v>
      </c>
      <c r="M1302" s="210">
        <f t="shared" si="104"/>
        <v>25.3395477832133</v>
      </c>
      <c r="N1302" s="91">
        <f t="shared" si="105"/>
        <v>0.00293901542983101</v>
      </c>
    </row>
    <row r="1303" s="2" customFormat="1" spans="1:14">
      <c r="A1303" s="211">
        <v>46103</v>
      </c>
      <c r="B1303" s="203">
        <v>1084.69</v>
      </c>
      <c r="C1303" s="204">
        <v>50456</v>
      </c>
      <c r="D1303" s="205">
        <v>2280</v>
      </c>
      <c r="E1303" s="205">
        <v>0</v>
      </c>
      <c r="F1303" s="205">
        <v>0</v>
      </c>
      <c r="G1303" s="205">
        <v>27</v>
      </c>
      <c r="H1303" s="205">
        <v>49</v>
      </c>
      <c r="I1303" s="205">
        <v>1</v>
      </c>
      <c r="J1303" s="207">
        <f t="shared" si="102"/>
        <v>0.0451878864753449</v>
      </c>
      <c r="K1303" s="208">
        <f t="shared" si="103"/>
        <v>0.475741228070175</v>
      </c>
      <c r="L1303" s="209">
        <f t="shared" si="101"/>
        <v>25.8256734710119</v>
      </c>
      <c r="M1303" s="210">
        <f t="shared" si="104"/>
        <v>0</v>
      </c>
      <c r="N1303" s="91">
        <f t="shared" si="105"/>
        <v>0</v>
      </c>
    </row>
    <row r="1304" s="2" customFormat="1" spans="1:14">
      <c r="A1304" s="211">
        <v>46104</v>
      </c>
      <c r="B1304" s="203">
        <v>1280.41</v>
      </c>
      <c r="C1304" s="204">
        <v>54608</v>
      </c>
      <c r="D1304" s="205">
        <v>2038</v>
      </c>
      <c r="E1304" s="205">
        <v>3</v>
      </c>
      <c r="F1304" s="206">
        <v>34880</v>
      </c>
      <c r="G1304" s="205">
        <v>25</v>
      </c>
      <c r="H1304" s="205">
        <v>56</v>
      </c>
      <c r="I1304" s="205">
        <v>0</v>
      </c>
      <c r="J1304" s="207">
        <f t="shared" si="102"/>
        <v>0.037320539115148</v>
      </c>
      <c r="K1304" s="208">
        <f t="shared" si="103"/>
        <v>0.628267909715407</v>
      </c>
      <c r="L1304" s="209">
        <f t="shared" si="101"/>
        <v>21.4977406056762</v>
      </c>
      <c r="M1304" s="210">
        <f t="shared" si="104"/>
        <v>27.2412742793324</v>
      </c>
      <c r="N1304" s="91">
        <f t="shared" si="105"/>
        <v>0.0014720314033366</v>
      </c>
    </row>
    <row r="1305" s="2" customFormat="1" spans="1:14">
      <c r="A1305" s="211">
        <v>46105</v>
      </c>
      <c r="B1305" s="203">
        <v>1503.47</v>
      </c>
      <c r="C1305" s="204">
        <v>68590</v>
      </c>
      <c r="D1305" s="205">
        <v>2498</v>
      </c>
      <c r="E1305" s="205">
        <v>1</v>
      </c>
      <c r="F1305" s="206">
        <v>8392</v>
      </c>
      <c r="G1305" s="205">
        <v>31</v>
      </c>
      <c r="H1305" s="205">
        <v>45</v>
      </c>
      <c r="I1305" s="205">
        <v>2</v>
      </c>
      <c r="J1305" s="207">
        <f t="shared" si="102"/>
        <v>0.036419303105409</v>
      </c>
      <c r="K1305" s="208">
        <f t="shared" si="103"/>
        <v>0.601869495596477</v>
      </c>
      <c r="L1305" s="209">
        <f t="shared" si="101"/>
        <v>23.4472970993261</v>
      </c>
      <c r="M1305" s="210">
        <f t="shared" si="104"/>
        <v>5.58175420859744</v>
      </c>
      <c r="N1305" s="91">
        <f t="shared" si="105"/>
        <v>0.000400320256204964</v>
      </c>
    </row>
    <row r="1306" s="2" customFormat="1" spans="1:14">
      <c r="A1306" s="211">
        <v>46106</v>
      </c>
      <c r="B1306" s="203">
        <v>1315.18</v>
      </c>
      <c r="C1306" s="204">
        <v>46345</v>
      </c>
      <c r="D1306" s="205">
        <v>1599</v>
      </c>
      <c r="E1306" s="205">
        <v>1</v>
      </c>
      <c r="F1306" s="206">
        <v>5958</v>
      </c>
      <c r="G1306" s="205">
        <v>24</v>
      </c>
      <c r="H1306" s="205">
        <v>28</v>
      </c>
      <c r="I1306" s="205">
        <v>4</v>
      </c>
      <c r="J1306" s="207">
        <f t="shared" si="102"/>
        <v>0.0345021037868163</v>
      </c>
      <c r="K1306" s="208">
        <f t="shared" si="103"/>
        <v>0.822501563477173</v>
      </c>
      <c r="L1306" s="209">
        <f t="shared" si="101"/>
        <v>21.9196675900277</v>
      </c>
      <c r="M1306" s="210">
        <f t="shared" si="104"/>
        <v>4.53017837862498</v>
      </c>
      <c r="N1306" s="91">
        <f t="shared" si="105"/>
        <v>0.000625390869293308</v>
      </c>
    </row>
    <row r="1307" s="2" customFormat="1" spans="1:14">
      <c r="A1307" s="211">
        <v>46107</v>
      </c>
      <c r="B1307" s="203">
        <v>1301.45</v>
      </c>
      <c r="C1307" s="204">
        <v>44957</v>
      </c>
      <c r="D1307" s="205">
        <v>1781</v>
      </c>
      <c r="E1307" s="205">
        <v>0</v>
      </c>
      <c r="F1307" s="205">
        <v>0</v>
      </c>
      <c r="G1307" s="205">
        <v>19</v>
      </c>
      <c r="H1307" s="205">
        <v>31</v>
      </c>
      <c r="I1307" s="205">
        <v>1</v>
      </c>
      <c r="J1307" s="207">
        <f t="shared" si="102"/>
        <v>0.0396156327157061</v>
      </c>
      <c r="K1307" s="208">
        <f t="shared" si="103"/>
        <v>0.730741156653565</v>
      </c>
      <c r="L1307" s="209">
        <f t="shared" si="101"/>
        <v>28.3780343079081</v>
      </c>
      <c r="M1307" s="210">
        <f t="shared" si="104"/>
        <v>0</v>
      </c>
      <c r="N1307" s="91">
        <f t="shared" si="105"/>
        <v>0</v>
      </c>
    </row>
    <row r="1308" s="2" customFormat="1" spans="1:14">
      <c r="A1308" s="211">
        <v>46108</v>
      </c>
      <c r="B1308" s="203">
        <v>1288.71</v>
      </c>
      <c r="C1308" s="204">
        <v>33440</v>
      </c>
      <c r="D1308" s="205">
        <v>1153</v>
      </c>
      <c r="E1308" s="205">
        <v>1</v>
      </c>
      <c r="F1308" s="205">
        <v>9821</v>
      </c>
      <c r="G1308" s="205">
        <v>30</v>
      </c>
      <c r="H1308" s="205">
        <v>57</v>
      </c>
      <c r="I1308" s="205">
        <v>2</v>
      </c>
      <c r="J1308" s="207">
        <f t="shared" si="102"/>
        <v>0.0344796650717703</v>
      </c>
      <c r="K1308" s="208">
        <f t="shared" si="103"/>
        <v>1.11770164787511</v>
      </c>
      <c r="L1308" s="209">
        <f t="shared" si="101"/>
        <v>28.9487732722379</v>
      </c>
      <c r="M1308" s="210">
        <f t="shared" si="104"/>
        <v>7.62079909366731</v>
      </c>
      <c r="N1308" s="91">
        <f t="shared" si="105"/>
        <v>0.000867302688638335</v>
      </c>
    </row>
    <row r="1309" s="2" customFormat="1" spans="1:14">
      <c r="A1309" s="211">
        <v>46109</v>
      </c>
      <c r="B1309" s="203">
        <v>1284.08</v>
      </c>
      <c r="C1309" s="204">
        <v>30696</v>
      </c>
      <c r="D1309" s="205">
        <v>1524</v>
      </c>
      <c r="E1309" s="205">
        <v>0</v>
      </c>
      <c r="F1309" s="205">
        <v>0</v>
      </c>
      <c r="G1309" s="205">
        <v>24</v>
      </c>
      <c r="H1309" s="205">
        <v>108</v>
      </c>
      <c r="I1309" s="205">
        <v>5</v>
      </c>
      <c r="J1309" s="207">
        <f t="shared" si="102"/>
        <v>0.0496481626270524</v>
      </c>
      <c r="K1309" s="208">
        <f t="shared" si="103"/>
        <v>0.84257217847769</v>
      </c>
      <c r="L1309" s="209">
        <f t="shared" si="101"/>
        <v>38.5379784688995</v>
      </c>
      <c r="M1309" s="210">
        <f t="shared" si="104"/>
        <v>0</v>
      </c>
      <c r="N1309" s="91">
        <f t="shared" si="105"/>
        <v>0</v>
      </c>
    </row>
    <row r="1310" s="2" customFormat="1" spans="1:14">
      <c r="A1310" s="211">
        <v>46110</v>
      </c>
      <c r="B1310" s="203">
        <v>1280.12</v>
      </c>
      <c r="C1310" s="204">
        <v>27308</v>
      </c>
      <c r="D1310" s="205">
        <v>1159</v>
      </c>
      <c r="E1310" s="205">
        <v>3</v>
      </c>
      <c r="F1310" s="206">
        <v>25320</v>
      </c>
      <c r="G1310" s="205">
        <v>22</v>
      </c>
      <c r="H1310" s="205">
        <v>38</v>
      </c>
      <c r="I1310" s="205">
        <v>2</v>
      </c>
      <c r="J1310" s="207">
        <f t="shared" si="102"/>
        <v>0.0424417753039402</v>
      </c>
      <c r="K1310" s="208">
        <f t="shared" si="103"/>
        <v>1.10450388265746</v>
      </c>
      <c r="L1310" s="209">
        <f t="shared" si="101"/>
        <v>41.8321605420902</v>
      </c>
      <c r="M1310" s="210">
        <f t="shared" si="104"/>
        <v>19.7793956816548</v>
      </c>
      <c r="N1310" s="91">
        <f t="shared" si="105"/>
        <v>0.00258843830888697</v>
      </c>
    </row>
    <row r="1311" s="2" customFormat="1" spans="1:14">
      <c r="A1311" s="211">
        <v>46111</v>
      </c>
      <c r="B1311" s="203">
        <v>1327.47</v>
      </c>
      <c r="C1311" s="204">
        <v>36814</v>
      </c>
      <c r="D1311" s="205">
        <v>1253</v>
      </c>
      <c r="E1311" s="205">
        <v>0</v>
      </c>
      <c r="F1311" s="205">
        <v>0</v>
      </c>
      <c r="G1311" s="205">
        <v>30</v>
      </c>
      <c r="H1311" s="205">
        <v>31</v>
      </c>
      <c r="I1311" s="205">
        <v>3</v>
      </c>
      <c r="J1311" s="207">
        <f t="shared" si="102"/>
        <v>0.0340359645786929</v>
      </c>
      <c r="K1311" s="208">
        <f t="shared" si="103"/>
        <v>1.05943335993615</v>
      </c>
      <c r="L1311" s="209">
        <f t="shared" si="101"/>
        <v>46.8771056100776</v>
      </c>
      <c r="M1311" s="210">
        <f t="shared" si="104"/>
        <v>0</v>
      </c>
      <c r="N1311" s="91">
        <f t="shared" si="105"/>
        <v>0</v>
      </c>
    </row>
    <row r="1312" s="2" customFormat="1" spans="1:14">
      <c r="A1312" s="211">
        <v>46112</v>
      </c>
      <c r="B1312" s="203">
        <v>1169.67</v>
      </c>
      <c r="C1312" s="204">
        <v>27944</v>
      </c>
      <c r="D1312" s="205">
        <v>1049</v>
      </c>
      <c r="E1312" s="205">
        <v>1</v>
      </c>
      <c r="F1312" s="206">
        <v>7354</v>
      </c>
      <c r="G1312" s="205">
        <v>36</v>
      </c>
      <c r="H1312" s="205">
        <v>32</v>
      </c>
      <c r="I1312" s="205">
        <v>3</v>
      </c>
      <c r="J1312" s="207">
        <f t="shared" si="102"/>
        <v>0.0375393644431721</v>
      </c>
      <c r="K1312" s="208">
        <f t="shared" si="103"/>
        <v>1.11503336510963</v>
      </c>
      <c r="L1312" s="209">
        <f t="shared" si="101"/>
        <v>36.0588363122725</v>
      </c>
      <c r="M1312" s="210">
        <f t="shared" si="104"/>
        <v>6.28724341053459</v>
      </c>
      <c r="N1312" s="91">
        <f t="shared" si="105"/>
        <v>0.000953288846520496</v>
      </c>
    </row>
    <row r="1313" s="2" customFormat="1" spans="1:14">
      <c r="A1313" s="211">
        <v>46113</v>
      </c>
      <c r="B1313" s="203">
        <v>1270.71</v>
      </c>
      <c r="C1313" s="204">
        <v>46881</v>
      </c>
      <c r="D1313" s="205">
        <v>1472</v>
      </c>
      <c r="E1313" s="205">
        <v>1</v>
      </c>
      <c r="F1313" s="206">
        <v>10797</v>
      </c>
      <c r="G1313" s="205">
        <v>32</v>
      </c>
      <c r="H1313" s="205">
        <v>35</v>
      </c>
      <c r="I1313" s="205">
        <v>4</v>
      </c>
      <c r="J1313" s="207">
        <f t="shared" si="102"/>
        <v>0.0313986476397688</v>
      </c>
      <c r="K1313" s="208">
        <f t="shared" si="103"/>
        <v>0.863254076086957</v>
      </c>
      <c r="L1313" s="209">
        <f t="shared" si="101"/>
        <v>41.8576438591469</v>
      </c>
      <c r="M1313" s="210">
        <f t="shared" si="104"/>
        <v>8.49682460986378</v>
      </c>
      <c r="N1313" s="91">
        <f t="shared" si="105"/>
        <v>0.000679347826086957</v>
      </c>
    </row>
    <row r="1314" s="2" customFormat="1" spans="1:14">
      <c r="A1314" s="211">
        <v>46114</v>
      </c>
      <c r="B1314" s="203">
        <v>1240.5</v>
      </c>
      <c r="C1314" s="204">
        <v>43140</v>
      </c>
      <c r="D1314" s="205">
        <v>1673</v>
      </c>
      <c r="E1314" s="205">
        <v>0</v>
      </c>
      <c r="F1314" s="205">
        <v>0</v>
      </c>
      <c r="G1314" s="205">
        <v>20</v>
      </c>
      <c r="H1314" s="205">
        <v>54</v>
      </c>
      <c r="I1314" s="205">
        <v>5</v>
      </c>
      <c r="J1314" s="207">
        <f t="shared" si="102"/>
        <v>0.0387807139545665</v>
      </c>
      <c r="K1314" s="208">
        <f t="shared" si="103"/>
        <v>0.74148236700538</v>
      </c>
      <c r="L1314" s="209">
        <f t="shared" si="101"/>
        <v>27.1050105586485</v>
      </c>
      <c r="M1314" s="210">
        <f t="shared" si="104"/>
        <v>0</v>
      </c>
      <c r="N1314" s="91">
        <f t="shared" si="105"/>
        <v>0</v>
      </c>
    </row>
    <row r="1315" s="2" customFormat="1" spans="1:14">
      <c r="A1315" s="211">
        <v>46115</v>
      </c>
      <c r="B1315" s="203">
        <v>1258.64</v>
      </c>
      <c r="C1315" s="204">
        <v>52742</v>
      </c>
      <c r="D1315" s="205">
        <v>2087</v>
      </c>
      <c r="E1315" s="205">
        <v>3</v>
      </c>
      <c r="F1315" s="206">
        <v>32344.02</v>
      </c>
      <c r="G1315" s="205">
        <v>39</v>
      </c>
      <c r="H1315" s="205">
        <v>86</v>
      </c>
      <c r="I1315" s="205">
        <v>8</v>
      </c>
      <c r="J1315" s="207">
        <f t="shared" si="102"/>
        <v>0.0395699821773918</v>
      </c>
      <c r="K1315" s="208">
        <f t="shared" si="103"/>
        <v>0.603085769046478</v>
      </c>
      <c r="L1315" s="209">
        <f t="shared" si="101"/>
        <v>28.7552155771905</v>
      </c>
      <c r="M1315" s="210">
        <f t="shared" si="104"/>
        <v>25.6975942286913</v>
      </c>
      <c r="N1315" s="91">
        <f t="shared" si="105"/>
        <v>0.00143747005270724</v>
      </c>
    </row>
    <row r="1316" s="2" customFormat="1" spans="1:14">
      <c r="A1316" s="211">
        <v>46116</v>
      </c>
      <c r="B1316" s="203">
        <v>1280.35</v>
      </c>
      <c r="C1316" s="204">
        <v>67052</v>
      </c>
      <c r="D1316" s="205">
        <v>2335</v>
      </c>
      <c r="E1316" s="205">
        <v>2</v>
      </c>
      <c r="F1316" s="206">
        <v>24295.01</v>
      </c>
      <c r="G1316" s="205">
        <v>21</v>
      </c>
      <c r="H1316" s="205">
        <v>87</v>
      </c>
      <c r="I1316" s="205">
        <v>1</v>
      </c>
      <c r="J1316" s="207">
        <f t="shared" si="102"/>
        <v>0.0348237189047307</v>
      </c>
      <c r="K1316" s="208">
        <f t="shared" si="103"/>
        <v>0.548329764453961</v>
      </c>
      <c r="L1316" s="209">
        <f t="shared" si="101"/>
        <v>23.8640931326078</v>
      </c>
      <c r="M1316" s="210">
        <f t="shared" si="104"/>
        <v>18.9752880071855</v>
      </c>
      <c r="N1316" s="91">
        <f t="shared" si="105"/>
        <v>0.000856531049250535</v>
      </c>
    </row>
    <row r="1317" s="2" customFormat="1" spans="1:14">
      <c r="A1317" s="211">
        <v>46117</v>
      </c>
      <c r="B1317" s="203">
        <v>1289.91</v>
      </c>
      <c r="C1317" s="204">
        <v>70745</v>
      </c>
      <c r="D1317" s="205">
        <v>2876</v>
      </c>
      <c r="E1317" s="205">
        <v>3</v>
      </c>
      <c r="F1317" s="206">
        <v>24035</v>
      </c>
      <c r="G1317" s="205">
        <v>24</v>
      </c>
      <c r="H1317" s="205">
        <v>70</v>
      </c>
      <c r="I1317" s="205">
        <v>1</v>
      </c>
      <c r="J1317" s="207">
        <f t="shared" si="102"/>
        <v>0.0406530496854901</v>
      </c>
      <c r="K1317" s="208">
        <f t="shared" si="103"/>
        <v>0.448508344923505</v>
      </c>
      <c r="L1317" s="209">
        <f t="shared" si="101"/>
        <v>19.0948815844419</v>
      </c>
      <c r="M1317" s="210">
        <f t="shared" si="104"/>
        <v>18.6330829282663</v>
      </c>
      <c r="N1317" s="91">
        <f t="shared" si="105"/>
        <v>0.00104311543810848</v>
      </c>
    </row>
    <row r="1318" s="2" customFormat="1" spans="1:14">
      <c r="A1318" s="211">
        <v>46118</v>
      </c>
      <c r="B1318" s="203">
        <v>1271.32</v>
      </c>
      <c r="C1318" s="204">
        <v>77441</v>
      </c>
      <c r="D1318" s="205">
        <v>2961</v>
      </c>
      <c r="E1318" s="205">
        <v>0</v>
      </c>
      <c r="F1318" s="205">
        <v>0</v>
      </c>
      <c r="G1318" s="205">
        <v>19</v>
      </c>
      <c r="H1318" s="205">
        <v>68</v>
      </c>
      <c r="I1318" s="205">
        <v>4</v>
      </c>
      <c r="J1318" s="207">
        <f t="shared" si="102"/>
        <v>0.0382355599746904</v>
      </c>
      <c r="K1318" s="208">
        <f t="shared" si="103"/>
        <v>0.42935494765282</v>
      </c>
      <c r="L1318" s="209">
        <f t="shared" si="101"/>
        <v>18.2332320305322</v>
      </c>
      <c r="M1318" s="210">
        <f t="shared" si="104"/>
        <v>0</v>
      </c>
      <c r="N1318" s="91">
        <f t="shared" si="105"/>
        <v>0</v>
      </c>
    </row>
    <row r="1319" s="2" customFormat="1" spans="1:14">
      <c r="A1319" s="211">
        <v>46119</v>
      </c>
      <c r="B1319" s="203">
        <v>736.5</v>
      </c>
      <c r="C1319" s="204">
        <v>28469</v>
      </c>
      <c r="D1319" s="205">
        <v>1194</v>
      </c>
      <c r="E1319" s="205">
        <v>1</v>
      </c>
      <c r="F1319" s="206">
        <v>8492</v>
      </c>
      <c r="G1319" s="205">
        <v>20</v>
      </c>
      <c r="H1319" s="205">
        <v>43</v>
      </c>
      <c r="I1319" s="205">
        <v>6</v>
      </c>
      <c r="J1319" s="207">
        <f t="shared" si="102"/>
        <v>0.0419403561768942</v>
      </c>
      <c r="K1319" s="208">
        <f t="shared" si="103"/>
        <v>0.616834170854271</v>
      </c>
      <c r="L1319" s="209">
        <f t="shared" si="101"/>
        <v>16.4166268514095</v>
      </c>
      <c r="M1319" s="210">
        <f t="shared" si="104"/>
        <v>11.530210454854</v>
      </c>
      <c r="N1319" s="91">
        <f t="shared" si="105"/>
        <v>0.000837520938023451</v>
      </c>
    </row>
    <row r="1320" s="2" customFormat="1" spans="1:14">
      <c r="A1320" s="211">
        <v>46120</v>
      </c>
      <c r="B1320" s="203">
        <v>747.7</v>
      </c>
      <c r="C1320" s="204">
        <v>35262</v>
      </c>
      <c r="D1320" s="205">
        <v>1210</v>
      </c>
      <c r="E1320" s="205">
        <v>0</v>
      </c>
      <c r="F1320" s="205">
        <v>0</v>
      </c>
      <c r="G1320" s="205">
        <v>17</v>
      </c>
      <c r="H1320" s="205">
        <v>30</v>
      </c>
      <c r="I1320" s="205">
        <v>1</v>
      </c>
      <c r="J1320" s="207">
        <f t="shared" si="102"/>
        <v>0.0343145595825535</v>
      </c>
      <c r="K1320" s="208">
        <f t="shared" si="103"/>
        <v>0.617933884297521</v>
      </c>
      <c r="L1320" s="209">
        <f t="shared" si="101"/>
        <v>25.8702448277073</v>
      </c>
      <c r="M1320" s="210">
        <f t="shared" si="104"/>
        <v>0</v>
      </c>
      <c r="N1320" s="91">
        <f t="shared" si="105"/>
        <v>0</v>
      </c>
    </row>
    <row r="1321" s="2" customFormat="1" spans="1:14">
      <c r="A1321" s="211">
        <v>46121</v>
      </c>
      <c r="B1321" s="203">
        <v>735.23</v>
      </c>
      <c r="C1321" s="204">
        <v>29906</v>
      </c>
      <c r="D1321" s="205">
        <v>1158</v>
      </c>
      <c r="E1321" s="205">
        <v>1</v>
      </c>
      <c r="F1321" s="206">
        <v>5484</v>
      </c>
      <c r="G1321" s="205">
        <v>25</v>
      </c>
      <c r="H1321" s="205">
        <v>32</v>
      </c>
      <c r="I1321" s="205">
        <v>0</v>
      </c>
      <c r="J1321" s="207">
        <f t="shared" si="102"/>
        <v>0.0387213268240487</v>
      </c>
      <c r="K1321" s="208">
        <f t="shared" si="103"/>
        <v>0.634913644214162</v>
      </c>
      <c r="L1321" s="209">
        <f t="shared" si="101"/>
        <v>21.204129090806</v>
      </c>
      <c r="M1321" s="210">
        <f t="shared" si="104"/>
        <v>7.45889041524421</v>
      </c>
      <c r="N1321" s="91">
        <f t="shared" si="105"/>
        <v>0.000863557858376511</v>
      </c>
    </row>
    <row r="1322" s="2" customFormat="1" spans="1:14">
      <c r="A1322" s="211">
        <v>46122</v>
      </c>
      <c r="B1322" s="203">
        <v>736.55</v>
      </c>
      <c r="C1322" s="204">
        <v>33653</v>
      </c>
      <c r="D1322" s="205">
        <v>1391</v>
      </c>
      <c r="E1322" s="205">
        <v>4</v>
      </c>
      <c r="F1322" s="206">
        <v>71690.06</v>
      </c>
      <c r="G1322" s="205">
        <v>9</v>
      </c>
      <c r="H1322" s="205">
        <v>36</v>
      </c>
      <c r="I1322" s="205">
        <v>1</v>
      </c>
      <c r="J1322" s="207">
        <f t="shared" si="102"/>
        <v>0.0413336106736398</v>
      </c>
      <c r="K1322" s="208">
        <f t="shared" si="103"/>
        <v>0.529511143062545</v>
      </c>
      <c r="L1322" s="209">
        <f t="shared" si="101"/>
        <v>24.5846987226643</v>
      </c>
      <c r="M1322" s="210">
        <f t="shared" si="104"/>
        <v>97.3322381372616</v>
      </c>
      <c r="N1322" s="91">
        <f t="shared" si="105"/>
        <v>0.00287562904385334</v>
      </c>
    </row>
    <row r="1323" s="2" customFormat="1" spans="1:14">
      <c r="A1323" s="211">
        <v>46123</v>
      </c>
      <c r="B1323" s="203">
        <v>730.06</v>
      </c>
      <c r="C1323" s="204">
        <v>25410</v>
      </c>
      <c r="D1323" s="205">
        <v>1372</v>
      </c>
      <c r="E1323" s="205">
        <v>0</v>
      </c>
      <c r="F1323" s="205">
        <v>0</v>
      </c>
      <c r="G1323" s="205">
        <v>13</v>
      </c>
      <c r="H1323" s="205">
        <v>69</v>
      </c>
      <c r="I1323" s="205">
        <v>1</v>
      </c>
      <c r="J1323" s="207">
        <f t="shared" si="102"/>
        <v>0.0539944903581267</v>
      </c>
      <c r="K1323" s="208">
        <f t="shared" si="103"/>
        <v>0.532113702623907</v>
      </c>
      <c r="L1323" s="209">
        <f t="shared" si="101"/>
        <v>21.8866074347012</v>
      </c>
      <c r="M1323" s="210">
        <f t="shared" si="104"/>
        <v>0</v>
      </c>
      <c r="N1323" s="91">
        <f t="shared" si="105"/>
        <v>0</v>
      </c>
    </row>
    <row r="1324" s="2" customFormat="1" spans="1:14">
      <c r="A1324" s="211">
        <v>46124</v>
      </c>
      <c r="B1324" s="203">
        <v>733.46</v>
      </c>
      <c r="C1324" s="204">
        <v>33430</v>
      </c>
      <c r="D1324" s="205">
        <v>1808</v>
      </c>
      <c r="E1324" s="205">
        <v>2</v>
      </c>
      <c r="F1324" s="206">
        <v>17226</v>
      </c>
      <c r="G1324" s="205">
        <v>20</v>
      </c>
      <c r="H1324" s="205">
        <v>53</v>
      </c>
      <c r="I1324" s="205">
        <v>5</v>
      </c>
      <c r="J1324" s="207">
        <f t="shared" si="102"/>
        <v>0.0540831588393658</v>
      </c>
      <c r="K1324" s="208">
        <f t="shared" si="103"/>
        <v>0.405674778761062</v>
      </c>
      <c r="L1324" s="209">
        <f t="shared" si="101"/>
        <v>28.7312081857536</v>
      </c>
      <c r="M1324" s="210">
        <f t="shared" si="104"/>
        <v>23.48594333706</v>
      </c>
      <c r="N1324" s="91">
        <f t="shared" si="105"/>
        <v>0.00110619469026549</v>
      </c>
    </row>
    <row r="1325" s="2" customFormat="1" spans="1:14">
      <c r="A1325" s="211">
        <v>46125</v>
      </c>
      <c r="B1325" s="203">
        <v>922.65</v>
      </c>
      <c r="C1325" s="204">
        <v>38165</v>
      </c>
      <c r="D1325" s="205">
        <v>1293</v>
      </c>
      <c r="E1325" s="205">
        <v>0</v>
      </c>
      <c r="F1325" s="205">
        <v>0</v>
      </c>
      <c r="G1325" s="205">
        <v>22</v>
      </c>
      <c r="H1325" s="205">
        <v>11</v>
      </c>
      <c r="I1325" s="205">
        <v>3</v>
      </c>
      <c r="J1325" s="207">
        <f t="shared" si="102"/>
        <v>0.0338792086990698</v>
      </c>
      <c r="K1325" s="208">
        <f t="shared" si="103"/>
        <v>0.713573085846868</v>
      </c>
      <c r="L1325" s="209">
        <f t="shared" si="101"/>
        <v>21.9401734968591</v>
      </c>
      <c r="M1325" s="210">
        <f t="shared" si="104"/>
        <v>0</v>
      </c>
      <c r="N1325" s="91">
        <f t="shared" si="105"/>
        <v>0</v>
      </c>
    </row>
    <row r="1326" s="2" customFormat="1" spans="1:14">
      <c r="A1326" s="211">
        <v>46126</v>
      </c>
      <c r="B1326" s="203">
        <v>799.47</v>
      </c>
      <c r="C1326" s="204">
        <v>27015</v>
      </c>
      <c r="D1326" s="205">
        <v>691</v>
      </c>
      <c r="E1326" s="205">
        <v>4</v>
      </c>
      <c r="F1326" s="206">
        <v>31568</v>
      </c>
      <c r="G1326" s="205">
        <v>33</v>
      </c>
      <c r="H1326" s="205">
        <v>7</v>
      </c>
      <c r="I1326" s="205">
        <v>1</v>
      </c>
      <c r="J1326" s="207">
        <f t="shared" si="102"/>
        <v>0.0255783823801592</v>
      </c>
      <c r="K1326" s="208">
        <f t="shared" si="103"/>
        <v>1.15697539797395</v>
      </c>
      <c r="L1326" s="209">
        <f t="shared" si="101"/>
        <v>24.1752914974453</v>
      </c>
      <c r="M1326" s="210">
        <f t="shared" si="104"/>
        <v>39.4861595807222</v>
      </c>
      <c r="N1326" s="91">
        <f t="shared" si="105"/>
        <v>0.00578871201157742</v>
      </c>
    </row>
    <row r="1327" s="2" customFormat="1" spans="1:14">
      <c r="A1327" s="3"/>
      <c r="B1327" s="4"/>
      <c r="C1327" s="5"/>
      <c r="D1327" s="6"/>
      <c r="E1327" s="3"/>
      <c r="F1327" s="7"/>
      <c r="G1327" s="3"/>
      <c r="H1327" s="3"/>
      <c r="I1327" s="3"/>
      <c r="J1327" s="8"/>
      <c r="K1327" s="9"/>
      <c r="L1327" s="10"/>
      <c r="M1327" s="3"/>
      <c r="N1327" s="11"/>
    </row>
    <row r="1328" s="2" customFormat="1" spans="1:14">
      <c r="A1328" s="3"/>
      <c r="B1328" s="4"/>
      <c r="C1328" s="5"/>
      <c r="D1328" s="6"/>
      <c r="E1328" s="3"/>
      <c r="F1328" s="7"/>
      <c r="G1328" s="3"/>
      <c r="H1328" s="3"/>
      <c r="I1328" s="3"/>
      <c r="J1328" s="8"/>
      <c r="K1328" s="9"/>
      <c r="L1328" s="10"/>
      <c r="M1328" s="3"/>
      <c r="N1328" s="11"/>
    </row>
    <row r="1329" s="2" customFormat="1" spans="1:14">
      <c r="A1329" s="3"/>
      <c r="B1329" s="4"/>
      <c r="C1329" s="5"/>
      <c r="D1329" s="6"/>
      <c r="E1329" s="3"/>
      <c r="F1329" s="7"/>
      <c r="G1329" s="3"/>
      <c r="H1329" s="3"/>
      <c r="I1329" s="3"/>
      <c r="J1329" s="8"/>
      <c r="K1329" s="9"/>
      <c r="L1329" s="10"/>
      <c r="M1329" s="3"/>
      <c r="N1329" s="11"/>
    </row>
    <row r="1330" s="2" customFormat="1" spans="1:14">
      <c r="A1330" s="3"/>
      <c r="B1330" s="4"/>
      <c r="C1330" s="5"/>
      <c r="D1330" s="6"/>
      <c r="E1330" s="3"/>
      <c r="F1330" s="7"/>
      <c r="G1330" s="3"/>
      <c r="H1330" s="3"/>
      <c r="I1330" s="3"/>
      <c r="J1330" s="8"/>
      <c r="K1330" s="9"/>
      <c r="L1330" s="10"/>
      <c r="M1330" s="3"/>
      <c r="N1330" s="11"/>
    </row>
    <row r="1331" s="2" customFormat="1" spans="1:14">
      <c r="A1331" s="3"/>
      <c r="B1331" s="4"/>
      <c r="C1331" s="5"/>
      <c r="D1331" s="6"/>
      <c r="E1331" s="3"/>
      <c r="F1331" s="7"/>
      <c r="G1331" s="3"/>
      <c r="H1331" s="3"/>
      <c r="I1331" s="3"/>
      <c r="J1331" s="8"/>
      <c r="K1331" s="9"/>
      <c r="L1331" s="10"/>
      <c r="M1331" s="3"/>
      <c r="N1331" s="11"/>
    </row>
    <row r="1332" s="2" customFormat="1" spans="1:14">
      <c r="A1332" s="3"/>
      <c r="B1332" s="4"/>
      <c r="C1332" s="5"/>
      <c r="D1332" s="6"/>
      <c r="E1332" s="3"/>
      <c r="F1332" s="7"/>
      <c r="G1332" s="3"/>
      <c r="H1332" s="3"/>
      <c r="I1332" s="3"/>
      <c r="J1332" s="8"/>
      <c r="K1332" s="9"/>
      <c r="L1332" s="10"/>
      <c r="M1332" s="3"/>
      <c r="N1332" s="11"/>
    </row>
    <row r="1333" s="2" customFormat="1" spans="1:14">
      <c r="A1333" s="3"/>
      <c r="B1333" s="4"/>
      <c r="C1333" s="5"/>
      <c r="D1333" s="6"/>
      <c r="E1333" s="3"/>
      <c r="F1333" s="7"/>
      <c r="G1333" s="3"/>
      <c r="H1333" s="3"/>
      <c r="I1333" s="3"/>
      <c r="J1333" s="8"/>
      <c r="K1333" s="9"/>
      <c r="L1333" s="10"/>
      <c r="M1333" s="3"/>
      <c r="N1333" s="11"/>
    </row>
    <row r="1334" s="2" customFormat="1" spans="1:14">
      <c r="A1334" s="3"/>
      <c r="B1334" s="4"/>
      <c r="C1334" s="5"/>
      <c r="D1334" s="6"/>
      <c r="E1334" s="3"/>
      <c r="F1334" s="7"/>
      <c r="G1334" s="3"/>
      <c r="H1334" s="3"/>
      <c r="I1334" s="3"/>
      <c r="J1334" s="8"/>
      <c r="K1334" s="9"/>
      <c r="L1334" s="10"/>
      <c r="M1334" s="3"/>
      <c r="N1334" s="11"/>
    </row>
    <row r="1335" s="2" customFormat="1" spans="1:14">
      <c r="A1335" s="3"/>
      <c r="B1335" s="4"/>
      <c r="C1335" s="5"/>
      <c r="D1335" s="6"/>
      <c r="E1335" s="3"/>
      <c r="F1335" s="7"/>
      <c r="G1335" s="3"/>
      <c r="H1335" s="3"/>
      <c r="I1335" s="3"/>
      <c r="J1335" s="8"/>
      <c r="K1335" s="9"/>
      <c r="L1335" s="10"/>
      <c r="M1335" s="3"/>
      <c r="N1335" s="11"/>
    </row>
    <row r="1336" s="2" customFormat="1" spans="1:14">
      <c r="A1336" s="3"/>
      <c r="B1336" s="4"/>
      <c r="C1336" s="5"/>
      <c r="D1336" s="6"/>
      <c r="E1336" s="3"/>
      <c r="F1336" s="7"/>
      <c r="G1336" s="3"/>
      <c r="H1336" s="3"/>
      <c r="I1336" s="3"/>
      <c r="J1336" s="8"/>
      <c r="K1336" s="9"/>
      <c r="L1336" s="10"/>
      <c r="M1336" s="3"/>
      <c r="N1336" s="11"/>
    </row>
    <row r="1337" s="2" customFormat="1" spans="1:14">
      <c r="A1337" s="3"/>
      <c r="B1337" s="4"/>
      <c r="C1337" s="5"/>
      <c r="D1337" s="6"/>
      <c r="E1337" s="3"/>
      <c r="F1337" s="7"/>
      <c r="G1337" s="3"/>
      <c r="H1337" s="3"/>
      <c r="I1337" s="3"/>
      <c r="J1337" s="8"/>
      <c r="K1337" s="9"/>
      <c r="L1337" s="10"/>
      <c r="M1337" s="3"/>
      <c r="N1337" s="11"/>
    </row>
    <row r="1338" s="2" customFormat="1" spans="1:14">
      <c r="A1338" s="3"/>
      <c r="B1338" s="4"/>
      <c r="C1338" s="5"/>
      <c r="D1338" s="6"/>
      <c r="E1338" s="3"/>
      <c r="F1338" s="7"/>
      <c r="G1338" s="3"/>
      <c r="H1338" s="3"/>
      <c r="I1338" s="3"/>
      <c r="J1338" s="8"/>
      <c r="K1338" s="9"/>
      <c r="L1338" s="10"/>
      <c r="M1338" s="3"/>
      <c r="N1338" s="11"/>
    </row>
    <row r="1339" s="2" customFormat="1" spans="1:14">
      <c r="A1339" s="3"/>
      <c r="B1339" s="4"/>
      <c r="C1339" s="5"/>
      <c r="D1339" s="6"/>
      <c r="E1339" s="3"/>
      <c r="F1339" s="7"/>
      <c r="G1339" s="3"/>
      <c r="H1339" s="3"/>
      <c r="I1339" s="3"/>
      <c r="J1339" s="8"/>
      <c r="K1339" s="9"/>
      <c r="L1339" s="10"/>
      <c r="M1339" s="3"/>
      <c r="N1339" s="11"/>
    </row>
    <row r="1340" s="2" customFormat="1" spans="1:14">
      <c r="A1340" s="3"/>
      <c r="B1340" s="4"/>
      <c r="C1340" s="5"/>
      <c r="D1340" s="6"/>
      <c r="E1340" s="3"/>
      <c r="F1340" s="7"/>
      <c r="G1340" s="3"/>
      <c r="H1340" s="3"/>
      <c r="I1340" s="3"/>
      <c r="J1340" s="8"/>
      <c r="K1340" s="9"/>
      <c r="L1340" s="10"/>
      <c r="M1340" s="3"/>
      <c r="N1340" s="11"/>
    </row>
    <row r="1341" s="2" customFormat="1" spans="1:14">
      <c r="A1341" s="3"/>
      <c r="B1341" s="4"/>
      <c r="C1341" s="5"/>
      <c r="D1341" s="6"/>
      <c r="E1341" s="3"/>
      <c r="F1341" s="7"/>
      <c r="G1341" s="3"/>
      <c r="H1341" s="3"/>
      <c r="I1341" s="3"/>
      <c r="J1341" s="8"/>
      <c r="K1341" s="9"/>
      <c r="L1341" s="10"/>
      <c r="M1341" s="3"/>
      <c r="N1341" s="11"/>
    </row>
    <row r="1342" s="2" customFormat="1" spans="1:14">
      <c r="A1342" s="3"/>
      <c r="B1342" s="4"/>
      <c r="C1342" s="5"/>
      <c r="D1342" s="6"/>
      <c r="E1342" s="3"/>
      <c r="F1342" s="7"/>
      <c r="G1342" s="3"/>
      <c r="H1342" s="3"/>
      <c r="I1342" s="3"/>
      <c r="J1342" s="8"/>
      <c r="K1342" s="9"/>
      <c r="L1342" s="10"/>
      <c r="M1342" s="3"/>
      <c r="N1342" s="11"/>
    </row>
    <row r="1343" s="2" customFormat="1" spans="1:14">
      <c r="A1343" s="3"/>
      <c r="B1343" s="4"/>
      <c r="C1343" s="5"/>
      <c r="D1343" s="6"/>
      <c r="E1343" s="3"/>
      <c r="F1343" s="7"/>
      <c r="G1343" s="3"/>
      <c r="H1343" s="3"/>
      <c r="I1343" s="3"/>
      <c r="J1343" s="8"/>
      <c r="K1343" s="9"/>
      <c r="L1343" s="10"/>
      <c r="M1343" s="3"/>
      <c r="N1343" s="11"/>
    </row>
    <row r="1344" s="2" customFormat="1" spans="1:14">
      <c r="A1344" s="3"/>
      <c r="B1344" s="4"/>
      <c r="C1344" s="5"/>
      <c r="D1344" s="6"/>
      <c r="E1344" s="3"/>
      <c r="F1344" s="7"/>
      <c r="G1344" s="3"/>
      <c r="H1344" s="3"/>
      <c r="I1344" s="3"/>
      <c r="J1344" s="8"/>
      <c r="K1344" s="9"/>
      <c r="L1344" s="10"/>
      <c r="M1344" s="3"/>
      <c r="N1344" s="11"/>
    </row>
    <row r="1345" s="2" customFormat="1" spans="1:14">
      <c r="A1345" s="3"/>
      <c r="B1345" s="4"/>
      <c r="C1345" s="5"/>
      <c r="D1345" s="6"/>
      <c r="E1345" s="3"/>
      <c r="F1345" s="7"/>
      <c r="G1345" s="3"/>
      <c r="H1345" s="3"/>
      <c r="I1345" s="3"/>
      <c r="J1345" s="8"/>
      <c r="K1345" s="9"/>
      <c r="L1345" s="10"/>
      <c r="M1345" s="3"/>
      <c r="N1345" s="11"/>
    </row>
    <row r="1346" s="2" customFormat="1" spans="1:14">
      <c r="A1346" s="3"/>
      <c r="B1346" s="4"/>
      <c r="C1346" s="5"/>
      <c r="D1346" s="6"/>
      <c r="E1346" s="3"/>
      <c r="F1346" s="7"/>
      <c r="G1346" s="3"/>
      <c r="H1346" s="3"/>
      <c r="I1346" s="3"/>
      <c r="J1346" s="8"/>
      <c r="K1346" s="9"/>
      <c r="L1346" s="10"/>
      <c r="M1346" s="3"/>
      <c r="N1346" s="11"/>
    </row>
    <row r="1347" s="2" customFormat="1" spans="1:14">
      <c r="A1347" s="3"/>
      <c r="B1347" s="4"/>
      <c r="C1347" s="5"/>
      <c r="D1347" s="6"/>
      <c r="E1347" s="3"/>
      <c r="F1347" s="7"/>
      <c r="G1347" s="3"/>
      <c r="H1347" s="3"/>
      <c r="I1347" s="3"/>
      <c r="J1347" s="8"/>
      <c r="K1347" s="9"/>
      <c r="L1347" s="10"/>
      <c r="M1347" s="3"/>
      <c r="N1347" s="11"/>
    </row>
    <row r="1348" s="2" customFormat="1" spans="1:14">
      <c r="A1348" s="3"/>
      <c r="B1348" s="4"/>
      <c r="C1348" s="5"/>
      <c r="D1348" s="6"/>
      <c r="E1348" s="3"/>
      <c r="F1348" s="7"/>
      <c r="G1348" s="3"/>
      <c r="H1348" s="3"/>
      <c r="I1348" s="3"/>
      <c r="J1348" s="8"/>
      <c r="K1348" s="9"/>
      <c r="L1348" s="10"/>
      <c r="M1348" s="3"/>
      <c r="N1348" s="11"/>
    </row>
    <row r="1349" s="2" customFormat="1" spans="1:14">
      <c r="A1349" s="3"/>
      <c r="B1349" s="4"/>
      <c r="C1349" s="5"/>
      <c r="D1349" s="6"/>
      <c r="E1349" s="3"/>
      <c r="F1349" s="7"/>
      <c r="G1349" s="3"/>
      <c r="H1349" s="3"/>
      <c r="I1349" s="3"/>
      <c r="J1349" s="8"/>
      <c r="K1349" s="9"/>
      <c r="L1349" s="10"/>
      <c r="M1349" s="3"/>
      <c r="N1349" s="11"/>
    </row>
    <row r="1350" s="2" customFormat="1" spans="1:14">
      <c r="A1350" s="3"/>
      <c r="B1350" s="4"/>
      <c r="C1350" s="5"/>
      <c r="D1350" s="6"/>
      <c r="E1350" s="3"/>
      <c r="F1350" s="7"/>
      <c r="G1350" s="3"/>
      <c r="H1350" s="3"/>
      <c r="I1350" s="3"/>
      <c r="J1350" s="8"/>
      <c r="K1350" s="9"/>
      <c r="L1350" s="10"/>
      <c r="M1350" s="3"/>
      <c r="N1350" s="11"/>
    </row>
    <row r="1351" s="2" customFormat="1" spans="1:14">
      <c r="A1351" s="3"/>
      <c r="B1351" s="4"/>
      <c r="C1351" s="5"/>
      <c r="D1351" s="6"/>
      <c r="E1351" s="3"/>
      <c r="F1351" s="7"/>
      <c r="G1351" s="3"/>
      <c r="H1351" s="3"/>
      <c r="I1351" s="3"/>
      <c r="J1351" s="8"/>
      <c r="K1351" s="9"/>
      <c r="L1351" s="10"/>
      <c r="M1351" s="3"/>
      <c r="N1351" s="11"/>
    </row>
    <row r="1352" s="2" customFormat="1" spans="1:14">
      <c r="A1352" s="3"/>
      <c r="B1352" s="4"/>
      <c r="C1352" s="5"/>
      <c r="D1352" s="6"/>
      <c r="E1352" s="3"/>
      <c r="F1352" s="7"/>
      <c r="G1352" s="3"/>
      <c r="H1352" s="3"/>
      <c r="I1352" s="3"/>
      <c r="J1352" s="8"/>
      <c r="K1352" s="9"/>
      <c r="L1352" s="10"/>
      <c r="M1352" s="3"/>
      <c r="N1352" s="11"/>
    </row>
    <row r="1353" s="2" customFormat="1" spans="1:14">
      <c r="A1353" s="3"/>
      <c r="B1353" s="4"/>
      <c r="C1353" s="5"/>
      <c r="D1353" s="6"/>
      <c r="E1353" s="3"/>
      <c r="F1353" s="7"/>
      <c r="G1353" s="3"/>
      <c r="H1353" s="3"/>
      <c r="I1353" s="3"/>
      <c r="J1353" s="8"/>
      <c r="K1353" s="9"/>
      <c r="L1353" s="10"/>
      <c r="M1353" s="3"/>
      <c r="N1353" s="11"/>
    </row>
    <row r="1354" s="2" customFormat="1" spans="1:14">
      <c r="A1354" s="3"/>
      <c r="B1354" s="4"/>
      <c r="C1354" s="5"/>
      <c r="D1354" s="6"/>
      <c r="E1354" s="3"/>
      <c r="F1354" s="7"/>
      <c r="G1354" s="3"/>
      <c r="H1354" s="3"/>
      <c r="I1354" s="3"/>
      <c r="J1354" s="8"/>
      <c r="K1354" s="9"/>
      <c r="L1354" s="10"/>
      <c r="M1354" s="3"/>
      <c r="N1354" s="11"/>
    </row>
    <row r="1355" s="2" customFormat="1" spans="1:14">
      <c r="A1355" s="3"/>
      <c r="B1355" s="4"/>
      <c r="C1355" s="5"/>
      <c r="D1355" s="6"/>
      <c r="E1355" s="3"/>
      <c r="F1355" s="7"/>
      <c r="G1355" s="3"/>
      <c r="H1355" s="3"/>
      <c r="I1355" s="3"/>
      <c r="J1355" s="8"/>
      <c r="K1355" s="9"/>
      <c r="L1355" s="10"/>
      <c r="M1355" s="3"/>
      <c r="N1355" s="11"/>
    </row>
    <row r="1356" s="2" customFormat="1" spans="1:14">
      <c r="A1356" s="3"/>
      <c r="B1356" s="4"/>
      <c r="C1356" s="5"/>
      <c r="D1356" s="6"/>
      <c r="E1356" s="3"/>
      <c r="F1356" s="7"/>
      <c r="G1356" s="3"/>
      <c r="H1356" s="3"/>
      <c r="I1356" s="3"/>
      <c r="J1356" s="8"/>
      <c r="K1356" s="9"/>
      <c r="L1356" s="10"/>
      <c r="M1356" s="3"/>
      <c r="N1356" s="11"/>
    </row>
    <row r="1357" s="2" customFormat="1" spans="1:14">
      <c r="A1357" s="3"/>
      <c r="B1357" s="4"/>
      <c r="C1357" s="5"/>
      <c r="D1357" s="6"/>
      <c r="E1357" s="3"/>
      <c r="F1357" s="7"/>
      <c r="G1357" s="3"/>
      <c r="H1357" s="3"/>
      <c r="I1357" s="3"/>
      <c r="J1357" s="8"/>
      <c r="K1357" s="9"/>
      <c r="L1357" s="10"/>
      <c r="M1357" s="3"/>
      <c r="N1357" s="11"/>
    </row>
    <row r="1358" s="2" customFormat="1" spans="1:14">
      <c r="A1358" s="3"/>
      <c r="B1358" s="4"/>
      <c r="C1358" s="5"/>
      <c r="D1358" s="6"/>
      <c r="E1358" s="3"/>
      <c r="F1358" s="7"/>
      <c r="G1358" s="3"/>
      <c r="H1358" s="3"/>
      <c r="I1358" s="3"/>
      <c r="J1358" s="8"/>
      <c r="K1358" s="9"/>
      <c r="L1358" s="10"/>
      <c r="M1358" s="3"/>
      <c r="N1358" s="11"/>
    </row>
    <row r="1359" s="2" customFormat="1" spans="1:14">
      <c r="A1359" s="3"/>
      <c r="B1359" s="4"/>
      <c r="C1359" s="5"/>
      <c r="D1359" s="6"/>
      <c r="E1359" s="3"/>
      <c r="F1359" s="7"/>
      <c r="G1359" s="3"/>
      <c r="H1359" s="3"/>
      <c r="I1359" s="3"/>
      <c r="J1359" s="8"/>
      <c r="K1359" s="9"/>
      <c r="L1359" s="10"/>
      <c r="M1359" s="3"/>
      <c r="N1359" s="11"/>
    </row>
    <row r="1360" s="2" customFormat="1" spans="1:14">
      <c r="A1360" s="3"/>
      <c r="B1360" s="4"/>
      <c r="C1360" s="5"/>
      <c r="D1360" s="6"/>
      <c r="E1360" s="3"/>
      <c r="F1360" s="7"/>
      <c r="G1360" s="3"/>
      <c r="H1360" s="3"/>
      <c r="I1360" s="3"/>
      <c r="J1360" s="8"/>
      <c r="K1360" s="9"/>
      <c r="L1360" s="10"/>
      <c r="M1360" s="3"/>
      <c r="N1360" s="11"/>
    </row>
    <row r="1361" s="2" customFormat="1" spans="1:14">
      <c r="A1361" s="3"/>
      <c r="B1361" s="4"/>
      <c r="C1361" s="5"/>
      <c r="D1361" s="6"/>
      <c r="E1361" s="3"/>
      <c r="F1361" s="7"/>
      <c r="G1361" s="3"/>
      <c r="H1361" s="3"/>
      <c r="I1361" s="3"/>
      <c r="J1361" s="8"/>
      <c r="K1361" s="9"/>
      <c r="L1361" s="10"/>
      <c r="M1361" s="3"/>
      <c r="N1361" s="11"/>
    </row>
    <row r="1362" s="2" customFormat="1" spans="1:14">
      <c r="A1362" s="3"/>
      <c r="B1362" s="4"/>
      <c r="C1362" s="5"/>
      <c r="D1362" s="6"/>
      <c r="E1362" s="3"/>
      <c r="F1362" s="7"/>
      <c r="G1362" s="3"/>
      <c r="H1362" s="3"/>
      <c r="I1362" s="3"/>
      <c r="J1362" s="8"/>
      <c r="K1362" s="9"/>
      <c r="L1362" s="10"/>
      <c r="M1362" s="3"/>
      <c r="N1362" s="11"/>
    </row>
    <row r="1363" s="2" customFormat="1" spans="1:14">
      <c r="A1363" s="3"/>
      <c r="B1363" s="4"/>
      <c r="C1363" s="5"/>
      <c r="D1363" s="6"/>
      <c r="E1363" s="3"/>
      <c r="F1363" s="7"/>
      <c r="G1363" s="3"/>
      <c r="H1363" s="3"/>
      <c r="I1363" s="3"/>
      <c r="J1363" s="8"/>
      <c r="K1363" s="9"/>
      <c r="L1363" s="10"/>
      <c r="M1363" s="3"/>
      <c r="N1363" s="11"/>
    </row>
    <row r="1364" s="2" customFormat="1" spans="1:14">
      <c r="A1364" s="3"/>
      <c r="B1364" s="4"/>
      <c r="C1364" s="5"/>
      <c r="D1364" s="6"/>
      <c r="E1364" s="3"/>
      <c r="F1364" s="7"/>
      <c r="G1364" s="3"/>
      <c r="H1364" s="3"/>
      <c r="I1364" s="3"/>
      <c r="J1364" s="8"/>
      <c r="K1364" s="9"/>
      <c r="L1364" s="10"/>
      <c r="M1364" s="3"/>
      <c r="N1364" s="11"/>
    </row>
    <row r="1365" s="2" customFormat="1" spans="1:14">
      <c r="A1365" s="3"/>
      <c r="B1365" s="4"/>
      <c r="C1365" s="5"/>
      <c r="D1365" s="6"/>
      <c r="E1365" s="3"/>
      <c r="F1365" s="7"/>
      <c r="G1365" s="3"/>
      <c r="H1365" s="3"/>
      <c r="I1365" s="3"/>
      <c r="J1365" s="8"/>
      <c r="K1365" s="9"/>
      <c r="L1365" s="10"/>
      <c r="M1365" s="3"/>
      <c r="N1365" s="11"/>
    </row>
    <row r="1366" s="2" customFormat="1" spans="1:14">
      <c r="A1366" s="3"/>
      <c r="B1366" s="4"/>
      <c r="C1366" s="5"/>
      <c r="D1366" s="6"/>
      <c r="E1366" s="3"/>
      <c r="F1366" s="7"/>
      <c r="G1366" s="3"/>
      <c r="H1366" s="3"/>
      <c r="I1366" s="3"/>
      <c r="J1366" s="8"/>
      <c r="K1366" s="9"/>
      <c r="L1366" s="10"/>
      <c r="M1366" s="3"/>
      <c r="N1366" s="11"/>
    </row>
    <row r="1367" s="2" customFormat="1" spans="1:14">
      <c r="A1367" s="3"/>
      <c r="B1367" s="4"/>
      <c r="C1367" s="5"/>
      <c r="D1367" s="6"/>
      <c r="E1367" s="3"/>
      <c r="F1367" s="7"/>
      <c r="G1367" s="3"/>
      <c r="H1367" s="3"/>
      <c r="I1367" s="3"/>
      <c r="J1367" s="8"/>
      <c r="K1367" s="9"/>
      <c r="L1367" s="10"/>
      <c r="M1367" s="3"/>
      <c r="N1367" s="11"/>
    </row>
    <row r="1368" s="2" customFormat="1" spans="1:14">
      <c r="A1368" s="3"/>
      <c r="B1368" s="4"/>
      <c r="C1368" s="5"/>
      <c r="D1368" s="6"/>
      <c r="E1368" s="3"/>
      <c r="F1368" s="7"/>
      <c r="G1368" s="3"/>
      <c r="H1368" s="3"/>
      <c r="I1368" s="3"/>
      <c r="J1368" s="8"/>
      <c r="K1368" s="9"/>
      <c r="L1368" s="10"/>
      <c r="M1368" s="3"/>
      <c r="N1368" s="11"/>
    </row>
    <row r="1369" s="2" customFormat="1" spans="1:14">
      <c r="A1369" s="3"/>
      <c r="B1369" s="4"/>
      <c r="C1369" s="5"/>
      <c r="D1369" s="6"/>
      <c r="E1369" s="3"/>
      <c r="F1369" s="7"/>
      <c r="G1369" s="3"/>
      <c r="H1369" s="3"/>
      <c r="I1369" s="3"/>
      <c r="J1369" s="8"/>
      <c r="K1369" s="9"/>
      <c r="L1369" s="10"/>
      <c r="M1369" s="3"/>
      <c r="N1369" s="11"/>
    </row>
    <row r="1370" s="2" customFormat="1" spans="1:14">
      <c r="A1370" s="3"/>
      <c r="B1370" s="4"/>
      <c r="C1370" s="5"/>
      <c r="D1370" s="6"/>
      <c r="E1370" s="3"/>
      <c r="F1370" s="7"/>
      <c r="G1370" s="3"/>
      <c r="H1370" s="3"/>
      <c r="I1370" s="3"/>
      <c r="J1370" s="8"/>
      <c r="K1370" s="9"/>
      <c r="L1370" s="10"/>
      <c r="M1370" s="3"/>
      <c r="N1370" s="11"/>
    </row>
    <row r="1371" s="2" customFormat="1" spans="1:14">
      <c r="A1371" s="3"/>
      <c r="B1371" s="4"/>
      <c r="C1371" s="5"/>
      <c r="D1371" s="6"/>
      <c r="E1371" s="3"/>
      <c r="F1371" s="7"/>
      <c r="G1371" s="3"/>
      <c r="H1371" s="3"/>
      <c r="I1371" s="3"/>
      <c r="J1371" s="8"/>
      <c r="K1371" s="9"/>
      <c r="L1371" s="10"/>
      <c r="M1371" s="3"/>
      <c r="N1371" s="11"/>
    </row>
    <row r="1372" s="2" customFormat="1" spans="1:14">
      <c r="A1372" s="3"/>
      <c r="B1372" s="4"/>
      <c r="C1372" s="5"/>
      <c r="D1372" s="6"/>
      <c r="E1372" s="3"/>
      <c r="F1372" s="7"/>
      <c r="G1372" s="3"/>
      <c r="H1372" s="3"/>
      <c r="I1372" s="3"/>
      <c r="J1372" s="8"/>
      <c r="K1372" s="9"/>
      <c r="L1372" s="10"/>
      <c r="M1372" s="3"/>
      <c r="N1372" s="11"/>
    </row>
    <row r="1373" s="2" customFormat="1" spans="1:14">
      <c r="A1373" s="3"/>
      <c r="B1373" s="4"/>
      <c r="C1373" s="5"/>
      <c r="D1373" s="6"/>
      <c r="E1373" s="3"/>
      <c r="F1373" s="7"/>
      <c r="G1373" s="3"/>
      <c r="H1373" s="3"/>
      <c r="I1373" s="3"/>
      <c r="J1373" s="8"/>
      <c r="K1373" s="9"/>
      <c r="L1373" s="10"/>
      <c r="M1373" s="3"/>
      <c r="N1373" s="11"/>
    </row>
    <row r="1374" s="2" customFormat="1" spans="1:14">
      <c r="A1374" s="3"/>
      <c r="B1374" s="4"/>
      <c r="C1374" s="5"/>
      <c r="D1374" s="6"/>
      <c r="E1374" s="3"/>
      <c r="F1374" s="7"/>
      <c r="G1374" s="3"/>
      <c r="H1374" s="3"/>
      <c r="I1374" s="3"/>
      <c r="J1374" s="8"/>
      <c r="K1374" s="9"/>
      <c r="L1374" s="10"/>
      <c r="M1374" s="3"/>
      <c r="N1374" s="11"/>
    </row>
    <row r="1375" s="2" customFormat="1" spans="1:14">
      <c r="A1375" s="3"/>
      <c r="B1375" s="4"/>
      <c r="C1375" s="5"/>
      <c r="D1375" s="6"/>
      <c r="E1375" s="3"/>
      <c r="F1375" s="7"/>
      <c r="G1375" s="3"/>
      <c r="H1375" s="3"/>
      <c r="I1375" s="3"/>
      <c r="J1375" s="8"/>
      <c r="K1375" s="9"/>
      <c r="L1375" s="10"/>
      <c r="M1375" s="3"/>
      <c r="N1375" s="11"/>
    </row>
    <row r="1376" s="2" customFormat="1" spans="1:14">
      <c r="A1376" s="3"/>
      <c r="B1376" s="4"/>
      <c r="C1376" s="5"/>
      <c r="D1376" s="6"/>
      <c r="E1376" s="3"/>
      <c r="F1376" s="7"/>
      <c r="G1376" s="3"/>
      <c r="H1376" s="3"/>
      <c r="I1376" s="3"/>
      <c r="J1376" s="8"/>
      <c r="K1376" s="9"/>
      <c r="L1376" s="10"/>
      <c r="M1376" s="3"/>
      <c r="N1376" s="11"/>
    </row>
    <row r="1377" s="2" customFormat="1" spans="1:14">
      <c r="A1377" s="3"/>
      <c r="B1377" s="4"/>
      <c r="C1377" s="5"/>
      <c r="D1377" s="6"/>
      <c r="E1377" s="3"/>
      <c r="F1377" s="7"/>
      <c r="G1377" s="3"/>
      <c r="H1377" s="3"/>
      <c r="I1377" s="3"/>
      <c r="J1377" s="8"/>
      <c r="K1377" s="9"/>
      <c r="L1377" s="10"/>
      <c r="M1377" s="3"/>
      <c r="N1377" s="11"/>
    </row>
    <row r="1378" s="2" customFormat="1" spans="1:14">
      <c r="A1378" s="3"/>
      <c r="B1378" s="4"/>
      <c r="C1378" s="5"/>
      <c r="D1378" s="6"/>
      <c r="E1378" s="3"/>
      <c r="F1378" s="7"/>
      <c r="G1378" s="3"/>
      <c r="H1378" s="3"/>
      <c r="I1378" s="3"/>
      <c r="J1378" s="8"/>
      <c r="K1378" s="9"/>
      <c r="L1378" s="10"/>
      <c r="M1378" s="3"/>
      <c r="N1378" s="11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引力魔方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ZouYuchang</dc:creator>
  <cp:lastModifiedBy>Kon·Kwok</cp:lastModifiedBy>
  <dcterms:created xsi:type="dcterms:W3CDTF">2026-04-18T14:28:00Z</dcterms:created>
  <dcterms:modified xsi:type="dcterms:W3CDTF">2026-04-18T14:41:36Z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B2248CE72C814F2BB7CB3FF81FCCFC31_11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1</vt:i4>
  </property>
</Properties>
</file>