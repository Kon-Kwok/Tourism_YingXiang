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390"/>
  </bookViews>
  <sheets>
    <sheet name="明星店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<sst xmlns="http://schemas.openxmlformats.org/spreadsheetml/2006/main" count="226" uniqueCount="23">
  <si>
    <t>Date
时间</t>
  </si>
  <si>
    <t>Cost
花费</t>
  </si>
  <si>
    <t>IMP
展示</t>
  </si>
  <si>
    <t>Click
点击</t>
  </si>
  <si>
    <t>Order
订单</t>
  </si>
  <si>
    <t>Sales
销量</t>
  </si>
  <si>
    <t>ShoppingCart
加入购物车</t>
  </si>
  <si>
    <t>Bookmark-Product
宝贝收藏</t>
  </si>
  <si>
    <t>Bookmark-Store
店铺收藏</t>
  </si>
  <si>
    <t>CTR
点击率</t>
  </si>
  <si>
    <t>CPC
点击成本</t>
  </si>
  <si>
    <t>CPM
千次展现成本</t>
  </si>
  <si>
    <t>ROI
投资回报率</t>
  </si>
  <si>
    <t>CVR
点击转化率</t>
  </si>
  <si>
    <t>ASP
订单均价</t>
  </si>
  <si>
    <t>Cporder
订单成本</t>
  </si>
  <si>
    <t>CPshopping cart
加购成本</t>
  </si>
  <si>
    <t>-</t>
  </si>
  <si>
    <t/>
  </si>
  <si>
    <t>3.07%%</t>
  </si>
  <si>
    <t>3.57%%</t>
  </si>
  <si>
    <t>46%%</t>
  </si>
  <si>
    <t>37,71%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</si>
</sst>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_);[Red]\(0\)"/>
    <numFmt numFmtId="178" formatCode="0.00_ "/>
    <numFmt numFmtId="179" formatCode="\¥#,##0_);[Red]&quot;(¥&quot;#,##0\)"/>
    <numFmt numFmtId="180" formatCode="#,##0_);[Red]\(#,##0\)"/>
    <numFmt numFmtId="181" formatCode="0.00_);[Red]\(0.00\)"/>
    <numFmt numFmtId="182" formatCode="&quot;￥&quot;#,##0.00_);[Red]\(&quot;￥&quot;#,##0.00\)"/>
    <numFmt numFmtId="183" formatCode="\¥#,##0.0_);[Red]&quot;(¥&quot;#,##0.0\)"/>
    <numFmt numFmtId="184" formatCode="0_ "/>
    <numFmt numFmtId="185" formatCode="#,##0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 tint="-0.0499893185216834"/>
      <name val="微软雅黑"/>
      <charset val="134"/>
    </font>
    <font>
      <sz val="11"/>
      <color indexed="8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rgb="FFE2F0D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9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7" fontId="0" fillId="0" borderId="0" xfId="2" applyNumberFormat="1" applyFont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2" applyNumberFormat="1" applyFont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 wrapText="1"/>
    </xf>
    <xf numFmtId="7" fontId="2" fillId="2" borderId="1" xfId="2" applyNumberFormat="1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76" fontId="2" fillId="2" borderId="1" xfId="2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7" fontId="0" fillId="0" borderId="1" xfId="2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1" xfId="2" applyNumberFormat="1" applyFont="1" applyFill="1" applyBorder="1" applyAlignment="1">
      <alignment horizontal="center" vertical="center"/>
    </xf>
    <xf numFmtId="7" fontId="0" fillId="0" borderId="1" xfId="2" applyNumberFormat="1" applyFont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7" fontId="0" fillId="0" borderId="1" xfId="0" applyNumberFormat="1" applyFill="1" applyBorder="1" applyAlignment="1">
      <alignment horizontal="center"/>
    </xf>
    <xf numFmtId="7" fontId="0" fillId="0" borderId="1" xfId="0" applyNumberFormat="1" applyFill="1" applyBorder="1" applyAlignment="1">
      <alignment horizontal="center" vertical="center"/>
    </xf>
    <xf numFmtId="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0" fontId="3" fillId="0" borderId="1" xfId="3" applyNumberFormat="1" applyFont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0" fontId="3" fillId="0" borderId="1" xfId="3" applyNumberFormat="1" applyFont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182" fontId="0" fillId="0" borderId="1" xfId="2" applyNumberFormat="1" applyFont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83" fontId="0" fillId="0" borderId="1" xfId="2" applyNumberFormat="1" applyFont="1" applyBorder="1" applyAlignment="1">
      <alignment horizontal="center" vertical="center"/>
    </xf>
    <xf numFmtId="7" fontId="0" fillId="3" borderId="1" xfId="0" applyNumberForma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7" fontId="0" fillId="0" borderId="1" xfId="0" applyNumberForma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7" fontId="0" fillId="0" borderId="1" xfId="2" applyNumberFormat="1" applyFon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84" fontId="0" fillId="0" borderId="1" xfId="2" applyNumberFormat="1" applyFont="1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 wrapText="1"/>
    </xf>
    <xf numFmtId="7" fontId="0" fillId="0" borderId="1" xfId="49" applyNumberFormat="1" applyFill="1" applyBorder="1" applyAlignment="1">
      <alignment horizontal="center" vertical="center"/>
    </xf>
    <xf numFmtId="3" fontId="0" fillId="0" borderId="1" xfId="49" applyNumberFormat="1" applyFill="1" applyBorder="1" applyAlignment="1">
      <alignment horizontal="center" vertical="center"/>
    </xf>
    <xf numFmtId="7" fontId="0" fillId="0" borderId="1" xfId="0" applyNumberForma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7" fontId="4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7" fontId="4" fillId="0" borderId="1" xfId="2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176" fontId="4" fillId="0" borderId="1" xfId="2" applyNumberFormat="1" applyFont="1" applyFill="1" applyBorder="1" applyAlignment="1">
      <alignment horizontal="center" vertical="center"/>
    </xf>
    <xf numFmtId="184" fontId="4" fillId="0" borderId="1" xfId="2" applyNumberFormat="1" applyFont="1" applyFill="1" applyBorder="1" applyAlignment="1">
      <alignment horizontal="center" vertical="center"/>
    </xf>
    <xf numFmtId="7" fontId="4" fillId="0" borderId="1" xfId="49" applyNumberFormat="1" applyFont="1" applyFill="1" applyBorder="1" applyAlignment="1">
      <alignment horizontal="center" vertical="center"/>
    </xf>
    <xf numFmtId="3" fontId="4" fillId="0" borderId="1" xfId="49" applyNumberFormat="1" applyFont="1" applyFill="1" applyBorder="1" applyAlignment="1">
      <alignment horizontal="center" vertical="center"/>
    </xf>
    <xf numFmtId="7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8" fontId="4" fillId="0" borderId="1" xfId="0" applyNumberFormat="1" applyFont="1" applyFill="1" applyBorder="1" applyAlignment="1">
      <alignment horizontal="center" vertical="center"/>
    </xf>
    <xf numFmtId="7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/>
    </xf>
    <xf numFmtId="10" fontId="0" fillId="0" borderId="1" xfId="3" applyNumberFormat="1" applyFont="1" applyFill="1" applyBorder="1" applyAlignment="1">
      <alignment horizontal="center" vertical="center"/>
    </xf>
    <xf numFmtId="185" fontId="4" fillId="0" borderId="1" xfId="0" applyNumberFormat="1" applyFont="1" applyFill="1" applyBorder="1" applyAlignment="1">
      <alignment horizontal="center"/>
    </xf>
    <xf numFmtId="185" fontId="4" fillId="0" borderId="1" xfId="0" applyNumberFormat="1" applyFont="1" applyFill="1" applyBorder="1" applyAlignment="1">
      <alignment horizontal="center" vertical="center"/>
    </xf>
    <xf numFmtId="184" fontId="4" fillId="0" borderId="1" xfId="0" applyNumberFormat="1" applyFont="1" applyFill="1" applyBorder="1" applyAlignment="1">
      <alignment horizontal="center" vertical="center" wrapText="1"/>
    </xf>
    <xf numFmtId="184" fontId="0" fillId="0" borderId="1" xfId="0" applyNumberFormat="1" applyFill="1" applyBorder="1" applyAlignment="1">
      <alignment horizontal="center" vertical="center" wrapText="1"/>
    </xf>
    <xf numFmtId="7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7" fontId="0" fillId="0" borderId="1" xfId="49" applyNumberFormat="1" applyBorder="1" applyAlignment="1">
      <alignment horizontal="center" vertical="center"/>
    </xf>
    <xf numFmtId="3" fontId="0" fillId="0" borderId="1" xfId="49" applyNumberFormat="1" applyBorder="1" applyAlignment="1">
      <alignment horizontal="center" vertical="center"/>
    </xf>
    <xf numFmtId="7" fontId="5" fillId="0" borderId="1" xfId="2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176" fontId="5" fillId="0" borderId="1" xfId="2" applyNumberFormat="1" applyFont="1" applyFill="1" applyBorder="1" applyAlignment="1" applyProtection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479"/>
  <sheetViews>
    <sheetView tabSelected="1" workbookViewId="0">
      <selection activeCell="N361" sqref="N361"/>
    </sheetView>
  </sheetViews>
  <sheetFormatPr defaultColWidth="9" defaultRowHeight="14"/>
  <cols>
    <col min="1" max="1" width="12.7818181818182" style="3" customWidth="1"/>
    <col min="2" max="2" width="10.8818181818182" style="4" customWidth="1"/>
    <col min="3" max="3" width="10.5545454545455" style="3" customWidth="1"/>
    <col min="4" max="5" width="10" style="3" customWidth="1"/>
    <col min="6" max="6" width="12.1181818181818" style="4" customWidth="1"/>
    <col min="7" max="7" width="11.7818181818182" style="3" customWidth="1"/>
    <col min="8" max="8" width="11.4454545454545" style="3" customWidth="1"/>
    <col min="9" max="9" width="11.3363636363636" style="3" customWidth="1"/>
    <col min="10" max="10" width="10.1181818181818" style="5"/>
    <col min="11" max="11" width="12.8818181818182" style="6" customWidth="1"/>
    <col min="12" max="12" width="10" style="6" customWidth="1"/>
    <col min="13" max="13" width="18.7818181818182" style="3" customWidth="1"/>
    <col min="14" max="14" width="11.7818181818182" style="5"/>
    <col min="15" max="15" width="9.88181818181818" style="7" customWidth="1"/>
    <col min="16" max="16" width="10" style="8" customWidth="1"/>
    <col min="17" max="17" width="9" style="6" customWidth="1"/>
    <col min="18" max="16384" width="9" style="2"/>
  </cols>
  <sheetData>
    <row r="1" s="1" customFormat="1" ht="63" customHeight="1" spans="1:17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3" t="s">
        <v>10</v>
      </c>
      <c r="L1" s="13" t="s">
        <v>11</v>
      </c>
      <c r="M1" s="14" t="s">
        <v>12</v>
      </c>
      <c r="N1" s="12" t="s">
        <v>13</v>
      </c>
      <c r="O1" s="15" t="s">
        <v>14</v>
      </c>
      <c r="P1" s="16" t="s">
        <v>15</v>
      </c>
      <c r="Q1" s="13" t="s">
        <v>16</v>
      </c>
    </row>
    <row r="2" s="2" customFormat="1" spans="1:17">
      <c r="A2" s="17">
        <v>44197</v>
      </c>
      <c r="B2" s="18">
        <v>56.54</v>
      </c>
      <c r="C2" s="19">
        <v>42</v>
      </c>
      <c r="D2" s="19">
        <v>18</v>
      </c>
      <c r="E2" s="19">
        <v>0</v>
      </c>
      <c r="F2" s="18">
        <v>0</v>
      </c>
      <c r="G2" s="19">
        <v>0</v>
      </c>
      <c r="H2" s="19">
        <v>0</v>
      </c>
      <c r="I2" s="19">
        <v>2</v>
      </c>
      <c r="J2" s="20">
        <v>0.4286</v>
      </c>
      <c r="K2" s="21">
        <v>3.14</v>
      </c>
      <c r="L2" s="21">
        <v>1346.19</v>
      </c>
      <c r="M2" s="19">
        <v>0</v>
      </c>
      <c r="N2" s="20">
        <v>0</v>
      </c>
      <c r="O2" s="22" t="e">
        <f t="shared" ref="O2:O65" si="0">F2/E2</f>
        <v>#DIV/0!</v>
      </c>
      <c r="P2" s="23" t="e">
        <f t="shared" ref="P2:P65" si="1">B2/E2</f>
        <v>#DIV/0!</v>
      </c>
      <c r="Q2" s="21" t="e">
        <f t="shared" ref="Q2:Q65" si="2">B2/G2</f>
        <v>#DIV/0!</v>
      </c>
    </row>
    <row r="3" s="2" customFormat="1" spans="1:17">
      <c r="A3" s="17">
        <v>44198</v>
      </c>
      <c r="B3" s="18">
        <v>36.58</v>
      </c>
      <c r="C3" s="19">
        <v>26</v>
      </c>
      <c r="D3" s="19">
        <v>11</v>
      </c>
      <c r="E3" s="19">
        <v>0</v>
      </c>
      <c r="F3" s="18">
        <v>0</v>
      </c>
      <c r="G3" s="19">
        <v>0</v>
      </c>
      <c r="H3" s="19">
        <v>0</v>
      </c>
      <c r="I3" s="19">
        <v>2</v>
      </c>
      <c r="J3" s="20">
        <v>0.4231</v>
      </c>
      <c r="K3" s="21">
        <v>3.33</v>
      </c>
      <c r="L3" s="21">
        <v>1406.92</v>
      </c>
      <c r="M3" s="19">
        <v>0</v>
      </c>
      <c r="N3" s="20">
        <v>0</v>
      </c>
      <c r="O3" s="22" t="e">
        <f t="shared" si="0"/>
        <v>#DIV/0!</v>
      </c>
      <c r="P3" s="23" t="e">
        <f t="shared" si="1"/>
        <v>#DIV/0!</v>
      </c>
      <c r="Q3" s="21" t="e">
        <f t="shared" si="2"/>
        <v>#DIV/0!</v>
      </c>
    </row>
    <row r="4" s="2" customFormat="1" spans="1:17">
      <c r="A4" s="17">
        <v>44199</v>
      </c>
      <c r="B4" s="18">
        <v>49.47</v>
      </c>
      <c r="C4" s="19">
        <v>39</v>
      </c>
      <c r="D4" s="19">
        <v>11</v>
      </c>
      <c r="E4" s="19">
        <v>0</v>
      </c>
      <c r="F4" s="18">
        <v>0</v>
      </c>
      <c r="G4" s="19">
        <v>0</v>
      </c>
      <c r="H4" s="19">
        <v>0</v>
      </c>
      <c r="I4" s="19">
        <v>3</v>
      </c>
      <c r="J4" s="20">
        <v>0.2821</v>
      </c>
      <c r="K4" s="21">
        <v>4.5</v>
      </c>
      <c r="L4" s="21">
        <v>1268.46</v>
      </c>
      <c r="M4" s="19">
        <v>0</v>
      </c>
      <c r="N4" s="20">
        <v>0</v>
      </c>
      <c r="O4" s="22" t="e">
        <f t="shared" si="0"/>
        <v>#DIV/0!</v>
      </c>
      <c r="P4" s="23" t="e">
        <f t="shared" si="1"/>
        <v>#DIV/0!</v>
      </c>
      <c r="Q4" s="21" t="e">
        <f t="shared" si="2"/>
        <v>#DIV/0!</v>
      </c>
    </row>
    <row r="5" s="2" customFormat="1" spans="1:17">
      <c r="A5" s="17">
        <v>44200</v>
      </c>
      <c r="B5" s="18">
        <v>78.09</v>
      </c>
      <c r="C5" s="19">
        <v>62</v>
      </c>
      <c r="D5" s="19">
        <v>30</v>
      </c>
      <c r="E5" s="19">
        <v>0</v>
      </c>
      <c r="F5" s="18">
        <v>0</v>
      </c>
      <c r="G5" s="19">
        <v>1</v>
      </c>
      <c r="H5" s="19">
        <v>0</v>
      </c>
      <c r="I5" s="19">
        <v>0</v>
      </c>
      <c r="J5" s="20">
        <v>0.4839</v>
      </c>
      <c r="K5" s="21">
        <v>2.6</v>
      </c>
      <c r="L5" s="21">
        <v>1259.52</v>
      </c>
      <c r="M5" s="19">
        <v>0</v>
      </c>
      <c r="N5" s="20">
        <v>0</v>
      </c>
      <c r="O5" s="22" t="e">
        <f t="shared" si="0"/>
        <v>#DIV/0!</v>
      </c>
      <c r="P5" s="23" t="e">
        <f t="shared" si="1"/>
        <v>#DIV/0!</v>
      </c>
      <c r="Q5" s="21">
        <f t="shared" si="2"/>
        <v>78.09</v>
      </c>
    </row>
    <row r="6" s="2" customFormat="1" spans="1:17">
      <c r="A6" s="17">
        <v>44201</v>
      </c>
      <c r="B6" s="18">
        <v>59.83</v>
      </c>
      <c r="C6" s="19">
        <v>50</v>
      </c>
      <c r="D6" s="19">
        <v>20</v>
      </c>
      <c r="E6" s="19">
        <v>0</v>
      </c>
      <c r="F6" s="18">
        <v>0</v>
      </c>
      <c r="G6" s="19">
        <v>1</v>
      </c>
      <c r="H6" s="19">
        <v>0</v>
      </c>
      <c r="I6" s="19">
        <v>2</v>
      </c>
      <c r="J6" s="20">
        <v>0.4</v>
      </c>
      <c r="K6" s="21">
        <v>2.99</v>
      </c>
      <c r="L6" s="21">
        <v>1196.6</v>
      </c>
      <c r="M6" s="19">
        <v>0</v>
      </c>
      <c r="N6" s="20">
        <v>0</v>
      </c>
      <c r="O6" s="22" t="e">
        <f t="shared" si="0"/>
        <v>#DIV/0!</v>
      </c>
      <c r="P6" s="23" t="e">
        <f t="shared" si="1"/>
        <v>#DIV/0!</v>
      </c>
      <c r="Q6" s="24">
        <f t="shared" si="2"/>
        <v>59.83</v>
      </c>
    </row>
    <row r="7" s="2" customFormat="1" spans="1:17">
      <c r="A7" s="17">
        <v>44202</v>
      </c>
      <c r="B7" s="18">
        <v>78.24</v>
      </c>
      <c r="C7" s="19">
        <v>58</v>
      </c>
      <c r="D7" s="19">
        <v>31</v>
      </c>
      <c r="E7" s="19">
        <v>0</v>
      </c>
      <c r="F7" s="18">
        <v>0</v>
      </c>
      <c r="G7" s="19">
        <v>0</v>
      </c>
      <c r="H7" s="19">
        <v>0</v>
      </c>
      <c r="I7" s="19">
        <v>2</v>
      </c>
      <c r="J7" s="20">
        <v>0.5345</v>
      </c>
      <c r="K7" s="21">
        <v>2.52</v>
      </c>
      <c r="L7" s="21">
        <v>1348.97</v>
      </c>
      <c r="M7" s="19">
        <v>0</v>
      </c>
      <c r="N7" s="20">
        <v>0</v>
      </c>
      <c r="O7" s="22" t="e">
        <f t="shared" si="0"/>
        <v>#DIV/0!</v>
      </c>
      <c r="P7" s="23" t="e">
        <f t="shared" si="1"/>
        <v>#DIV/0!</v>
      </c>
      <c r="Q7" s="24" t="e">
        <f t="shared" si="2"/>
        <v>#DIV/0!</v>
      </c>
    </row>
    <row r="8" s="2" customFormat="1" spans="1:17">
      <c r="A8" s="17">
        <v>44203</v>
      </c>
      <c r="B8" s="18">
        <v>72.5</v>
      </c>
      <c r="C8" s="19">
        <v>71</v>
      </c>
      <c r="D8" s="19">
        <v>23</v>
      </c>
      <c r="E8" s="19">
        <v>0</v>
      </c>
      <c r="F8" s="18">
        <v>0</v>
      </c>
      <c r="G8" s="19">
        <v>2</v>
      </c>
      <c r="H8" s="19">
        <v>0</v>
      </c>
      <c r="I8" s="19">
        <v>1</v>
      </c>
      <c r="J8" s="20">
        <v>0.3239</v>
      </c>
      <c r="K8" s="21">
        <v>3.15</v>
      </c>
      <c r="L8" s="21">
        <v>1021.13</v>
      </c>
      <c r="M8" s="19">
        <v>0</v>
      </c>
      <c r="N8" s="20">
        <v>0</v>
      </c>
      <c r="O8" s="22" t="e">
        <f t="shared" si="0"/>
        <v>#DIV/0!</v>
      </c>
      <c r="P8" s="23" t="e">
        <f t="shared" si="1"/>
        <v>#DIV/0!</v>
      </c>
      <c r="Q8" s="24">
        <f t="shared" si="2"/>
        <v>36.25</v>
      </c>
    </row>
    <row r="9" s="2" customFormat="1" spans="1:17">
      <c r="A9" s="17">
        <v>44204</v>
      </c>
      <c r="B9" s="18">
        <v>72.51</v>
      </c>
      <c r="C9" s="19">
        <v>70</v>
      </c>
      <c r="D9" s="19">
        <v>22</v>
      </c>
      <c r="E9" s="19">
        <v>0</v>
      </c>
      <c r="F9" s="18">
        <v>0</v>
      </c>
      <c r="G9" s="19">
        <v>0</v>
      </c>
      <c r="H9" s="19">
        <v>0</v>
      </c>
      <c r="I9" s="19">
        <v>1</v>
      </c>
      <c r="J9" s="20">
        <v>0.3143</v>
      </c>
      <c r="K9" s="21">
        <v>3.3</v>
      </c>
      <c r="L9" s="21">
        <v>1035.86</v>
      </c>
      <c r="M9" s="19">
        <v>0</v>
      </c>
      <c r="N9" s="20">
        <v>0</v>
      </c>
      <c r="O9" s="22" t="e">
        <f t="shared" si="0"/>
        <v>#DIV/0!</v>
      </c>
      <c r="P9" s="23" t="e">
        <f t="shared" si="1"/>
        <v>#DIV/0!</v>
      </c>
      <c r="Q9" s="24" t="e">
        <f t="shared" si="2"/>
        <v>#DIV/0!</v>
      </c>
    </row>
    <row r="10" s="2" customFormat="1" spans="1:17">
      <c r="A10" s="17">
        <v>44205</v>
      </c>
      <c r="B10" s="18">
        <v>66.9</v>
      </c>
      <c r="C10" s="19">
        <v>81</v>
      </c>
      <c r="D10" s="19">
        <v>8</v>
      </c>
      <c r="E10" s="19">
        <v>0</v>
      </c>
      <c r="F10" s="18">
        <v>0</v>
      </c>
      <c r="G10" s="19">
        <v>0</v>
      </c>
      <c r="H10" s="19">
        <v>0</v>
      </c>
      <c r="I10" s="19">
        <v>0</v>
      </c>
      <c r="J10" s="20">
        <v>0.0988</v>
      </c>
      <c r="K10" s="21">
        <v>8.36</v>
      </c>
      <c r="L10" s="21">
        <v>825.93</v>
      </c>
      <c r="M10" s="19">
        <v>0</v>
      </c>
      <c r="N10" s="20">
        <v>0</v>
      </c>
      <c r="O10" s="22" t="e">
        <f t="shared" si="0"/>
        <v>#DIV/0!</v>
      </c>
      <c r="P10" s="23" t="e">
        <f t="shared" si="1"/>
        <v>#DIV/0!</v>
      </c>
      <c r="Q10" s="24" t="e">
        <f t="shared" si="2"/>
        <v>#DIV/0!</v>
      </c>
    </row>
    <row r="11" s="2" customFormat="1" spans="1:17">
      <c r="A11" s="17">
        <v>44206</v>
      </c>
      <c r="B11" s="18">
        <v>41.51</v>
      </c>
      <c r="C11" s="19">
        <v>38</v>
      </c>
      <c r="D11" s="19">
        <v>9</v>
      </c>
      <c r="E11" s="19">
        <v>0</v>
      </c>
      <c r="F11" s="18">
        <v>0</v>
      </c>
      <c r="G11" s="19">
        <v>0</v>
      </c>
      <c r="H11" s="19">
        <v>0</v>
      </c>
      <c r="I11" s="19">
        <v>1</v>
      </c>
      <c r="J11" s="20">
        <v>0.2368</v>
      </c>
      <c r="K11" s="21">
        <v>4.61</v>
      </c>
      <c r="L11" s="21">
        <v>1092.37</v>
      </c>
      <c r="M11" s="19">
        <v>0</v>
      </c>
      <c r="N11" s="20">
        <v>0</v>
      </c>
      <c r="O11" s="22" t="e">
        <f t="shared" si="0"/>
        <v>#DIV/0!</v>
      </c>
      <c r="P11" s="23" t="e">
        <f t="shared" si="1"/>
        <v>#DIV/0!</v>
      </c>
      <c r="Q11" s="24" t="e">
        <f t="shared" si="2"/>
        <v>#DIV/0!</v>
      </c>
    </row>
    <row r="12" s="2" customFormat="1" spans="1:17">
      <c r="A12" s="17">
        <v>44207</v>
      </c>
      <c r="B12" s="18">
        <v>56.58</v>
      </c>
      <c r="C12" s="19">
        <v>51</v>
      </c>
      <c r="D12" s="19">
        <v>16</v>
      </c>
      <c r="E12" s="19">
        <v>0</v>
      </c>
      <c r="F12" s="18">
        <v>0</v>
      </c>
      <c r="G12" s="19">
        <v>2</v>
      </c>
      <c r="H12" s="19">
        <v>0</v>
      </c>
      <c r="I12" s="19">
        <v>0</v>
      </c>
      <c r="J12" s="20">
        <v>0.3137</v>
      </c>
      <c r="K12" s="21">
        <v>3.54</v>
      </c>
      <c r="L12" s="21">
        <v>1109.41</v>
      </c>
      <c r="M12" s="19">
        <v>0</v>
      </c>
      <c r="N12" s="20">
        <v>0</v>
      </c>
      <c r="O12" s="22" t="e">
        <f t="shared" si="0"/>
        <v>#DIV/0!</v>
      </c>
      <c r="P12" s="23" t="e">
        <f t="shared" si="1"/>
        <v>#DIV/0!</v>
      </c>
      <c r="Q12" s="24">
        <f t="shared" si="2"/>
        <v>28.29</v>
      </c>
    </row>
    <row r="13" s="2" customFormat="1" spans="1:17">
      <c r="A13" s="17">
        <v>44208</v>
      </c>
      <c r="B13" s="25">
        <v>56.94</v>
      </c>
      <c r="C13" s="19">
        <v>57</v>
      </c>
      <c r="D13" s="19">
        <v>13</v>
      </c>
      <c r="E13" s="19">
        <v>0</v>
      </c>
      <c r="F13" s="18">
        <v>0</v>
      </c>
      <c r="G13" s="19">
        <v>1</v>
      </c>
      <c r="H13" s="19">
        <v>1</v>
      </c>
      <c r="I13" s="19">
        <v>0</v>
      </c>
      <c r="J13" s="26">
        <v>0.2281</v>
      </c>
      <c r="K13" s="21">
        <v>4.38</v>
      </c>
      <c r="L13" s="27">
        <v>998.95</v>
      </c>
      <c r="M13" s="19">
        <v>0</v>
      </c>
      <c r="N13" s="20">
        <v>0</v>
      </c>
      <c r="O13" s="22" t="e">
        <f t="shared" si="0"/>
        <v>#DIV/0!</v>
      </c>
      <c r="P13" s="23" t="e">
        <f t="shared" si="1"/>
        <v>#DIV/0!</v>
      </c>
      <c r="Q13" s="21">
        <f t="shared" si="2"/>
        <v>56.94</v>
      </c>
    </row>
    <row r="14" s="2" customFormat="1" spans="1:17">
      <c r="A14" s="17">
        <v>44209</v>
      </c>
      <c r="B14" s="25">
        <v>59.54</v>
      </c>
      <c r="C14" s="19">
        <v>55</v>
      </c>
      <c r="D14" s="19">
        <v>15</v>
      </c>
      <c r="E14" s="19">
        <v>0</v>
      </c>
      <c r="F14" s="18">
        <v>0</v>
      </c>
      <c r="G14" s="19">
        <v>2</v>
      </c>
      <c r="H14" s="19">
        <v>2</v>
      </c>
      <c r="I14" s="19">
        <v>0</v>
      </c>
      <c r="J14" s="26">
        <v>0.2727</v>
      </c>
      <c r="K14" s="27">
        <v>3.97</v>
      </c>
      <c r="L14" s="27">
        <v>1082.55</v>
      </c>
      <c r="M14" s="19">
        <v>0</v>
      </c>
      <c r="N14" s="20">
        <v>0</v>
      </c>
      <c r="O14" s="22" t="e">
        <f t="shared" si="0"/>
        <v>#DIV/0!</v>
      </c>
      <c r="P14" s="23" t="e">
        <f t="shared" si="1"/>
        <v>#DIV/0!</v>
      </c>
      <c r="Q14" s="21">
        <f t="shared" si="2"/>
        <v>29.77</v>
      </c>
    </row>
    <row r="15" s="2" customFormat="1" spans="1:17">
      <c r="A15" s="17">
        <v>44210</v>
      </c>
      <c r="B15" s="25">
        <v>66.47</v>
      </c>
      <c r="C15" s="19">
        <v>86</v>
      </c>
      <c r="D15" s="19">
        <v>20</v>
      </c>
      <c r="E15" s="19">
        <v>0</v>
      </c>
      <c r="F15" s="25">
        <v>0</v>
      </c>
      <c r="G15" s="19">
        <v>0</v>
      </c>
      <c r="H15" s="19">
        <v>3</v>
      </c>
      <c r="I15" s="19">
        <v>0</v>
      </c>
      <c r="J15" s="26">
        <v>0.2326</v>
      </c>
      <c r="K15" s="27">
        <v>3.32</v>
      </c>
      <c r="L15" s="27">
        <v>772.91</v>
      </c>
      <c r="M15" s="19">
        <v>0</v>
      </c>
      <c r="N15" s="20">
        <v>0</v>
      </c>
      <c r="O15" s="22" t="e">
        <f t="shared" si="0"/>
        <v>#DIV/0!</v>
      </c>
      <c r="P15" s="23" t="e">
        <f t="shared" si="1"/>
        <v>#DIV/0!</v>
      </c>
      <c r="Q15" s="21" t="e">
        <f t="shared" si="2"/>
        <v>#DIV/0!</v>
      </c>
    </row>
    <row r="16" s="2" customFormat="1" spans="1:17">
      <c r="A16" s="17">
        <v>44211</v>
      </c>
      <c r="B16" s="25">
        <v>47.05</v>
      </c>
      <c r="C16" s="19">
        <v>49</v>
      </c>
      <c r="D16" s="19">
        <v>15</v>
      </c>
      <c r="E16" s="19">
        <v>0</v>
      </c>
      <c r="F16" s="25">
        <v>0</v>
      </c>
      <c r="G16" s="19">
        <v>0</v>
      </c>
      <c r="H16" s="19">
        <v>1</v>
      </c>
      <c r="I16" s="19">
        <v>0</v>
      </c>
      <c r="J16" s="26">
        <v>0.3061</v>
      </c>
      <c r="K16" s="27">
        <v>3.14</v>
      </c>
      <c r="L16" s="27">
        <v>960.2</v>
      </c>
      <c r="M16" s="19">
        <v>0</v>
      </c>
      <c r="N16" s="20">
        <v>0</v>
      </c>
      <c r="O16" s="22" t="e">
        <f t="shared" si="0"/>
        <v>#DIV/0!</v>
      </c>
      <c r="P16" s="23" t="e">
        <f t="shared" si="1"/>
        <v>#DIV/0!</v>
      </c>
      <c r="Q16" s="21" t="e">
        <f t="shared" si="2"/>
        <v>#DIV/0!</v>
      </c>
    </row>
    <row r="17" s="2" customFormat="1" spans="1:17">
      <c r="A17" s="17">
        <v>44212</v>
      </c>
      <c r="B17" s="25">
        <v>53.45</v>
      </c>
      <c r="C17" s="19">
        <v>52</v>
      </c>
      <c r="D17" s="19">
        <v>13</v>
      </c>
      <c r="E17" s="19">
        <v>0</v>
      </c>
      <c r="F17" s="25">
        <v>0</v>
      </c>
      <c r="G17" s="28">
        <v>2</v>
      </c>
      <c r="H17" s="19">
        <v>1</v>
      </c>
      <c r="I17" s="19">
        <v>0</v>
      </c>
      <c r="J17" s="26">
        <v>0.25</v>
      </c>
      <c r="K17" s="27">
        <v>4.11</v>
      </c>
      <c r="L17" s="27">
        <v>1027.88</v>
      </c>
      <c r="M17" s="19">
        <v>0</v>
      </c>
      <c r="N17" s="20">
        <v>0</v>
      </c>
      <c r="O17" s="22" t="e">
        <f t="shared" si="0"/>
        <v>#DIV/0!</v>
      </c>
      <c r="P17" s="23" t="e">
        <f t="shared" si="1"/>
        <v>#DIV/0!</v>
      </c>
      <c r="Q17" s="21">
        <f t="shared" si="2"/>
        <v>26.725</v>
      </c>
    </row>
    <row r="18" s="2" customFormat="1" spans="1:17">
      <c r="A18" s="17">
        <v>44213</v>
      </c>
      <c r="B18" s="25">
        <v>49.73</v>
      </c>
      <c r="C18" s="19">
        <v>42</v>
      </c>
      <c r="D18" s="19">
        <v>11</v>
      </c>
      <c r="E18" s="19">
        <v>0</v>
      </c>
      <c r="F18" s="25">
        <v>0</v>
      </c>
      <c r="G18" s="28">
        <v>2</v>
      </c>
      <c r="H18" s="19">
        <v>2</v>
      </c>
      <c r="I18" s="28">
        <v>1</v>
      </c>
      <c r="J18" s="26">
        <v>0.2619</v>
      </c>
      <c r="K18" s="27">
        <v>4.52</v>
      </c>
      <c r="L18" s="27">
        <v>1184.05</v>
      </c>
      <c r="M18" s="19">
        <v>0</v>
      </c>
      <c r="N18" s="20">
        <v>0</v>
      </c>
      <c r="O18" s="22" t="e">
        <f t="shared" si="0"/>
        <v>#DIV/0!</v>
      </c>
      <c r="P18" s="23" t="e">
        <f t="shared" si="1"/>
        <v>#DIV/0!</v>
      </c>
      <c r="Q18" s="21">
        <f t="shared" si="2"/>
        <v>24.865</v>
      </c>
    </row>
    <row r="19" s="2" customFormat="1" spans="1:17">
      <c r="A19" s="17">
        <v>44214</v>
      </c>
      <c r="B19" s="25">
        <v>50.64</v>
      </c>
      <c r="C19" s="19">
        <v>41</v>
      </c>
      <c r="D19" s="19">
        <v>18</v>
      </c>
      <c r="E19" s="19">
        <v>1</v>
      </c>
      <c r="F19" s="25">
        <v>0.01</v>
      </c>
      <c r="G19" s="28">
        <v>2</v>
      </c>
      <c r="H19" s="19">
        <v>0</v>
      </c>
      <c r="I19" s="28">
        <v>0</v>
      </c>
      <c r="J19" s="26">
        <f t="shared" ref="J19:J67" si="3">D19/C19</f>
        <v>0.439024390243902</v>
      </c>
      <c r="K19" s="27">
        <f t="shared" ref="K19:K67" si="4">B19/D19</f>
        <v>2.81333333333333</v>
      </c>
      <c r="L19" s="27">
        <f t="shared" ref="L19:L67" si="5">B19/(C19/1000)</f>
        <v>1235.12195121951</v>
      </c>
      <c r="M19" s="19">
        <v>0</v>
      </c>
      <c r="N19" s="20">
        <v>0</v>
      </c>
      <c r="O19" s="22">
        <f t="shared" si="0"/>
        <v>0.01</v>
      </c>
      <c r="P19" s="23">
        <f t="shared" si="1"/>
        <v>50.64</v>
      </c>
      <c r="Q19" s="21">
        <f t="shared" si="2"/>
        <v>25.32</v>
      </c>
    </row>
    <row r="20" s="2" customFormat="1" spans="1:17">
      <c r="A20" s="17">
        <v>44215</v>
      </c>
      <c r="B20" s="25">
        <v>50.78</v>
      </c>
      <c r="C20" s="19">
        <v>39</v>
      </c>
      <c r="D20" s="19">
        <v>16</v>
      </c>
      <c r="E20" s="19">
        <v>0</v>
      </c>
      <c r="F20" s="25">
        <v>0</v>
      </c>
      <c r="G20" s="19">
        <v>0</v>
      </c>
      <c r="H20" s="19">
        <v>0</v>
      </c>
      <c r="I20" s="28">
        <v>1</v>
      </c>
      <c r="J20" s="26">
        <f t="shared" si="3"/>
        <v>0.41025641025641</v>
      </c>
      <c r="K20" s="27">
        <f t="shared" si="4"/>
        <v>3.17375</v>
      </c>
      <c r="L20" s="27">
        <f t="shared" si="5"/>
        <v>1302.05128205128</v>
      </c>
      <c r="M20" s="19">
        <v>0</v>
      </c>
      <c r="N20" s="20">
        <v>0</v>
      </c>
      <c r="O20" s="22" t="e">
        <f t="shared" si="0"/>
        <v>#DIV/0!</v>
      </c>
      <c r="P20" s="23" t="e">
        <f t="shared" si="1"/>
        <v>#DIV/0!</v>
      </c>
      <c r="Q20" s="21" t="e">
        <f t="shared" si="2"/>
        <v>#DIV/0!</v>
      </c>
    </row>
    <row r="21" s="2" customFormat="1" spans="1:17">
      <c r="A21" s="17">
        <v>44216</v>
      </c>
      <c r="B21" s="25">
        <v>71.75</v>
      </c>
      <c r="C21" s="19">
        <v>58</v>
      </c>
      <c r="D21" s="19">
        <v>32</v>
      </c>
      <c r="E21" s="28">
        <v>1</v>
      </c>
      <c r="F21" s="25">
        <v>0.01</v>
      </c>
      <c r="G21" s="28">
        <v>0</v>
      </c>
      <c r="H21" s="19">
        <v>0</v>
      </c>
      <c r="I21" s="28">
        <v>2</v>
      </c>
      <c r="J21" s="26">
        <f t="shared" si="3"/>
        <v>0.551724137931034</v>
      </c>
      <c r="K21" s="27">
        <f t="shared" si="4"/>
        <v>2.2421875</v>
      </c>
      <c r="L21" s="27">
        <f t="shared" si="5"/>
        <v>1237.06896551724</v>
      </c>
      <c r="M21" s="19">
        <v>0</v>
      </c>
      <c r="N21" s="20">
        <v>0</v>
      </c>
      <c r="O21" s="22">
        <f t="shared" si="0"/>
        <v>0.01</v>
      </c>
      <c r="P21" s="23">
        <f t="shared" si="1"/>
        <v>71.75</v>
      </c>
      <c r="Q21" s="21" t="e">
        <f t="shared" si="2"/>
        <v>#DIV/0!</v>
      </c>
    </row>
    <row r="22" s="2" customFormat="1" spans="1:17">
      <c r="A22" s="17">
        <v>44217</v>
      </c>
      <c r="B22" s="25">
        <v>52.78</v>
      </c>
      <c r="C22" s="19">
        <v>38</v>
      </c>
      <c r="D22" s="19">
        <v>18</v>
      </c>
      <c r="E22" s="28">
        <v>1</v>
      </c>
      <c r="F22" s="25">
        <v>0.01</v>
      </c>
      <c r="G22" s="28">
        <v>0</v>
      </c>
      <c r="H22" s="19">
        <v>0</v>
      </c>
      <c r="I22" s="28">
        <v>0</v>
      </c>
      <c r="J22" s="26">
        <f t="shared" si="3"/>
        <v>0.473684210526316</v>
      </c>
      <c r="K22" s="27">
        <f t="shared" si="4"/>
        <v>2.93222222222222</v>
      </c>
      <c r="L22" s="27">
        <f t="shared" si="5"/>
        <v>1388.94736842105</v>
      </c>
      <c r="M22" s="19">
        <v>0</v>
      </c>
      <c r="N22" s="20">
        <v>0</v>
      </c>
      <c r="O22" s="22">
        <f t="shared" si="0"/>
        <v>0.01</v>
      </c>
      <c r="P22" s="23">
        <f t="shared" si="1"/>
        <v>52.78</v>
      </c>
      <c r="Q22" s="21" t="e">
        <f t="shared" si="2"/>
        <v>#DIV/0!</v>
      </c>
    </row>
    <row r="23" s="2" customFormat="1" spans="1:17">
      <c r="A23" s="17">
        <v>44218</v>
      </c>
      <c r="B23" s="25">
        <v>49.79</v>
      </c>
      <c r="C23" s="19">
        <v>43</v>
      </c>
      <c r="D23" s="19">
        <v>14</v>
      </c>
      <c r="E23" s="28">
        <v>0</v>
      </c>
      <c r="F23" s="25">
        <v>0</v>
      </c>
      <c r="G23" s="28">
        <v>0</v>
      </c>
      <c r="H23" s="19">
        <v>0</v>
      </c>
      <c r="I23" s="28">
        <v>0</v>
      </c>
      <c r="J23" s="26">
        <f t="shared" si="3"/>
        <v>0.325581395348837</v>
      </c>
      <c r="K23" s="27">
        <f t="shared" si="4"/>
        <v>3.55642857142857</v>
      </c>
      <c r="L23" s="27">
        <f t="shared" si="5"/>
        <v>1157.90697674419</v>
      </c>
      <c r="M23" s="19">
        <v>0</v>
      </c>
      <c r="N23" s="20">
        <v>0</v>
      </c>
      <c r="O23" s="22" t="e">
        <f t="shared" si="0"/>
        <v>#DIV/0!</v>
      </c>
      <c r="P23" s="23" t="e">
        <f t="shared" si="1"/>
        <v>#DIV/0!</v>
      </c>
      <c r="Q23" s="21" t="e">
        <f t="shared" si="2"/>
        <v>#DIV/0!</v>
      </c>
    </row>
    <row r="24" s="2" customFormat="1" spans="1:17">
      <c r="A24" s="17">
        <v>44219</v>
      </c>
      <c r="B24" s="25">
        <v>60.91</v>
      </c>
      <c r="C24" s="19">
        <v>67</v>
      </c>
      <c r="D24" s="19">
        <v>13</v>
      </c>
      <c r="E24" s="28">
        <v>0</v>
      </c>
      <c r="F24" s="25">
        <v>0</v>
      </c>
      <c r="G24" s="28">
        <v>1</v>
      </c>
      <c r="H24" s="19">
        <v>0</v>
      </c>
      <c r="I24" s="28">
        <v>2</v>
      </c>
      <c r="J24" s="26">
        <f t="shared" si="3"/>
        <v>0.194029850746269</v>
      </c>
      <c r="K24" s="27">
        <f t="shared" si="4"/>
        <v>4.68538461538462</v>
      </c>
      <c r="L24" s="27">
        <f t="shared" si="5"/>
        <v>909.10447761194</v>
      </c>
      <c r="M24" s="19">
        <v>0</v>
      </c>
      <c r="N24" s="20">
        <v>0</v>
      </c>
      <c r="O24" s="22" t="e">
        <f t="shared" si="0"/>
        <v>#DIV/0!</v>
      </c>
      <c r="P24" s="23" t="e">
        <f t="shared" si="1"/>
        <v>#DIV/0!</v>
      </c>
      <c r="Q24" s="21">
        <f t="shared" si="2"/>
        <v>60.91</v>
      </c>
    </row>
    <row r="25" s="2" customFormat="1" spans="1:17">
      <c r="A25" s="17">
        <v>44220</v>
      </c>
      <c r="B25" s="25">
        <v>54.85</v>
      </c>
      <c r="C25" s="19">
        <v>50</v>
      </c>
      <c r="D25" s="19">
        <v>15</v>
      </c>
      <c r="E25" s="28">
        <v>0</v>
      </c>
      <c r="F25" s="25">
        <v>0</v>
      </c>
      <c r="G25" s="28">
        <v>1</v>
      </c>
      <c r="H25" s="19">
        <v>0</v>
      </c>
      <c r="I25" s="28">
        <v>1</v>
      </c>
      <c r="J25" s="26">
        <f t="shared" si="3"/>
        <v>0.3</v>
      </c>
      <c r="K25" s="27">
        <f t="shared" si="4"/>
        <v>3.65666666666667</v>
      </c>
      <c r="L25" s="27">
        <f t="shared" si="5"/>
        <v>1097</v>
      </c>
      <c r="M25" s="19">
        <v>0</v>
      </c>
      <c r="N25" s="20">
        <v>0</v>
      </c>
      <c r="O25" s="22" t="e">
        <f t="shared" si="0"/>
        <v>#DIV/0!</v>
      </c>
      <c r="P25" s="23" t="e">
        <f t="shared" si="1"/>
        <v>#DIV/0!</v>
      </c>
      <c r="Q25" s="21">
        <f t="shared" si="2"/>
        <v>54.85</v>
      </c>
    </row>
    <row r="26" s="2" customFormat="1" spans="1:17">
      <c r="A26" s="17">
        <v>44221</v>
      </c>
      <c r="B26" s="25">
        <v>35.77</v>
      </c>
      <c r="C26" s="19">
        <v>36</v>
      </c>
      <c r="D26" s="19">
        <v>10</v>
      </c>
      <c r="E26" s="28">
        <v>0</v>
      </c>
      <c r="F26" s="25">
        <v>0</v>
      </c>
      <c r="G26" s="28">
        <v>1</v>
      </c>
      <c r="H26" s="19">
        <v>0</v>
      </c>
      <c r="I26" s="28">
        <v>1</v>
      </c>
      <c r="J26" s="29">
        <f t="shared" si="3"/>
        <v>0.277777777777778</v>
      </c>
      <c r="K26" s="27">
        <f t="shared" si="4"/>
        <v>3.577</v>
      </c>
      <c r="L26" s="27">
        <f t="shared" si="5"/>
        <v>993.611111111111</v>
      </c>
      <c r="M26" s="19">
        <v>0</v>
      </c>
      <c r="N26" s="20">
        <v>0</v>
      </c>
      <c r="O26" s="22" t="e">
        <f t="shared" si="0"/>
        <v>#DIV/0!</v>
      </c>
      <c r="P26" s="23" t="e">
        <f t="shared" si="1"/>
        <v>#DIV/0!</v>
      </c>
      <c r="Q26" s="21">
        <f t="shared" si="2"/>
        <v>35.77</v>
      </c>
    </row>
    <row r="27" s="2" customFormat="1" spans="1:17">
      <c r="A27" s="17">
        <v>44222</v>
      </c>
      <c r="B27" s="25">
        <v>45.51</v>
      </c>
      <c r="C27" s="19">
        <v>40</v>
      </c>
      <c r="D27" s="19">
        <v>21</v>
      </c>
      <c r="E27" s="28">
        <v>0</v>
      </c>
      <c r="F27" s="25">
        <v>0</v>
      </c>
      <c r="G27" s="28">
        <v>0</v>
      </c>
      <c r="H27" s="19">
        <v>1</v>
      </c>
      <c r="I27" s="28">
        <v>1</v>
      </c>
      <c r="J27" s="29">
        <f t="shared" si="3"/>
        <v>0.525</v>
      </c>
      <c r="K27" s="27">
        <f t="shared" si="4"/>
        <v>2.16714285714286</v>
      </c>
      <c r="L27" s="27">
        <f t="shared" si="5"/>
        <v>1137.75</v>
      </c>
      <c r="M27" s="19">
        <v>0</v>
      </c>
      <c r="N27" s="20">
        <v>0</v>
      </c>
      <c r="O27" s="22" t="e">
        <f t="shared" si="0"/>
        <v>#DIV/0!</v>
      </c>
      <c r="P27" s="23" t="e">
        <f t="shared" si="1"/>
        <v>#DIV/0!</v>
      </c>
      <c r="Q27" s="21" t="e">
        <f t="shared" si="2"/>
        <v>#DIV/0!</v>
      </c>
    </row>
    <row r="28" s="2" customFormat="1" spans="1:17">
      <c r="A28" s="17">
        <v>44223</v>
      </c>
      <c r="B28" s="25">
        <v>51.74</v>
      </c>
      <c r="C28" s="19">
        <v>39</v>
      </c>
      <c r="D28" s="19">
        <v>26</v>
      </c>
      <c r="E28" s="28">
        <v>0</v>
      </c>
      <c r="F28" s="25">
        <v>0</v>
      </c>
      <c r="G28" s="28">
        <v>1</v>
      </c>
      <c r="H28" s="19">
        <v>0</v>
      </c>
      <c r="I28" s="28">
        <v>0</v>
      </c>
      <c r="J28" s="29">
        <f t="shared" si="3"/>
        <v>0.666666666666667</v>
      </c>
      <c r="K28" s="27">
        <f t="shared" si="4"/>
        <v>1.99</v>
      </c>
      <c r="L28" s="27">
        <f t="shared" si="5"/>
        <v>1326.66666666667</v>
      </c>
      <c r="M28" s="19">
        <v>0</v>
      </c>
      <c r="N28" s="20">
        <v>0</v>
      </c>
      <c r="O28" s="22" t="e">
        <f t="shared" si="0"/>
        <v>#DIV/0!</v>
      </c>
      <c r="P28" s="23" t="e">
        <f t="shared" si="1"/>
        <v>#DIV/0!</v>
      </c>
      <c r="Q28" s="21">
        <f t="shared" si="2"/>
        <v>51.74</v>
      </c>
    </row>
    <row r="29" s="2" customFormat="1" spans="1:17">
      <c r="A29" s="17">
        <v>44224</v>
      </c>
      <c r="B29" s="25">
        <v>58.41</v>
      </c>
      <c r="C29" s="19">
        <v>41</v>
      </c>
      <c r="D29" s="19">
        <v>25</v>
      </c>
      <c r="E29" s="28">
        <v>0</v>
      </c>
      <c r="F29" s="25">
        <v>0</v>
      </c>
      <c r="G29" s="28">
        <v>2</v>
      </c>
      <c r="H29" s="19">
        <v>1</v>
      </c>
      <c r="I29" s="28">
        <v>2</v>
      </c>
      <c r="J29" s="29">
        <f t="shared" si="3"/>
        <v>0.609756097560976</v>
      </c>
      <c r="K29" s="27">
        <f t="shared" si="4"/>
        <v>2.3364</v>
      </c>
      <c r="L29" s="27">
        <f t="shared" si="5"/>
        <v>1424.63414634146</v>
      </c>
      <c r="M29" s="19">
        <v>0</v>
      </c>
      <c r="N29" s="20">
        <v>0</v>
      </c>
      <c r="O29" s="22" t="e">
        <f t="shared" si="0"/>
        <v>#DIV/0!</v>
      </c>
      <c r="P29" s="23" t="e">
        <f t="shared" si="1"/>
        <v>#DIV/0!</v>
      </c>
      <c r="Q29" s="21">
        <f t="shared" si="2"/>
        <v>29.205</v>
      </c>
    </row>
    <row r="30" s="2" customFormat="1" spans="1:17">
      <c r="A30" s="17">
        <v>44225</v>
      </c>
      <c r="B30" s="25">
        <v>41.08</v>
      </c>
      <c r="C30" s="19">
        <v>28</v>
      </c>
      <c r="D30" s="19">
        <v>10</v>
      </c>
      <c r="E30" s="28">
        <v>0</v>
      </c>
      <c r="F30" s="25">
        <v>0</v>
      </c>
      <c r="G30" s="28">
        <v>2</v>
      </c>
      <c r="H30" s="19">
        <v>0</v>
      </c>
      <c r="I30" s="28">
        <v>0</v>
      </c>
      <c r="J30" s="29">
        <f t="shared" si="3"/>
        <v>0.357142857142857</v>
      </c>
      <c r="K30" s="27">
        <f t="shared" si="4"/>
        <v>4.108</v>
      </c>
      <c r="L30" s="27">
        <f t="shared" si="5"/>
        <v>1467.14285714286</v>
      </c>
      <c r="M30" s="19">
        <v>0</v>
      </c>
      <c r="N30" s="20">
        <v>0</v>
      </c>
      <c r="O30" s="22" t="e">
        <f t="shared" si="0"/>
        <v>#DIV/0!</v>
      </c>
      <c r="P30" s="23" t="e">
        <f t="shared" si="1"/>
        <v>#DIV/0!</v>
      </c>
      <c r="Q30" s="21">
        <f t="shared" si="2"/>
        <v>20.54</v>
      </c>
    </row>
    <row r="31" s="2" customFormat="1" spans="1:17">
      <c r="A31" s="17">
        <v>44226</v>
      </c>
      <c r="B31" s="25">
        <v>5.85</v>
      </c>
      <c r="C31" s="19">
        <v>4</v>
      </c>
      <c r="D31" s="19">
        <v>1</v>
      </c>
      <c r="E31" s="28">
        <v>0</v>
      </c>
      <c r="F31" s="25">
        <v>0</v>
      </c>
      <c r="G31" s="28">
        <v>0</v>
      </c>
      <c r="H31" s="19">
        <v>0</v>
      </c>
      <c r="I31" s="28">
        <v>0</v>
      </c>
      <c r="J31" s="29">
        <f t="shared" si="3"/>
        <v>0.25</v>
      </c>
      <c r="K31" s="27">
        <f t="shared" si="4"/>
        <v>5.85</v>
      </c>
      <c r="L31" s="27">
        <f t="shared" si="5"/>
        <v>1462.5</v>
      </c>
      <c r="M31" s="19">
        <v>0</v>
      </c>
      <c r="N31" s="20">
        <v>0</v>
      </c>
      <c r="O31" s="22" t="e">
        <f t="shared" si="0"/>
        <v>#DIV/0!</v>
      </c>
      <c r="P31" s="23" t="e">
        <f t="shared" si="1"/>
        <v>#DIV/0!</v>
      </c>
      <c r="Q31" s="21" t="e">
        <f t="shared" si="2"/>
        <v>#DIV/0!</v>
      </c>
    </row>
    <row r="32" s="2" customFormat="1" spans="1:17">
      <c r="A32" s="17">
        <v>44227</v>
      </c>
      <c r="B32" s="25">
        <v>0</v>
      </c>
      <c r="C32" s="19">
        <v>0</v>
      </c>
      <c r="D32" s="19">
        <v>0</v>
      </c>
      <c r="E32" s="28">
        <v>0</v>
      </c>
      <c r="F32" s="25">
        <v>0</v>
      </c>
      <c r="G32" s="28">
        <v>0</v>
      </c>
      <c r="H32" s="19">
        <v>0</v>
      </c>
      <c r="I32" s="28">
        <v>0</v>
      </c>
      <c r="J32" s="29" t="e">
        <f t="shared" si="3"/>
        <v>#DIV/0!</v>
      </c>
      <c r="K32" s="27" t="e">
        <f t="shared" si="4"/>
        <v>#DIV/0!</v>
      </c>
      <c r="L32" s="27" t="e">
        <f t="shared" si="5"/>
        <v>#DIV/0!</v>
      </c>
      <c r="M32" s="19">
        <v>0</v>
      </c>
      <c r="N32" s="20">
        <v>0</v>
      </c>
      <c r="O32" s="22" t="e">
        <f t="shared" si="0"/>
        <v>#DIV/0!</v>
      </c>
      <c r="P32" s="23" t="e">
        <f t="shared" si="1"/>
        <v>#DIV/0!</v>
      </c>
      <c r="Q32" s="21" t="e">
        <f t="shared" si="2"/>
        <v>#DIV/0!</v>
      </c>
    </row>
    <row r="33" s="2" customFormat="1" spans="1:17">
      <c r="A33" s="17">
        <f t="shared" ref="A33:A96" si="6">A32+1</f>
        <v>44228</v>
      </c>
      <c r="B33" s="18">
        <v>0</v>
      </c>
      <c r="C33" s="19">
        <v>0</v>
      </c>
      <c r="D33" s="19">
        <v>0</v>
      </c>
      <c r="E33" s="19">
        <v>0</v>
      </c>
      <c r="F33" s="18">
        <v>0</v>
      </c>
      <c r="G33" s="19">
        <v>0</v>
      </c>
      <c r="H33" s="19">
        <v>0</v>
      </c>
      <c r="I33" s="19">
        <v>0</v>
      </c>
      <c r="J33" s="29" t="e">
        <f t="shared" si="3"/>
        <v>#DIV/0!</v>
      </c>
      <c r="K33" s="27" t="e">
        <f t="shared" si="4"/>
        <v>#DIV/0!</v>
      </c>
      <c r="L33" s="27" t="e">
        <f t="shared" si="5"/>
        <v>#DIV/0!</v>
      </c>
      <c r="M33" s="19">
        <v>0</v>
      </c>
      <c r="N33" s="20">
        <v>0</v>
      </c>
      <c r="O33" s="22" t="e">
        <f t="shared" si="0"/>
        <v>#DIV/0!</v>
      </c>
      <c r="P33" s="23" t="e">
        <f t="shared" si="1"/>
        <v>#DIV/0!</v>
      </c>
      <c r="Q33" s="21" t="e">
        <f t="shared" si="2"/>
        <v>#DIV/0!</v>
      </c>
    </row>
    <row r="34" s="2" customFormat="1" spans="1:17">
      <c r="A34" s="17">
        <f t="shared" si="6"/>
        <v>44229</v>
      </c>
      <c r="B34" s="18">
        <v>58.2</v>
      </c>
      <c r="C34" s="19">
        <v>54</v>
      </c>
      <c r="D34" s="19">
        <v>20</v>
      </c>
      <c r="E34" s="19">
        <v>0</v>
      </c>
      <c r="F34" s="18">
        <v>0</v>
      </c>
      <c r="G34" s="19">
        <v>1</v>
      </c>
      <c r="H34" s="19">
        <v>0</v>
      </c>
      <c r="I34" s="19">
        <v>1</v>
      </c>
      <c r="J34" s="29">
        <f t="shared" si="3"/>
        <v>0.37037037037037</v>
      </c>
      <c r="K34" s="27">
        <f t="shared" si="4"/>
        <v>2.91</v>
      </c>
      <c r="L34" s="27">
        <f t="shared" si="5"/>
        <v>1077.77777777778</v>
      </c>
      <c r="M34" s="19">
        <v>0</v>
      </c>
      <c r="N34" s="20">
        <v>0</v>
      </c>
      <c r="O34" s="22" t="e">
        <f t="shared" si="0"/>
        <v>#DIV/0!</v>
      </c>
      <c r="P34" s="23" t="e">
        <f t="shared" si="1"/>
        <v>#DIV/0!</v>
      </c>
      <c r="Q34" s="21">
        <f t="shared" si="2"/>
        <v>58.2</v>
      </c>
    </row>
    <row r="35" s="2" customFormat="1" spans="1:17">
      <c r="A35" s="17">
        <f t="shared" si="6"/>
        <v>44230</v>
      </c>
      <c r="B35" s="18">
        <v>81.92</v>
      </c>
      <c r="C35" s="19">
        <v>71</v>
      </c>
      <c r="D35" s="19">
        <v>30</v>
      </c>
      <c r="E35" s="19">
        <v>0</v>
      </c>
      <c r="F35" s="18">
        <v>0</v>
      </c>
      <c r="G35" s="19">
        <v>4</v>
      </c>
      <c r="H35" s="19">
        <v>1</v>
      </c>
      <c r="I35" s="19">
        <v>1</v>
      </c>
      <c r="J35" s="29">
        <f t="shared" si="3"/>
        <v>0.422535211267606</v>
      </c>
      <c r="K35" s="27">
        <f t="shared" si="4"/>
        <v>2.73066666666667</v>
      </c>
      <c r="L35" s="27">
        <f t="shared" si="5"/>
        <v>1153.80281690141</v>
      </c>
      <c r="M35" s="19">
        <v>0</v>
      </c>
      <c r="N35" s="20">
        <v>0</v>
      </c>
      <c r="O35" s="22" t="e">
        <f t="shared" si="0"/>
        <v>#DIV/0!</v>
      </c>
      <c r="P35" s="23" t="e">
        <f t="shared" si="1"/>
        <v>#DIV/0!</v>
      </c>
      <c r="Q35" s="21">
        <f t="shared" si="2"/>
        <v>20.48</v>
      </c>
    </row>
    <row r="36" s="2" customFormat="1" spans="1:17">
      <c r="A36" s="17">
        <f t="shared" si="6"/>
        <v>44231</v>
      </c>
      <c r="B36" s="18">
        <v>41.85</v>
      </c>
      <c r="C36" s="19">
        <v>35</v>
      </c>
      <c r="D36" s="19">
        <v>16</v>
      </c>
      <c r="E36" s="19">
        <v>0</v>
      </c>
      <c r="F36" s="18">
        <v>0</v>
      </c>
      <c r="G36" s="19">
        <v>1</v>
      </c>
      <c r="H36" s="19">
        <v>2</v>
      </c>
      <c r="I36" s="19">
        <v>0</v>
      </c>
      <c r="J36" s="29">
        <f t="shared" si="3"/>
        <v>0.457142857142857</v>
      </c>
      <c r="K36" s="27">
        <f t="shared" si="4"/>
        <v>2.615625</v>
      </c>
      <c r="L36" s="27">
        <f t="shared" si="5"/>
        <v>1195.71428571429</v>
      </c>
      <c r="M36" s="19">
        <v>0</v>
      </c>
      <c r="N36" s="20">
        <v>0</v>
      </c>
      <c r="O36" s="22" t="e">
        <f t="shared" si="0"/>
        <v>#DIV/0!</v>
      </c>
      <c r="P36" s="23" t="e">
        <f t="shared" si="1"/>
        <v>#DIV/0!</v>
      </c>
      <c r="Q36" s="21">
        <f t="shared" si="2"/>
        <v>41.85</v>
      </c>
    </row>
    <row r="37" s="2" customFormat="1" spans="1:17">
      <c r="A37" s="17">
        <f t="shared" si="6"/>
        <v>44232</v>
      </c>
      <c r="B37" s="18">
        <v>72.21</v>
      </c>
      <c r="C37" s="19">
        <v>57</v>
      </c>
      <c r="D37" s="19">
        <v>11</v>
      </c>
      <c r="E37" s="19">
        <v>0</v>
      </c>
      <c r="F37" s="18">
        <v>0</v>
      </c>
      <c r="G37" s="19">
        <v>0</v>
      </c>
      <c r="H37" s="19">
        <v>0</v>
      </c>
      <c r="I37" s="19">
        <v>1</v>
      </c>
      <c r="J37" s="29">
        <f t="shared" si="3"/>
        <v>0.192982456140351</v>
      </c>
      <c r="K37" s="27">
        <f t="shared" si="4"/>
        <v>6.56454545454545</v>
      </c>
      <c r="L37" s="27">
        <f t="shared" si="5"/>
        <v>1266.84210526316</v>
      </c>
      <c r="M37" s="19">
        <v>0</v>
      </c>
      <c r="N37" s="20">
        <v>0</v>
      </c>
      <c r="O37" s="22" t="e">
        <f t="shared" si="0"/>
        <v>#DIV/0!</v>
      </c>
      <c r="P37" s="23" t="e">
        <f t="shared" si="1"/>
        <v>#DIV/0!</v>
      </c>
      <c r="Q37" s="21" t="e">
        <f t="shared" si="2"/>
        <v>#DIV/0!</v>
      </c>
    </row>
    <row r="38" s="2" customFormat="1" spans="1:17">
      <c r="A38" s="17">
        <f t="shared" si="6"/>
        <v>44233</v>
      </c>
      <c r="B38" s="18">
        <v>43.5</v>
      </c>
      <c r="C38" s="19">
        <v>52</v>
      </c>
      <c r="D38" s="19">
        <v>12</v>
      </c>
      <c r="E38" s="19">
        <v>0</v>
      </c>
      <c r="F38" s="18">
        <v>0</v>
      </c>
      <c r="G38" s="19">
        <v>0</v>
      </c>
      <c r="H38" s="19">
        <v>0</v>
      </c>
      <c r="I38" s="19">
        <v>0</v>
      </c>
      <c r="J38" s="29">
        <f t="shared" si="3"/>
        <v>0.230769230769231</v>
      </c>
      <c r="K38" s="27">
        <f t="shared" si="4"/>
        <v>3.625</v>
      </c>
      <c r="L38" s="27">
        <f t="shared" si="5"/>
        <v>836.538461538462</v>
      </c>
      <c r="M38" s="19">
        <v>0</v>
      </c>
      <c r="N38" s="20">
        <v>0</v>
      </c>
      <c r="O38" s="22" t="e">
        <f t="shared" si="0"/>
        <v>#DIV/0!</v>
      </c>
      <c r="P38" s="23" t="e">
        <f t="shared" si="1"/>
        <v>#DIV/0!</v>
      </c>
      <c r="Q38" s="21" t="e">
        <f t="shared" si="2"/>
        <v>#DIV/0!</v>
      </c>
    </row>
    <row r="39" s="2" customFormat="1" spans="1:17">
      <c r="A39" s="17">
        <f t="shared" si="6"/>
        <v>44234</v>
      </c>
      <c r="B39" s="18">
        <v>23.77</v>
      </c>
      <c r="C39" s="19">
        <v>25</v>
      </c>
      <c r="D39" s="19">
        <v>7</v>
      </c>
      <c r="E39" s="19">
        <v>0</v>
      </c>
      <c r="F39" s="18">
        <v>0</v>
      </c>
      <c r="G39" s="19">
        <v>0</v>
      </c>
      <c r="H39" s="19">
        <v>0</v>
      </c>
      <c r="I39" s="19">
        <v>1</v>
      </c>
      <c r="J39" s="29">
        <f t="shared" si="3"/>
        <v>0.28</v>
      </c>
      <c r="K39" s="27">
        <f t="shared" si="4"/>
        <v>3.39571428571429</v>
      </c>
      <c r="L39" s="27">
        <f t="shared" si="5"/>
        <v>950.8</v>
      </c>
      <c r="M39" s="19">
        <v>0</v>
      </c>
      <c r="N39" s="20">
        <v>0</v>
      </c>
      <c r="O39" s="22" t="e">
        <f t="shared" si="0"/>
        <v>#DIV/0!</v>
      </c>
      <c r="P39" s="23" t="e">
        <f t="shared" si="1"/>
        <v>#DIV/0!</v>
      </c>
      <c r="Q39" s="21" t="e">
        <f t="shared" si="2"/>
        <v>#DIV/0!</v>
      </c>
    </row>
    <row r="40" s="2" customFormat="1" spans="1:17">
      <c r="A40" s="17">
        <f t="shared" si="6"/>
        <v>44235</v>
      </c>
      <c r="B40" s="18">
        <v>33.8</v>
      </c>
      <c r="C40" s="19">
        <v>33</v>
      </c>
      <c r="D40" s="19">
        <v>11</v>
      </c>
      <c r="E40" s="19">
        <v>0</v>
      </c>
      <c r="F40" s="18">
        <v>0</v>
      </c>
      <c r="G40" s="19">
        <v>0</v>
      </c>
      <c r="H40" s="19">
        <v>0</v>
      </c>
      <c r="I40" s="19">
        <v>0</v>
      </c>
      <c r="J40" s="29">
        <f t="shared" si="3"/>
        <v>0.333333333333333</v>
      </c>
      <c r="K40" s="27">
        <f t="shared" si="4"/>
        <v>3.07272727272727</v>
      </c>
      <c r="L40" s="27">
        <f t="shared" si="5"/>
        <v>1024.24242424242</v>
      </c>
      <c r="M40" s="19">
        <v>0</v>
      </c>
      <c r="N40" s="20">
        <v>0</v>
      </c>
      <c r="O40" s="22" t="e">
        <f t="shared" si="0"/>
        <v>#DIV/0!</v>
      </c>
      <c r="P40" s="23" t="e">
        <f t="shared" si="1"/>
        <v>#DIV/0!</v>
      </c>
      <c r="Q40" s="21" t="e">
        <f t="shared" si="2"/>
        <v>#DIV/0!</v>
      </c>
    </row>
    <row r="41" s="2" customFormat="1" spans="1:17">
      <c r="A41" s="17">
        <f t="shared" si="6"/>
        <v>44236</v>
      </c>
      <c r="B41" s="18">
        <v>29.93</v>
      </c>
      <c r="C41" s="19">
        <v>35</v>
      </c>
      <c r="D41" s="19">
        <v>5</v>
      </c>
      <c r="E41" s="19">
        <v>0</v>
      </c>
      <c r="F41" s="18">
        <v>0</v>
      </c>
      <c r="G41" s="19">
        <v>0</v>
      </c>
      <c r="H41" s="19">
        <v>0</v>
      </c>
      <c r="I41" s="19">
        <v>0</v>
      </c>
      <c r="J41" s="29">
        <f t="shared" si="3"/>
        <v>0.142857142857143</v>
      </c>
      <c r="K41" s="27">
        <f t="shared" si="4"/>
        <v>5.986</v>
      </c>
      <c r="L41" s="27">
        <f t="shared" si="5"/>
        <v>855.142857142857</v>
      </c>
      <c r="M41" s="19">
        <v>0</v>
      </c>
      <c r="N41" s="20">
        <v>0</v>
      </c>
      <c r="O41" s="22" t="e">
        <f t="shared" si="0"/>
        <v>#DIV/0!</v>
      </c>
      <c r="P41" s="23" t="e">
        <f t="shared" si="1"/>
        <v>#DIV/0!</v>
      </c>
      <c r="Q41" s="21" t="e">
        <f t="shared" si="2"/>
        <v>#DIV/0!</v>
      </c>
    </row>
    <row r="42" s="2" customFormat="1" spans="1:17">
      <c r="A42" s="17">
        <f t="shared" si="6"/>
        <v>44237</v>
      </c>
      <c r="B42" s="18">
        <v>50.8</v>
      </c>
      <c r="C42" s="19">
        <v>71</v>
      </c>
      <c r="D42" s="19">
        <v>15</v>
      </c>
      <c r="E42" s="19">
        <v>0</v>
      </c>
      <c r="F42" s="18">
        <v>0</v>
      </c>
      <c r="G42" s="19">
        <v>3</v>
      </c>
      <c r="H42" s="19">
        <v>0</v>
      </c>
      <c r="I42" s="19">
        <v>0</v>
      </c>
      <c r="J42" s="29">
        <f t="shared" si="3"/>
        <v>0.211267605633803</v>
      </c>
      <c r="K42" s="27">
        <f t="shared" si="4"/>
        <v>3.38666666666667</v>
      </c>
      <c r="L42" s="27">
        <f t="shared" si="5"/>
        <v>715.492957746479</v>
      </c>
      <c r="M42" s="19">
        <v>0</v>
      </c>
      <c r="N42" s="20">
        <v>0</v>
      </c>
      <c r="O42" s="22" t="e">
        <f t="shared" si="0"/>
        <v>#DIV/0!</v>
      </c>
      <c r="P42" s="23" t="e">
        <f t="shared" si="1"/>
        <v>#DIV/0!</v>
      </c>
      <c r="Q42" s="21">
        <f t="shared" si="2"/>
        <v>16.9333333333333</v>
      </c>
    </row>
    <row r="43" s="2" customFormat="1" spans="1:17">
      <c r="A43" s="17">
        <f t="shared" si="6"/>
        <v>44238</v>
      </c>
      <c r="B43" s="18">
        <v>24.51</v>
      </c>
      <c r="C43" s="19">
        <v>35</v>
      </c>
      <c r="D43" s="19">
        <v>8</v>
      </c>
      <c r="E43" s="19">
        <v>0</v>
      </c>
      <c r="F43" s="18">
        <v>0</v>
      </c>
      <c r="G43" s="19">
        <v>1</v>
      </c>
      <c r="H43" s="19">
        <v>0</v>
      </c>
      <c r="I43" s="19">
        <v>0</v>
      </c>
      <c r="J43" s="29">
        <f t="shared" si="3"/>
        <v>0.228571428571429</v>
      </c>
      <c r="K43" s="27">
        <f t="shared" si="4"/>
        <v>3.06375</v>
      </c>
      <c r="L43" s="27">
        <f t="shared" si="5"/>
        <v>700.285714285714</v>
      </c>
      <c r="M43" s="19">
        <v>0</v>
      </c>
      <c r="N43" s="20">
        <v>0</v>
      </c>
      <c r="O43" s="22" t="e">
        <f t="shared" si="0"/>
        <v>#DIV/0!</v>
      </c>
      <c r="P43" s="23" t="e">
        <f t="shared" si="1"/>
        <v>#DIV/0!</v>
      </c>
      <c r="Q43" s="21">
        <f t="shared" si="2"/>
        <v>24.51</v>
      </c>
    </row>
    <row r="44" s="2" customFormat="1" spans="1:17">
      <c r="A44" s="17">
        <f t="shared" si="6"/>
        <v>44239</v>
      </c>
      <c r="B44" s="18">
        <v>42.93</v>
      </c>
      <c r="C44" s="19">
        <v>46</v>
      </c>
      <c r="D44" s="19">
        <v>16</v>
      </c>
      <c r="E44" s="19">
        <v>0</v>
      </c>
      <c r="F44" s="18">
        <v>0</v>
      </c>
      <c r="G44" s="19">
        <v>1</v>
      </c>
      <c r="H44" s="19">
        <v>0</v>
      </c>
      <c r="I44" s="19">
        <v>0</v>
      </c>
      <c r="J44" s="29">
        <f t="shared" si="3"/>
        <v>0.347826086956522</v>
      </c>
      <c r="K44" s="27">
        <f t="shared" si="4"/>
        <v>2.683125</v>
      </c>
      <c r="L44" s="27">
        <f t="shared" si="5"/>
        <v>933.260869565217</v>
      </c>
      <c r="M44" s="19">
        <v>0</v>
      </c>
      <c r="N44" s="20">
        <v>0</v>
      </c>
      <c r="O44" s="22" t="e">
        <f t="shared" si="0"/>
        <v>#DIV/0!</v>
      </c>
      <c r="P44" s="23" t="e">
        <f t="shared" si="1"/>
        <v>#DIV/0!</v>
      </c>
      <c r="Q44" s="21">
        <f t="shared" si="2"/>
        <v>42.93</v>
      </c>
    </row>
    <row r="45" s="2" customFormat="1" spans="1:17">
      <c r="A45" s="17">
        <f t="shared" si="6"/>
        <v>44240</v>
      </c>
      <c r="B45" s="18">
        <v>35.26</v>
      </c>
      <c r="C45" s="19">
        <v>48</v>
      </c>
      <c r="D45" s="19">
        <v>26</v>
      </c>
      <c r="E45" s="19">
        <v>0</v>
      </c>
      <c r="F45" s="18">
        <v>0</v>
      </c>
      <c r="G45" s="19">
        <v>4</v>
      </c>
      <c r="H45" s="19">
        <v>0</v>
      </c>
      <c r="I45" s="19">
        <v>1</v>
      </c>
      <c r="J45" s="29">
        <f t="shared" si="3"/>
        <v>0.541666666666667</v>
      </c>
      <c r="K45" s="27">
        <f t="shared" si="4"/>
        <v>1.35615384615385</v>
      </c>
      <c r="L45" s="27">
        <f t="shared" si="5"/>
        <v>734.583333333333</v>
      </c>
      <c r="M45" s="19">
        <v>0</v>
      </c>
      <c r="N45" s="20">
        <v>0</v>
      </c>
      <c r="O45" s="22" t="e">
        <f t="shared" si="0"/>
        <v>#DIV/0!</v>
      </c>
      <c r="P45" s="23" t="e">
        <f t="shared" si="1"/>
        <v>#DIV/0!</v>
      </c>
      <c r="Q45" s="21">
        <f t="shared" si="2"/>
        <v>8.815</v>
      </c>
    </row>
    <row r="46" s="2" customFormat="1" spans="1:17">
      <c r="A46" s="17">
        <f t="shared" si="6"/>
        <v>44241</v>
      </c>
      <c r="B46" s="18">
        <v>67.19</v>
      </c>
      <c r="C46" s="19">
        <v>70</v>
      </c>
      <c r="D46" s="19">
        <v>16</v>
      </c>
      <c r="E46" s="19">
        <v>0</v>
      </c>
      <c r="F46" s="18">
        <v>0</v>
      </c>
      <c r="G46" s="19">
        <v>1</v>
      </c>
      <c r="H46" s="19">
        <v>0</v>
      </c>
      <c r="I46" s="19">
        <v>0</v>
      </c>
      <c r="J46" s="29">
        <f t="shared" si="3"/>
        <v>0.228571428571429</v>
      </c>
      <c r="K46" s="27">
        <f t="shared" si="4"/>
        <v>4.199375</v>
      </c>
      <c r="L46" s="27">
        <f t="shared" si="5"/>
        <v>959.857142857143</v>
      </c>
      <c r="M46" s="19">
        <v>0</v>
      </c>
      <c r="N46" s="20">
        <v>0</v>
      </c>
      <c r="O46" s="22" t="e">
        <f t="shared" si="0"/>
        <v>#DIV/0!</v>
      </c>
      <c r="P46" s="23" t="e">
        <f t="shared" si="1"/>
        <v>#DIV/0!</v>
      </c>
      <c r="Q46" s="21">
        <f t="shared" si="2"/>
        <v>67.19</v>
      </c>
    </row>
    <row r="47" s="2" customFormat="1" spans="1:17">
      <c r="A47" s="17">
        <f t="shared" si="6"/>
        <v>44242</v>
      </c>
      <c r="B47" s="18">
        <v>0</v>
      </c>
      <c r="C47" s="19">
        <v>0</v>
      </c>
      <c r="D47" s="19">
        <v>0</v>
      </c>
      <c r="E47" s="19">
        <v>0</v>
      </c>
      <c r="F47" s="18">
        <v>0</v>
      </c>
      <c r="G47" s="19">
        <v>0</v>
      </c>
      <c r="H47" s="19">
        <v>0</v>
      </c>
      <c r="I47" s="19">
        <v>0</v>
      </c>
      <c r="J47" s="29" t="e">
        <f t="shared" si="3"/>
        <v>#DIV/0!</v>
      </c>
      <c r="K47" s="27" t="e">
        <f t="shared" si="4"/>
        <v>#DIV/0!</v>
      </c>
      <c r="L47" s="27" t="e">
        <f t="shared" si="5"/>
        <v>#DIV/0!</v>
      </c>
      <c r="M47" s="19">
        <v>0</v>
      </c>
      <c r="N47" s="20">
        <v>0</v>
      </c>
      <c r="O47" s="22" t="e">
        <f t="shared" si="0"/>
        <v>#DIV/0!</v>
      </c>
      <c r="P47" s="23" t="e">
        <f t="shared" si="1"/>
        <v>#DIV/0!</v>
      </c>
      <c r="Q47" s="21" t="e">
        <f t="shared" si="2"/>
        <v>#DIV/0!</v>
      </c>
    </row>
    <row r="48" s="2" customFormat="1" spans="1:17">
      <c r="A48" s="17">
        <f t="shared" si="6"/>
        <v>44243</v>
      </c>
      <c r="B48" s="18">
        <v>0</v>
      </c>
      <c r="C48" s="19">
        <v>0</v>
      </c>
      <c r="D48" s="19">
        <v>0</v>
      </c>
      <c r="E48" s="19">
        <v>0</v>
      </c>
      <c r="F48" s="18">
        <v>0</v>
      </c>
      <c r="G48" s="19">
        <v>0</v>
      </c>
      <c r="H48" s="19">
        <v>0</v>
      </c>
      <c r="I48" s="19">
        <v>0</v>
      </c>
      <c r="J48" s="29" t="e">
        <f t="shared" si="3"/>
        <v>#DIV/0!</v>
      </c>
      <c r="K48" s="27" t="e">
        <f t="shared" si="4"/>
        <v>#DIV/0!</v>
      </c>
      <c r="L48" s="27" t="e">
        <f t="shared" si="5"/>
        <v>#DIV/0!</v>
      </c>
      <c r="M48" s="19">
        <v>0</v>
      </c>
      <c r="N48" s="20">
        <v>0</v>
      </c>
      <c r="O48" s="22" t="e">
        <f t="shared" si="0"/>
        <v>#DIV/0!</v>
      </c>
      <c r="P48" s="23" t="e">
        <f t="shared" si="1"/>
        <v>#DIV/0!</v>
      </c>
      <c r="Q48" s="21" t="e">
        <f t="shared" si="2"/>
        <v>#DIV/0!</v>
      </c>
    </row>
    <row r="49" s="2" customFormat="1" spans="1:17">
      <c r="A49" s="17">
        <f t="shared" si="6"/>
        <v>44244</v>
      </c>
      <c r="B49" s="18">
        <v>0</v>
      </c>
      <c r="C49" s="19">
        <v>0</v>
      </c>
      <c r="D49" s="19">
        <v>0</v>
      </c>
      <c r="E49" s="19">
        <v>0</v>
      </c>
      <c r="F49" s="18">
        <v>0</v>
      </c>
      <c r="G49" s="19">
        <v>0</v>
      </c>
      <c r="H49" s="19">
        <v>0</v>
      </c>
      <c r="I49" s="19">
        <v>0</v>
      </c>
      <c r="J49" s="29" t="e">
        <f t="shared" si="3"/>
        <v>#DIV/0!</v>
      </c>
      <c r="K49" s="27" t="e">
        <f t="shared" si="4"/>
        <v>#DIV/0!</v>
      </c>
      <c r="L49" s="27" t="e">
        <f t="shared" si="5"/>
        <v>#DIV/0!</v>
      </c>
      <c r="M49" s="19">
        <v>0</v>
      </c>
      <c r="N49" s="20">
        <v>0</v>
      </c>
      <c r="O49" s="22" t="e">
        <f t="shared" si="0"/>
        <v>#DIV/0!</v>
      </c>
      <c r="P49" s="23" t="e">
        <f t="shared" si="1"/>
        <v>#DIV/0!</v>
      </c>
      <c r="Q49" s="21" t="e">
        <f t="shared" si="2"/>
        <v>#DIV/0!</v>
      </c>
    </row>
    <row r="50" s="2" customFormat="1" spans="1:17">
      <c r="A50" s="17">
        <f t="shared" si="6"/>
        <v>44245</v>
      </c>
      <c r="B50" s="25">
        <v>92.68</v>
      </c>
      <c r="C50" s="19">
        <v>99</v>
      </c>
      <c r="D50" s="19">
        <v>35</v>
      </c>
      <c r="E50" s="19">
        <v>0</v>
      </c>
      <c r="F50" s="18">
        <v>0</v>
      </c>
      <c r="G50" s="19">
        <v>5</v>
      </c>
      <c r="H50" s="19">
        <v>0</v>
      </c>
      <c r="I50" s="19">
        <v>2</v>
      </c>
      <c r="J50" s="26">
        <f t="shared" si="3"/>
        <v>0.353535353535354</v>
      </c>
      <c r="K50" s="27">
        <f t="shared" si="4"/>
        <v>2.648</v>
      </c>
      <c r="L50" s="27">
        <f t="shared" si="5"/>
        <v>936.161616161616</v>
      </c>
      <c r="M50" s="19">
        <v>0</v>
      </c>
      <c r="N50" s="20">
        <v>0</v>
      </c>
      <c r="O50" s="22" t="e">
        <f t="shared" si="0"/>
        <v>#DIV/0!</v>
      </c>
      <c r="P50" s="23" t="e">
        <f t="shared" si="1"/>
        <v>#DIV/0!</v>
      </c>
      <c r="Q50" s="21">
        <f t="shared" si="2"/>
        <v>18.536</v>
      </c>
    </row>
    <row r="51" s="2" customFormat="1" spans="1:17">
      <c r="A51" s="17">
        <f t="shared" si="6"/>
        <v>44246</v>
      </c>
      <c r="B51" s="25">
        <v>57.6</v>
      </c>
      <c r="C51" s="19">
        <v>58</v>
      </c>
      <c r="D51" s="19">
        <v>21</v>
      </c>
      <c r="E51" s="19">
        <v>0</v>
      </c>
      <c r="F51" s="18">
        <v>0</v>
      </c>
      <c r="G51" s="19">
        <v>1</v>
      </c>
      <c r="H51" s="19">
        <v>1</v>
      </c>
      <c r="I51" s="19">
        <v>1</v>
      </c>
      <c r="J51" s="26">
        <f t="shared" si="3"/>
        <v>0.362068965517241</v>
      </c>
      <c r="K51" s="27">
        <f t="shared" si="4"/>
        <v>2.74285714285714</v>
      </c>
      <c r="L51" s="27">
        <f t="shared" si="5"/>
        <v>993.103448275862</v>
      </c>
      <c r="M51" s="19">
        <v>0</v>
      </c>
      <c r="N51" s="20">
        <v>0</v>
      </c>
      <c r="O51" s="22" t="e">
        <f t="shared" si="0"/>
        <v>#DIV/0!</v>
      </c>
      <c r="P51" s="23" t="e">
        <f t="shared" si="1"/>
        <v>#DIV/0!</v>
      </c>
      <c r="Q51" s="21">
        <f t="shared" si="2"/>
        <v>57.6</v>
      </c>
    </row>
    <row r="52" s="2" customFormat="1" spans="1:17">
      <c r="A52" s="17">
        <f t="shared" si="6"/>
        <v>44247</v>
      </c>
      <c r="B52" s="25">
        <v>57.69</v>
      </c>
      <c r="C52" s="19">
        <v>74</v>
      </c>
      <c r="D52" s="19">
        <v>23</v>
      </c>
      <c r="E52" s="19">
        <v>0</v>
      </c>
      <c r="F52" s="18">
        <v>0</v>
      </c>
      <c r="G52" s="19">
        <v>0</v>
      </c>
      <c r="H52" s="19">
        <v>1</v>
      </c>
      <c r="I52" s="19">
        <v>0</v>
      </c>
      <c r="J52" s="26">
        <f t="shared" si="3"/>
        <v>0.310810810810811</v>
      </c>
      <c r="K52" s="27">
        <f t="shared" si="4"/>
        <v>2.50826086956522</v>
      </c>
      <c r="L52" s="27">
        <f t="shared" si="5"/>
        <v>779.594594594595</v>
      </c>
      <c r="M52" s="19">
        <v>0</v>
      </c>
      <c r="N52" s="20">
        <v>0</v>
      </c>
      <c r="O52" s="22" t="e">
        <f t="shared" si="0"/>
        <v>#DIV/0!</v>
      </c>
      <c r="P52" s="23" t="e">
        <f t="shared" si="1"/>
        <v>#DIV/0!</v>
      </c>
      <c r="Q52" s="21" t="e">
        <f t="shared" si="2"/>
        <v>#DIV/0!</v>
      </c>
    </row>
    <row r="53" s="2" customFormat="1" spans="1:17">
      <c r="A53" s="17">
        <f t="shared" si="6"/>
        <v>44248</v>
      </c>
      <c r="B53" s="25">
        <v>63.29</v>
      </c>
      <c r="C53" s="19">
        <v>68</v>
      </c>
      <c r="D53" s="19">
        <v>19</v>
      </c>
      <c r="E53" s="19">
        <v>0</v>
      </c>
      <c r="F53" s="18">
        <v>0</v>
      </c>
      <c r="G53" s="19">
        <v>0</v>
      </c>
      <c r="H53" s="19">
        <v>6</v>
      </c>
      <c r="I53" s="19">
        <v>0</v>
      </c>
      <c r="J53" s="26">
        <f t="shared" si="3"/>
        <v>0.279411764705882</v>
      </c>
      <c r="K53" s="27">
        <f t="shared" si="4"/>
        <v>3.33105263157895</v>
      </c>
      <c r="L53" s="27">
        <f t="shared" si="5"/>
        <v>930.735294117647</v>
      </c>
      <c r="M53" s="19">
        <v>0</v>
      </c>
      <c r="N53" s="20">
        <v>0</v>
      </c>
      <c r="O53" s="22" t="e">
        <f t="shared" si="0"/>
        <v>#DIV/0!</v>
      </c>
      <c r="P53" s="23" t="e">
        <f t="shared" si="1"/>
        <v>#DIV/0!</v>
      </c>
      <c r="Q53" s="21" t="e">
        <f t="shared" si="2"/>
        <v>#DIV/0!</v>
      </c>
    </row>
    <row r="54" s="2" customFormat="1" spans="1:17">
      <c r="A54" s="17">
        <f t="shared" si="6"/>
        <v>44249</v>
      </c>
      <c r="B54" s="25">
        <v>65.03</v>
      </c>
      <c r="C54" s="19">
        <v>75</v>
      </c>
      <c r="D54" s="19">
        <v>22</v>
      </c>
      <c r="E54" s="19">
        <v>0</v>
      </c>
      <c r="F54" s="18">
        <v>0</v>
      </c>
      <c r="G54" s="19">
        <v>4</v>
      </c>
      <c r="H54" s="19">
        <v>0</v>
      </c>
      <c r="I54" s="19">
        <v>1</v>
      </c>
      <c r="J54" s="26">
        <f t="shared" si="3"/>
        <v>0.293333333333333</v>
      </c>
      <c r="K54" s="27">
        <f t="shared" si="4"/>
        <v>2.95590909090909</v>
      </c>
      <c r="L54" s="27">
        <f t="shared" si="5"/>
        <v>867.066666666667</v>
      </c>
      <c r="M54" s="19">
        <v>0</v>
      </c>
      <c r="N54" s="20">
        <v>0</v>
      </c>
      <c r="O54" s="22" t="e">
        <f t="shared" si="0"/>
        <v>#DIV/0!</v>
      </c>
      <c r="P54" s="23" t="e">
        <f t="shared" si="1"/>
        <v>#DIV/0!</v>
      </c>
      <c r="Q54" s="21">
        <f t="shared" si="2"/>
        <v>16.2575</v>
      </c>
    </row>
    <row r="55" s="2" customFormat="1" spans="1:17">
      <c r="A55" s="17">
        <f t="shared" si="6"/>
        <v>44250</v>
      </c>
      <c r="B55" s="25">
        <v>91.97</v>
      </c>
      <c r="C55" s="19">
        <v>125</v>
      </c>
      <c r="D55" s="19">
        <v>16</v>
      </c>
      <c r="E55" s="19">
        <v>0</v>
      </c>
      <c r="F55" s="18">
        <v>0</v>
      </c>
      <c r="G55" s="19">
        <v>1</v>
      </c>
      <c r="H55" s="19">
        <v>1</v>
      </c>
      <c r="I55" s="19">
        <v>0</v>
      </c>
      <c r="J55" s="26">
        <f t="shared" si="3"/>
        <v>0.128</v>
      </c>
      <c r="K55" s="27">
        <f t="shared" si="4"/>
        <v>5.748125</v>
      </c>
      <c r="L55" s="27">
        <f t="shared" si="5"/>
        <v>735.76</v>
      </c>
      <c r="M55" s="19">
        <v>0</v>
      </c>
      <c r="N55" s="20">
        <v>0</v>
      </c>
      <c r="O55" s="22" t="e">
        <f t="shared" si="0"/>
        <v>#DIV/0!</v>
      </c>
      <c r="P55" s="23" t="e">
        <f t="shared" si="1"/>
        <v>#DIV/0!</v>
      </c>
      <c r="Q55" s="21">
        <f t="shared" si="2"/>
        <v>91.97</v>
      </c>
    </row>
    <row r="56" s="2" customFormat="1" spans="1:17">
      <c r="A56" s="17">
        <f t="shared" si="6"/>
        <v>44251</v>
      </c>
      <c r="B56" s="25">
        <v>84.91</v>
      </c>
      <c r="C56" s="19">
        <v>99</v>
      </c>
      <c r="D56" s="19">
        <v>20</v>
      </c>
      <c r="E56" s="19">
        <v>1</v>
      </c>
      <c r="F56" s="18">
        <v>0.01</v>
      </c>
      <c r="G56" s="19">
        <v>2</v>
      </c>
      <c r="H56" s="19">
        <v>0</v>
      </c>
      <c r="I56" s="19">
        <v>2</v>
      </c>
      <c r="J56" s="26">
        <f t="shared" si="3"/>
        <v>0.202020202020202</v>
      </c>
      <c r="K56" s="27">
        <f t="shared" si="4"/>
        <v>4.2455</v>
      </c>
      <c r="L56" s="27">
        <f t="shared" si="5"/>
        <v>857.676767676768</v>
      </c>
      <c r="M56" s="19">
        <v>0</v>
      </c>
      <c r="N56" s="20">
        <v>0</v>
      </c>
      <c r="O56" s="22">
        <f t="shared" si="0"/>
        <v>0.01</v>
      </c>
      <c r="P56" s="23">
        <f t="shared" si="1"/>
        <v>84.91</v>
      </c>
      <c r="Q56" s="21">
        <f t="shared" si="2"/>
        <v>42.455</v>
      </c>
    </row>
    <row r="57" s="2" customFormat="1" spans="1:17">
      <c r="A57" s="17">
        <f t="shared" si="6"/>
        <v>44252</v>
      </c>
      <c r="B57" s="25">
        <v>86.53</v>
      </c>
      <c r="C57" s="19">
        <v>114</v>
      </c>
      <c r="D57" s="19">
        <v>32</v>
      </c>
      <c r="E57" s="19">
        <v>0</v>
      </c>
      <c r="F57" s="18">
        <v>0</v>
      </c>
      <c r="G57" s="19">
        <v>3</v>
      </c>
      <c r="H57" s="19">
        <v>0</v>
      </c>
      <c r="I57" s="19">
        <v>0</v>
      </c>
      <c r="J57" s="26">
        <f t="shared" si="3"/>
        <v>0.280701754385965</v>
      </c>
      <c r="K57" s="27">
        <f t="shared" si="4"/>
        <v>2.7040625</v>
      </c>
      <c r="L57" s="27">
        <f t="shared" si="5"/>
        <v>759.035087719298</v>
      </c>
      <c r="M57" s="19">
        <v>0</v>
      </c>
      <c r="N57" s="20">
        <v>0</v>
      </c>
      <c r="O57" s="22" t="e">
        <f t="shared" si="0"/>
        <v>#DIV/0!</v>
      </c>
      <c r="P57" s="23" t="e">
        <f t="shared" si="1"/>
        <v>#DIV/0!</v>
      </c>
      <c r="Q57" s="21">
        <f t="shared" si="2"/>
        <v>28.8433333333333</v>
      </c>
    </row>
    <row r="58" s="2" customFormat="1" ht="16.2" customHeight="1" spans="1:17">
      <c r="A58" s="17">
        <f t="shared" si="6"/>
        <v>44253</v>
      </c>
      <c r="B58" s="25">
        <v>54.3</v>
      </c>
      <c r="C58" s="19">
        <v>64</v>
      </c>
      <c r="D58" s="19">
        <v>11</v>
      </c>
      <c r="E58" s="19">
        <v>0</v>
      </c>
      <c r="F58" s="18">
        <v>0</v>
      </c>
      <c r="G58" s="19">
        <v>1</v>
      </c>
      <c r="H58" s="19">
        <v>0</v>
      </c>
      <c r="I58" s="19">
        <v>1</v>
      </c>
      <c r="J58" s="26">
        <f t="shared" si="3"/>
        <v>0.171875</v>
      </c>
      <c r="K58" s="27">
        <f t="shared" si="4"/>
        <v>4.93636363636364</v>
      </c>
      <c r="L58" s="27">
        <f t="shared" si="5"/>
        <v>848.4375</v>
      </c>
      <c r="M58" s="19">
        <v>0</v>
      </c>
      <c r="N58" s="20">
        <v>0</v>
      </c>
      <c r="O58" s="22" t="e">
        <f t="shared" si="0"/>
        <v>#DIV/0!</v>
      </c>
      <c r="P58" s="23" t="e">
        <f t="shared" si="1"/>
        <v>#DIV/0!</v>
      </c>
      <c r="Q58" s="21">
        <f t="shared" si="2"/>
        <v>54.3</v>
      </c>
    </row>
    <row r="59" s="2" customFormat="1" ht="15" customHeight="1" spans="1:17">
      <c r="A59" s="17">
        <f t="shared" si="6"/>
        <v>44254</v>
      </c>
      <c r="B59" s="25">
        <v>72.77</v>
      </c>
      <c r="C59" s="19">
        <v>87</v>
      </c>
      <c r="D59" s="19">
        <v>17</v>
      </c>
      <c r="E59" s="19">
        <v>0</v>
      </c>
      <c r="F59" s="18">
        <v>0</v>
      </c>
      <c r="G59" s="19">
        <v>1</v>
      </c>
      <c r="H59" s="19">
        <v>0</v>
      </c>
      <c r="I59" s="19">
        <v>0</v>
      </c>
      <c r="J59" s="26">
        <f t="shared" si="3"/>
        <v>0.195402298850575</v>
      </c>
      <c r="K59" s="27">
        <f t="shared" si="4"/>
        <v>4.28058823529412</v>
      </c>
      <c r="L59" s="27">
        <f t="shared" si="5"/>
        <v>836.436781609195</v>
      </c>
      <c r="M59" s="19">
        <v>0</v>
      </c>
      <c r="N59" s="20">
        <v>0</v>
      </c>
      <c r="O59" s="22" t="e">
        <f t="shared" si="0"/>
        <v>#DIV/0!</v>
      </c>
      <c r="P59" s="23" t="e">
        <f t="shared" si="1"/>
        <v>#DIV/0!</v>
      </c>
      <c r="Q59" s="21">
        <f t="shared" si="2"/>
        <v>72.77</v>
      </c>
    </row>
    <row r="60" s="2" customFormat="1" ht="15" customHeight="1" spans="1:17">
      <c r="A60" s="17">
        <f t="shared" si="6"/>
        <v>44255</v>
      </c>
      <c r="B60" s="25">
        <v>89.68</v>
      </c>
      <c r="C60" s="19">
        <v>110</v>
      </c>
      <c r="D60" s="19">
        <v>13</v>
      </c>
      <c r="E60" s="19">
        <v>0</v>
      </c>
      <c r="F60" s="18">
        <v>0</v>
      </c>
      <c r="G60" s="19">
        <v>4</v>
      </c>
      <c r="H60" s="19">
        <v>0</v>
      </c>
      <c r="I60" s="19">
        <v>0</v>
      </c>
      <c r="J60" s="26">
        <f t="shared" si="3"/>
        <v>0.118181818181818</v>
      </c>
      <c r="K60" s="27">
        <f t="shared" si="4"/>
        <v>6.89846153846154</v>
      </c>
      <c r="L60" s="27">
        <f t="shared" si="5"/>
        <v>815.272727272727</v>
      </c>
      <c r="M60" s="19">
        <v>0</v>
      </c>
      <c r="N60" s="20">
        <v>0</v>
      </c>
      <c r="O60" s="22" t="e">
        <f t="shared" si="0"/>
        <v>#DIV/0!</v>
      </c>
      <c r="P60" s="23" t="e">
        <f t="shared" si="1"/>
        <v>#DIV/0!</v>
      </c>
      <c r="Q60" s="21">
        <f t="shared" si="2"/>
        <v>22.42</v>
      </c>
    </row>
    <row r="61" s="2" customFormat="1" ht="19.8" customHeight="1" spans="1:17">
      <c r="A61" s="17">
        <f t="shared" si="6"/>
        <v>44256</v>
      </c>
      <c r="B61" s="25">
        <v>72.08</v>
      </c>
      <c r="C61" s="19">
        <v>84</v>
      </c>
      <c r="D61" s="19">
        <v>21</v>
      </c>
      <c r="E61" s="19">
        <v>1</v>
      </c>
      <c r="F61" s="25">
        <v>0.01</v>
      </c>
      <c r="G61" s="19">
        <v>1</v>
      </c>
      <c r="H61" s="19">
        <v>1</v>
      </c>
      <c r="I61" s="19">
        <v>0</v>
      </c>
      <c r="J61" s="26">
        <f t="shared" si="3"/>
        <v>0.25</v>
      </c>
      <c r="K61" s="27">
        <f t="shared" si="4"/>
        <v>3.43238095238095</v>
      </c>
      <c r="L61" s="27">
        <f t="shared" si="5"/>
        <v>858.095238095238</v>
      </c>
      <c r="M61" s="19">
        <v>0</v>
      </c>
      <c r="N61" s="20">
        <v>0</v>
      </c>
      <c r="O61" s="22">
        <f t="shared" si="0"/>
        <v>0.01</v>
      </c>
      <c r="P61" s="23">
        <f t="shared" si="1"/>
        <v>72.08</v>
      </c>
      <c r="Q61" s="21">
        <f t="shared" si="2"/>
        <v>72.08</v>
      </c>
    </row>
    <row r="62" s="2" customFormat="1" ht="18.6" customHeight="1" spans="1:17">
      <c r="A62" s="17">
        <f t="shared" si="6"/>
        <v>44257</v>
      </c>
      <c r="B62" s="25">
        <v>71.55</v>
      </c>
      <c r="C62" s="19">
        <v>74</v>
      </c>
      <c r="D62" s="19">
        <v>25</v>
      </c>
      <c r="E62" s="19">
        <v>0</v>
      </c>
      <c r="F62" s="25">
        <v>0</v>
      </c>
      <c r="G62" s="19">
        <v>0</v>
      </c>
      <c r="H62" s="19">
        <v>2</v>
      </c>
      <c r="I62" s="19">
        <v>1</v>
      </c>
      <c r="J62" s="26">
        <f t="shared" si="3"/>
        <v>0.337837837837838</v>
      </c>
      <c r="K62" s="27">
        <f t="shared" si="4"/>
        <v>2.862</v>
      </c>
      <c r="L62" s="27">
        <f t="shared" si="5"/>
        <v>966.891891891892</v>
      </c>
      <c r="M62" s="19">
        <v>0</v>
      </c>
      <c r="N62" s="20">
        <v>0</v>
      </c>
      <c r="O62" s="22" t="e">
        <f t="shared" si="0"/>
        <v>#DIV/0!</v>
      </c>
      <c r="P62" s="23" t="e">
        <f t="shared" si="1"/>
        <v>#DIV/0!</v>
      </c>
      <c r="Q62" s="21" t="e">
        <f t="shared" si="2"/>
        <v>#DIV/0!</v>
      </c>
    </row>
    <row r="63" s="2" customFormat="1" ht="15.6" customHeight="1" spans="1:17">
      <c r="A63" s="17">
        <f t="shared" si="6"/>
        <v>44258</v>
      </c>
      <c r="B63" s="25">
        <v>78.94</v>
      </c>
      <c r="C63" s="19">
        <v>79</v>
      </c>
      <c r="D63" s="19">
        <v>28</v>
      </c>
      <c r="E63" s="19">
        <v>0</v>
      </c>
      <c r="F63" s="25">
        <v>0</v>
      </c>
      <c r="G63" s="19">
        <v>5</v>
      </c>
      <c r="H63" s="19">
        <v>1</v>
      </c>
      <c r="I63" s="19">
        <v>2</v>
      </c>
      <c r="J63" s="26">
        <f t="shared" si="3"/>
        <v>0.354430379746835</v>
      </c>
      <c r="K63" s="27">
        <f t="shared" si="4"/>
        <v>2.81928571428571</v>
      </c>
      <c r="L63" s="27">
        <f t="shared" si="5"/>
        <v>999.240506329114</v>
      </c>
      <c r="M63" s="19">
        <v>0</v>
      </c>
      <c r="N63" s="20">
        <v>0</v>
      </c>
      <c r="O63" s="22" t="e">
        <f t="shared" si="0"/>
        <v>#DIV/0!</v>
      </c>
      <c r="P63" s="23" t="e">
        <f t="shared" si="1"/>
        <v>#DIV/0!</v>
      </c>
      <c r="Q63" s="21">
        <f t="shared" si="2"/>
        <v>15.788</v>
      </c>
    </row>
    <row r="64" s="2" customFormat="1" ht="16.8" customHeight="1" spans="1:17">
      <c r="A64" s="17">
        <f t="shared" si="6"/>
        <v>44259</v>
      </c>
      <c r="B64" s="25">
        <v>33.3</v>
      </c>
      <c r="C64" s="19">
        <v>57</v>
      </c>
      <c r="D64" s="19">
        <v>6</v>
      </c>
      <c r="E64" s="19">
        <v>0</v>
      </c>
      <c r="F64" s="25">
        <v>0</v>
      </c>
      <c r="G64" s="19">
        <v>1</v>
      </c>
      <c r="H64" s="19">
        <v>0</v>
      </c>
      <c r="I64" s="19">
        <v>0</v>
      </c>
      <c r="J64" s="26">
        <f t="shared" si="3"/>
        <v>0.105263157894737</v>
      </c>
      <c r="K64" s="27">
        <f t="shared" si="4"/>
        <v>5.55</v>
      </c>
      <c r="L64" s="27">
        <f t="shared" si="5"/>
        <v>584.210526315789</v>
      </c>
      <c r="M64" s="19">
        <v>0</v>
      </c>
      <c r="N64" s="20">
        <v>0</v>
      </c>
      <c r="O64" s="22" t="e">
        <f t="shared" si="0"/>
        <v>#DIV/0!</v>
      </c>
      <c r="P64" s="23" t="e">
        <f t="shared" si="1"/>
        <v>#DIV/0!</v>
      </c>
      <c r="Q64" s="21">
        <f t="shared" si="2"/>
        <v>33.3</v>
      </c>
    </row>
    <row r="65" s="2" customFormat="1" ht="22.2" customHeight="1" spans="1:17">
      <c r="A65" s="17">
        <f t="shared" si="6"/>
        <v>44260</v>
      </c>
      <c r="B65" s="25">
        <v>60.06</v>
      </c>
      <c r="C65" s="19">
        <v>74</v>
      </c>
      <c r="D65" s="19">
        <v>12</v>
      </c>
      <c r="E65" s="19">
        <v>0</v>
      </c>
      <c r="F65" s="25">
        <v>0</v>
      </c>
      <c r="G65" s="19">
        <v>3</v>
      </c>
      <c r="H65" s="19">
        <v>1</v>
      </c>
      <c r="I65" s="19">
        <v>1</v>
      </c>
      <c r="J65" s="26">
        <f t="shared" si="3"/>
        <v>0.162162162162162</v>
      </c>
      <c r="K65" s="27">
        <f t="shared" si="4"/>
        <v>5.005</v>
      </c>
      <c r="L65" s="27">
        <f t="shared" si="5"/>
        <v>811.621621621622</v>
      </c>
      <c r="M65" s="19">
        <v>0</v>
      </c>
      <c r="N65" s="20">
        <v>0</v>
      </c>
      <c r="O65" s="22" t="e">
        <f t="shared" si="0"/>
        <v>#DIV/0!</v>
      </c>
      <c r="P65" s="23" t="e">
        <f t="shared" si="1"/>
        <v>#DIV/0!</v>
      </c>
      <c r="Q65" s="21">
        <f t="shared" si="2"/>
        <v>20.02</v>
      </c>
    </row>
    <row r="66" s="2" customFormat="1" ht="28.8" customHeight="1" spans="1:17">
      <c r="A66" s="17">
        <f t="shared" si="6"/>
        <v>44261</v>
      </c>
      <c r="B66" s="25">
        <v>86.46</v>
      </c>
      <c r="C66" s="19">
        <v>113</v>
      </c>
      <c r="D66" s="19">
        <v>26</v>
      </c>
      <c r="E66" s="19">
        <v>0</v>
      </c>
      <c r="F66" s="25">
        <v>0</v>
      </c>
      <c r="G66" s="19">
        <v>3</v>
      </c>
      <c r="H66" s="19">
        <v>0</v>
      </c>
      <c r="I66" s="19">
        <v>2</v>
      </c>
      <c r="J66" s="26">
        <f t="shared" si="3"/>
        <v>0.230088495575221</v>
      </c>
      <c r="K66" s="27">
        <f t="shared" si="4"/>
        <v>3.32538461538461</v>
      </c>
      <c r="L66" s="27">
        <f t="shared" si="5"/>
        <v>765.132743362832</v>
      </c>
      <c r="M66" s="19">
        <v>0</v>
      </c>
      <c r="N66" s="20">
        <v>0</v>
      </c>
      <c r="O66" s="22" t="e">
        <f t="shared" ref="O66:O129" si="7">F66/E66</f>
        <v>#DIV/0!</v>
      </c>
      <c r="P66" s="23" t="e">
        <f t="shared" ref="P66:P129" si="8">B66/E66</f>
        <v>#DIV/0!</v>
      </c>
      <c r="Q66" s="21">
        <f t="shared" ref="Q66:Q129" si="9">B66/G66</f>
        <v>28.82</v>
      </c>
    </row>
    <row r="67" s="2" customFormat="1" spans="1:17">
      <c r="A67" s="17">
        <f t="shared" si="6"/>
        <v>44262</v>
      </c>
      <c r="B67" s="25">
        <v>152.95</v>
      </c>
      <c r="C67" s="19">
        <v>313</v>
      </c>
      <c r="D67" s="19">
        <v>18</v>
      </c>
      <c r="E67" s="19">
        <v>0</v>
      </c>
      <c r="F67" s="25">
        <v>0</v>
      </c>
      <c r="G67" s="19">
        <v>0</v>
      </c>
      <c r="H67" s="19">
        <v>1</v>
      </c>
      <c r="I67" s="19">
        <v>0</v>
      </c>
      <c r="J67" s="26">
        <f t="shared" si="3"/>
        <v>0.0575079872204473</v>
      </c>
      <c r="K67" s="27">
        <f t="shared" si="4"/>
        <v>8.49722222222222</v>
      </c>
      <c r="L67" s="27">
        <f t="shared" si="5"/>
        <v>488.658146964856</v>
      </c>
      <c r="M67" s="19">
        <v>0</v>
      </c>
      <c r="N67" s="20">
        <v>0</v>
      </c>
      <c r="O67" s="22" t="e">
        <f t="shared" si="7"/>
        <v>#DIV/0!</v>
      </c>
      <c r="P67" s="23" t="e">
        <f t="shared" si="8"/>
        <v>#DIV/0!</v>
      </c>
      <c r="Q67" s="21" t="e">
        <f t="shared" si="9"/>
        <v>#DIV/0!</v>
      </c>
    </row>
    <row r="68" s="2" customFormat="1" spans="1:17">
      <c r="A68" s="17">
        <f t="shared" si="6"/>
        <v>44263</v>
      </c>
      <c r="B68" s="25">
        <v>135.08</v>
      </c>
      <c r="C68" s="28">
        <v>191</v>
      </c>
      <c r="D68" s="28">
        <v>17</v>
      </c>
      <c r="E68" s="28">
        <v>0</v>
      </c>
      <c r="F68" s="25">
        <v>0</v>
      </c>
      <c r="G68" s="28">
        <v>6</v>
      </c>
      <c r="H68" s="28">
        <v>2</v>
      </c>
      <c r="I68" s="28">
        <v>0</v>
      </c>
      <c r="J68" s="26">
        <v>0.089</v>
      </c>
      <c r="K68" s="27">
        <v>7.95</v>
      </c>
      <c r="L68" s="27">
        <v>707.23</v>
      </c>
      <c r="M68" s="19">
        <v>0</v>
      </c>
      <c r="N68" s="20">
        <v>0</v>
      </c>
      <c r="O68" s="22" t="e">
        <f t="shared" si="7"/>
        <v>#DIV/0!</v>
      </c>
      <c r="P68" s="23" t="e">
        <f t="shared" si="8"/>
        <v>#DIV/0!</v>
      </c>
      <c r="Q68" s="21">
        <f t="shared" si="9"/>
        <v>22.5133333333333</v>
      </c>
    </row>
    <row r="69" s="2" customFormat="1" spans="1:17">
      <c r="A69" s="17">
        <f t="shared" si="6"/>
        <v>44264</v>
      </c>
      <c r="B69" s="25">
        <v>137.37</v>
      </c>
      <c r="C69" s="28">
        <v>196</v>
      </c>
      <c r="D69" s="28">
        <v>18</v>
      </c>
      <c r="E69" s="28">
        <v>0</v>
      </c>
      <c r="F69" s="25">
        <v>0</v>
      </c>
      <c r="G69" s="28">
        <v>4</v>
      </c>
      <c r="H69" s="28">
        <v>1</v>
      </c>
      <c r="I69" s="28">
        <v>2</v>
      </c>
      <c r="J69" s="26">
        <v>0.0918</v>
      </c>
      <c r="K69" s="27">
        <v>7.63</v>
      </c>
      <c r="L69" s="27">
        <v>700.87</v>
      </c>
      <c r="M69" s="19">
        <v>0</v>
      </c>
      <c r="N69" s="20">
        <v>0</v>
      </c>
      <c r="O69" s="22" t="e">
        <f t="shared" si="7"/>
        <v>#DIV/0!</v>
      </c>
      <c r="P69" s="23" t="e">
        <f t="shared" si="8"/>
        <v>#DIV/0!</v>
      </c>
      <c r="Q69" s="21">
        <f t="shared" si="9"/>
        <v>34.3425</v>
      </c>
    </row>
    <row r="70" s="2" customFormat="1" spans="1:17">
      <c r="A70" s="17">
        <f t="shared" si="6"/>
        <v>44265</v>
      </c>
      <c r="B70" s="25">
        <v>94.71</v>
      </c>
      <c r="C70" s="28">
        <v>89</v>
      </c>
      <c r="D70" s="28">
        <v>25</v>
      </c>
      <c r="E70" s="28">
        <v>1</v>
      </c>
      <c r="F70" s="25">
        <v>0.01</v>
      </c>
      <c r="G70" s="28">
        <v>1</v>
      </c>
      <c r="H70" s="28">
        <v>2</v>
      </c>
      <c r="I70" s="28">
        <v>0</v>
      </c>
      <c r="J70" s="26">
        <v>0.2809</v>
      </c>
      <c r="K70" s="27">
        <v>3.79</v>
      </c>
      <c r="L70" s="27">
        <v>1064.16</v>
      </c>
      <c r="M70" s="19">
        <v>0</v>
      </c>
      <c r="N70" s="20">
        <v>0</v>
      </c>
      <c r="O70" s="22">
        <f t="shared" si="7"/>
        <v>0.01</v>
      </c>
      <c r="P70" s="23">
        <f t="shared" si="8"/>
        <v>94.71</v>
      </c>
      <c r="Q70" s="21">
        <f t="shared" si="9"/>
        <v>94.71</v>
      </c>
    </row>
    <row r="71" s="2" customFormat="1" spans="1:17">
      <c r="A71" s="17">
        <f t="shared" si="6"/>
        <v>44266</v>
      </c>
      <c r="B71" s="25">
        <v>71.65</v>
      </c>
      <c r="C71" s="28">
        <v>70</v>
      </c>
      <c r="D71" s="28">
        <v>11</v>
      </c>
      <c r="E71" s="28">
        <v>1</v>
      </c>
      <c r="F71" s="25">
        <v>0.01</v>
      </c>
      <c r="G71" s="28">
        <v>2</v>
      </c>
      <c r="H71" s="28">
        <v>0</v>
      </c>
      <c r="I71" s="28">
        <v>0</v>
      </c>
      <c r="J71" s="26">
        <v>0.1571</v>
      </c>
      <c r="K71" s="27">
        <v>6.51</v>
      </c>
      <c r="L71" s="27">
        <v>1023.57</v>
      </c>
      <c r="M71" s="19">
        <v>0</v>
      </c>
      <c r="N71" s="20">
        <v>0</v>
      </c>
      <c r="O71" s="22">
        <f t="shared" si="7"/>
        <v>0.01</v>
      </c>
      <c r="P71" s="23">
        <f t="shared" si="8"/>
        <v>71.65</v>
      </c>
      <c r="Q71" s="21">
        <f t="shared" si="9"/>
        <v>35.825</v>
      </c>
    </row>
    <row r="72" s="2" customFormat="1" spans="1:17">
      <c r="A72" s="17">
        <f t="shared" si="6"/>
        <v>44267</v>
      </c>
      <c r="B72" s="25">
        <v>57.08</v>
      </c>
      <c r="C72" s="28">
        <v>60</v>
      </c>
      <c r="D72" s="28">
        <v>14</v>
      </c>
      <c r="E72" s="28">
        <v>0</v>
      </c>
      <c r="F72" s="25">
        <v>0</v>
      </c>
      <c r="G72" s="28">
        <v>2</v>
      </c>
      <c r="H72" s="28">
        <v>0</v>
      </c>
      <c r="I72" s="28">
        <v>0</v>
      </c>
      <c r="J72" s="26">
        <v>0.2333</v>
      </c>
      <c r="K72" s="27">
        <v>4.08</v>
      </c>
      <c r="L72" s="27">
        <v>951.33</v>
      </c>
      <c r="M72" s="19">
        <v>0</v>
      </c>
      <c r="N72" s="20">
        <v>0</v>
      </c>
      <c r="O72" s="22" t="e">
        <f t="shared" si="7"/>
        <v>#DIV/0!</v>
      </c>
      <c r="P72" s="23" t="e">
        <f t="shared" si="8"/>
        <v>#DIV/0!</v>
      </c>
      <c r="Q72" s="21">
        <f t="shared" si="9"/>
        <v>28.54</v>
      </c>
    </row>
    <row r="73" s="2" customFormat="1" spans="1:17">
      <c r="A73" s="17">
        <f t="shared" si="6"/>
        <v>44268</v>
      </c>
      <c r="B73" s="25">
        <v>53.24</v>
      </c>
      <c r="C73" s="28">
        <v>58</v>
      </c>
      <c r="D73" s="28">
        <v>12</v>
      </c>
      <c r="E73" s="28">
        <v>0</v>
      </c>
      <c r="F73" s="25">
        <v>0</v>
      </c>
      <c r="G73" s="28">
        <v>4</v>
      </c>
      <c r="H73" s="28">
        <v>0</v>
      </c>
      <c r="I73" s="28">
        <v>1</v>
      </c>
      <c r="J73" s="26">
        <v>0.2069</v>
      </c>
      <c r="K73" s="27">
        <v>4.44</v>
      </c>
      <c r="L73" s="27">
        <v>917.93</v>
      </c>
      <c r="M73" s="19">
        <v>0</v>
      </c>
      <c r="N73" s="20">
        <v>0</v>
      </c>
      <c r="O73" s="22" t="e">
        <f t="shared" si="7"/>
        <v>#DIV/0!</v>
      </c>
      <c r="P73" s="23" t="e">
        <f t="shared" si="8"/>
        <v>#DIV/0!</v>
      </c>
      <c r="Q73" s="21">
        <f t="shared" si="9"/>
        <v>13.31</v>
      </c>
    </row>
    <row r="74" s="2" customFormat="1" spans="1:17">
      <c r="A74" s="17">
        <f t="shared" si="6"/>
        <v>44269</v>
      </c>
      <c r="B74" s="25">
        <v>59.63</v>
      </c>
      <c r="C74" s="28">
        <v>67</v>
      </c>
      <c r="D74" s="28">
        <v>13</v>
      </c>
      <c r="E74" s="28">
        <v>0</v>
      </c>
      <c r="F74" s="25">
        <v>0</v>
      </c>
      <c r="G74" s="28">
        <v>1</v>
      </c>
      <c r="H74" s="28">
        <v>0</v>
      </c>
      <c r="I74" s="28">
        <v>0</v>
      </c>
      <c r="J74" s="26">
        <v>0.194</v>
      </c>
      <c r="K74" s="27">
        <v>4.59</v>
      </c>
      <c r="L74" s="27">
        <v>890</v>
      </c>
      <c r="M74" s="19">
        <v>0</v>
      </c>
      <c r="N74" s="20">
        <v>0</v>
      </c>
      <c r="O74" s="22" t="e">
        <f t="shared" si="7"/>
        <v>#DIV/0!</v>
      </c>
      <c r="P74" s="23" t="e">
        <f t="shared" si="8"/>
        <v>#DIV/0!</v>
      </c>
      <c r="Q74" s="21">
        <f t="shared" si="9"/>
        <v>59.63</v>
      </c>
    </row>
    <row r="75" s="2" customFormat="1" spans="1:17">
      <c r="A75" s="17">
        <f t="shared" si="6"/>
        <v>44270</v>
      </c>
      <c r="B75" s="25">
        <v>71.4</v>
      </c>
      <c r="C75" s="28">
        <v>78</v>
      </c>
      <c r="D75" s="28">
        <v>17</v>
      </c>
      <c r="E75" s="28">
        <v>0</v>
      </c>
      <c r="F75" s="25">
        <v>0</v>
      </c>
      <c r="G75" s="28">
        <v>2</v>
      </c>
      <c r="H75" s="28">
        <v>0</v>
      </c>
      <c r="I75" s="28">
        <v>1</v>
      </c>
      <c r="J75" s="26">
        <v>0.2179</v>
      </c>
      <c r="K75" s="27">
        <v>4.2</v>
      </c>
      <c r="L75" s="27">
        <v>915.38</v>
      </c>
      <c r="M75" s="19">
        <v>0</v>
      </c>
      <c r="N75" s="20">
        <v>0</v>
      </c>
      <c r="O75" s="22" t="e">
        <f t="shared" si="7"/>
        <v>#DIV/0!</v>
      </c>
      <c r="P75" s="23" t="e">
        <f t="shared" si="8"/>
        <v>#DIV/0!</v>
      </c>
      <c r="Q75" s="21">
        <f t="shared" si="9"/>
        <v>35.7</v>
      </c>
    </row>
    <row r="76" s="2" customFormat="1" spans="1:17">
      <c r="A76" s="17">
        <f t="shared" si="6"/>
        <v>44271</v>
      </c>
      <c r="B76" s="25">
        <v>126.18</v>
      </c>
      <c r="C76" s="28">
        <v>140</v>
      </c>
      <c r="D76" s="28">
        <v>23</v>
      </c>
      <c r="E76" s="28">
        <v>0</v>
      </c>
      <c r="F76" s="25">
        <v>0</v>
      </c>
      <c r="G76" s="28">
        <v>6</v>
      </c>
      <c r="H76" s="28">
        <v>1</v>
      </c>
      <c r="I76" s="28">
        <v>0</v>
      </c>
      <c r="J76" s="26">
        <v>0.1643</v>
      </c>
      <c r="K76" s="27">
        <v>5.49</v>
      </c>
      <c r="L76" s="27">
        <v>901.29</v>
      </c>
      <c r="M76" s="19">
        <v>0</v>
      </c>
      <c r="N76" s="20">
        <v>0</v>
      </c>
      <c r="O76" s="22" t="e">
        <f t="shared" si="7"/>
        <v>#DIV/0!</v>
      </c>
      <c r="P76" s="23" t="e">
        <f t="shared" si="8"/>
        <v>#DIV/0!</v>
      </c>
      <c r="Q76" s="21">
        <f t="shared" si="9"/>
        <v>21.03</v>
      </c>
    </row>
    <row r="77" s="2" customFormat="1" spans="1:17">
      <c r="A77" s="17">
        <f t="shared" si="6"/>
        <v>44272</v>
      </c>
      <c r="B77" s="25">
        <v>96.16</v>
      </c>
      <c r="C77" s="28">
        <v>94</v>
      </c>
      <c r="D77" s="28">
        <v>20</v>
      </c>
      <c r="E77" s="28">
        <v>0</v>
      </c>
      <c r="F77" s="25">
        <v>0</v>
      </c>
      <c r="G77" s="28">
        <v>4</v>
      </c>
      <c r="H77" s="28">
        <v>1</v>
      </c>
      <c r="I77" s="28">
        <v>0</v>
      </c>
      <c r="J77" s="26">
        <v>0.2128</v>
      </c>
      <c r="K77" s="27">
        <v>4.81</v>
      </c>
      <c r="L77" s="27">
        <v>1022.98</v>
      </c>
      <c r="M77" s="19">
        <v>0</v>
      </c>
      <c r="N77" s="20">
        <v>0</v>
      </c>
      <c r="O77" s="22" t="e">
        <f t="shared" si="7"/>
        <v>#DIV/0!</v>
      </c>
      <c r="P77" s="23" t="e">
        <f t="shared" si="8"/>
        <v>#DIV/0!</v>
      </c>
      <c r="Q77" s="21">
        <f t="shared" si="9"/>
        <v>24.04</v>
      </c>
    </row>
    <row r="78" s="2" customFormat="1" spans="1:17">
      <c r="A78" s="17">
        <f t="shared" si="6"/>
        <v>44273</v>
      </c>
      <c r="B78" s="25">
        <v>142.2</v>
      </c>
      <c r="C78" s="28">
        <v>147</v>
      </c>
      <c r="D78" s="28">
        <v>49</v>
      </c>
      <c r="E78" s="28">
        <v>0</v>
      </c>
      <c r="F78" s="25">
        <v>0</v>
      </c>
      <c r="G78" s="28">
        <v>4</v>
      </c>
      <c r="H78" s="28">
        <v>1</v>
      </c>
      <c r="I78" s="28">
        <v>1</v>
      </c>
      <c r="J78" s="26">
        <v>0.3333</v>
      </c>
      <c r="K78" s="27">
        <v>2.9</v>
      </c>
      <c r="L78" s="27">
        <v>967.35</v>
      </c>
      <c r="M78" s="19">
        <v>0</v>
      </c>
      <c r="N78" s="20">
        <v>0</v>
      </c>
      <c r="O78" s="22" t="e">
        <f t="shared" si="7"/>
        <v>#DIV/0!</v>
      </c>
      <c r="P78" s="23" t="e">
        <f t="shared" si="8"/>
        <v>#DIV/0!</v>
      </c>
      <c r="Q78" s="21">
        <f t="shared" si="9"/>
        <v>35.55</v>
      </c>
    </row>
    <row r="79" s="2" customFormat="1" spans="1:17">
      <c r="A79" s="17">
        <f t="shared" si="6"/>
        <v>44274</v>
      </c>
      <c r="B79" s="25">
        <v>101.1</v>
      </c>
      <c r="C79" s="28">
        <v>131</v>
      </c>
      <c r="D79" s="28">
        <v>18</v>
      </c>
      <c r="E79" s="28">
        <v>1</v>
      </c>
      <c r="F79" s="25">
        <v>1</v>
      </c>
      <c r="G79" s="28">
        <v>4</v>
      </c>
      <c r="H79" s="28">
        <v>0</v>
      </c>
      <c r="I79" s="28">
        <v>0</v>
      </c>
      <c r="J79" s="26">
        <v>0.1374</v>
      </c>
      <c r="K79" s="27">
        <v>5.62</v>
      </c>
      <c r="L79" s="27">
        <v>771.76</v>
      </c>
      <c r="M79" s="19">
        <v>0</v>
      </c>
      <c r="N79" s="20">
        <v>0</v>
      </c>
      <c r="O79" s="22">
        <f t="shared" si="7"/>
        <v>1</v>
      </c>
      <c r="P79" s="23">
        <f t="shared" si="8"/>
        <v>101.1</v>
      </c>
      <c r="Q79" s="21">
        <f t="shared" si="9"/>
        <v>25.275</v>
      </c>
    </row>
    <row r="80" s="2" customFormat="1" spans="1:17">
      <c r="A80" s="17">
        <f t="shared" si="6"/>
        <v>44275</v>
      </c>
      <c r="B80" s="25">
        <v>97.1</v>
      </c>
      <c r="C80" s="28">
        <v>104</v>
      </c>
      <c r="D80" s="28">
        <v>15</v>
      </c>
      <c r="E80" s="28">
        <v>0</v>
      </c>
      <c r="F80" s="25">
        <v>0</v>
      </c>
      <c r="G80" s="28">
        <v>4</v>
      </c>
      <c r="H80" s="28">
        <v>0</v>
      </c>
      <c r="I80" s="28">
        <v>1</v>
      </c>
      <c r="J80" s="26">
        <v>0.1442</v>
      </c>
      <c r="K80" s="27">
        <v>6.47</v>
      </c>
      <c r="L80" s="27">
        <v>933.65</v>
      </c>
      <c r="M80" s="19">
        <v>0</v>
      </c>
      <c r="N80" s="20">
        <v>0</v>
      </c>
      <c r="O80" s="22" t="e">
        <f t="shared" si="7"/>
        <v>#DIV/0!</v>
      </c>
      <c r="P80" s="23" t="e">
        <f t="shared" si="8"/>
        <v>#DIV/0!</v>
      </c>
      <c r="Q80" s="21">
        <f t="shared" si="9"/>
        <v>24.275</v>
      </c>
    </row>
    <row r="81" s="2" customFormat="1" spans="1:17">
      <c r="A81" s="17">
        <f t="shared" si="6"/>
        <v>44276</v>
      </c>
      <c r="B81" s="25">
        <v>124.04</v>
      </c>
      <c r="C81" s="28">
        <v>136</v>
      </c>
      <c r="D81" s="28">
        <v>16</v>
      </c>
      <c r="E81" s="28">
        <v>0</v>
      </c>
      <c r="F81" s="25">
        <v>0</v>
      </c>
      <c r="G81" s="28">
        <v>2</v>
      </c>
      <c r="H81" s="28">
        <v>1</v>
      </c>
      <c r="I81" s="28">
        <v>0</v>
      </c>
      <c r="J81" s="26">
        <v>0.1176</v>
      </c>
      <c r="K81" s="27">
        <v>7.75</v>
      </c>
      <c r="L81" s="27">
        <v>912.06</v>
      </c>
      <c r="M81" s="19">
        <v>0</v>
      </c>
      <c r="N81" s="20">
        <v>0</v>
      </c>
      <c r="O81" s="22" t="e">
        <f t="shared" si="7"/>
        <v>#DIV/0!</v>
      </c>
      <c r="P81" s="23" t="e">
        <f t="shared" si="8"/>
        <v>#DIV/0!</v>
      </c>
      <c r="Q81" s="21">
        <f t="shared" si="9"/>
        <v>62.02</v>
      </c>
    </row>
    <row r="82" s="2" customFormat="1" spans="1:17">
      <c r="A82" s="17">
        <f t="shared" si="6"/>
        <v>44277</v>
      </c>
      <c r="B82" s="25">
        <v>108.51</v>
      </c>
      <c r="C82" s="28">
        <v>128</v>
      </c>
      <c r="D82" s="28">
        <v>31</v>
      </c>
      <c r="E82" s="28">
        <v>1</v>
      </c>
      <c r="F82" s="25">
        <v>0.01</v>
      </c>
      <c r="G82" s="28">
        <v>10</v>
      </c>
      <c r="H82" s="28">
        <v>1</v>
      </c>
      <c r="I82" s="28">
        <v>0</v>
      </c>
      <c r="J82" s="26">
        <v>0.2422</v>
      </c>
      <c r="K82" s="27">
        <v>3.5</v>
      </c>
      <c r="L82" s="27">
        <v>847.73</v>
      </c>
      <c r="M82" s="19">
        <v>0</v>
      </c>
      <c r="N82" s="20">
        <v>0</v>
      </c>
      <c r="O82" s="22">
        <f t="shared" si="7"/>
        <v>0.01</v>
      </c>
      <c r="P82" s="23">
        <f t="shared" si="8"/>
        <v>108.51</v>
      </c>
      <c r="Q82" s="21">
        <f t="shared" si="9"/>
        <v>10.851</v>
      </c>
    </row>
    <row r="83" s="2" customFormat="1" spans="1:17">
      <c r="A83" s="17">
        <f t="shared" si="6"/>
        <v>44278</v>
      </c>
      <c r="B83" s="25">
        <v>73.37</v>
      </c>
      <c r="C83" s="28">
        <v>79</v>
      </c>
      <c r="D83" s="28">
        <v>24</v>
      </c>
      <c r="E83" s="28">
        <v>1</v>
      </c>
      <c r="F83" s="25">
        <v>0.01</v>
      </c>
      <c r="G83" s="28">
        <v>5</v>
      </c>
      <c r="H83" s="28">
        <v>0</v>
      </c>
      <c r="I83" s="28">
        <v>1</v>
      </c>
      <c r="J83" s="26">
        <v>0.3038</v>
      </c>
      <c r="K83" s="27">
        <v>3.06</v>
      </c>
      <c r="L83" s="27">
        <v>928.73</v>
      </c>
      <c r="M83" s="19">
        <v>0</v>
      </c>
      <c r="N83" s="20">
        <v>0</v>
      </c>
      <c r="O83" s="22">
        <f t="shared" si="7"/>
        <v>0.01</v>
      </c>
      <c r="P83" s="23">
        <f t="shared" si="8"/>
        <v>73.37</v>
      </c>
      <c r="Q83" s="21">
        <f t="shared" si="9"/>
        <v>14.674</v>
      </c>
    </row>
    <row r="84" s="2" customFormat="1" spans="1:17">
      <c r="A84" s="17">
        <f t="shared" si="6"/>
        <v>44279</v>
      </c>
      <c r="B84" s="25">
        <v>66.07</v>
      </c>
      <c r="C84" s="28">
        <v>61</v>
      </c>
      <c r="D84" s="28">
        <v>13</v>
      </c>
      <c r="E84" s="28">
        <v>0</v>
      </c>
      <c r="F84" s="25">
        <v>0</v>
      </c>
      <c r="G84" s="28">
        <v>2</v>
      </c>
      <c r="H84" s="28">
        <v>1</v>
      </c>
      <c r="I84" s="28">
        <v>0</v>
      </c>
      <c r="J84" s="26">
        <v>0.2131</v>
      </c>
      <c r="K84" s="27">
        <v>5.08</v>
      </c>
      <c r="L84" s="27">
        <v>1083.11</v>
      </c>
      <c r="M84" s="19">
        <v>0</v>
      </c>
      <c r="N84" s="20">
        <v>0</v>
      </c>
      <c r="O84" s="22" t="e">
        <f t="shared" si="7"/>
        <v>#DIV/0!</v>
      </c>
      <c r="P84" s="23" t="e">
        <f t="shared" si="8"/>
        <v>#DIV/0!</v>
      </c>
      <c r="Q84" s="21">
        <f t="shared" si="9"/>
        <v>33.035</v>
      </c>
    </row>
    <row r="85" s="2" customFormat="1" spans="1:17">
      <c r="A85" s="17">
        <f t="shared" si="6"/>
        <v>44280</v>
      </c>
      <c r="B85" s="25">
        <v>101.13</v>
      </c>
      <c r="C85" s="28">
        <v>94</v>
      </c>
      <c r="D85" s="28">
        <v>41</v>
      </c>
      <c r="E85" s="28">
        <v>2</v>
      </c>
      <c r="F85" s="25">
        <v>0.02</v>
      </c>
      <c r="G85" s="28">
        <v>9</v>
      </c>
      <c r="H85" s="28">
        <v>3</v>
      </c>
      <c r="I85" s="28">
        <v>2</v>
      </c>
      <c r="J85" s="26">
        <v>0.4362</v>
      </c>
      <c r="K85" s="27">
        <v>2.47</v>
      </c>
      <c r="L85" s="27">
        <v>1075.85</v>
      </c>
      <c r="M85" s="19">
        <v>0</v>
      </c>
      <c r="N85" s="20">
        <v>0</v>
      </c>
      <c r="O85" s="22">
        <f t="shared" si="7"/>
        <v>0.01</v>
      </c>
      <c r="P85" s="23">
        <f t="shared" si="8"/>
        <v>50.565</v>
      </c>
      <c r="Q85" s="21">
        <f t="shared" si="9"/>
        <v>11.2366666666667</v>
      </c>
    </row>
    <row r="86" s="2" customFormat="1" spans="1:17">
      <c r="A86" s="17">
        <f t="shared" si="6"/>
        <v>44281</v>
      </c>
      <c r="B86" s="25">
        <v>92.24</v>
      </c>
      <c r="C86" s="28">
        <v>94</v>
      </c>
      <c r="D86" s="28">
        <v>22</v>
      </c>
      <c r="E86" s="28">
        <v>1</v>
      </c>
      <c r="F86" s="25">
        <v>0.01</v>
      </c>
      <c r="G86" s="28">
        <v>3</v>
      </c>
      <c r="H86" s="28">
        <v>1</v>
      </c>
      <c r="I86" s="28">
        <v>2</v>
      </c>
      <c r="J86" s="26">
        <v>0.234</v>
      </c>
      <c r="K86" s="27">
        <v>4.19</v>
      </c>
      <c r="L86" s="27">
        <v>981.28</v>
      </c>
      <c r="M86" s="19">
        <v>0</v>
      </c>
      <c r="N86" s="20">
        <v>0</v>
      </c>
      <c r="O86" s="22">
        <f t="shared" si="7"/>
        <v>0.01</v>
      </c>
      <c r="P86" s="23">
        <f t="shared" si="8"/>
        <v>92.24</v>
      </c>
      <c r="Q86" s="21">
        <f t="shared" si="9"/>
        <v>30.7466666666667</v>
      </c>
    </row>
    <row r="87" s="2" customFormat="1" spans="1:17">
      <c r="A87" s="17">
        <f t="shared" si="6"/>
        <v>44282</v>
      </c>
      <c r="B87" s="25">
        <v>74.88</v>
      </c>
      <c r="C87" s="28">
        <v>73</v>
      </c>
      <c r="D87" s="28">
        <v>9</v>
      </c>
      <c r="E87" s="28">
        <v>0</v>
      </c>
      <c r="F87" s="25">
        <v>0</v>
      </c>
      <c r="G87" s="28">
        <v>2</v>
      </c>
      <c r="H87" s="28">
        <v>0</v>
      </c>
      <c r="I87" s="28">
        <v>2</v>
      </c>
      <c r="J87" s="26">
        <v>0.1233</v>
      </c>
      <c r="K87" s="27">
        <v>8.32</v>
      </c>
      <c r="L87" s="27">
        <v>1025.75</v>
      </c>
      <c r="M87" s="19">
        <v>0</v>
      </c>
      <c r="N87" s="20">
        <v>0</v>
      </c>
      <c r="O87" s="22" t="e">
        <f t="shared" si="7"/>
        <v>#DIV/0!</v>
      </c>
      <c r="P87" s="23" t="e">
        <f t="shared" si="8"/>
        <v>#DIV/0!</v>
      </c>
      <c r="Q87" s="21">
        <f t="shared" si="9"/>
        <v>37.44</v>
      </c>
    </row>
    <row r="88" s="2" customFormat="1" spans="1:17">
      <c r="A88" s="17">
        <f t="shared" si="6"/>
        <v>44283</v>
      </c>
      <c r="B88" s="25">
        <v>53.61</v>
      </c>
      <c r="C88" s="28">
        <v>62</v>
      </c>
      <c r="D88" s="28">
        <v>12</v>
      </c>
      <c r="E88" s="28">
        <v>0</v>
      </c>
      <c r="F88" s="25">
        <v>0</v>
      </c>
      <c r="G88" s="28">
        <v>0</v>
      </c>
      <c r="H88" s="28">
        <v>1</v>
      </c>
      <c r="I88" s="28">
        <v>0</v>
      </c>
      <c r="J88" s="26">
        <v>0.1935</v>
      </c>
      <c r="K88" s="27">
        <v>4.47</v>
      </c>
      <c r="L88" s="27">
        <v>864.68</v>
      </c>
      <c r="M88" s="19">
        <v>0</v>
      </c>
      <c r="N88" s="20">
        <v>0</v>
      </c>
      <c r="O88" s="22" t="e">
        <f t="shared" si="7"/>
        <v>#DIV/0!</v>
      </c>
      <c r="P88" s="23" t="e">
        <f t="shared" si="8"/>
        <v>#DIV/0!</v>
      </c>
      <c r="Q88" s="21" t="e">
        <f t="shared" si="9"/>
        <v>#DIV/0!</v>
      </c>
    </row>
    <row r="89" s="2" customFormat="1" spans="1:17">
      <c r="A89" s="17">
        <f t="shared" si="6"/>
        <v>44284</v>
      </c>
      <c r="B89" s="25">
        <v>85.42</v>
      </c>
      <c r="C89" s="28">
        <v>96</v>
      </c>
      <c r="D89" s="28">
        <v>18</v>
      </c>
      <c r="E89" s="28">
        <v>0</v>
      </c>
      <c r="F89" s="25">
        <v>0</v>
      </c>
      <c r="G89" s="28">
        <v>2</v>
      </c>
      <c r="H89" s="28">
        <v>0</v>
      </c>
      <c r="I89" s="28">
        <v>2</v>
      </c>
      <c r="J89" s="26">
        <v>0.1875</v>
      </c>
      <c r="K89" s="27">
        <v>4.75</v>
      </c>
      <c r="L89" s="27">
        <v>899.79</v>
      </c>
      <c r="M89" s="19">
        <v>0</v>
      </c>
      <c r="N89" s="20">
        <v>0</v>
      </c>
      <c r="O89" s="22" t="e">
        <f t="shared" si="7"/>
        <v>#DIV/0!</v>
      </c>
      <c r="P89" s="23" t="e">
        <f t="shared" si="8"/>
        <v>#DIV/0!</v>
      </c>
      <c r="Q89" s="21">
        <f t="shared" si="9"/>
        <v>42.71</v>
      </c>
    </row>
    <row r="90" s="2" customFormat="1" spans="1:17">
      <c r="A90" s="17">
        <f t="shared" si="6"/>
        <v>44285</v>
      </c>
      <c r="B90" s="25">
        <v>117.81</v>
      </c>
      <c r="C90" s="28">
        <v>119</v>
      </c>
      <c r="D90" s="28">
        <v>26</v>
      </c>
      <c r="E90" s="28">
        <v>0</v>
      </c>
      <c r="F90" s="25">
        <v>0</v>
      </c>
      <c r="G90" s="28">
        <v>3</v>
      </c>
      <c r="H90" s="28">
        <v>1</v>
      </c>
      <c r="I90" s="28">
        <v>2</v>
      </c>
      <c r="J90" s="26">
        <v>0.2185</v>
      </c>
      <c r="K90" s="27">
        <v>4.53</v>
      </c>
      <c r="L90" s="30">
        <v>990</v>
      </c>
      <c r="M90" s="19">
        <v>0</v>
      </c>
      <c r="N90" s="20">
        <v>0</v>
      </c>
      <c r="O90" s="22" t="e">
        <f t="shared" si="7"/>
        <v>#DIV/0!</v>
      </c>
      <c r="P90" s="23" t="e">
        <f t="shared" si="8"/>
        <v>#DIV/0!</v>
      </c>
      <c r="Q90" s="21">
        <f t="shared" si="9"/>
        <v>39.27</v>
      </c>
    </row>
    <row r="91" s="2" customFormat="1" spans="1:17">
      <c r="A91" s="17">
        <f t="shared" si="6"/>
        <v>44286</v>
      </c>
      <c r="B91" s="25">
        <v>117.33</v>
      </c>
      <c r="C91" s="28">
        <v>131</v>
      </c>
      <c r="D91" s="28">
        <v>23</v>
      </c>
      <c r="E91" s="28">
        <v>1</v>
      </c>
      <c r="F91" s="25">
        <v>11086</v>
      </c>
      <c r="G91" s="28">
        <v>5</v>
      </c>
      <c r="H91" s="28">
        <v>0</v>
      </c>
      <c r="I91" s="28">
        <v>0</v>
      </c>
      <c r="J91" s="26">
        <v>0.1756</v>
      </c>
      <c r="K91" s="27">
        <v>5.1</v>
      </c>
      <c r="L91" s="30">
        <v>895.648</v>
      </c>
      <c r="M91" s="19">
        <v>0</v>
      </c>
      <c r="N91" s="20">
        <v>0</v>
      </c>
      <c r="O91" s="22">
        <f t="shared" si="7"/>
        <v>11086</v>
      </c>
      <c r="P91" s="23">
        <f t="shared" si="8"/>
        <v>117.33</v>
      </c>
      <c r="Q91" s="21">
        <f t="shared" si="9"/>
        <v>23.466</v>
      </c>
    </row>
    <row r="92" s="2" customFormat="1" spans="1:17">
      <c r="A92" s="17">
        <f t="shared" si="6"/>
        <v>44287</v>
      </c>
      <c r="B92" s="25">
        <v>98.02</v>
      </c>
      <c r="C92" s="28">
        <v>108</v>
      </c>
      <c r="D92" s="28">
        <v>26</v>
      </c>
      <c r="E92" s="28">
        <v>1</v>
      </c>
      <c r="F92" s="25">
        <v>1</v>
      </c>
      <c r="G92" s="28">
        <v>0</v>
      </c>
      <c r="H92" s="28">
        <v>1</v>
      </c>
      <c r="I92" s="28">
        <v>2</v>
      </c>
      <c r="J92" s="26">
        <v>0.2407</v>
      </c>
      <c r="K92" s="27">
        <v>3.77</v>
      </c>
      <c r="L92" s="30">
        <v>907.592</v>
      </c>
      <c r="M92" s="19">
        <v>0</v>
      </c>
      <c r="N92" s="20">
        <v>0</v>
      </c>
      <c r="O92" s="22">
        <f t="shared" si="7"/>
        <v>1</v>
      </c>
      <c r="P92" s="23">
        <f t="shared" si="8"/>
        <v>98.02</v>
      </c>
      <c r="Q92" s="21" t="e">
        <f t="shared" si="9"/>
        <v>#DIV/0!</v>
      </c>
    </row>
    <row r="93" s="2" customFormat="1" spans="1:17">
      <c r="A93" s="17">
        <f t="shared" si="6"/>
        <v>44288</v>
      </c>
      <c r="B93" s="25">
        <v>114.47</v>
      </c>
      <c r="C93" s="28">
        <v>124</v>
      </c>
      <c r="D93" s="28">
        <v>16</v>
      </c>
      <c r="E93" s="28">
        <v>0</v>
      </c>
      <c r="F93" s="25">
        <v>0</v>
      </c>
      <c r="G93" s="28">
        <v>3</v>
      </c>
      <c r="H93" s="28">
        <v>3</v>
      </c>
      <c r="I93" s="28">
        <v>0</v>
      </c>
      <c r="J93" s="26">
        <v>0.129</v>
      </c>
      <c r="K93" s="27">
        <v>7.15</v>
      </c>
      <c r="L93" s="30">
        <v>923.145</v>
      </c>
      <c r="M93" s="19">
        <v>0</v>
      </c>
      <c r="N93" s="20">
        <v>0</v>
      </c>
      <c r="O93" s="22" t="e">
        <f t="shared" si="7"/>
        <v>#DIV/0!</v>
      </c>
      <c r="P93" s="23" t="e">
        <f t="shared" si="8"/>
        <v>#DIV/0!</v>
      </c>
      <c r="Q93" s="21">
        <f t="shared" si="9"/>
        <v>38.1566666666667</v>
      </c>
    </row>
    <row r="94" s="2" customFormat="1" spans="1:17">
      <c r="A94" s="17">
        <f t="shared" si="6"/>
        <v>44289</v>
      </c>
      <c r="B94" s="25">
        <v>101.15</v>
      </c>
      <c r="C94" s="28">
        <v>103</v>
      </c>
      <c r="D94" s="28">
        <v>16</v>
      </c>
      <c r="E94" s="28">
        <v>0</v>
      </c>
      <c r="F94" s="25">
        <v>0</v>
      </c>
      <c r="G94" s="28">
        <v>3</v>
      </c>
      <c r="H94" s="28">
        <v>1</v>
      </c>
      <c r="I94" s="28">
        <v>0</v>
      </c>
      <c r="J94" s="26">
        <v>0.1553</v>
      </c>
      <c r="K94" s="27">
        <v>6.32</v>
      </c>
      <c r="L94" s="30">
        <v>982.038</v>
      </c>
      <c r="M94" s="19">
        <v>0</v>
      </c>
      <c r="N94" s="20">
        <v>0</v>
      </c>
      <c r="O94" s="22" t="e">
        <f t="shared" si="7"/>
        <v>#DIV/0!</v>
      </c>
      <c r="P94" s="23" t="e">
        <f t="shared" si="8"/>
        <v>#DIV/0!</v>
      </c>
      <c r="Q94" s="21">
        <f t="shared" si="9"/>
        <v>33.7166666666667</v>
      </c>
    </row>
    <row r="95" s="2" customFormat="1" spans="1:17">
      <c r="A95" s="17">
        <f t="shared" si="6"/>
        <v>44290</v>
      </c>
      <c r="B95" s="25">
        <v>126.04</v>
      </c>
      <c r="C95" s="28">
        <v>147</v>
      </c>
      <c r="D95" s="28">
        <v>18</v>
      </c>
      <c r="E95" s="28">
        <v>0</v>
      </c>
      <c r="F95" s="25">
        <v>0</v>
      </c>
      <c r="G95" s="28">
        <v>2</v>
      </c>
      <c r="H95" s="28">
        <v>2</v>
      </c>
      <c r="I95" s="28">
        <v>1</v>
      </c>
      <c r="J95" s="26">
        <v>0.1224</v>
      </c>
      <c r="K95" s="27">
        <v>7</v>
      </c>
      <c r="L95" s="30">
        <v>857.414</v>
      </c>
      <c r="M95" s="19">
        <v>0</v>
      </c>
      <c r="N95" s="20">
        <v>0</v>
      </c>
      <c r="O95" s="22" t="e">
        <f t="shared" si="7"/>
        <v>#DIV/0!</v>
      </c>
      <c r="P95" s="23" t="e">
        <f t="shared" si="8"/>
        <v>#DIV/0!</v>
      </c>
      <c r="Q95" s="21">
        <f t="shared" si="9"/>
        <v>63.02</v>
      </c>
    </row>
    <row r="96" s="2" customFormat="1" spans="1:17">
      <c r="A96" s="17">
        <f t="shared" si="6"/>
        <v>44291</v>
      </c>
      <c r="B96" s="25">
        <v>99.52</v>
      </c>
      <c r="C96" s="28">
        <v>103</v>
      </c>
      <c r="D96" s="28">
        <v>22</v>
      </c>
      <c r="E96" s="28">
        <v>0</v>
      </c>
      <c r="F96" s="25">
        <v>0</v>
      </c>
      <c r="G96" s="28">
        <v>5</v>
      </c>
      <c r="H96" s="28">
        <v>0</v>
      </c>
      <c r="I96" s="28">
        <v>0</v>
      </c>
      <c r="J96" s="26">
        <v>0.213592</v>
      </c>
      <c r="K96" s="27">
        <v>4.523636</v>
      </c>
      <c r="L96" s="30">
        <v>966.213</v>
      </c>
      <c r="M96" s="19">
        <v>0</v>
      </c>
      <c r="N96" s="20">
        <v>0</v>
      </c>
      <c r="O96" s="22" t="e">
        <f t="shared" si="7"/>
        <v>#DIV/0!</v>
      </c>
      <c r="P96" s="23" t="e">
        <f t="shared" si="8"/>
        <v>#DIV/0!</v>
      </c>
      <c r="Q96" s="21">
        <f t="shared" si="9"/>
        <v>19.904</v>
      </c>
    </row>
    <row r="97" s="2" customFormat="1" spans="1:17">
      <c r="A97" s="17">
        <f t="shared" ref="A97:A160" si="10">A96+1</f>
        <v>44292</v>
      </c>
      <c r="B97" s="25">
        <v>107.93</v>
      </c>
      <c r="C97" s="28">
        <v>124</v>
      </c>
      <c r="D97" s="28">
        <v>28</v>
      </c>
      <c r="E97" s="28">
        <v>0</v>
      </c>
      <c r="F97" s="25">
        <v>0</v>
      </c>
      <c r="G97" s="28">
        <v>5</v>
      </c>
      <c r="H97" s="28">
        <v>1</v>
      </c>
      <c r="I97" s="28">
        <v>1</v>
      </c>
      <c r="J97" s="26">
        <v>0.225806</v>
      </c>
      <c r="K97" s="27">
        <v>3.854642</v>
      </c>
      <c r="L97" s="30">
        <v>870.403</v>
      </c>
      <c r="M97" s="19">
        <v>0</v>
      </c>
      <c r="N97" s="20">
        <v>0</v>
      </c>
      <c r="O97" s="22" t="e">
        <f t="shared" si="7"/>
        <v>#DIV/0!</v>
      </c>
      <c r="P97" s="23" t="e">
        <f t="shared" si="8"/>
        <v>#DIV/0!</v>
      </c>
      <c r="Q97" s="21">
        <f t="shared" si="9"/>
        <v>21.586</v>
      </c>
    </row>
    <row r="98" s="2" customFormat="1" spans="1:17">
      <c r="A98" s="17">
        <f t="shared" si="10"/>
        <v>44293</v>
      </c>
      <c r="B98" s="25">
        <v>98.25</v>
      </c>
      <c r="C98" s="28">
        <v>96</v>
      </c>
      <c r="D98" s="28">
        <v>27</v>
      </c>
      <c r="E98" s="28">
        <v>0</v>
      </c>
      <c r="F98" s="25">
        <v>0</v>
      </c>
      <c r="G98" s="28">
        <v>7</v>
      </c>
      <c r="H98" s="28">
        <v>0</v>
      </c>
      <c r="I98" s="28">
        <v>1</v>
      </c>
      <c r="J98" s="26">
        <v>0.28125</v>
      </c>
      <c r="K98" s="27">
        <v>3.638888</v>
      </c>
      <c r="L98" s="30">
        <v>1023.43699999999</v>
      </c>
      <c r="M98" s="19">
        <v>0</v>
      </c>
      <c r="N98" s="20">
        <v>0</v>
      </c>
      <c r="O98" s="22" t="e">
        <f t="shared" si="7"/>
        <v>#DIV/0!</v>
      </c>
      <c r="P98" s="23" t="e">
        <f t="shared" si="8"/>
        <v>#DIV/0!</v>
      </c>
      <c r="Q98" s="21">
        <f t="shared" si="9"/>
        <v>14.0357142857143</v>
      </c>
    </row>
    <row r="99" s="2" customFormat="1" spans="1:17">
      <c r="A99" s="17">
        <f t="shared" si="10"/>
        <v>44294</v>
      </c>
      <c r="B99" s="25">
        <v>103.66</v>
      </c>
      <c r="C99" s="28">
        <v>102</v>
      </c>
      <c r="D99" s="28">
        <v>26</v>
      </c>
      <c r="E99" s="28">
        <v>0</v>
      </c>
      <c r="F99" s="25">
        <v>0</v>
      </c>
      <c r="G99" s="28">
        <v>0</v>
      </c>
      <c r="H99" s="28">
        <v>0</v>
      </c>
      <c r="I99" s="28">
        <v>1</v>
      </c>
      <c r="J99" s="26">
        <v>0.254901</v>
      </c>
      <c r="K99" s="27">
        <v>3.986923</v>
      </c>
      <c r="L99" s="30">
        <v>1016.27399999999</v>
      </c>
      <c r="M99" s="19">
        <v>0</v>
      </c>
      <c r="N99" s="20">
        <v>0</v>
      </c>
      <c r="O99" s="22" t="e">
        <f t="shared" si="7"/>
        <v>#DIV/0!</v>
      </c>
      <c r="P99" s="23" t="e">
        <f t="shared" si="8"/>
        <v>#DIV/0!</v>
      </c>
      <c r="Q99" s="21" t="e">
        <f t="shared" si="9"/>
        <v>#DIV/0!</v>
      </c>
    </row>
    <row r="100" s="2" customFormat="1" spans="1:17">
      <c r="A100" s="17">
        <f t="shared" si="10"/>
        <v>44295</v>
      </c>
      <c r="B100" s="25">
        <v>160.3</v>
      </c>
      <c r="C100" s="28">
        <v>182</v>
      </c>
      <c r="D100" s="28">
        <v>36</v>
      </c>
      <c r="E100" s="28">
        <v>0</v>
      </c>
      <c r="F100" s="25">
        <v>0</v>
      </c>
      <c r="G100" s="28">
        <v>0</v>
      </c>
      <c r="H100" s="28">
        <v>0</v>
      </c>
      <c r="I100" s="28">
        <v>0</v>
      </c>
      <c r="J100" s="26">
        <v>0.197802</v>
      </c>
      <c r="K100" s="27">
        <v>4.452777</v>
      </c>
      <c r="L100" s="30">
        <v>880.769</v>
      </c>
      <c r="M100" s="19">
        <v>0</v>
      </c>
      <c r="N100" s="20">
        <v>0</v>
      </c>
      <c r="O100" s="22" t="e">
        <f t="shared" si="7"/>
        <v>#DIV/0!</v>
      </c>
      <c r="P100" s="23" t="e">
        <f t="shared" si="8"/>
        <v>#DIV/0!</v>
      </c>
      <c r="Q100" s="21" t="e">
        <f t="shared" si="9"/>
        <v>#DIV/0!</v>
      </c>
    </row>
    <row r="101" s="2" customFormat="1" spans="1:17">
      <c r="A101" s="17">
        <f t="shared" si="10"/>
        <v>44296</v>
      </c>
      <c r="B101" s="25">
        <v>134.58</v>
      </c>
      <c r="C101" s="28">
        <v>145</v>
      </c>
      <c r="D101" s="28">
        <v>26</v>
      </c>
      <c r="E101" s="28">
        <v>1</v>
      </c>
      <c r="F101" s="25">
        <v>1</v>
      </c>
      <c r="G101" s="28">
        <v>3</v>
      </c>
      <c r="H101" s="28">
        <v>2</v>
      </c>
      <c r="I101" s="28">
        <v>4</v>
      </c>
      <c r="J101" s="26">
        <v>0.17931</v>
      </c>
      <c r="K101" s="27">
        <v>5.176153</v>
      </c>
      <c r="L101" s="30">
        <v>928.137</v>
      </c>
      <c r="M101" s="19">
        <v>0</v>
      </c>
      <c r="N101" s="20">
        <v>0</v>
      </c>
      <c r="O101" s="22">
        <f t="shared" si="7"/>
        <v>1</v>
      </c>
      <c r="P101" s="23">
        <f t="shared" si="8"/>
        <v>134.58</v>
      </c>
      <c r="Q101" s="21">
        <f t="shared" si="9"/>
        <v>44.86</v>
      </c>
    </row>
    <row r="102" s="2" customFormat="1" spans="1:17">
      <c r="A102" s="17">
        <f t="shared" si="10"/>
        <v>44297</v>
      </c>
      <c r="B102" s="25">
        <v>104.55</v>
      </c>
      <c r="C102" s="28">
        <v>122</v>
      </c>
      <c r="D102" s="28">
        <v>13</v>
      </c>
      <c r="E102" s="28">
        <v>0</v>
      </c>
      <c r="F102" s="25">
        <v>0</v>
      </c>
      <c r="G102" s="28">
        <v>4</v>
      </c>
      <c r="H102" s="28">
        <v>2</v>
      </c>
      <c r="I102" s="28">
        <v>1</v>
      </c>
      <c r="J102" s="26">
        <v>0.106557</v>
      </c>
      <c r="K102" s="27">
        <v>8.042307</v>
      </c>
      <c r="L102" s="30">
        <v>856.967</v>
      </c>
      <c r="M102" s="19">
        <v>0</v>
      </c>
      <c r="N102" s="20">
        <v>0</v>
      </c>
      <c r="O102" s="22" t="e">
        <f t="shared" si="7"/>
        <v>#DIV/0!</v>
      </c>
      <c r="P102" s="23" t="e">
        <f t="shared" si="8"/>
        <v>#DIV/0!</v>
      </c>
      <c r="Q102" s="21">
        <f t="shared" si="9"/>
        <v>26.1375</v>
      </c>
    </row>
    <row r="103" s="2" customFormat="1" spans="1:17">
      <c r="A103" s="17">
        <f t="shared" si="10"/>
        <v>44298</v>
      </c>
      <c r="B103" s="25">
        <v>116.9</v>
      </c>
      <c r="C103" s="28">
        <v>133</v>
      </c>
      <c r="D103" s="28">
        <v>30</v>
      </c>
      <c r="E103" s="28">
        <v>1</v>
      </c>
      <c r="F103" s="25">
        <v>0.01</v>
      </c>
      <c r="G103" s="28">
        <v>4</v>
      </c>
      <c r="H103" s="28">
        <v>0</v>
      </c>
      <c r="I103" s="28">
        <v>0</v>
      </c>
      <c r="J103" s="26">
        <v>0.2256</v>
      </c>
      <c r="K103" s="27">
        <v>3.9</v>
      </c>
      <c r="L103" s="27">
        <v>878.95</v>
      </c>
      <c r="M103" s="19">
        <v>0</v>
      </c>
      <c r="N103" s="20">
        <v>0</v>
      </c>
      <c r="O103" s="22">
        <f t="shared" si="7"/>
        <v>0.01</v>
      </c>
      <c r="P103" s="23">
        <f t="shared" si="8"/>
        <v>116.9</v>
      </c>
      <c r="Q103" s="21">
        <f t="shared" si="9"/>
        <v>29.225</v>
      </c>
    </row>
    <row r="104" s="2" customFormat="1" spans="1:17">
      <c r="A104" s="17">
        <f t="shared" si="10"/>
        <v>44299</v>
      </c>
      <c r="B104" s="25">
        <v>116.58</v>
      </c>
      <c r="C104" s="28">
        <v>138</v>
      </c>
      <c r="D104" s="28">
        <v>23</v>
      </c>
      <c r="E104" s="28">
        <v>0</v>
      </c>
      <c r="F104" s="25">
        <v>0</v>
      </c>
      <c r="G104" s="28">
        <v>2</v>
      </c>
      <c r="H104" s="28">
        <v>0</v>
      </c>
      <c r="I104" s="28">
        <v>3</v>
      </c>
      <c r="J104" s="26">
        <v>0.1667</v>
      </c>
      <c r="K104" s="27">
        <v>5.07</v>
      </c>
      <c r="L104" s="27">
        <v>844.78</v>
      </c>
      <c r="M104" s="19">
        <v>0</v>
      </c>
      <c r="N104" s="20">
        <v>0</v>
      </c>
      <c r="O104" s="22" t="e">
        <f t="shared" si="7"/>
        <v>#DIV/0!</v>
      </c>
      <c r="P104" s="23" t="e">
        <f t="shared" si="8"/>
        <v>#DIV/0!</v>
      </c>
      <c r="Q104" s="21">
        <f t="shared" si="9"/>
        <v>58.29</v>
      </c>
    </row>
    <row r="105" s="2" customFormat="1" spans="1:17">
      <c r="A105" s="17">
        <f t="shared" si="10"/>
        <v>44300</v>
      </c>
      <c r="B105" s="25">
        <v>125.28</v>
      </c>
      <c r="C105" s="28">
        <v>129</v>
      </c>
      <c r="D105" s="28">
        <v>34</v>
      </c>
      <c r="E105" s="28">
        <v>0</v>
      </c>
      <c r="F105" s="25">
        <v>0</v>
      </c>
      <c r="G105" s="28">
        <v>4</v>
      </c>
      <c r="H105" s="28">
        <v>4</v>
      </c>
      <c r="I105" s="28">
        <v>7</v>
      </c>
      <c r="J105" s="26">
        <v>0.2636</v>
      </c>
      <c r="K105" s="27">
        <v>3.68</v>
      </c>
      <c r="L105" s="27">
        <v>971.16</v>
      </c>
      <c r="M105" s="19">
        <v>0</v>
      </c>
      <c r="N105" s="20">
        <v>0</v>
      </c>
      <c r="O105" s="22" t="e">
        <f t="shared" si="7"/>
        <v>#DIV/0!</v>
      </c>
      <c r="P105" s="23" t="e">
        <f t="shared" si="8"/>
        <v>#DIV/0!</v>
      </c>
      <c r="Q105" s="21">
        <f t="shared" si="9"/>
        <v>31.32</v>
      </c>
    </row>
    <row r="106" s="2" customFormat="1" spans="1:17">
      <c r="A106" s="17">
        <f t="shared" si="10"/>
        <v>44301</v>
      </c>
      <c r="B106" s="25">
        <v>120.06</v>
      </c>
      <c r="C106" s="28">
        <v>125</v>
      </c>
      <c r="D106" s="28">
        <v>35</v>
      </c>
      <c r="E106" s="28">
        <v>2</v>
      </c>
      <c r="F106" s="25">
        <v>0.2</v>
      </c>
      <c r="G106" s="28">
        <v>16</v>
      </c>
      <c r="H106" s="28">
        <v>3</v>
      </c>
      <c r="I106" s="28">
        <v>1</v>
      </c>
      <c r="J106" s="26">
        <v>0.28</v>
      </c>
      <c r="K106" s="27">
        <v>3.43</v>
      </c>
      <c r="L106" s="27">
        <v>960.48</v>
      </c>
      <c r="M106" s="19">
        <v>0</v>
      </c>
      <c r="N106" s="20">
        <v>0</v>
      </c>
      <c r="O106" s="22">
        <f t="shared" si="7"/>
        <v>0.1</v>
      </c>
      <c r="P106" s="23">
        <f t="shared" si="8"/>
        <v>60.03</v>
      </c>
      <c r="Q106" s="21">
        <f t="shared" si="9"/>
        <v>7.50375</v>
      </c>
    </row>
    <row r="107" s="2" customFormat="1" spans="1:17">
      <c r="A107" s="17">
        <f t="shared" si="10"/>
        <v>44302</v>
      </c>
      <c r="B107" s="25">
        <v>108.55</v>
      </c>
      <c r="C107" s="28">
        <v>99</v>
      </c>
      <c r="D107" s="28">
        <v>24</v>
      </c>
      <c r="E107" s="28">
        <v>0</v>
      </c>
      <c r="F107" s="25">
        <v>0</v>
      </c>
      <c r="G107" s="28">
        <v>4</v>
      </c>
      <c r="H107" s="28">
        <v>0</v>
      </c>
      <c r="I107" s="28">
        <v>0</v>
      </c>
      <c r="J107" s="26">
        <v>0.2424</v>
      </c>
      <c r="K107" s="27">
        <v>4.52</v>
      </c>
      <c r="L107" s="27">
        <v>1096.46</v>
      </c>
      <c r="M107" s="19">
        <v>0</v>
      </c>
      <c r="N107" s="20">
        <v>0</v>
      </c>
      <c r="O107" s="22" t="e">
        <f t="shared" si="7"/>
        <v>#DIV/0!</v>
      </c>
      <c r="P107" s="23" t="e">
        <f t="shared" si="8"/>
        <v>#DIV/0!</v>
      </c>
      <c r="Q107" s="21">
        <f t="shared" si="9"/>
        <v>27.1375</v>
      </c>
    </row>
    <row r="108" s="2" customFormat="1" spans="1:17">
      <c r="A108" s="17">
        <f t="shared" si="10"/>
        <v>44303</v>
      </c>
      <c r="B108" s="25">
        <v>157.81</v>
      </c>
      <c r="C108" s="28">
        <v>208</v>
      </c>
      <c r="D108" s="28">
        <v>21</v>
      </c>
      <c r="E108" s="28">
        <v>0</v>
      </c>
      <c r="F108" s="25">
        <v>0</v>
      </c>
      <c r="G108" s="28">
        <v>1</v>
      </c>
      <c r="H108" s="28">
        <v>0</v>
      </c>
      <c r="I108" s="28">
        <v>1</v>
      </c>
      <c r="J108" s="26">
        <v>0.101</v>
      </c>
      <c r="K108" s="27">
        <v>7.51</v>
      </c>
      <c r="L108" s="27">
        <v>758.7</v>
      </c>
      <c r="M108" s="19">
        <v>0</v>
      </c>
      <c r="N108" s="20">
        <v>0</v>
      </c>
      <c r="O108" s="22" t="e">
        <f t="shared" si="7"/>
        <v>#DIV/0!</v>
      </c>
      <c r="P108" s="23" t="e">
        <f t="shared" si="8"/>
        <v>#DIV/0!</v>
      </c>
      <c r="Q108" s="21">
        <f t="shared" si="9"/>
        <v>157.81</v>
      </c>
    </row>
    <row r="109" s="2" customFormat="1" spans="1:17">
      <c r="A109" s="17">
        <f t="shared" si="10"/>
        <v>44304</v>
      </c>
      <c r="B109" s="25">
        <v>192.51</v>
      </c>
      <c r="C109" s="28">
        <v>310</v>
      </c>
      <c r="D109" s="28">
        <v>21</v>
      </c>
      <c r="E109" s="28">
        <v>1</v>
      </c>
      <c r="F109" s="25">
        <v>0.01</v>
      </c>
      <c r="G109" s="28">
        <v>1</v>
      </c>
      <c r="H109" s="28">
        <v>4</v>
      </c>
      <c r="I109" s="28">
        <v>1</v>
      </c>
      <c r="J109" s="26">
        <v>0.0677</v>
      </c>
      <c r="K109" s="27">
        <v>9.17</v>
      </c>
      <c r="L109" s="27">
        <v>621</v>
      </c>
      <c r="M109" s="19">
        <v>0</v>
      </c>
      <c r="N109" s="20">
        <v>0</v>
      </c>
      <c r="O109" s="22">
        <f t="shared" si="7"/>
        <v>0.01</v>
      </c>
      <c r="P109" s="23">
        <f t="shared" si="8"/>
        <v>192.51</v>
      </c>
      <c r="Q109" s="21">
        <f t="shared" si="9"/>
        <v>192.51</v>
      </c>
    </row>
    <row r="110" s="2" customFormat="1" spans="1:17">
      <c r="A110" s="17">
        <f t="shared" si="10"/>
        <v>44305</v>
      </c>
      <c r="B110" s="25">
        <v>154.89</v>
      </c>
      <c r="C110" s="28">
        <v>189</v>
      </c>
      <c r="D110" s="28">
        <v>46</v>
      </c>
      <c r="E110" s="28">
        <v>0</v>
      </c>
      <c r="F110" s="25">
        <v>0</v>
      </c>
      <c r="G110" s="28">
        <v>5</v>
      </c>
      <c r="H110" s="28">
        <v>0</v>
      </c>
      <c r="I110" s="28">
        <v>5</v>
      </c>
      <c r="J110" s="26">
        <v>0.2434</v>
      </c>
      <c r="K110" s="27">
        <v>3.37</v>
      </c>
      <c r="L110" s="27"/>
      <c r="M110" s="19">
        <v>0</v>
      </c>
      <c r="N110" s="20">
        <v>0</v>
      </c>
      <c r="O110" s="22" t="e">
        <f t="shared" si="7"/>
        <v>#DIV/0!</v>
      </c>
      <c r="P110" s="23" t="e">
        <f t="shared" si="8"/>
        <v>#DIV/0!</v>
      </c>
      <c r="Q110" s="21">
        <f t="shared" si="9"/>
        <v>30.978</v>
      </c>
    </row>
    <row r="111" s="2" customFormat="1" spans="1:17">
      <c r="A111" s="17">
        <f t="shared" si="10"/>
        <v>44306</v>
      </c>
      <c r="B111" s="25">
        <v>299.2</v>
      </c>
      <c r="C111" s="28">
        <v>289</v>
      </c>
      <c r="D111" s="28">
        <v>137</v>
      </c>
      <c r="E111" s="28">
        <v>12</v>
      </c>
      <c r="F111" s="25">
        <v>12478.99</v>
      </c>
      <c r="G111" s="28">
        <v>15</v>
      </c>
      <c r="H111" s="28">
        <v>4</v>
      </c>
      <c r="I111" s="28">
        <v>7</v>
      </c>
      <c r="J111" s="26">
        <v>0.474</v>
      </c>
      <c r="K111" s="27">
        <v>2.18</v>
      </c>
      <c r="L111" s="27"/>
      <c r="M111" s="19">
        <v>0</v>
      </c>
      <c r="N111" s="20">
        <v>0</v>
      </c>
      <c r="O111" s="22">
        <f t="shared" si="7"/>
        <v>1039.91583333333</v>
      </c>
      <c r="P111" s="23">
        <f t="shared" si="8"/>
        <v>24.9333333333333</v>
      </c>
      <c r="Q111" s="21">
        <f t="shared" si="9"/>
        <v>19.9466666666667</v>
      </c>
    </row>
    <row r="112" s="2" customFormat="1" spans="1:17">
      <c r="A112" s="17">
        <f t="shared" si="10"/>
        <v>44307</v>
      </c>
      <c r="B112" s="25">
        <v>265.19</v>
      </c>
      <c r="C112" s="28">
        <v>410</v>
      </c>
      <c r="D112" s="28">
        <v>78</v>
      </c>
      <c r="E112" s="28">
        <v>0</v>
      </c>
      <c r="F112" s="25">
        <v>0</v>
      </c>
      <c r="G112" s="28">
        <v>15</v>
      </c>
      <c r="H112" s="28">
        <v>1</v>
      </c>
      <c r="I112" s="28">
        <v>9</v>
      </c>
      <c r="J112" s="26">
        <v>0.1902</v>
      </c>
      <c r="K112" s="27">
        <v>3.4</v>
      </c>
      <c r="L112" s="27"/>
      <c r="M112" s="19">
        <v>0</v>
      </c>
      <c r="N112" s="20">
        <v>0</v>
      </c>
      <c r="O112" s="22" t="e">
        <f t="shared" si="7"/>
        <v>#DIV/0!</v>
      </c>
      <c r="P112" s="23" t="e">
        <f t="shared" si="8"/>
        <v>#DIV/0!</v>
      </c>
      <c r="Q112" s="21">
        <f t="shared" si="9"/>
        <v>17.6793333333333</v>
      </c>
    </row>
    <row r="113" s="2" customFormat="1" spans="1:17">
      <c r="A113" s="17">
        <f t="shared" si="10"/>
        <v>44308</v>
      </c>
      <c r="B113" s="25">
        <v>217.39</v>
      </c>
      <c r="C113" s="28">
        <v>314</v>
      </c>
      <c r="D113" s="28">
        <v>62</v>
      </c>
      <c r="E113" s="28">
        <v>1</v>
      </c>
      <c r="F113" s="25">
        <v>0.1</v>
      </c>
      <c r="G113" s="28">
        <v>10</v>
      </c>
      <c r="H113" s="28">
        <v>1</v>
      </c>
      <c r="I113" s="28">
        <v>2</v>
      </c>
      <c r="J113" s="26">
        <v>0.1975</v>
      </c>
      <c r="K113" s="27">
        <v>3.51</v>
      </c>
      <c r="L113" s="27"/>
      <c r="M113" s="19">
        <v>0</v>
      </c>
      <c r="N113" s="20">
        <v>0</v>
      </c>
      <c r="O113" s="22">
        <f t="shared" si="7"/>
        <v>0.1</v>
      </c>
      <c r="P113" s="23">
        <f t="shared" si="8"/>
        <v>217.39</v>
      </c>
      <c r="Q113" s="21">
        <f t="shared" si="9"/>
        <v>21.739</v>
      </c>
    </row>
    <row r="114" s="2" customFormat="1" spans="1:17">
      <c r="A114" s="17">
        <f t="shared" si="10"/>
        <v>44309</v>
      </c>
      <c r="B114" s="25">
        <v>237.06</v>
      </c>
      <c r="C114" s="28">
        <v>361</v>
      </c>
      <c r="D114" s="28">
        <v>66</v>
      </c>
      <c r="E114" s="28">
        <v>3</v>
      </c>
      <c r="F114" s="25">
        <v>5800.1</v>
      </c>
      <c r="G114" s="28">
        <v>14</v>
      </c>
      <c r="H114" s="28">
        <v>0</v>
      </c>
      <c r="I114" s="28">
        <v>5</v>
      </c>
      <c r="J114" s="26">
        <v>0.1828</v>
      </c>
      <c r="K114" s="27">
        <v>3.59</v>
      </c>
      <c r="L114" s="27"/>
      <c r="M114" s="19">
        <v>0</v>
      </c>
      <c r="N114" s="20">
        <v>0</v>
      </c>
      <c r="O114" s="22">
        <f t="shared" si="7"/>
        <v>1933.36666666667</v>
      </c>
      <c r="P114" s="23">
        <f t="shared" si="8"/>
        <v>79.02</v>
      </c>
      <c r="Q114" s="21">
        <f t="shared" si="9"/>
        <v>16.9328571428571</v>
      </c>
    </row>
    <row r="115" s="2" customFormat="1" spans="1:17">
      <c r="A115" s="17">
        <f t="shared" si="10"/>
        <v>44310</v>
      </c>
      <c r="B115" s="25">
        <v>176.32</v>
      </c>
      <c r="C115" s="28">
        <v>210</v>
      </c>
      <c r="D115" s="28">
        <v>26</v>
      </c>
      <c r="E115" s="28">
        <v>0</v>
      </c>
      <c r="F115" s="25">
        <v>0</v>
      </c>
      <c r="G115" s="28">
        <v>3</v>
      </c>
      <c r="H115" s="28">
        <v>2</v>
      </c>
      <c r="I115" s="28">
        <v>2</v>
      </c>
      <c r="J115" s="26">
        <v>0.1238</v>
      </c>
      <c r="K115" s="27">
        <v>6.78</v>
      </c>
      <c r="L115" s="27"/>
      <c r="M115" s="19">
        <v>0</v>
      </c>
      <c r="N115" s="20">
        <v>0</v>
      </c>
      <c r="O115" s="22" t="e">
        <f t="shared" si="7"/>
        <v>#DIV/0!</v>
      </c>
      <c r="P115" s="23" t="e">
        <f t="shared" si="8"/>
        <v>#DIV/0!</v>
      </c>
      <c r="Q115" s="21">
        <f t="shared" si="9"/>
        <v>58.7733333333333</v>
      </c>
    </row>
    <row r="116" s="2" customFormat="1" spans="1:17">
      <c r="A116" s="17">
        <f t="shared" si="10"/>
        <v>44311</v>
      </c>
      <c r="B116" s="25">
        <v>202.63</v>
      </c>
      <c r="C116" s="28">
        <v>284</v>
      </c>
      <c r="D116" s="28">
        <v>41</v>
      </c>
      <c r="E116" s="28">
        <v>0</v>
      </c>
      <c r="F116" s="25">
        <v>0</v>
      </c>
      <c r="G116" s="28">
        <v>3</v>
      </c>
      <c r="H116" s="28">
        <v>0</v>
      </c>
      <c r="I116" s="28">
        <v>4</v>
      </c>
      <c r="J116" s="26">
        <v>0.1444</v>
      </c>
      <c r="K116" s="27">
        <v>4.94</v>
      </c>
      <c r="L116" s="27"/>
      <c r="M116" s="19">
        <v>0</v>
      </c>
      <c r="N116" s="20">
        <v>0</v>
      </c>
      <c r="O116" s="22" t="e">
        <f t="shared" si="7"/>
        <v>#DIV/0!</v>
      </c>
      <c r="P116" s="23" t="e">
        <f t="shared" si="8"/>
        <v>#DIV/0!</v>
      </c>
      <c r="Q116" s="21">
        <f t="shared" si="9"/>
        <v>67.5433333333333</v>
      </c>
    </row>
    <row r="117" s="2" customFormat="1" spans="1:17">
      <c r="A117" s="17">
        <f t="shared" si="10"/>
        <v>44312</v>
      </c>
      <c r="B117" s="25">
        <v>256.45</v>
      </c>
      <c r="C117" s="28">
        <v>435</v>
      </c>
      <c r="D117" s="28">
        <v>45</v>
      </c>
      <c r="E117" s="28">
        <v>0</v>
      </c>
      <c r="F117" s="25">
        <v>0</v>
      </c>
      <c r="G117" s="28">
        <v>6</v>
      </c>
      <c r="H117" s="28">
        <v>4</v>
      </c>
      <c r="I117" s="28">
        <v>5</v>
      </c>
      <c r="J117" s="26">
        <v>0.1034</v>
      </c>
      <c r="K117" s="27">
        <v>5.7</v>
      </c>
      <c r="L117" s="27"/>
      <c r="M117" s="19">
        <v>0</v>
      </c>
      <c r="N117" s="20">
        <v>0</v>
      </c>
      <c r="O117" s="22" t="e">
        <f t="shared" si="7"/>
        <v>#DIV/0!</v>
      </c>
      <c r="P117" s="23" t="e">
        <f t="shared" si="8"/>
        <v>#DIV/0!</v>
      </c>
      <c r="Q117" s="21">
        <f t="shared" si="9"/>
        <v>42.7416666666667</v>
      </c>
    </row>
    <row r="118" s="2" customFormat="1" spans="1:17">
      <c r="A118" s="17">
        <f t="shared" si="10"/>
        <v>44313</v>
      </c>
      <c r="B118" s="25">
        <v>208.37</v>
      </c>
      <c r="C118" s="28">
        <v>355</v>
      </c>
      <c r="D118" s="28">
        <v>43</v>
      </c>
      <c r="E118" s="28">
        <v>0</v>
      </c>
      <c r="F118" s="25">
        <v>0</v>
      </c>
      <c r="G118" s="28">
        <v>1</v>
      </c>
      <c r="H118" s="28">
        <v>0</v>
      </c>
      <c r="I118" s="28">
        <v>0</v>
      </c>
      <c r="J118" s="26">
        <v>0.1211</v>
      </c>
      <c r="K118" s="27">
        <v>4.85</v>
      </c>
      <c r="L118" s="27"/>
      <c r="M118" s="19">
        <v>0</v>
      </c>
      <c r="N118" s="20">
        <v>0</v>
      </c>
      <c r="O118" s="22" t="e">
        <f t="shared" si="7"/>
        <v>#DIV/0!</v>
      </c>
      <c r="P118" s="23" t="e">
        <f t="shared" si="8"/>
        <v>#DIV/0!</v>
      </c>
      <c r="Q118" s="21">
        <f t="shared" si="9"/>
        <v>208.37</v>
      </c>
    </row>
    <row r="119" s="2" customFormat="1" spans="1:17">
      <c r="A119" s="17">
        <f t="shared" si="10"/>
        <v>44314</v>
      </c>
      <c r="B119" s="25">
        <v>198.82</v>
      </c>
      <c r="C119" s="28">
        <v>323</v>
      </c>
      <c r="D119" s="28">
        <v>43</v>
      </c>
      <c r="E119" s="28">
        <v>0</v>
      </c>
      <c r="F119" s="25">
        <v>0</v>
      </c>
      <c r="G119" s="28">
        <v>6</v>
      </c>
      <c r="H119" s="28">
        <v>0</v>
      </c>
      <c r="I119" s="28">
        <v>2</v>
      </c>
      <c r="J119" s="26">
        <v>0.1331</v>
      </c>
      <c r="K119" s="27">
        <v>4.62</v>
      </c>
      <c r="L119" s="27"/>
      <c r="M119" s="19">
        <v>0</v>
      </c>
      <c r="N119" s="20">
        <v>0</v>
      </c>
      <c r="O119" s="22" t="e">
        <f t="shared" si="7"/>
        <v>#DIV/0!</v>
      </c>
      <c r="P119" s="23" t="e">
        <f t="shared" si="8"/>
        <v>#DIV/0!</v>
      </c>
      <c r="Q119" s="21">
        <f t="shared" si="9"/>
        <v>33.1366666666667</v>
      </c>
    </row>
    <row r="120" s="2" customFormat="1" spans="1:17">
      <c r="A120" s="17">
        <f t="shared" si="10"/>
        <v>44315</v>
      </c>
      <c r="B120" s="25">
        <v>184.05</v>
      </c>
      <c r="C120" s="28">
        <v>330</v>
      </c>
      <c r="D120" s="28">
        <v>22</v>
      </c>
      <c r="E120" s="28">
        <v>0</v>
      </c>
      <c r="F120" s="25">
        <v>0</v>
      </c>
      <c r="G120" s="28">
        <v>4</v>
      </c>
      <c r="H120" s="28">
        <v>0</v>
      </c>
      <c r="I120" s="28">
        <v>1</v>
      </c>
      <c r="J120" s="26">
        <v>0.0667</v>
      </c>
      <c r="K120" s="27">
        <v>8.37</v>
      </c>
      <c r="L120" s="27"/>
      <c r="M120" s="19">
        <v>0</v>
      </c>
      <c r="N120" s="20">
        <v>0</v>
      </c>
      <c r="O120" s="22" t="e">
        <f t="shared" si="7"/>
        <v>#DIV/0!</v>
      </c>
      <c r="P120" s="23" t="e">
        <f t="shared" si="8"/>
        <v>#DIV/0!</v>
      </c>
      <c r="Q120" s="21">
        <f t="shared" si="9"/>
        <v>46.0125</v>
      </c>
    </row>
    <row r="121" s="2" customFormat="1" spans="1:17">
      <c r="A121" s="17">
        <f t="shared" si="10"/>
        <v>44316</v>
      </c>
      <c r="B121" s="25">
        <v>158.37</v>
      </c>
      <c r="C121" s="28">
        <v>300</v>
      </c>
      <c r="D121" s="28">
        <v>23</v>
      </c>
      <c r="E121" s="28">
        <v>1</v>
      </c>
      <c r="F121" s="25">
        <v>17068</v>
      </c>
      <c r="G121" s="28">
        <v>4</v>
      </c>
      <c r="H121" s="28">
        <v>0</v>
      </c>
      <c r="I121" s="28">
        <v>0</v>
      </c>
      <c r="J121" s="26">
        <v>0.07667</v>
      </c>
      <c r="K121" s="27">
        <v>6.89</v>
      </c>
      <c r="L121" s="27"/>
      <c r="M121" s="19">
        <v>0</v>
      </c>
      <c r="N121" s="20">
        <v>0</v>
      </c>
      <c r="O121" s="22">
        <f t="shared" si="7"/>
        <v>17068</v>
      </c>
      <c r="P121" s="23">
        <f t="shared" si="8"/>
        <v>158.37</v>
      </c>
      <c r="Q121" s="21">
        <f t="shared" si="9"/>
        <v>39.5925</v>
      </c>
    </row>
    <row r="122" s="2" customFormat="1" spans="1:17">
      <c r="A122" s="17">
        <f t="shared" si="10"/>
        <v>44317</v>
      </c>
      <c r="B122" s="25">
        <v>195.96</v>
      </c>
      <c r="C122" s="28">
        <v>367</v>
      </c>
      <c r="D122" s="28">
        <v>18</v>
      </c>
      <c r="E122" s="28">
        <v>0</v>
      </c>
      <c r="F122" s="25">
        <v>0</v>
      </c>
      <c r="G122" s="28">
        <v>1</v>
      </c>
      <c r="H122" s="28">
        <v>0</v>
      </c>
      <c r="I122" s="28">
        <v>1</v>
      </c>
      <c r="J122" s="26">
        <v>0.049</v>
      </c>
      <c r="K122" s="27">
        <v>10.89</v>
      </c>
      <c r="L122" s="27"/>
      <c r="M122" s="19">
        <v>0</v>
      </c>
      <c r="N122" s="20">
        <v>0</v>
      </c>
      <c r="O122" s="22" t="e">
        <f t="shared" si="7"/>
        <v>#DIV/0!</v>
      </c>
      <c r="P122" s="23" t="e">
        <f t="shared" si="8"/>
        <v>#DIV/0!</v>
      </c>
      <c r="Q122" s="21">
        <f t="shared" si="9"/>
        <v>195.96</v>
      </c>
    </row>
    <row r="123" s="2" customFormat="1" spans="1:17">
      <c r="A123" s="17">
        <f t="shared" si="10"/>
        <v>44318</v>
      </c>
      <c r="B123" s="25">
        <v>151.72</v>
      </c>
      <c r="C123" s="28">
        <v>284</v>
      </c>
      <c r="D123" s="28">
        <v>27</v>
      </c>
      <c r="E123" s="28">
        <v>0</v>
      </c>
      <c r="F123" s="25">
        <v>0</v>
      </c>
      <c r="G123" s="28">
        <v>3</v>
      </c>
      <c r="H123" s="28">
        <v>0</v>
      </c>
      <c r="I123" s="28">
        <v>0</v>
      </c>
      <c r="J123" s="26">
        <v>0.0951</v>
      </c>
      <c r="K123" s="27">
        <v>5.62</v>
      </c>
      <c r="L123" s="27"/>
      <c r="M123" s="19">
        <v>0</v>
      </c>
      <c r="N123" s="20">
        <v>0</v>
      </c>
      <c r="O123" s="22" t="e">
        <f t="shared" si="7"/>
        <v>#DIV/0!</v>
      </c>
      <c r="P123" s="23" t="e">
        <f t="shared" si="8"/>
        <v>#DIV/0!</v>
      </c>
      <c r="Q123" s="21">
        <f t="shared" si="9"/>
        <v>50.5733333333333</v>
      </c>
    </row>
    <row r="124" s="2" customFormat="1" spans="1:17">
      <c r="A124" s="17">
        <f t="shared" si="10"/>
        <v>44319</v>
      </c>
      <c r="B124" s="25">
        <v>195.65</v>
      </c>
      <c r="C124" s="28">
        <v>347</v>
      </c>
      <c r="D124" s="28">
        <v>31</v>
      </c>
      <c r="E124" s="28">
        <v>0</v>
      </c>
      <c r="F124" s="25">
        <v>0</v>
      </c>
      <c r="G124" s="28">
        <v>1</v>
      </c>
      <c r="H124" s="28">
        <v>0</v>
      </c>
      <c r="I124" s="28">
        <v>2</v>
      </c>
      <c r="J124" s="26">
        <v>0.0893</v>
      </c>
      <c r="K124" s="27">
        <v>6.31</v>
      </c>
      <c r="L124" s="27">
        <v>563.83</v>
      </c>
      <c r="M124" s="19">
        <v>0</v>
      </c>
      <c r="N124" s="20">
        <v>0</v>
      </c>
      <c r="O124" s="22" t="e">
        <f t="shared" si="7"/>
        <v>#DIV/0!</v>
      </c>
      <c r="P124" s="23" t="e">
        <f t="shared" si="8"/>
        <v>#DIV/0!</v>
      </c>
      <c r="Q124" s="21">
        <f t="shared" si="9"/>
        <v>195.65</v>
      </c>
    </row>
    <row r="125" s="2" customFormat="1" spans="1:17">
      <c r="A125" s="17">
        <f t="shared" si="10"/>
        <v>44320</v>
      </c>
      <c r="B125" s="25">
        <v>178.71</v>
      </c>
      <c r="C125" s="28">
        <v>308</v>
      </c>
      <c r="D125" s="28">
        <v>27</v>
      </c>
      <c r="E125" s="28">
        <v>0</v>
      </c>
      <c r="F125" s="25">
        <v>0</v>
      </c>
      <c r="G125" s="28">
        <v>1</v>
      </c>
      <c r="H125" s="28">
        <v>0</v>
      </c>
      <c r="I125" s="28">
        <v>1</v>
      </c>
      <c r="J125" s="26">
        <v>0.0877</v>
      </c>
      <c r="K125" s="27">
        <v>6.62</v>
      </c>
      <c r="L125" s="27">
        <v>580.23</v>
      </c>
      <c r="M125" s="19">
        <v>0</v>
      </c>
      <c r="N125" s="20">
        <v>0</v>
      </c>
      <c r="O125" s="22" t="e">
        <f t="shared" si="7"/>
        <v>#DIV/0!</v>
      </c>
      <c r="P125" s="23" t="e">
        <f t="shared" si="8"/>
        <v>#DIV/0!</v>
      </c>
      <c r="Q125" s="21">
        <f t="shared" si="9"/>
        <v>178.71</v>
      </c>
    </row>
    <row r="126" s="2" customFormat="1" spans="1:17">
      <c r="A126" s="17">
        <f t="shared" si="10"/>
        <v>44321</v>
      </c>
      <c r="B126" s="25">
        <v>198.25</v>
      </c>
      <c r="C126" s="28">
        <v>310</v>
      </c>
      <c r="D126" s="28">
        <v>35</v>
      </c>
      <c r="E126" s="28">
        <v>0</v>
      </c>
      <c r="F126" s="25">
        <v>0</v>
      </c>
      <c r="G126" s="28">
        <v>2</v>
      </c>
      <c r="H126" s="28">
        <v>0</v>
      </c>
      <c r="I126" s="28">
        <v>0</v>
      </c>
      <c r="J126" s="26">
        <v>0.1129</v>
      </c>
      <c r="K126" s="27">
        <v>5.66</v>
      </c>
      <c r="L126" s="27">
        <v>639.52</v>
      </c>
      <c r="M126" s="19">
        <v>0</v>
      </c>
      <c r="N126" s="20">
        <v>0</v>
      </c>
      <c r="O126" s="22" t="e">
        <f t="shared" si="7"/>
        <v>#DIV/0!</v>
      </c>
      <c r="P126" s="23" t="e">
        <f t="shared" si="8"/>
        <v>#DIV/0!</v>
      </c>
      <c r="Q126" s="21">
        <f t="shared" si="9"/>
        <v>99.125</v>
      </c>
    </row>
    <row r="127" s="2" customFormat="1" spans="1:17">
      <c r="A127" s="17">
        <f t="shared" si="10"/>
        <v>44322</v>
      </c>
      <c r="B127" s="25">
        <v>164.93</v>
      </c>
      <c r="C127" s="28">
        <v>208</v>
      </c>
      <c r="D127" s="28">
        <v>35</v>
      </c>
      <c r="E127" s="28">
        <v>1</v>
      </c>
      <c r="F127" s="25">
        <v>4000</v>
      </c>
      <c r="G127" s="28">
        <v>3</v>
      </c>
      <c r="H127" s="28">
        <v>0</v>
      </c>
      <c r="I127" s="28">
        <v>2</v>
      </c>
      <c r="J127" s="26">
        <v>0.1683</v>
      </c>
      <c r="K127" s="27">
        <v>4.71</v>
      </c>
      <c r="L127" s="27">
        <v>792.93</v>
      </c>
      <c r="M127" s="19">
        <v>0</v>
      </c>
      <c r="N127" s="20">
        <v>0</v>
      </c>
      <c r="O127" s="22">
        <f t="shared" si="7"/>
        <v>4000</v>
      </c>
      <c r="P127" s="23">
        <f t="shared" si="8"/>
        <v>164.93</v>
      </c>
      <c r="Q127" s="21">
        <f t="shared" si="9"/>
        <v>54.9766666666667</v>
      </c>
    </row>
    <row r="128" s="2" customFormat="1" spans="1:17">
      <c r="A128" s="17">
        <f t="shared" si="10"/>
        <v>44323</v>
      </c>
      <c r="B128" s="25">
        <v>120.08</v>
      </c>
      <c r="C128" s="28">
        <v>139</v>
      </c>
      <c r="D128" s="28">
        <v>26</v>
      </c>
      <c r="E128" s="28">
        <v>0</v>
      </c>
      <c r="F128" s="25">
        <v>0</v>
      </c>
      <c r="G128" s="28">
        <v>3</v>
      </c>
      <c r="H128" s="28">
        <v>1</v>
      </c>
      <c r="I128" s="28">
        <v>3</v>
      </c>
      <c r="J128" s="26">
        <v>0.187</v>
      </c>
      <c r="K128" s="27">
        <v>4.62</v>
      </c>
      <c r="L128" s="27">
        <v>863.88</v>
      </c>
      <c r="M128" s="19">
        <v>0</v>
      </c>
      <c r="N128" s="20">
        <v>0</v>
      </c>
      <c r="O128" s="22" t="e">
        <f t="shared" si="7"/>
        <v>#DIV/0!</v>
      </c>
      <c r="P128" s="23" t="e">
        <f t="shared" si="8"/>
        <v>#DIV/0!</v>
      </c>
      <c r="Q128" s="21">
        <f t="shared" si="9"/>
        <v>40.0266666666667</v>
      </c>
    </row>
    <row r="129" s="2" customFormat="1" spans="1:17">
      <c r="A129" s="17">
        <f t="shared" si="10"/>
        <v>44324</v>
      </c>
      <c r="B129" s="25">
        <v>129.42</v>
      </c>
      <c r="C129" s="28">
        <v>155</v>
      </c>
      <c r="D129" s="28">
        <v>23</v>
      </c>
      <c r="E129" s="28">
        <v>0</v>
      </c>
      <c r="F129" s="25">
        <v>0</v>
      </c>
      <c r="G129" s="28">
        <v>3</v>
      </c>
      <c r="H129" s="28">
        <v>0</v>
      </c>
      <c r="I129" s="28">
        <v>1</v>
      </c>
      <c r="J129" s="26">
        <v>0.1484</v>
      </c>
      <c r="K129" s="27">
        <v>5.63</v>
      </c>
      <c r="L129" s="27">
        <v>834.97</v>
      </c>
      <c r="M129" s="19">
        <v>0</v>
      </c>
      <c r="N129" s="20">
        <v>0</v>
      </c>
      <c r="O129" s="22" t="e">
        <f t="shared" si="7"/>
        <v>#DIV/0!</v>
      </c>
      <c r="P129" s="23" t="e">
        <f t="shared" si="8"/>
        <v>#DIV/0!</v>
      </c>
      <c r="Q129" s="21">
        <f t="shared" si="9"/>
        <v>43.14</v>
      </c>
    </row>
    <row r="130" s="2" customFormat="1" spans="1:17">
      <c r="A130" s="17">
        <f t="shared" si="10"/>
        <v>44325</v>
      </c>
      <c r="B130" s="25">
        <v>32.57</v>
      </c>
      <c r="C130" s="28">
        <v>32</v>
      </c>
      <c r="D130" s="28">
        <v>5</v>
      </c>
      <c r="E130" s="28">
        <v>0</v>
      </c>
      <c r="F130" s="25">
        <v>0</v>
      </c>
      <c r="G130" s="28">
        <v>2</v>
      </c>
      <c r="H130" s="28">
        <v>0</v>
      </c>
      <c r="I130" s="28">
        <v>0</v>
      </c>
      <c r="J130" s="26">
        <v>0.1563</v>
      </c>
      <c r="K130" s="27">
        <v>6.51</v>
      </c>
      <c r="L130" s="27">
        <v>1017.81</v>
      </c>
      <c r="M130" s="19">
        <v>0</v>
      </c>
      <c r="N130" s="20">
        <v>0</v>
      </c>
      <c r="O130" s="22" t="e">
        <f t="shared" ref="O130:O193" si="11">F130/E130</f>
        <v>#DIV/0!</v>
      </c>
      <c r="P130" s="23" t="e">
        <f t="shared" ref="P130:P193" si="12">B130/E130</f>
        <v>#DIV/0!</v>
      </c>
      <c r="Q130" s="21">
        <f t="shared" ref="Q130:Q193" si="13">B130/G130</f>
        <v>16.285</v>
      </c>
    </row>
    <row r="131" s="2" customFormat="1" spans="1:17">
      <c r="A131" s="17">
        <f t="shared" si="10"/>
        <v>44326</v>
      </c>
      <c r="B131" s="25">
        <v>86.76</v>
      </c>
      <c r="C131" s="28">
        <v>91</v>
      </c>
      <c r="D131" s="28">
        <v>21</v>
      </c>
      <c r="E131" s="28">
        <v>0</v>
      </c>
      <c r="F131" s="25">
        <v>0</v>
      </c>
      <c r="G131" s="28">
        <v>2</v>
      </c>
      <c r="H131" s="28">
        <v>0</v>
      </c>
      <c r="I131" s="28">
        <v>1</v>
      </c>
      <c r="J131" s="26">
        <v>0.2308</v>
      </c>
      <c r="K131" s="27">
        <v>4.13</v>
      </c>
      <c r="L131" s="27">
        <v>953.41</v>
      </c>
      <c r="M131" s="19">
        <v>0</v>
      </c>
      <c r="N131" s="20">
        <v>0</v>
      </c>
      <c r="O131" s="22" t="e">
        <f t="shared" si="11"/>
        <v>#DIV/0!</v>
      </c>
      <c r="P131" s="23" t="e">
        <f t="shared" si="12"/>
        <v>#DIV/0!</v>
      </c>
      <c r="Q131" s="21">
        <f t="shared" si="13"/>
        <v>43.38</v>
      </c>
    </row>
    <row r="132" s="2" customFormat="1" spans="1:17">
      <c r="A132" s="17">
        <f t="shared" si="10"/>
        <v>44327</v>
      </c>
      <c r="B132" s="25">
        <v>77.14</v>
      </c>
      <c r="C132" s="28">
        <v>77</v>
      </c>
      <c r="D132" s="28">
        <v>13</v>
      </c>
      <c r="E132" s="28">
        <v>0</v>
      </c>
      <c r="F132" s="25">
        <v>0</v>
      </c>
      <c r="G132" s="28">
        <v>1</v>
      </c>
      <c r="H132" s="28">
        <v>0</v>
      </c>
      <c r="I132" s="28">
        <v>2</v>
      </c>
      <c r="J132" s="26">
        <v>0.1688</v>
      </c>
      <c r="K132" s="27">
        <v>5.93</v>
      </c>
      <c r="L132" s="27">
        <v>1001.82</v>
      </c>
      <c r="M132" s="19">
        <v>0</v>
      </c>
      <c r="N132" s="20">
        <v>0</v>
      </c>
      <c r="O132" s="22" t="e">
        <f t="shared" si="11"/>
        <v>#DIV/0!</v>
      </c>
      <c r="P132" s="23" t="e">
        <f t="shared" si="12"/>
        <v>#DIV/0!</v>
      </c>
      <c r="Q132" s="21">
        <f t="shared" si="13"/>
        <v>77.14</v>
      </c>
    </row>
    <row r="133" s="2" customFormat="1" spans="1:17">
      <c r="A133" s="17">
        <f t="shared" si="10"/>
        <v>44328</v>
      </c>
      <c r="B133" s="25">
        <v>146.82</v>
      </c>
      <c r="C133" s="28">
        <v>143</v>
      </c>
      <c r="D133" s="28">
        <v>67</v>
      </c>
      <c r="E133" s="28">
        <v>9</v>
      </c>
      <c r="F133" s="25">
        <v>0.45</v>
      </c>
      <c r="G133" s="28">
        <v>4</v>
      </c>
      <c r="H133" s="28">
        <v>1</v>
      </c>
      <c r="I133" s="28">
        <v>0</v>
      </c>
      <c r="J133" s="26">
        <v>0.4685</v>
      </c>
      <c r="K133" s="27">
        <v>2.19</v>
      </c>
      <c r="L133" s="27">
        <v>1026.71</v>
      </c>
      <c r="M133" s="19">
        <v>0</v>
      </c>
      <c r="N133" s="20">
        <v>0</v>
      </c>
      <c r="O133" s="22">
        <f t="shared" si="11"/>
        <v>0.05</v>
      </c>
      <c r="P133" s="23">
        <f t="shared" si="12"/>
        <v>16.3133333333333</v>
      </c>
      <c r="Q133" s="21">
        <f t="shared" si="13"/>
        <v>36.705</v>
      </c>
    </row>
    <row r="134" s="2" customFormat="1" spans="1:17">
      <c r="A134" s="17">
        <f t="shared" si="10"/>
        <v>44329</v>
      </c>
      <c r="B134" s="25">
        <v>137.29</v>
      </c>
      <c r="C134" s="28">
        <v>158</v>
      </c>
      <c r="D134" s="28">
        <v>29</v>
      </c>
      <c r="E134" s="28">
        <v>0</v>
      </c>
      <c r="F134" s="25">
        <v>0</v>
      </c>
      <c r="G134" s="28">
        <v>2</v>
      </c>
      <c r="H134" s="28">
        <v>1</v>
      </c>
      <c r="I134" s="28">
        <v>1</v>
      </c>
      <c r="J134" s="26">
        <v>0.1835</v>
      </c>
      <c r="K134" s="27">
        <v>4.73</v>
      </c>
      <c r="L134" s="27">
        <v>868.92</v>
      </c>
      <c r="M134" s="19">
        <v>0</v>
      </c>
      <c r="N134" s="20">
        <v>0</v>
      </c>
      <c r="O134" s="22" t="e">
        <f t="shared" si="11"/>
        <v>#DIV/0!</v>
      </c>
      <c r="P134" s="23" t="e">
        <f t="shared" si="12"/>
        <v>#DIV/0!</v>
      </c>
      <c r="Q134" s="21">
        <f t="shared" si="13"/>
        <v>68.645</v>
      </c>
    </row>
    <row r="135" s="2" customFormat="1" spans="1:17">
      <c r="A135" s="17">
        <f t="shared" si="10"/>
        <v>44330</v>
      </c>
      <c r="B135" s="25">
        <v>89.65</v>
      </c>
      <c r="C135" s="28">
        <v>107</v>
      </c>
      <c r="D135" s="28">
        <v>13</v>
      </c>
      <c r="E135" s="28">
        <v>0</v>
      </c>
      <c r="F135" s="25">
        <v>0</v>
      </c>
      <c r="G135" s="28">
        <v>2</v>
      </c>
      <c r="H135" s="28">
        <v>2</v>
      </c>
      <c r="I135" s="28">
        <v>1</v>
      </c>
      <c r="J135" s="26">
        <v>0.1215</v>
      </c>
      <c r="K135" s="27">
        <v>6.9</v>
      </c>
      <c r="L135" s="27">
        <v>837.85</v>
      </c>
      <c r="M135" s="19">
        <v>0</v>
      </c>
      <c r="N135" s="20">
        <v>0</v>
      </c>
      <c r="O135" s="22" t="e">
        <f t="shared" si="11"/>
        <v>#DIV/0!</v>
      </c>
      <c r="P135" s="23" t="e">
        <f t="shared" si="12"/>
        <v>#DIV/0!</v>
      </c>
      <c r="Q135" s="21">
        <f t="shared" si="13"/>
        <v>44.825</v>
      </c>
    </row>
    <row r="136" s="2" customFormat="1" spans="1:17">
      <c r="A136" s="17">
        <f t="shared" si="10"/>
        <v>44331</v>
      </c>
      <c r="B136" s="25">
        <v>87.82</v>
      </c>
      <c r="C136" s="28">
        <v>109</v>
      </c>
      <c r="D136" s="28">
        <v>14</v>
      </c>
      <c r="E136" s="28">
        <v>0</v>
      </c>
      <c r="F136" s="25">
        <v>0</v>
      </c>
      <c r="G136" s="28">
        <v>0</v>
      </c>
      <c r="H136" s="28">
        <v>0</v>
      </c>
      <c r="I136" s="28">
        <v>0</v>
      </c>
      <c r="J136" s="26">
        <v>0.1284</v>
      </c>
      <c r="K136" s="27">
        <v>6.27</v>
      </c>
      <c r="L136" s="27">
        <v>805.69</v>
      </c>
      <c r="M136" s="19">
        <v>0</v>
      </c>
      <c r="N136" s="20">
        <v>0</v>
      </c>
      <c r="O136" s="22" t="e">
        <f t="shared" si="11"/>
        <v>#DIV/0!</v>
      </c>
      <c r="P136" s="23" t="e">
        <f t="shared" si="12"/>
        <v>#DIV/0!</v>
      </c>
      <c r="Q136" s="21" t="e">
        <f t="shared" si="13"/>
        <v>#DIV/0!</v>
      </c>
    </row>
    <row r="137" s="2" customFormat="1" spans="1:17">
      <c r="A137" s="17">
        <f t="shared" si="10"/>
        <v>44332</v>
      </c>
      <c r="B137" s="25">
        <v>102.53</v>
      </c>
      <c r="C137" s="28">
        <v>140</v>
      </c>
      <c r="D137" s="28">
        <v>12</v>
      </c>
      <c r="E137" s="28">
        <v>0</v>
      </c>
      <c r="F137" s="25">
        <v>0</v>
      </c>
      <c r="G137" s="28">
        <v>1</v>
      </c>
      <c r="H137" s="28">
        <v>1</v>
      </c>
      <c r="I137" s="28">
        <v>0</v>
      </c>
      <c r="J137" s="26">
        <v>0.0857</v>
      </c>
      <c r="K137" s="27">
        <v>8.54</v>
      </c>
      <c r="L137" s="27">
        <v>732.36</v>
      </c>
      <c r="M137" s="19">
        <v>0</v>
      </c>
      <c r="N137" s="20">
        <v>0</v>
      </c>
      <c r="O137" s="22" t="e">
        <f t="shared" si="11"/>
        <v>#DIV/0!</v>
      </c>
      <c r="P137" s="23" t="e">
        <f t="shared" si="12"/>
        <v>#DIV/0!</v>
      </c>
      <c r="Q137" s="21">
        <f t="shared" si="13"/>
        <v>102.53</v>
      </c>
    </row>
    <row r="138" s="2" customFormat="1" spans="1:17">
      <c r="A138" s="17">
        <f t="shared" si="10"/>
        <v>44333</v>
      </c>
      <c r="B138" s="25">
        <v>94.19</v>
      </c>
      <c r="C138" s="28">
        <v>128</v>
      </c>
      <c r="D138" s="28">
        <v>20</v>
      </c>
      <c r="E138" s="28">
        <v>0</v>
      </c>
      <c r="F138" s="25">
        <v>0</v>
      </c>
      <c r="G138" s="28">
        <v>3</v>
      </c>
      <c r="H138" s="28">
        <v>2</v>
      </c>
      <c r="I138" s="28">
        <v>1</v>
      </c>
      <c r="J138" s="26">
        <v>0.1563</v>
      </c>
      <c r="K138" s="27">
        <v>4.71</v>
      </c>
      <c r="L138" s="27">
        <v>735.86</v>
      </c>
      <c r="M138" s="19">
        <v>0</v>
      </c>
      <c r="N138" s="20">
        <v>0</v>
      </c>
      <c r="O138" s="22" t="e">
        <f t="shared" si="11"/>
        <v>#DIV/0!</v>
      </c>
      <c r="P138" s="23" t="e">
        <f t="shared" si="12"/>
        <v>#DIV/0!</v>
      </c>
      <c r="Q138" s="21">
        <f t="shared" si="13"/>
        <v>31.3966666666667</v>
      </c>
    </row>
    <row r="139" s="2" customFormat="1" spans="1:17">
      <c r="A139" s="17">
        <f t="shared" si="10"/>
        <v>44334</v>
      </c>
      <c r="B139" s="25">
        <v>124.54</v>
      </c>
      <c r="C139" s="28">
        <v>139</v>
      </c>
      <c r="D139" s="28">
        <v>23</v>
      </c>
      <c r="E139" s="28">
        <v>2</v>
      </c>
      <c r="F139" s="25">
        <v>2801</v>
      </c>
      <c r="G139" s="28">
        <v>2</v>
      </c>
      <c r="H139" s="28">
        <v>0</v>
      </c>
      <c r="I139" s="28">
        <v>0</v>
      </c>
      <c r="J139" s="26">
        <v>0.1655</v>
      </c>
      <c r="K139" s="27">
        <v>5.41</v>
      </c>
      <c r="L139" s="27">
        <v>895.97</v>
      </c>
      <c r="M139" s="19">
        <v>0</v>
      </c>
      <c r="N139" s="20">
        <v>0</v>
      </c>
      <c r="O139" s="22">
        <f t="shared" si="11"/>
        <v>1400.5</v>
      </c>
      <c r="P139" s="23">
        <f t="shared" si="12"/>
        <v>62.27</v>
      </c>
      <c r="Q139" s="21">
        <f t="shared" si="13"/>
        <v>62.27</v>
      </c>
    </row>
    <row r="140" s="2" customFormat="1" spans="1:17">
      <c r="A140" s="17">
        <f t="shared" si="10"/>
        <v>44335</v>
      </c>
      <c r="B140" s="25">
        <v>118.76</v>
      </c>
      <c r="C140" s="28">
        <v>129</v>
      </c>
      <c r="D140" s="28">
        <v>24</v>
      </c>
      <c r="E140" s="28">
        <v>1</v>
      </c>
      <c r="F140" s="25">
        <v>1</v>
      </c>
      <c r="G140" s="28">
        <v>2</v>
      </c>
      <c r="H140" s="28">
        <v>1</v>
      </c>
      <c r="I140" s="28">
        <v>0</v>
      </c>
      <c r="J140" s="26">
        <v>0.186</v>
      </c>
      <c r="K140" s="27">
        <v>4.95</v>
      </c>
      <c r="L140" s="27">
        <v>920.62</v>
      </c>
      <c r="M140" s="19">
        <v>0</v>
      </c>
      <c r="N140" s="20">
        <v>0</v>
      </c>
      <c r="O140" s="22">
        <f t="shared" si="11"/>
        <v>1</v>
      </c>
      <c r="P140" s="23">
        <f t="shared" si="12"/>
        <v>118.76</v>
      </c>
      <c r="Q140" s="21">
        <f t="shared" si="13"/>
        <v>59.38</v>
      </c>
    </row>
    <row r="141" s="2" customFormat="1" spans="1:17">
      <c r="A141" s="17">
        <f t="shared" si="10"/>
        <v>44336</v>
      </c>
      <c r="B141" s="25">
        <v>88.59</v>
      </c>
      <c r="C141" s="28">
        <v>93</v>
      </c>
      <c r="D141" s="28">
        <v>9</v>
      </c>
      <c r="E141" s="28">
        <v>0</v>
      </c>
      <c r="F141" s="25">
        <v>0</v>
      </c>
      <c r="G141" s="28">
        <v>0</v>
      </c>
      <c r="H141" s="28">
        <v>1</v>
      </c>
      <c r="I141" s="28">
        <v>0</v>
      </c>
      <c r="J141" s="26">
        <v>0.0968</v>
      </c>
      <c r="K141" s="27">
        <v>9.84</v>
      </c>
      <c r="L141" s="27">
        <v>952.58</v>
      </c>
      <c r="M141" s="19">
        <v>0</v>
      </c>
      <c r="N141" s="20">
        <v>0</v>
      </c>
      <c r="O141" s="22" t="e">
        <f t="shared" si="11"/>
        <v>#DIV/0!</v>
      </c>
      <c r="P141" s="23" t="e">
        <f t="shared" si="12"/>
        <v>#DIV/0!</v>
      </c>
      <c r="Q141" s="21" t="e">
        <f t="shared" si="13"/>
        <v>#DIV/0!</v>
      </c>
    </row>
    <row r="142" s="2" customFormat="1" spans="1:17">
      <c r="A142" s="17">
        <f t="shared" si="10"/>
        <v>44337</v>
      </c>
      <c r="B142" s="25">
        <v>113.89</v>
      </c>
      <c r="C142" s="28">
        <v>117</v>
      </c>
      <c r="D142" s="28">
        <v>19</v>
      </c>
      <c r="E142" s="28">
        <v>2</v>
      </c>
      <c r="F142" s="25">
        <v>2001</v>
      </c>
      <c r="G142" s="28">
        <v>3</v>
      </c>
      <c r="H142" s="28">
        <v>0</v>
      </c>
      <c r="I142" s="28">
        <v>0</v>
      </c>
      <c r="J142" s="26">
        <v>0.1624</v>
      </c>
      <c r="K142" s="27">
        <v>5.99</v>
      </c>
      <c r="L142" s="27">
        <v>973.42</v>
      </c>
      <c r="M142" s="19">
        <v>0</v>
      </c>
      <c r="N142" s="20">
        <v>0</v>
      </c>
      <c r="O142" s="22">
        <f t="shared" si="11"/>
        <v>1000.5</v>
      </c>
      <c r="P142" s="23">
        <f t="shared" si="12"/>
        <v>56.945</v>
      </c>
      <c r="Q142" s="21">
        <f t="shared" si="13"/>
        <v>37.9633333333333</v>
      </c>
    </row>
    <row r="143" s="2" customFormat="1" spans="1:17">
      <c r="A143" s="17">
        <f t="shared" si="10"/>
        <v>44338</v>
      </c>
      <c r="B143" s="25">
        <v>93.31</v>
      </c>
      <c r="C143" s="28">
        <v>101</v>
      </c>
      <c r="D143" s="28">
        <v>21</v>
      </c>
      <c r="E143" s="28">
        <v>0</v>
      </c>
      <c r="F143" s="25">
        <v>0</v>
      </c>
      <c r="G143" s="28">
        <v>3</v>
      </c>
      <c r="H143" s="28">
        <v>0</v>
      </c>
      <c r="I143" s="28">
        <v>2</v>
      </c>
      <c r="J143" s="26">
        <v>0.2079</v>
      </c>
      <c r="K143" s="27">
        <v>4.44</v>
      </c>
      <c r="L143" s="27">
        <v>923.86</v>
      </c>
      <c r="M143" s="19">
        <v>0</v>
      </c>
      <c r="N143" s="20">
        <v>0</v>
      </c>
      <c r="O143" s="22" t="e">
        <f t="shared" si="11"/>
        <v>#DIV/0!</v>
      </c>
      <c r="P143" s="23" t="e">
        <f t="shared" si="12"/>
        <v>#DIV/0!</v>
      </c>
      <c r="Q143" s="21">
        <f t="shared" si="13"/>
        <v>31.1033333333333</v>
      </c>
    </row>
    <row r="144" s="2" customFormat="1" spans="1:17">
      <c r="A144" s="17">
        <f t="shared" si="10"/>
        <v>44339</v>
      </c>
      <c r="B144" s="25">
        <v>86.64</v>
      </c>
      <c r="C144" s="28">
        <v>105</v>
      </c>
      <c r="D144" s="28">
        <v>5</v>
      </c>
      <c r="E144" s="28">
        <v>0</v>
      </c>
      <c r="F144" s="25">
        <v>0</v>
      </c>
      <c r="G144" s="28">
        <v>0</v>
      </c>
      <c r="H144" s="28">
        <v>1</v>
      </c>
      <c r="I144" s="28">
        <v>1</v>
      </c>
      <c r="J144" s="26">
        <v>0.0476</v>
      </c>
      <c r="K144" s="27">
        <v>17.33</v>
      </c>
      <c r="L144" s="27">
        <v>825.14</v>
      </c>
      <c r="M144" s="19">
        <v>0</v>
      </c>
      <c r="N144" s="20">
        <v>0</v>
      </c>
      <c r="O144" s="22" t="e">
        <f t="shared" si="11"/>
        <v>#DIV/0!</v>
      </c>
      <c r="P144" s="23" t="e">
        <f t="shared" si="12"/>
        <v>#DIV/0!</v>
      </c>
      <c r="Q144" s="21" t="e">
        <f t="shared" si="13"/>
        <v>#DIV/0!</v>
      </c>
    </row>
    <row r="145" s="2" customFormat="1" spans="1:17">
      <c r="A145" s="17">
        <f t="shared" si="10"/>
        <v>44340</v>
      </c>
      <c r="B145" s="25">
        <v>112.94</v>
      </c>
      <c r="C145" s="28">
        <v>118</v>
      </c>
      <c r="D145" s="28">
        <v>15</v>
      </c>
      <c r="E145" s="28">
        <v>0</v>
      </c>
      <c r="F145" s="25">
        <v>0</v>
      </c>
      <c r="G145" s="28">
        <v>2</v>
      </c>
      <c r="H145" s="28">
        <v>1</v>
      </c>
      <c r="I145" s="28">
        <v>0</v>
      </c>
      <c r="J145" s="26">
        <v>0.1271</v>
      </c>
      <c r="K145" s="27">
        <v>7.53</v>
      </c>
      <c r="L145" s="27">
        <v>957.12</v>
      </c>
      <c r="M145" s="19">
        <v>0</v>
      </c>
      <c r="N145" s="20">
        <v>0</v>
      </c>
      <c r="O145" s="22" t="e">
        <f t="shared" si="11"/>
        <v>#DIV/0!</v>
      </c>
      <c r="P145" s="23" t="e">
        <f t="shared" si="12"/>
        <v>#DIV/0!</v>
      </c>
      <c r="Q145" s="21">
        <f t="shared" si="13"/>
        <v>56.47</v>
      </c>
    </row>
    <row r="146" s="2" customFormat="1" spans="1:17">
      <c r="A146" s="17">
        <f t="shared" si="10"/>
        <v>44341</v>
      </c>
      <c r="B146" s="25">
        <v>101.03</v>
      </c>
      <c r="C146" s="28">
        <v>104</v>
      </c>
      <c r="D146" s="28">
        <v>21</v>
      </c>
      <c r="E146" s="28">
        <v>0</v>
      </c>
      <c r="F146" s="25">
        <v>0</v>
      </c>
      <c r="G146" s="28">
        <v>2</v>
      </c>
      <c r="H146" s="28">
        <v>0</v>
      </c>
      <c r="I146" s="28">
        <v>0</v>
      </c>
      <c r="J146" s="26">
        <v>0.2019</v>
      </c>
      <c r="K146" s="27">
        <v>4.81</v>
      </c>
      <c r="L146" s="27">
        <v>971.44</v>
      </c>
      <c r="M146" s="19">
        <v>0</v>
      </c>
      <c r="N146" s="20">
        <v>0</v>
      </c>
      <c r="O146" s="22" t="e">
        <f t="shared" si="11"/>
        <v>#DIV/0!</v>
      </c>
      <c r="P146" s="23" t="e">
        <f t="shared" si="12"/>
        <v>#DIV/0!</v>
      </c>
      <c r="Q146" s="21">
        <f t="shared" si="13"/>
        <v>50.515</v>
      </c>
    </row>
    <row r="147" s="2" customFormat="1" spans="1:17">
      <c r="A147" s="17">
        <f t="shared" si="10"/>
        <v>44342</v>
      </c>
      <c r="B147" s="25">
        <v>190.41</v>
      </c>
      <c r="C147" s="28">
        <v>212</v>
      </c>
      <c r="D147" s="28">
        <v>11</v>
      </c>
      <c r="E147" s="28">
        <v>0</v>
      </c>
      <c r="F147" s="25">
        <v>0</v>
      </c>
      <c r="G147" s="28">
        <v>2</v>
      </c>
      <c r="H147" s="28">
        <v>0</v>
      </c>
      <c r="I147" s="28">
        <v>0</v>
      </c>
      <c r="J147" s="26">
        <v>0.0519</v>
      </c>
      <c r="K147" s="27">
        <v>17.31</v>
      </c>
      <c r="L147" s="27">
        <v>898.16</v>
      </c>
      <c r="M147" s="19">
        <v>0</v>
      </c>
      <c r="N147" s="20">
        <v>0</v>
      </c>
      <c r="O147" s="22" t="e">
        <f t="shared" si="11"/>
        <v>#DIV/0!</v>
      </c>
      <c r="P147" s="23" t="e">
        <f t="shared" si="12"/>
        <v>#DIV/0!</v>
      </c>
      <c r="Q147" s="21">
        <f t="shared" si="13"/>
        <v>95.205</v>
      </c>
    </row>
    <row r="148" s="2" customFormat="1" spans="1:17">
      <c r="A148" s="17">
        <f t="shared" si="10"/>
        <v>44343</v>
      </c>
      <c r="B148" s="25">
        <v>103.09</v>
      </c>
      <c r="C148" s="28">
        <v>100</v>
      </c>
      <c r="D148" s="28">
        <v>14</v>
      </c>
      <c r="E148" s="28">
        <v>0</v>
      </c>
      <c r="F148" s="25">
        <v>0</v>
      </c>
      <c r="G148" s="28">
        <v>3</v>
      </c>
      <c r="H148" s="28">
        <v>0</v>
      </c>
      <c r="I148" s="28">
        <v>0</v>
      </c>
      <c r="J148" s="26">
        <v>0.14</v>
      </c>
      <c r="K148" s="27">
        <v>7.36</v>
      </c>
      <c r="L148" s="27">
        <v>1030.9</v>
      </c>
      <c r="M148" s="19">
        <v>0</v>
      </c>
      <c r="N148" s="20">
        <v>0</v>
      </c>
      <c r="O148" s="22" t="e">
        <f t="shared" si="11"/>
        <v>#DIV/0!</v>
      </c>
      <c r="P148" s="23" t="e">
        <f t="shared" si="12"/>
        <v>#DIV/0!</v>
      </c>
      <c r="Q148" s="21">
        <f t="shared" si="13"/>
        <v>34.3633333333333</v>
      </c>
    </row>
    <row r="149" s="2" customFormat="1" spans="1:17">
      <c r="A149" s="17">
        <f t="shared" si="10"/>
        <v>44344</v>
      </c>
      <c r="B149" s="25">
        <v>64.15</v>
      </c>
      <c r="C149" s="28">
        <v>63</v>
      </c>
      <c r="D149" s="28">
        <v>14</v>
      </c>
      <c r="E149" s="28">
        <v>0</v>
      </c>
      <c r="F149" s="25">
        <v>0</v>
      </c>
      <c r="G149" s="28">
        <v>1</v>
      </c>
      <c r="H149" s="28">
        <v>0</v>
      </c>
      <c r="I149" s="28">
        <v>0</v>
      </c>
      <c r="J149" s="26">
        <v>0.2222</v>
      </c>
      <c r="K149" s="27">
        <v>4.58</v>
      </c>
      <c r="L149" s="27">
        <v>1018.25</v>
      </c>
      <c r="M149" s="19">
        <v>0</v>
      </c>
      <c r="N149" s="20">
        <v>0</v>
      </c>
      <c r="O149" s="22" t="e">
        <f t="shared" si="11"/>
        <v>#DIV/0!</v>
      </c>
      <c r="P149" s="23" t="e">
        <f t="shared" si="12"/>
        <v>#DIV/0!</v>
      </c>
      <c r="Q149" s="21">
        <f t="shared" si="13"/>
        <v>64.15</v>
      </c>
    </row>
    <row r="150" s="2" customFormat="1" spans="1:17">
      <c r="A150" s="17">
        <f t="shared" si="10"/>
        <v>44345</v>
      </c>
      <c r="B150" s="25">
        <v>50.36</v>
      </c>
      <c r="C150" s="28">
        <v>47</v>
      </c>
      <c r="D150" s="28">
        <v>10</v>
      </c>
      <c r="E150" s="28">
        <v>1</v>
      </c>
      <c r="F150" s="25">
        <v>2000</v>
      </c>
      <c r="G150" s="28">
        <v>2</v>
      </c>
      <c r="H150" s="28">
        <v>0</v>
      </c>
      <c r="I150" s="28">
        <v>0</v>
      </c>
      <c r="J150" s="26">
        <v>0.2128</v>
      </c>
      <c r="K150" s="27">
        <v>5.04</v>
      </c>
      <c r="L150" s="27">
        <v>1071.49</v>
      </c>
      <c r="M150" s="19">
        <v>0</v>
      </c>
      <c r="N150" s="20">
        <v>0</v>
      </c>
      <c r="O150" s="22">
        <f t="shared" si="11"/>
        <v>2000</v>
      </c>
      <c r="P150" s="23">
        <f t="shared" si="12"/>
        <v>50.36</v>
      </c>
      <c r="Q150" s="21">
        <f t="shared" si="13"/>
        <v>25.18</v>
      </c>
    </row>
    <row r="151" s="2" customFormat="1" spans="1:17">
      <c r="A151" s="17">
        <f t="shared" si="10"/>
        <v>44346</v>
      </c>
      <c r="B151" s="25">
        <v>90.7</v>
      </c>
      <c r="C151" s="28">
        <v>88</v>
      </c>
      <c r="D151" s="28">
        <v>15</v>
      </c>
      <c r="E151" s="28">
        <v>0</v>
      </c>
      <c r="F151" s="25">
        <v>0</v>
      </c>
      <c r="G151" s="28">
        <v>0</v>
      </c>
      <c r="H151" s="28">
        <v>0</v>
      </c>
      <c r="I151" s="28">
        <v>0</v>
      </c>
      <c r="J151" s="26">
        <v>0.1705</v>
      </c>
      <c r="K151" s="27">
        <v>6.05</v>
      </c>
      <c r="L151" s="27">
        <v>1030.68</v>
      </c>
      <c r="M151" s="19">
        <v>0</v>
      </c>
      <c r="N151" s="20">
        <v>0</v>
      </c>
      <c r="O151" s="22" t="e">
        <f t="shared" si="11"/>
        <v>#DIV/0!</v>
      </c>
      <c r="P151" s="23" t="e">
        <f t="shared" si="12"/>
        <v>#DIV/0!</v>
      </c>
      <c r="Q151" s="21" t="e">
        <f t="shared" si="13"/>
        <v>#DIV/0!</v>
      </c>
    </row>
    <row r="152" s="2" customFormat="1" spans="1:17">
      <c r="A152" s="17">
        <f t="shared" si="10"/>
        <v>44347</v>
      </c>
      <c r="B152" s="25">
        <v>89.18</v>
      </c>
      <c r="C152" s="28">
        <v>101</v>
      </c>
      <c r="D152" s="28">
        <v>19</v>
      </c>
      <c r="E152" s="28">
        <v>0</v>
      </c>
      <c r="F152" s="25">
        <v>0</v>
      </c>
      <c r="G152" s="28">
        <v>1</v>
      </c>
      <c r="H152" s="28">
        <v>0</v>
      </c>
      <c r="I152" s="28">
        <v>3</v>
      </c>
      <c r="J152" s="26">
        <v>0.1881</v>
      </c>
      <c r="K152" s="27">
        <v>4.69</v>
      </c>
      <c r="L152" s="27">
        <v>882.97</v>
      </c>
      <c r="M152" s="19">
        <v>0</v>
      </c>
      <c r="N152" s="20">
        <v>0</v>
      </c>
      <c r="O152" s="22" t="e">
        <f t="shared" si="11"/>
        <v>#DIV/0!</v>
      </c>
      <c r="P152" s="23" t="e">
        <f t="shared" si="12"/>
        <v>#DIV/0!</v>
      </c>
      <c r="Q152" s="21">
        <f t="shared" si="13"/>
        <v>89.18</v>
      </c>
    </row>
    <row r="153" s="2" customFormat="1" spans="1:17">
      <c r="A153" s="17">
        <f t="shared" si="10"/>
        <v>44348</v>
      </c>
      <c r="B153" s="31">
        <v>191.11</v>
      </c>
      <c r="C153" s="28">
        <v>721</v>
      </c>
      <c r="D153" s="28">
        <v>32</v>
      </c>
      <c r="E153" s="28">
        <v>0</v>
      </c>
      <c r="F153" s="25">
        <v>0</v>
      </c>
      <c r="G153" s="28">
        <v>1</v>
      </c>
      <c r="H153" s="28">
        <v>0</v>
      </c>
      <c r="I153" s="28">
        <v>2</v>
      </c>
      <c r="J153" s="26">
        <v>0.0444</v>
      </c>
      <c r="K153" s="27">
        <v>5.97</v>
      </c>
      <c r="L153" s="27">
        <v>265.06</v>
      </c>
      <c r="M153" s="19">
        <v>0</v>
      </c>
      <c r="N153" s="20">
        <v>0</v>
      </c>
      <c r="O153" s="22" t="e">
        <f t="shared" si="11"/>
        <v>#DIV/0!</v>
      </c>
      <c r="P153" s="23" t="e">
        <f t="shared" si="12"/>
        <v>#DIV/0!</v>
      </c>
      <c r="Q153" s="21">
        <f t="shared" si="13"/>
        <v>191.11</v>
      </c>
    </row>
    <row r="154" s="2" customFormat="1" spans="1:17">
      <c r="A154" s="17">
        <f t="shared" si="10"/>
        <v>44349</v>
      </c>
      <c r="B154" s="25">
        <v>215.57</v>
      </c>
      <c r="C154" s="28">
        <v>751</v>
      </c>
      <c r="D154" s="28">
        <v>57</v>
      </c>
      <c r="E154" s="28">
        <v>1</v>
      </c>
      <c r="F154" s="25">
        <v>0.01</v>
      </c>
      <c r="G154" s="28">
        <v>1</v>
      </c>
      <c r="H154" s="28">
        <v>0</v>
      </c>
      <c r="I154" s="28">
        <v>1</v>
      </c>
      <c r="J154" s="26">
        <v>0.0797</v>
      </c>
      <c r="K154" s="27">
        <v>3.78</v>
      </c>
      <c r="L154" s="27">
        <v>301.5</v>
      </c>
      <c r="M154" s="19">
        <v>0</v>
      </c>
      <c r="N154" s="20">
        <v>0</v>
      </c>
      <c r="O154" s="22">
        <f t="shared" si="11"/>
        <v>0.01</v>
      </c>
      <c r="P154" s="23">
        <f t="shared" si="12"/>
        <v>215.57</v>
      </c>
      <c r="Q154" s="21">
        <f t="shared" si="13"/>
        <v>215.57</v>
      </c>
    </row>
    <row r="155" s="2" customFormat="1" spans="1:17">
      <c r="A155" s="17">
        <f t="shared" si="10"/>
        <v>44350</v>
      </c>
      <c r="B155" s="25">
        <v>190.26</v>
      </c>
      <c r="C155" s="28">
        <v>793</v>
      </c>
      <c r="D155" s="28">
        <v>47</v>
      </c>
      <c r="E155" s="28">
        <v>0</v>
      </c>
      <c r="F155" s="25">
        <v>0</v>
      </c>
      <c r="G155" s="28">
        <v>3</v>
      </c>
      <c r="H155" s="28">
        <v>0</v>
      </c>
      <c r="I155" s="28">
        <v>5</v>
      </c>
      <c r="J155" s="26">
        <v>0.0593</v>
      </c>
      <c r="K155" s="27">
        <v>4.05</v>
      </c>
      <c r="L155" s="27">
        <v>239.92</v>
      </c>
      <c r="M155" s="19">
        <v>0</v>
      </c>
      <c r="N155" s="20">
        <v>0</v>
      </c>
      <c r="O155" s="22" t="e">
        <f t="shared" si="11"/>
        <v>#DIV/0!</v>
      </c>
      <c r="P155" s="23" t="e">
        <f t="shared" si="12"/>
        <v>#DIV/0!</v>
      </c>
      <c r="Q155" s="21">
        <f t="shared" si="13"/>
        <v>63.42</v>
      </c>
    </row>
    <row r="156" s="2" customFormat="1" spans="1:17">
      <c r="A156" s="17">
        <f t="shared" si="10"/>
        <v>44351</v>
      </c>
      <c r="B156" s="25">
        <v>204.19</v>
      </c>
      <c r="C156" s="28">
        <v>785</v>
      </c>
      <c r="D156" s="28">
        <v>49</v>
      </c>
      <c r="E156" s="28">
        <v>0</v>
      </c>
      <c r="F156" s="25">
        <v>0</v>
      </c>
      <c r="G156" s="28">
        <v>0</v>
      </c>
      <c r="H156" s="28">
        <v>0</v>
      </c>
      <c r="I156" s="28">
        <v>1</v>
      </c>
      <c r="J156" s="26">
        <v>0.0624</v>
      </c>
      <c r="K156" s="27">
        <v>4.17</v>
      </c>
      <c r="L156" s="27">
        <v>260.11</v>
      </c>
      <c r="M156" s="19">
        <v>0</v>
      </c>
      <c r="N156" s="20">
        <v>0</v>
      </c>
      <c r="O156" s="22" t="e">
        <f t="shared" si="11"/>
        <v>#DIV/0!</v>
      </c>
      <c r="P156" s="23" t="e">
        <f t="shared" si="12"/>
        <v>#DIV/0!</v>
      </c>
      <c r="Q156" s="21" t="e">
        <f t="shared" si="13"/>
        <v>#DIV/0!</v>
      </c>
    </row>
    <row r="157" s="2" customFormat="1" spans="1:17">
      <c r="A157" s="17">
        <f t="shared" si="10"/>
        <v>44352</v>
      </c>
      <c r="B157" s="25">
        <v>255.5</v>
      </c>
      <c r="C157" s="28">
        <v>986</v>
      </c>
      <c r="D157" s="28">
        <v>40</v>
      </c>
      <c r="E157" s="28">
        <v>0</v>
      </c>
      <c r="F157" s="25">
        <v>0</v>
      </c>
      <c r="G157" s="28">
        <v>1</v>
      </c>
      <c r="H157" s="28">
        <v>0</v>
      </c>
      <c r="I157" s="28">
        <v>0</v>
      </c>
      <c r="J157" s="26">
        <v>0.0406</v>
      </c>
      <c r="K157" s="27">
        <v>6.39</v>
      </c>
      <c r="L157" s="27">
        <v>259.13</v>
      </c>
      <c r="M157" s="19">
        <v>0</v>
      </c>
      <c r="N157" s="20">
        <v>0</v>
      </c>
      <c r="O157" s="22" t="e">
        <f t="shared" si="11"/>
        <v>#DIV/0!</v>
      </c>
      <c r="P157" s="23" t="e">
        <f t="shared" si="12"/>
        <v>#DIV/0!</v>
      </c>
      <c r="Q157" s="21">
        <f t="shared" si="13"/>
        <v>255.5</v>
      </c>
    </row>
    <row r="158" s="2" customFormat="1" spans="1:17">
      <c r="A158" s="17">
        <f t="shared" si="10"/>
        <v>44353</v>
      </c>
      <c r="B158" s="25">
        <v>228.91</v>
      </c>
      <c r="C158" s="28">
        <v>923</v>
      </c>
      <c r="D158" s="28">
        <v>40</v>
      </c>
      <c r="E158" s="28">
        <v>0</v>
      </c>
      <c r="F158" s="25">
        <v>0</v>
      </c>
      <c r="G158" s="28">
        <v>1</v>
      </c>
      <c r="H158" s="28">
        <v>1</v>
      </c>
      <c r="I158" s="28">
        <v>6</v>
      </c>
      <c r="J158" s="26">
        <v>0.0433</v>
      </c>
      <c r="K158" s="27">
        <v>5.72</v>
      </c>
      <c r="L158" s="27">
        <v>248.01</v>
      </c>
      <c r="M158" s="19">
        <v>0</v>
      </c>
      <c r="N158" s="20">
        <v>0</v>
      </c>
      <c r="O158" s="22" t="e">
        <f t="shared" si="11"/>
        <v>#DIV/0!</v>
      </c>
      <c r="P158" s="23" t="e">
        <f t="shared" si="12"/>
        <v>#DIV/0!</v>
      </c>
      <c r="Q158" s="21">
        <f t="shared" si="13"/>
        <v>228.91</v>
      </c>
    </row>
    <row r="159" s="2" customFormat="1" spans="1:17">
      <c r="A159" s="17">
        <f t="shared" si="10"/>
        <v>44354</v>
      </c>
      <c r="B159" s="25">
        <v>209.39</v>
      </c>
      <c r="C159" s="28">
        <v>848</v>
      </c>
      <c r="D159" s="28">
        <v>28</v>
      </c>
      <c r="E159" s="28">
        <v>1</v>
      </c>
      <c r="F159" s="25">
        <v>0.01</v>
      </c>
      <c r="G159" s="28">
        <v>2</v>
      </c>
      <c r="H159" s="28">
        <v>2</v>
      </c>
      <c r="I159" s="28">
        <v>0</v>
      </c>
      <c r="J159" s="26">
        <v>0.033</v>
      </c>
      <c r="K159" s="27">
        <v>7.48</v>
      </c>
      <c r="L159" s="27">
        <v>246.92</v>
      </c>
      <c r="M159" s="19">
        <v>0</v>
      </c>
      <c r="N159" s="20">
        <v>0</v>
      </c>
      <c r="O159" s="22">
        <f t="shared" si="11"/>
        <v>0.01</v>
      </c>
      <c r="P159" s="23">
        <f t="shared" si="12"/>
        <v>209.39</v>
      </c>
      <c r="Q159" s="21">
        <f t="shared" si="13"/>
        <v>104.695</v>
      </c>
    </row>
    <row r="160" s="2" customFormat="1" spans="1:17">
      <c r="A160" s="17">
        <f t="shared" si="10"/>
        <v>44355</v>
      </c>
      <c r="B160" s="25">
        <v>189.26</v>
      </c>
      <c r="C160" s="28">
        <v>783</v>
      </c>
      <c r="D160" s="28">
        <v>34</v>
      </c>
      <c r="E160" s="28">
        <v>0</v>
      </c>
      <c r="F160" s="25">
        <v>0</v>
      </c>
      <c r="G160" s="28">
        <v>1</v>
      </c>
      <c r="H160" s="28">
        <v>0</v>
      </c>
      <c r="I160" s="28">
        <v>2</v>
      </c>
      <c r="J160" s="26">
        <v>0.0434</v>
      </c>
      <c r="K160" s="27">
        <v>5.57</v>
      </c>
      <c r="L160" s="27">
        <v>241.71</v>
      </c>
      <c r="M160" s="19">
        <v>0</v>
      </c>
      <c r="N160" s="20">
        <v>0</v>
      </c>
      <c r="O160" s="22" t="e">
        <f t="shared" si="11"/>
        <v>#DIV/0!</v>
      </c>
      <c r="P160" s="23" t="e">
        <f t="shared" si="12"/>
        <v>#DIV/0!</v>
      </c>
      <c r="Q160" s="21">
        <f t="shared" si="13"/>
        <v>189.26</v>
      </c>
    </row>
    <row r="161" s="2" customFormat="1" spans="1:17">
      <c r="A161" s="17">
        <f t="shared" ref="A161:A224" si="14">A160+1</f>
        <v>44356</v>
      </c>
      <c r="B161" s="25">
        <v>225.44</v>
      </c>
      <c r="C161" s="28">
        <v>776</v>
      </c>
      <c r="D161" s="28">
        <v>35</v>
      </c>
      <c r="E161" s="28">
        <v>0</v>
      </c>
      <c r="F161" s="25">
        <v>0</v>
      </c>
      <c r="G161" s="28">
        <v>1</v>
      </c>
      <c r="H161" s="28">
        <v>1</v>
      </c>
      <c r="I161" s="28">
        <v>4</v>
      </c>
      <c r="J161" s="26">
        <v>0.0451</v>
      </c>
      <c r="K161" s="27">
        <v>6.44</v>
      </c>
      <c r="L161" s="27">
        <v>290.52</v>
      </c>
      <c r="M161" s="19">
        <v>0</v>
      </c>
      <c r="N161" s="20">
        <v>0</v>
      </c>
      <c r="O161" s="22" t="e">
        <f t="shared" si="11"/>
        <v>#DIV/0!</v>
      </c>
      <c r="P161" s="23" t="e">
        <f t="shared" si="12"/>
        <v>#DIV/0!</v>
      </c>
      <c r="Q161" s="21">
        <f t="shared" si="13"/>
        <v>225.44</v>
      </c>
    </row>
    <row r="162" s="2" customFormat="1" spans="1:17">
      <c r="A162" s="17">
        <f t="shared" si="14"/>
        <v>44357</v>
      </c>
      <c r="B162" s="25">
        <v>225.54</v>
      </c>
      <c r="C162" s="28">
        <v>860</v>
      </c>
      <c r="D162" s="28">
        <v>24</v>
      </c>
      <c r="E162" s="28">
        <v>0</v>
      </c>
      <c r="F162" s="25">
        <v>0</v>
      </c>
      <c r="G162" s="28">
        <v>0</v>
      </c>
      <c r="H162" s="28">
        <v>0</v>
      </c>
      <c r="I162" s="28">
        <v>1</v>
      </c>
      <c r="J162" s="26">
        <v>0.0279</v>
      </c>
      <c r="K162" s="27">
        <v>9.4</v>
      </c>
      <c r="L162" s="27">
        <v>262.26</v>
      </c>
      <c r="M162" s="19">
        <v>0</v>
      </c>
      <c r="N162" s="20">
        <v>0</v>
      </c>
      <c r="O162" s="22" t="e">
        <f t="shared" si="11"/>
        <v>#DIV/0!</v>
      </c>
      <c r="P162" s="23" t="e">
        <f t="shared" si="12"/>
        <v>#DIV/0!</v>
      </c>
      <c r="Q162" s="21" t="e">
        <f t="shared" si="13"/>
        <v>#DIV/0!</v>
      </c>
    </row>
    <row r="163" s="2" customFormat="1" spans="1:17">
      <c r="A163" s="17">
        <f t="shared" si="14"/>
        <v>44358</v>
      </c>
      <c r="B163" s="25">
        <v>231.28</v>
      </c>
      <c r="C163" s="28">
        <v>868</v>
      </c>
      <c r="D163" s="28">
        <v>27</v>
      </c>
      <c r="E163" s="28">
        <v>0</v>
      </c>
      <c r="F163" s="25">
        <v>0</v>
      </c>
      <c r="G163" s="28">
        <v>0</v>
      </c>
      <c r="H163" s="28">
        <v>1</v>
      </c>
      <c r="I163" s="28">
        <v>1</v>
      </c>
      <c r="J163" s="26">
        <v>0.0311</v>
      </c>
      <c r="K163" s="27">
        <v>8.57</v>
      </c>
      <c r="L163" s="27">
        <v>266.45</v>
      </c>
      <c r="M163" s="19">
        <v>0</v>
      </c>
      <c r="N163" s="20">
        <v>0</v>
      </c>
      <c r="O163" s="22" t="e">
        <f t="shared" si="11"/>
        <v>#DIV/0!</v>
      </c>
      <c r="P163" s="23" t="e">
        <f t="shared" si="12"/>
        <v>#DIV/0!</v>
      </c>
      <c r="Q163" s="21" t="e">
        <f t="shared" si="13"/>
        <v>#DIV/0!</v>
      </c>
    </row>
    <row r="164" s="2" customFormat="1" spans="1:17">
      <c r="A164" s="17">
        <f t="shared" si="14"/>
        <v>44359</v>
      </c>
      <c r="B164" s="25">
        <v>228.5</v>
      </c>
      <c r="C164" s="28">
        <v>967</v>
      </c>
      <c r="D164" s="28">
        <v>30</v>
      </c>
      <c r="E164" s="28">
        <v>0</v>
      </c>
      <c r="F164" s="25">
        <v>0</v>
      </c>
      <c r="G164" s="28">
        <v>1</v>
      </c>
      <c r="H164" s="28">
        <v>0</v>
      </c>
      <c r="I164" s="28">
        <v>3</v>
      </c>
      <c r="J164" s="26">
        <v>0.031</v>
      </c>
      <c r="K164" s="27">
        <v>7.62</v>
      </c>
      <c r="L164" s="27">
        <v>236.3</v>
      </c>
      <c r="M164" s="19">
        <v>0</v>
      </c>
      <c r="N164" s="20">
        <v>0</v>
      </c>
      <c r="O164" s="22" t="e">
        <f t="shared" si="11"/>
        <v>#DIV/0!</v>
      </c>
      <c r="P164" s="23" t="e">
        <f t="shared" si="12"/>
        <v>#DIV/0!</v>
      </c>
      <c r="Q164" s="21">
        <f t="shared" si="13"/>
        <v>228.5</v>
      </c>
    </row>
    <row r="165" s="2" customFormat="1" spans="1:17">
      <c r="A165" s="17">
        <f t="shared" si="14"/>
        <v>44360</v>
      </c>
      <c r="B165" s="25">
        <v>262.58</v>
      </c>
      <c r="C165" s="28">
        <v>1012</v>
      </c>
      <c r="D165" s="28">
        <v>38</v>
      </c>
      <c r="E165" s="28">
        <v>0</v>
      </c>
      <c r="F165" s="25">
        <v>0</v>
      </c>
      <c r="G165" s="28">
        <v>0</v>
      </c>
      <c r="H165" s="28">
        <v>0</v>
      </c>
      <c r="I165" s="28">
        <v>0</v>
      </c>
      <c r="J165" s="26">
        <v>0.0375</v>
      </c>
      <c r="K165" s="27">
        <v>6.91</v>
      </c>
      <c r="L165" s="27">
        <v>259.47</v>
      </c>
      <c r="M165" s="19">
        <v>0</v>
      </c>
      <c r="N165" s="20">
        <v>0</v>
      </c>
      <c r="O165" s="22" t="e">
        <f t="shared" si="11"/>
        <v>#DIV/0!</v>
      </c>
      <c r="P165" s="23" t="e">
        <f t="shared" si="12"/>
        <v>#DIV/0!</v>
      </c>
      <c r="Q165" s="21" t="e">
        <f t="shared" si="13"/>
        <v>#DIV/0!</v>
      </c>
    </row>
    <row r="166" s="2" customFormat="1" spans="1:17">
      <c r="A166" s="17">
        <f t="shared" si="14"/>
        <v>44361</v>
      </c>
      <c r="B166" s="25">
        <v>240.3</v>
      </c>
      <c r="C166" s="28">
        <v>984</v>
      </c>
      <c r="D166" s="28">
        <v>44</v>
      </c>
      <c r="E166" s="28">
        <v>0</v>
      </c>
      <c r="F166" s="25">
        <v>0</v>
      </c>
      <c r="G166" s="28">
        <v>0</v>
      </c>
      <c r="H166" s="28">
        <v>0</v>
      </c>
      <c r="I166" s="28">
        <v>5</v>
      </c>
      <c r="J166" s="26">
        <v>0.0447</v>
      </c>
      <c r="K166" s="27">
        <v>5.46</v>
      </c>
      <c r="L166" s="27">
        <v>244.21</v>
      </c>
      <c r="M166" s="19">
        <v>0</v>
      </c>
      <c r="N166" s="20">
        <v>0</v>
      </c>
      <c r="O166" s="22" t="e">
        <f t="shared" si="11"/>
        <v>#DIV/0!</v>
      </c>
      <c r="P166" s="23" t="e">
        <f t="shared" si="12"/>
        <v>#DIV/0!</v>
      </c>
      <c r="Q166" s="21" t="e">
        <f t="shared" si="13"/>
        <v>#DIV/0!</v>
      </c>
    </row>
    <row r="167" s="2" customFormat="1" spans="1:17">
      <c r="A167" s="17">
        <f t="shared" si="14"/>
        <v>44362</v>
      </c>
      <c r="B167" s="25">
        <v>236.29</v>
      </c>
      <c r="C167" s="28">
        <v>922</v>
      </c>
      <c r="D167" s="28">
        <v>47</v>
      </c>
      <c r="E167" s="28">
        <v>0</v>
      </c>
      <c r="F167" s="25">
        <v>0</v>
      </c>
      <c r="G167" s="28">
        <v>4</v>
      </c>
      <c r="H167" s="28">
        <v>2</v>
      </c>
      <c r="I167" s="28">
        <v>1</v>
      </c>
      <c r="J167" s="26">
        <v>0.051</v>
      </c>
      <c r="K167" s="27">
        <v>5.03</v>
      </c>
      <c r="L167" s="27">
        <v>256.28</v>
      </c>
      <c r="M167" s="19">
        <v>0</v>
      </c>
      <c r="N167" s="20">
        <v>0</v>
      </c>
      <c r="O167" s="22" t="e">
        <f t="shared" si="11"/>
        <v>#DIV/0!</v>
      </c>
      <c r="P167" s="23" t="e">
        <f t="shared" si="12"/>
        <v>#DIV/0!</v>
      </c>
      <c r="Q167" s="21">
        <f t="shared" si="13"/>
        <v>59.0725</v>
      </c>
    </row>
    <row r="168" s="2" customFormat="1" spans="1:17">
      <c r="A168" s="17">
        <f t="shared" si="14"/>
        <v>44363</v>
      </c>
      <c r="B168" s="25">
        <v>244.25</v>
      </c>
      <c r="C168" s="28">
        <v>925</v>
      </c>
      <c r="D168" s="28">
        <v>46</v>
      </c>
      <c r="E168" s="28">
        <v>1</v>
      </c>
      <c r="F168" s="25">
        <v>0.2</v>
      </c>
      <c r="G168" s="28">
        <v>2</v>
      </c>
      <c r="H168" s="28">
        <v>0</v>
      </c>
      <c r="I168" s="28">
        <v>3</v>
      </c>
      <c r="J168" s="26">
        <v>0.0497</v>
      </c>
      <c r="K168" s="27">
        <v>5.31</v>
      </c>
      <c r="L168" s="27">
        <v>264.05</v>
      </c>
      <c r="M168" s="19">
        <v>0</v>
      </c>
      <c r="N168" s="20">
        <v>0</v>
      </c>
      <c r="O168" s="22">
        <f t="shared" si="11"/>
        <v>0.2</v>
      </c>
      <c r="P168" s="23">
        <f t="shared" si="12"/>
        <v>244.25</v>
      </c>
      <c r="Q168" s="21">
        <f t="shared" si="13"/>
        <v>122.125</v>
      </c>
    </row>
    <row r="169" s="2" customFormat="1" spans="1:17">
      <c r="A169" s="17">
        <f t="shared" si="14"/>
        <v>44364</v>
      </c>
      <c r="B169" s="25">
        <v>273.38</v>
      </c>
      <c r="C169" s="28">
        <v>981</v>
      </c>
      <c r="D169" s="28">
        <v>28</v>
      </c>
      <c r="E169" s="28">
        <v>2</v>
      </c>
      <c r="F169" s="25">
        <v>0.21</v>
      </c>
      <c r="G169" s="28">
        <v>4</v>
      </c>
      <c r="H169" s="28">
        <v>1</v>
      </c>
      <c r="I169" s="28">
        <v>0</v>
      </c>
      <c r="J169" s="26">
        <v>0.0285</v>
      </c>
      <c r="K169" s="27">
        <v>9.76</v>
      </c>
      <c r="L169" s="27">
        <v>278.67</v>
      </c>
      <c r="M169" s="19">
        <v>0</v>
      </c>
      <c r="N169" s="20">
        <v>0</v>
      </c>
      <c r="O169" s="22">
        <f t="shared" si="11"/>
        <v>0.105</v>
      </c>
      <c r="P169" s="23">
        <f t="shared" si="12"/>
        <v>136.69</v>
      </c>
      <c r="Q169" s="21">
        <f t="shared" si="13"/>
        <v>68.345</v>
      </c>
    </row>
    <row r="170" s="2" customFormat="1" spans="1:17">
      <c r="A170" s="17">
        <f t="shared" si="14"/>
        <v>44365</v>
      </c>
      <c r="B170" s="25">
        <v>297.35</v>
      </c>
      <c r="C170" s="28">
        <v>1006</v>
      </c>
      <c r="D170" s="28">
        <v>60</v>
      </c>
      <c r="E170" s="28">
        <v>5</v>
      </c>
      <c r="F170" s="25">
        <v>600.23</v>
      </c>
      <c r="G170" s="28">
        <v>6</v>
      </c>
      <c r="H170" s="28">
        <v>0</v>
      </c>
      <c r="I170" s="28">
        <v>0</v>
      </c>
      <c r="J170" s="26">
        <v>0.0596</v>
      </c>
      <c r="K170" s="27">
        <v>4.96</v>
      </c>
      <c r="L170" s="27">
        <v>295.58</v>
      </c>
      <c r="M170" s="19">
        <v>0</v>
      </c>
      <c r="N170" s="20">
        <v>0</v>
      </c>
      <c r="O170" s="22">
        <f t="shared" si="11"/>
        <v>120.046</v>
      </c>
      <c r="P170" s="23">
        <f t="shared" si="12"/>
        <v>59.47</v>
      </c>
      <c r="Q170" s="21">
        <f t="shared" si="13"/>
        <v>49.5583333333333</v>
      </c>
    </row>
    <row r="171" s="2" customFormat="1" spans="1:17">
      <c r="A171" s="17">
        <f t="shared" si="14"/>
        <v>44366</v>
      </c>
      <c r="B171" s="25">
        <v>249.01</v>
      </c>
      <c r="C171" s="28">
        <v>981</v>
      </c>
      <c r="D171" s="28">
        <v>25</v>
      </c>
      <c r="E171" s="28">
        <v>0</v>
      </c>
      <c r="F171" s="25">
        <v>0</v>
      </c>
      <c r="G171" s="28">
        <v>0</v>
      </c>
      <c r="H171" s="28">
        <v>0</v>
      </c>
      <c r="I171" s="28">
        <v>0</v>
      </c>
      <c r="J171" s="26">
        <v>0.0255</v>
      </c>
      <c r="K171" s="27">
        <v>9.96</v>
      </c>
      <c r="L171" s="27">
        <v>253.83</v>
      </c>
      <c r="M171" s="19">
        <v>0</v>
      </c>
      <c r="N171" s="20">
        <v>0</v>
      </c>
      <c r="O171" s="22" t="e">
        <f t="shared" si="11"/>
        <v>#DIV/0!</v>
      </c>
      <c r="P171" s="23" t="e">
        <f t="shared" si="12"/>
        <v>#DIV/0!</v>
      </c>
      <c r="Q171" s="21" t="e">
        <f t="shared" si="13"/>
        <v>#DIV/0!</v>
      </c>
    </row>
    <row r="172" s="2" customFormat="1" spans="1:17">
      <c r="A172" s="17">
        <f t="shared" si="14"/>
        <v>44367</v>
      </c>
      <c r="B172" s="25">
        <v>233.05</v>
      </c>
      <c r="C172" s="28">
        <v>976</v>
      </c>
      <c r="D172" s="28">
        <v>29</v>
      </c>
      <c r="E172" s="28">
        <v>0</v>
      </c>
      <c r="F172" s="25">
        <v>0</v>
      </c>
      <c r="G172" s="28">
        <v>1</v>
      </c>
      <c r="H172" s="28">
        <v>3</v>
      </c>
      <c r="I172" s="28">
        <v>2</v>
      </c>
      <c r="J172" s="26">
        <v>0.0297</v>
      </c>
      <c r="K172" s="27">
        <v>8.04</v>
      </c>
      <c r="L172" s="27">
        <v>238.78</v>
      </c>
      <c r="M172" s="19">
        <v>0</v>
      </c>
      <c r="N172" s="20">
        <v>0</v>
      </c>
      <c r="O172" s="22" t="e">
        <f t="shared" si="11"/>
        <v>#DIV/0!</v>
      </c>
      <c r="P172" s="23" t="e">
        <f t="shared" si="12"/>
        <v>#DIV/0!</v>
      </c>
      <c r="Q172" s="21">
        <f t="shared" si="13"/>
        <v>233.05</v>
      </c>
    </row>
    <row r="173" s="2" customFormat="1" spans="1:17">
      <c r="A173" s="17">
        <f t="shared" si="14"/>
        <v>44368</v>
      </c>
      <c r="B173" s="25">
        <v>186.96</v>
      </c>
      <c r="C173" s="28">
        <v>653</v>
      </c>
      <c r="D173" s="28">
        <v>29</v>
      </c>
      <c r="E173" s="28">
        <v>0</v>
      </c>
      <c r="F173" s="25">
        <v>0</v>
      </c>
      <c r="G173" s="28">
        <v>1</v>
      </c>
      <c r="H173" s="28">
        <v>0</v>
      </c>
      <c r="I173" s="28">
        <v>0</v>
      </c>
      <c r="J173" s="26">
        <v>0.0444</v>
      </c>
      <c r="K173" s="27">
        <v>6.45</v>
      </c>
      <c r="L173" s="27">
        <v>286.31</v>
      </c>
      <c r="M173" s="19">
        <v>0</v>
      </c>
      <c r="N173" s="20">
        <v>0</v>
      </c>
      <c r="O173" s="22" t="e">
        <f t="shared" si="11"/>
        <v>#DIV/0!</v>
      </c>
      <c r="P173" s="23" t="e">
        <f t="shared" si="12"/>
        <v>#DIV/0!</v>
      </c>
      <c r="Q173" s="21">
        <f t="shared" si="13"/>
        <v>186.96</v>
      </c>
    </row>
    <row r="174" s="2" customFormat="1" spans="1:17">
      <c r="A174" s="17">
        <f t="shared" si="14"/>
        <v>44369</v>
      </c>
      <c r="B174" s="25">
        <v>146.3</v>
      </c>
      <c r="C174" s="28">
        <v>550</v>
      </c>
      <c r="D174" s="28">
        <v>17</v>
      </c>
      <c r="E174" s="28">
        <v>1</v>
      </c>
      <c r="F174" s="25">
        <v>0.01</v>
      </c>
      <c r="G174" s="28">
        <v>0</v>
      </c>
      <c r="H174" s="28">
        <v>0</v>
      </c>
      <c r="I174" s="28">
        <v>1</v>
      </c>
      <c r="J174" s="26">
        <v>0.0309</v>
      </c>
      <c r="K174" s="27">
        <v>8.61</v>
      </c>
      <c r="L174" s="27">
        <v>266</v>
      </c>
      <c r="M174" s="19">
        <v>0</v>
      </c>
      <c r="N174" s="20">
        <v>0</v>
      </c>
      <c r="O174" s="22">
        <f t="shared" si="11"/>
        <v>0.01</v>
      </c>
      <c r="P174" s="23">
        <f t="shared" si="12"/>
        <v>146.3</v>
      </c>
      <c r="Q174" s="21" t="e">
        <f t="shared" si="13"/>
        <v>#DIV/0!</v>
      </c>
    </row>
    <row r="175" s="2" customFormat="1" spans="1:17">
      <c r="A175" s="17">
        <f t="shared" si="14"/>
        <v>44370</v>
      </c>
      <c r="B175" s="25">
        <v>207.1</v>
      </c>
      <c r="C175" s="28">
        <v>746</v>
      </c>
      <c r="D175" s="28">
        <v>41</v>
      </c>
      <c r="E175" s="28">
        <v>0</v>
      </c>
      <c r="F175" s="25">
        <v>0</v>
      </c>
      <c r="G175" s="28">
        <v>2</v>
      </c>
      <c r="H175" s="28">
        <v>1</v>
      </c>
      <c r="I175" s="28">
        <v>1</v>
      </c>
      <c r="J175" s="26">
        <v>0.055</v>
      </c>
      <c r="K175" s="27">
        <v>5.05</v>
      </c>
      <c r="L175" s="27">
        <v>277.61</v>
      </c>
      <c r="M175" s="19">
        <v>0</v>
      </c>
      <c r="N175" s="20">
        <v>0</v>
      </c>
      <c r="O175" s="22" t="e">
        <f t="shared" si="11"/>
        <v>#DIV/0!</v>
      </c>
      <c r="P175" s="23" t="e">
        <f t="shared" si="12"/>
        <v>#DIV/0!</v>
      </c>
      <c r="Q175" s="21">
        <f t="shared" si="13"/>
        <v>103.55</v>
      </c>
    </row>
    <row r="176" s="2" customFormat="1" spans="1:17">
      <c r="A176" s="17">
        <f t="shared" si="14"/>
        <v>44371</v>
      </c>
      <c r="B176" s="25">
        <v>152</v>
      </c>
      <c r="C176" s="28">
        <v>601</v>
      </c>
      <c r="D176" s="28">
        <v>26</v>
      </c>
      <c r="E176" s="28">
        <v>0</v>
      </c>
      <c r="F176" s="25">
        <v>0</v>
      </c>
      <c r="G176" s="28">
        <v>2</v>
      </c>
      <c r="H176" s="28">
        <v>0</v>
      </c>
      <c r="I176" s="28">
        <v>3</v>
      </c>
      <c r="J176" s="26">
        <v>0.0433</v>
      </c>
      <c r="K176" s="27">
        <v>5.85</v>
      </c>
      <c r="L176" s="27">
        <v>252.91</v>
      </c>
      <c r="M176" s="19">
        <v>0</v>
      </c>
      <c r="N176" s="20">
        <v>0</v>
      </c>
      <c r="O176" s="22" t="e">
        <f t="shared" si="11"/>
        <v>#DIV/0!</v>
      </c>
      <c r="P176" s="23" t="e">
        <f t="shared" si="12"/>
        <v>#DIV/0!</v>
      </c>
      <c r="Q176" s="21">
        <f t="shared" si="13"/>
        <v>76</v>
      </c>
    </row>
    <row r="177" s="2" customFormat="1" spans="1:17">
      <c r="A177" s="17">
        <f t="shared" si="14"/>
        <v>44372</v>
      </c>
      <c r="B177" s="25">
        <v>212.56</v>
      </c>
      <c r="C177" s="28">
        <v>839</v>
      </c>
      <c r="D177" s="28">
        <v>33</v>
      </c>
      <c r="E177" s="28">
        <v>0</v>
      </c>
      <c r="F177" s="25">
        <v>0</v>
      </c>
      <c r="G177" s="28">
        <v>2</v>
      </c>
      <c r="H177" s="28">
        <v>0</v>
      </c>
      <c r="I177" s="28">
        <v>2</v>
      </c>
      <c r="J177" s="26">
        <v>0.0393</v>
      </c>
      <c r="K177" s="27">
        <v>6.44</v>
      </c>
      <c r="L177" s="27">
        <v>253.35</v>
      </c>
      <c r="M177" s="19">
        <v>0</v>
      </c>
      <c r="N177" s="20">
        <v>0</v>
      </c>
      <c r="O177" s="22" t="e">
        <f t="shared" si="11"/>
        <v>#DIV/0!</v>
      </c>
      <c r="P177" s="23" t="e">
        <f t="shared" si="12"/>
        <v>#DIV/0!</v>
      </c>
      <c r="Q177" s="21">
        <f t="shared" si="13"/>
        <v>106.28</v>
      </c>
    </row>
    <row r="178" s="2" customFormat="1" spans="1:17">
      <c r="A178" s="17">
        <f t="shared" si="14"/>
        <v>44373</v>
      </c>
      <c r="B178" s="25">
        <v>177.86</v>
      </c>
      <c r="C178" s="28">
        <v>703</v>
      </c>
      <c r="D178" s="28">
        <v>20</v>
      </c>
      <c r="E178" s="28">
        <v>0</v>
      </c>
      <c r="F178" s="25">
        <v>0</v>
      </c>
      <c r="G178" s="28">
        <v>1</v>
      </c>
      <c r="H178" s="28">
        <v>2</v>
      </c>
      <c r="I178" s="28">
        <v>2</v>
      </c>
      <c r="J178" s="26">
        <v>0.0284</v>
      </c>
      <c r="K178" s="27">
        <v>8.89</v>
      </c>
      <c r="L178" s="27">
        <v>253</v>
      </c>
      <c r="M178" s="19">
        <v>0</v>
      </c>
      <c r="N178" s="20">
        <v>0</v>
      </c>
      <c r="O178" s="22" t="e">
        <f t="shared" si="11"/>
        <v>#DIV/0!</v>
      </c>
      <c r="P178" s="23" t="e">
        <f t="shared" si="12"/>
        <v>#DIV/0!</v>
      </c>
      <c r="Q178" s="21">
        <f t="shared" si="13"/>
        <v>177.86</v>
      </c>
    </row>
    <row r="179" s="2" customFormat="1" spans="1:17">
      <c r="A179" s="17">
        <f t="shared" si="14"/>
        <v>44374</v>
      </c>
      <c r="B179" s="25">
        <v>187.43</v>
      </c>
      <c r="C179" s="28">
        <v>678</v>
      </c>
      <c r="D179" s="28">
        <v>30</v>
      </c>
      <c r="E179" s="28">
        <v>0</v>
      </c>
      <c r="F179" s="25">
        <v>0</v>
      </c>
      <c r="G179" s="28">
        <v>4</v>
      </c>
      <c r="H179" s="28">
        <v>0</v>
      </c>
      <c r="I179" s="28">
        <v>0</v>
      </c>
      <c r="J179" s="26">
        <v>0.0442</v>
      </c>
      <c r="K179" s="27">
        <v>6.25</v>
      </c>
      <c r="L179" s="27">
        <v>276.45</v>
      </c>
      <c r="M179" s="19">
        <v>0</v>
      </c>
      <c r="N179" s="20">
        <v>0</v>
      </c>
      <c r="O179" s="22" t="e">
        <f t="shared" si="11"/>
        <v>#DIV/0!</v>
      </c>
      <c r="P179" s="23" t="e">
        <f t="shared" si="12"/>
        <v>#DIV/0!</v>
      </c>
      <c r="Q179" s="21">
        <f t="shared" si="13"/>
        <v>46.8575</v>
      </c>
    </row>
    <row r="180" s="2" customFormat="1" spans="1:17">
      <c r="A180" s="17">
        <f t="shared" si="14"/>
        <v>44375</v>
      </c>
      <c r="B180" s="25">
        <v>275.7</v>
      </c>
      <c r="C180" s="28">
        <v>909</v>
      </c>
      <c r="D180" s="28">
        <v>32</v>
      </c>
      <c r="E180" s="28">
        <v>0</v>
      </c>
      <c r="F180" s="25">
        <v>0</v>
      </c>
      <c r="G180" s="28">
        <v>0</v>
      </c>
      <c r="H180" s="28">
        <v>2</v>
      </c>
      <c r="I180" s="28">
        <v>1</v>
      </c>
      <c r="J180" s="26">
        <v>0.0352</v>
      </c>
      <c r="K180" s="27">
        <v>8.62</v>
      </c>
      <c r="L180" s="27">
        <v>303.3</v>
      </c>
      <c r="M180" s="19">
        <v>0</v>
      </c>
      <c r="N180" s="20">
        <v>0</v>
      </c>
      <c r="O180" s="22" t="e">
        <f t="shared" si="11"/>
        <v>#DIV/0!</v>
      </c>
      <c r="P180" s="23" t="e">
        <f t="shared" si="12"/>
        <v>#DIV/0!</v>
      </c>
      <c r="Q180" s="21" t="e">
        <f t="shared" si="13"/>
        <v>#DIV/0!</v>
      </c>
    </row>
    <row r="181" s="2" customFormat="1" spans="1:17">
      <c r="A181" s="17">
        <f t="shared" si="14"/>
        <v>44376</v>
      </c>
      <c r="B181" s="25">
        <v>203.76</v>
      </c>
      <c r="C181" s="28">
        <v>736</v>
      </c>
      <c r="D181" s="28">
        <v>39</v>
      </c>
      <c r="E181" s="28">
        <v>1</v>
      </c>
      <c r="F181" s="25">
        <v>16992</v>
      </c>
      <c r="G181" s="28">
        <v>4</v>
      </c>
      <c r="H181" s="28">
        <v>0</v>
      </c>
      <c r="I181" s="28">
        <v>1</v>
      </c>
      <c r="J181" s="26">
        <v>0.053</v>
      </c>
      <c r="K181" s="27">
        <v>5.22</v>
      </c>
      <c r="L181" s="27">
        <v>276.85</v>
      </c>
      <c r="M181" s="19">
        <v>0</v>
      </c>
      <c r="N181" s="20">
        <v>0</v>
      </c>
      <c r="O181" s="22">
        <f t="shared" si="11"/>
        <v>16992</v>
      </c>
      <c r="P181" s="23">
        <f t="shared" si="12"/>
        <v>203.76</v>
      </c>
      <c r="Q181" s="21">
        <f t="shared" si="13"/>
        <v>50.94</v>
      </c>
    </row>
    <row r="182" s="2" customFormat="1" spans="1:17">
      <c r="A182" s="17">
        <f t="shared" si="14"/>
        <v>44377</v>
      </c>
      <c r="B182" s="25">
        <v>205.21</v>
      </c>
      <c r="C182" s="28">
        <v>726</v>
      </c>
      <c r="D182" s="28">
        <v>33</v>
      </c>
      <c r="E182" s="28">
        <v>0</v>
      </c>
      <c r="F182" s="25">
        <v>0</v>
      </c>
      <c r="G182" s="28">
        <v>1</v>
      </c>
      <c r="H182" s="28">
        <v>0</v>
      </c>
      <c r="I182" s="28">
        <v>1</v>
      </c>
      <c r="J182" s="26">
        <v>0.0455</v>
      </c>
      <c r="K182" s="27">
        <v>6.22</v>
      </c>
      <c r="L182" s="27">
        <v>282.66</v>
      </c>
      <c r="M182" s="19">
        <v>0</v>
      </c>
      <c r="N182" s="20">
        <v>0</v>
      </c>
      <c r="O182" s="22" t="e">
        <f t="shared" si="11"/>
        <v>#DIV/0!</v>
      </c>
      <c r="P182" s="23" t="e">
        <f t="shared" si="12"/>
        <v>#DIV/0!</v>
      </c>
      <c r="Q182" s="21">
        <f t="shared" si="13"/>
        <v>205.21</v>
      </c>
    </row>
    <row r="183" s="2" customFormat="1" spans="1:17">
      <c r="A183" s="17">
        <f t="shared" si="14"/>
        <v>44378</v>
      </c>
      <c r="B183" s="25">
        <v>184.78</v>
      </c>
      <c r="C183" s="28">
        <v>848</v>
      </c>
      <c r="D183" s="28">
        <v>35</v>
      </c>
      <c r="E183" s="28">
        <v>1</v>
      </c>
      <c r="F183" s="25">
        <v>0.1</v>
      </c>
      <c r="G183" s="28">
        <v>0</v>
      </c>
      <c r="H183" s="28">
        <v>2</v>
      </c>
      <c r="I183" s="28">
        <v>0</v>
      </c>
      <c r="J183" s="26">
        <v>0.0413</v>
      </c>
      <c r="K183" s="27">
        <v>5.28</v>
      </c>
      <c r="L183" s="27">
        <v>217.9</v>
      </c>
      <c r="M183" s="19">
        <v>0</v>
      </c>
      <c r="N183" s="20">
        <v>0</v>
      </c>
      <c r="O183" s="22">
        <f t="shared" si="11"/>
        <v>0.1</v>
      </c>
      <c r="P183" s="23">
        <f t="shared" si="12"/>
        <v>184.78</v>
      </c>
      <c r="Q183" s="21" t="e">
        <f t="shared" si="13"/>
        <v>#DIV/0!</v>
      </c>
    </row>
    <row r="184" s="2" customFormat="1" spans="1:17">
      <c r="A184" s="17">
        <f t="shared" si="14"/>
        <v>44379</v>
      </c>
      <c r="B184" s="25">
        <v>204.02</v>
      </c>
      <c r="C184" s="28">
        <v>960</v>
      </c>
      <c r="D184" s="28">
        <v>29</v>
      </c>
      <c r="E184" s="28">
        <v>0</v>
      </c>
      <c r="F184" s="25">
        <v>0</v>
      </c>
      <c r="G184" s="28">
        <v>2</v>
      </c>
      <c r="H184" s="28">
        <v>0</v>
      </c>
      <c r="I184" s="28">
        <v>2</v>
      </c>
      <c r="J184" s="26">
        <v>0.0302</v>
      </c>
      <c r="K184" s="27">
        <v>7.04</v>
      </c>
      <c r="L184" s="27">
        <v>212.52</v>
      </c>
      <c r="M184" s="19">
        <v>0</v>
      </c>
      <c r="N184" s="20">
        <v>0</v>
      </c>
      <c r="O184" s="22" t="e">
        <f t="shared" si="11"/>
        <v>#DIV/0!</v>
      </c>
      <c r="P184" s="23" t="e">
        <f t="shared" si="12"/>
        <v>#DIV/0!</v>
      </c>
      <c r="Q184" s="21">
        <f t="shared" si="13"/>
        <v>102.01</v>
      </c>
    </row>
    <row r="185" s="2" customFormat="1" spans="1:17">
      <c r="A185" s="17">
        <f t="shared" si="14"/>
        <v>44380</v>
      </c>
      <c r="B185" s="25">
        <v>242.86</v>
      </c>
      <c r="C185" s="28">
        <v>958</v>
      </c>
      <c r="D185" s="28">
        <v>41</v>
      </c>
      <c r="E185" s="28">
        <v>1</v>
      </c>
      <c r="F185" s="25">
        <v>1800</v>
      </c>
      <c r="G185" s="28">
        <v>3</v>
      </c>
      <c r="H185" s="28">
        <v>2</v>
      </c>
      <c r="I185" s="28">
        <v>4</v>
      </c>
      <c r="J185" s="26">
        <v>0.0428</v>
      </c>
      <c r="K185" s="27">
        <v>5.92</v>
      </c>
      <c r="L185" s="27">
        <v>253.51</v>
      </c>
      <c r="M185" s="19">
        <v>0</v>
      </c>
      <c r="N185" s="20">
        <v>0</v>
      </c>
      <c r="O185" s="22">
        <f t="shared" si="11"/>
        <v>1800</v>
      </c>
      <c r="P185" s="23">
        <f t="shared" si="12"/>
        <v>242.86</v>
      </c>
      <c r="Q185" s="21">
        <f t="shared" si="13"/>
        <v>80.9533333333333</v>
      </c>
    </row>
    <row r="186" s="2" customFormat="1" spans="1:17">
      <c r="A186" s="17">
        <f t="shared" si="14"/>
        <v>44381</v>
      </c>
      <c r="B186" s="25">
        <v>238.56</v>
      </c>
      <c r="C186" s="28">
        <v>1009</v>
      </c>
      <c r="D186" s="28">
        <v>30</v>
      </c>
      <c r="E186" s="28">
        <v>0</v>
      </c>
      <c r="F186" s="25">
        <v>0</v>
      </c>
      <c r="G186" s="28">
        <v>0</v>
      </c>
      <c r="H186" s="28">
        <v>0</v>
      </c>
      <c r="I186" s="28">
        <v>0</v>
      </c>
      <c r="J186" s="26">
        <v>0.0297</v>
      </c>
      <c r="K186" s="27">
        <v>8.02</v>
      </c>
      <c r="L186" s="27">
        <v>238.56</v>
      </c>
      <c r="M186" s="19">
        <v>0</v>
      </c>
      <c r="N186" s="20">
        <v>0</v>
      </c>
      <c r="O186" s="22" t="e">
        <f t="shared" si="11"/>
        <v>#DIV/0!</v>
      </c>
      <c r="P186" s="23" t="e">
        <f t="shared" si="12"/>
        <v>#DIV/0!</v>
      </c>
      <c r="Q186" s="21" t="e">
        <f t="shared" si="13"/>
        <v>#DIV/0!</v>
      </c>
    </row>
    <row r="187" s="2" customFormat="1" spans="1:17">
      <c r="A187" s="17">
        <f t="shared" si="14"/>
        <v>44382</v>
      </c>
      <c r="B187" s="25">
        <v>253.17</v>
      </c>
      <c r="C187" s="28">
        <v>1109</v>
      </c>
      <c r="D187" s="28">
        <v>38</v>
      </c>
      <c r="E187" s="28">
        <v>1</v>
      </c>
      <c r="F187" s="25">
        <v>0.1</v>
      </c>
      <c r="G187" s="28">
        <v>1</v>
      </c>
      <c r="H187" s="28">
        <v>0</v>
      </c>
      <c r="I187" s="28">
        <v>1</v>
      </c>
      <c r="J187" s="26">
        <v>0.0343</v>
      </c>
      <c r="K187" s="27">
        <v>6.66</v>
      </c>
      <c r="L187" s="27">
        <v>228.29</v>
      </c>
      <c r="M187" s="19">
        <v>0</v>
      </c>
      <c r="N187" s="20">
        <v>0</v>
      </c>
      <c r="O187" s="22">
        <f t="shared" si="11"/>
        <v>0.1</v>
      </c>
      <c r="P187" s="23">
        <f t="shared" si="12"/>
        <v>253.17</v>
      </c>
      <c r="Q187" s="21">
        <f t="shared" si="13"/>
        <v>253.17</v>
      </c>
    </row>
    <row r="188" s="2" customFormat="1" spans="1:17">
      <c r="A188" s="17">
        <f t="shared" si="14"/>
        <v>44383</v>
      </c>
      <c r="B188" s="25">
        <v>282.84</v>
      </c>
      <c r="C188" s="28">
        <v>1144</v>
      </c>
      <c r="D188" s="28">
        <v>33</v>
      </c>
      <c r="E188" s="28">
        <v>1</v>
      </c>
      <c r="F188" s="25">
        <v>1</v>
      </c>
      <c r="G188" s="28">
        <v>3</v>
      </c>
      <c r="H188" s="28">
        <v>0</v>
      </c>
      <c r="I188" s="28">
        <v>1</v>
      </c>
      <c r="J188" s="26">
        <v>0.0288</v>
      </c>
      <c r="K188" s="27">
        <v>8.57</v>
      </c>
      <c r="L188" s="27">
        <v>247.24</v>
      </c>
      <c r="M188" s="19">
        <v>0</v>
      </c>
      <c r="N188" s="20">
        <v>0</v>
      </c>
      <c r="O188" s="22">
        <f t="shared" si="11"/>
        <v>1</v>
      </c>
      <c r="P188" s="23">
        <f t="shared" si="12"/>
        <v>282.84</v>
      </c>
      <c r="Q188" s="21">
        <f t="shared" si="13"/>
        <v>94.28</v>
      </c>
    </row>
    <row r="189" s="2" customFormat="1" spans="1:17">
      <c r="A189" s="17">
        <f t="shared" si="14"/>
        <v>44384</v>
      </c>
      <c r="B189" s="25">
        <v>270.43</v>
      </c>
      <c r="C189" s="28">
        <v>1051</v>
      </c>
      <c r="D189" s="28">
        <v>35</v>
      </c>
      <c r="E189" s="28">
        <v>1</v>
      </c>
      <c r="F189" s="25">
        <v>0.01</v>
      </c>
      <c r="G189" s="28">
        <v>1</v>
      </c>
      <c r="H189" s="28">
        <v>1</v>
      </c>
      <c r="I189" s="28">
        <v>2</v>
      </c>
      <c r="J189" s="26">
        <v>0.0333</v>
      </c>
      <c r="K189" s="27">
        <v>7.73</v>
      </c>
      <c r="L189" s="27">
        <v>257.31</v>
      </c>
      <c r="M189" s="19">
        <v>0</v>
      </c>
      <c r="N189" s="20">
        <v>0</v>
      </c>
      <c r="O189" s="22">
        <f t="shared" si="11"/>
        <v>0.01</v>
      </c>
      <c r="P189" s="23">
        <f t="shared" si="12"/>
        <v>270.43</v>
      </c>
      <c r="Q189" s="21">
        <f t="shared" si="13"/>
        <v>270.43</v>
      </c>
    </row>
    <row r="190" s="2" customFormat="1" spans="1:17">
      <c r="A190" s="17">
        <f t="shared" si="14"/>
        <v>44385</v>
      </c>
      <c r="B190" s="25">
        <v>344.95</v>
      </c>
      <c r="C190" s="28">
        <v>1623</v>
      </c>
      <c r="D190" s="28">
        <v>46</v>
      </c>
      <c r="E190" s="28">
        <v>0</v>
      </c>
      <c r="F190" s="25">
        <v>0</v>
      </c>
      <c r="G190" s="28">
        <v>3</v>
      </c>
      <c r="H190" s="28">
        <v>0</v>
      </c>
      <c r="I190" s="28">
        <v>1</v>
      </c>
      <c r="J190" s="26">
        <v>0.0283</v>
      </c>
      <c r="K190" s="27">
        <v>7.5</v>
      </c>
      <c r="L190" s="27">
        <v>212.54</v>
      </c>
      <c r="M190" s="19">
        <v>0</v>
      </c>
      <c r="N190" s="20">
        <v>0</v>
      </c>
      <c r="O190" s="22" t="e">
        <f t="shared" si="11"/>
        <v>#DIV/0!</v>
      </c>
      <c r="P190" s="23" t="e">
        <f t="shared" si="12"/>
        <v>#DIV/0!</v>
      </c>
      <c r="Q190" s="21">
        <f t="shared" si="13"/>
        <v>114.983333333333</v>
      </c>
    </row>
    <row r="191" s="2" customFormat="1" spans="1:17">
      <c r="A191" s="17">
        <f t="shared" si="14"/>
        <v>44386</v>
      </c>
      <c r="B191" s="25">
        <v>252.88</v>
      </c>
      <c r="C191" s="28">
        <v>1143</v>
      </c>
      <c r="D191" s="28">
        <v>28</v>
      </c>
      <c r="E191" s="28">
        <v>0</v>
      </c>
      <c r="F191" s="25">
        <v>0</v>
      </c>
      <c r="G191" s="28">
        <v>3</v>
      </c>
      <c r="H191" s="28">
        <v>0</v>
      </c>
      <c r="I191" s="28">
        <v>2</v>
      </c>
      <c r="J191" s="26">
        <v>0.0245</v>
      </c>
      <c r="K191" s="27">
        <v>9.03</v>
      </c>
      <c r="L191" s="27">
        <v>221.24</v>
      </c>
      <c r="M191" s="19">
        <v>0</v>
      </c>
      <c r="N191" s="20">
        <v>0</v>
      </c>
      <c r="O191" s="22" t="e">
        <f t="shared" si="11"/>
        <v>#DIV/0!</v>
      </c>
      <c r="P191" s="23" t="e">
        <f t="shared" si="12"/>
        <v>#DIV/0!</v>
      </c>
      <c r="Q191" s="21">
        <f t="shared" si="13"/>
        <v>84.2933333333333</v>
      </c>
    </row>
    <row r="192" s="2" customFormat="1" spans="1:17">
      <c r="A192" s="17">
        <f t="shared" si="14"/>
        <v>44387</v>
      </c>
      <c r="B192" s="25">
        <v>271.91</v>
      </c>
      <c r="C192" s="28">
        <v>1215</v>
      </c>
      <c r="D192" s="28">
        <v>30</v>
      </c>
      <c r="E192" s="28">
        <v>0</v>
      </c>
      <c r="F192" s="25">
        <v>0</v>
      </c>
      <c r="G192" s="28">
        <v>3</v>
      </c>
      <c r="H192" s="28">
        <v>1</v>
      </c>
      <c r="I192" s="28">
        <v>1</v>
      </c>
      <c r="J192" s="26">
        <v>0.0247</v>
      </c>
      <c r="K192" s="27">
        <v>9.06</v>
      </c>
      <c r="L192" s="27">
        <v>223.79</v>
      </c>
      <c r="M192" s="19">
        <v>0</v>
      </c>
      <c r="N192" s="20">
        <v>0</v>
      </c>
      <c r="O192" s="22" t="e">
        <f t="shared" si="11"/>
        <v>#DIV/0!</v>
      </c>
      <c r="P192" s="23" t="e">
        <f t="shared" si="12"/>
        <v>#DIV/0!</v>
      </c>
      <c r="Q192" s="21">
        <f t="shared" si="13"/>
        <v>90.6366666666667</v>
      </c>
    </row>
    <row r="193" s="2" customFormat="1" spans="1:17">
      <c r="A193" s="17">
        <f t="shared" si="14"/>
        <v>44388</v>
      </c>
      <c r="B193" s="25">
        <v>295.38</v>
      </c>
      <c r="C193" s="28">
        <v>1192</v>
      </c>
      <c r="D193" s="28">
        <v>38</v>
      </c>
      <c r="E193" s="28">
        <v>0</v>
      </c>
      <c r="F193" s="25">
        <v>0</v>
      </c>
      <c r="G193" s="28">
        <v>2</v>
      </c>
      <c r="H193" s="28">
        <v>0</v>
      </c>
      <c r="I193" s="28">
        <v>1</v>
      </c>
      <c r="J193" s="26">
        <v>0.0319</v>
      </c>
      <c r="K193" s="27">
        <v>7.77</v>
      </c>
      <c r="L193" s="27">
        <v>247.8</v>
      </c>
      <c r="M193" s="19">
        <v>0</v>
      </c>
      <c r="N193" s="20">
        <v>0</v>
      </c>
      <c r="O193" s="22" t="e">
        <f t="shared" si="11"/>
        <v>#DIV/0!</v>
      </c>
      <c r="P193" s="23" t="e">
        <f t="shared" si="12"/>
        <v>#DIV/0!</v>
      </c>
      <c r="Q193" s="21">
        <f t="shared" si="13"/>
        <v>147.69</v>
      </c>
    </row>
    <row r="194" s="2" customFormat="1" spans="1:17">
      <c r="A194" s="17">
        <f t="shared" si="14"/>
        <v>44389</v>
      </c>
      <c r="B194" s="25">
        <v>286.92</v>
      </c>
      <c r="C194" s="28">
        <v>1179</v>
      </c>
      <c r="D194" s="28">
        <v>40</v>
      </c>
      <c r="E194" s="28">
        <v>0</v>
      </c>
      <c r="F194" s="25">
        <v>0</v>
      </c>
      <c r="G194" s="28">
        <v>1</v>
      </c>
      <c r="H194" s="28">
        <v>0</v>
      </c>
      <c r="I194" s="28">
        <v>0</v>
      </c>
      <c r="J194" s="26">
        <v>0.0339</v>
      </c>
      <c r="K194" s="27">
        <v>7.17</v>
      </c>
      <c r="L194" s="27">
        <v>243.36</v>
      </c>
      <c r="M194" s="19">
        <v>0</v>
      </c>
      <c r="N194" s="20">
        <v>0</v>
      </c>
      <c r="O194" s="22" t="e">
        <f t="shared" ref="O194:O257" si="15">F194/E194</f>
        <v>#DIV/0!</v>
      </c>
      <c r="P194" s="23" t="e">
        <f t="shared" ref="P194:P257" si="16">B194/E194</f>
        <v>#DIV/0!</v>
      </c>
      <c r="Q194" s="21">
        <f t="shared" ref="Q194:Q257" si="17">B194/G194</f>
        <v>286.92</v>
      </c>
    </row>
    <row r="195" s="2" customFormat="1" spans="1:17">
      <c r="A195" s="17">
        <f t="shared" si="14"/>
        <v>44390</v>
      </c>
      <c r="B195" s="25">
        <v>282.66</v>
      </c>
      <c r="C195" s="28">
        <v>1127</v>
      </c>
      <c r="D195" s="28">
        <v>39</v>
      </c>
      <c r="E195" s="28">
        <v>0</v>
      </c>
      <c r="F195" s="25">
        <v>0</v>
      </c>
      <c r="G195" s="28">
        <v>0</v>
      </c>
      <c r="H195" s="28">
        <v>0</v>
      </c>
      <c r="I195" s="28">
        <v>2</v>
      </c>
      <c r="J195" s="26">
        <v>0.0346</v>
      </c>
      <c r="K195" s="27">
        <v>7.25</v>
      </c>
      <c r="L195" s="27">
        <v>282.66</v>
      </c>
      <c r="M195" s="19">
        <v>0</v>
      </c>
      <c r="N195" s="20">
        <v>0</v>
      </c>
      <c r="O195" s="22" t="e">
        <f t="shared" si="15"/>
        <v>#DIV/0!</v>
      </c>
      <c r="P195" s="23" t="e">
        <f t="shared" si="16"/>
        <v>#DIV/0!</v>
      </c>
      <c r="Q195" s="21" t="e">
        <f t="shared" si="17"/>
        <v>#DIV/0!</v>
      </c>
    </row>
    <row r="196" s="2" customFormat="1" spans="1:17">
      <c r="A196" s="17">
        <f t="shared" si="14"/>
        <v>44391</v>
      </c>
      <c r="B196" s="25">
        <v>293.9</v>
      </c>
      <c r="C196" s="28">
        <v>1065</v>
      </c>
      <c r="D196" s="28">
        <v>22</v>
      </c>
      <c r="E196" s="28">
        <v>0</v>
      </c>
      <c r="F196" s="25">
        <v>0</v>
      </c>
      <c r="G196" s="28">
        <v>1</v>
      </c>
      <c r="H196" s="28">
        <v>2</v>
      </c>
      <c r="I196" s="28">
        <v>2</v>
      </c>
      <c r="J196" s="26">
        <v>0.0207</v>
      </c>
      <c r="K196" s="27">
        <v>13.36</v>
      </c>
      <c r="L196" s="27">
        <v>275.96</v>
      </c>
      <c r="M196" s="19">
        <v>0</v>
      </c>
      <c r="N196" s="20">
        <v>0</v>
      </c>
      <c r="O196" s="22" t="e">
        <f t="shared" si="15"/>
        <v>#DIV/0!</v>
      </c>
      <c r="P196" s="23" t="e">
        <f t="shared" si="16"/>
        <v>#DIV/0!</v>
      </c>
      <c r="Q196" s="21">
        <f t="shared" si="17"/>
        <v>293.9</v>
      </c>
    </row>
    <row r="197" s="2" customFormat="1" spans="1:17">
      <c r="A197" s="17">
        <f t="shared" si="14"/>
        <v>44392</v>
      </c>
      <c r="B197" s="25">
        <v>243.18</v>
      </c>
      <c r="C197" s="28">
        <v>883</v>
      </c>
      <c r="D197" s="28">
        <v>41</v>
      </c>
      <c r="E197" s="28">
        <v>0</v>
      </c>
      <c r="F197" s="25">
        <v>0</v>
      </c>
      <c r="G197" s="28">
        <v>4</v>
      </c>
      <c r="H197" s="28">
        <v>1</v>
      </c>
      <c r="I197" s="28">
        <v>2</v>
      </c>
      <c r="J197" s="26">
        <v>0.0464</v>
      </c>
      <c r="K197" s="27">
        <v>5.93</v>
      </c>
      <c r="L197" s="27">
        <v>275.4</v>
      </c>
      <c r="M197" s="19">
        <v>0</v>
      </c>
      <c r="N197" s="20">
        <v>0</v>
      </c>
      <c r="O197" s="22" t="e">
        <f t="shared" si="15"/>
        <v>#DIV/0!</v>
      </c>
      <c r="P197" s="23" t="e">
        <f t="shared" si="16"/>
        <v>#DIV/0!</v>
      </c>
      <c r="Q197" s="21">
        <f t="shared" si="17"/>
        <v>60.795</v>
      </c>
    </row>
    <row r="198" s="2" customFormat="1" spans="1:17">
      <c r="A198" s="17">
        <f t="shared" si="14"/>
        <v>44393</v>
      </c>
      <c r="B198" s="25">
        <v>207.1</v>
      </c>
      <c r="C198" s="28">
        <v>964</v>
      </c>
      <c r="D198" s="28">
        <v>30</v>
      </c>
      <c r="E198" s="28">
        <v>0</v>
      </c>
      <c r="F198" s="25">
        <v>0</v>
      </c>
      <c r="G198" s="28">
        <v>2</v>
      </c>
      <c r="H198" s="28">
        <v>0</v>
      </c>
      <c r="I198" s="28">
        <v>3</v>
      </c>
      <c r="J198" s="26">
        <v>0.0311</v>
      </c>
      <c r="K198" s="27">
        <v>6.9</v>
      </c>
      <c r="L198" s="27">
        <v>214.83</v>
      </c>
      <c r="M198" s="19">
        <v>0</v>
      </c>
      <c r="N198" s="20">
        <v>0</v>
      </c>
      <c r="O198" s="22" t="e">
        <f t="shared" si="15"/>
        <v>#DIV/0!</v>
      </c>
      <c r="P198" s="23" t="e">
        <f t="shared" si="16"/>
        <v>#DIV/0!</v>
      </c>
      <c r="Q198" s="21">
        <f t="shared" si="17"/>
        <v>103.55</v>
      </c>
    </row>
    <row r="199" s="2" customFormat="1" spans="1:17">
      <c r="A199" s="17">
        <f t="shared" si="14"/>
        <v>44394</v>
      </c>
      <c r="B199" s="25">
        <v>215.72</v>
      </c>
      <c r="C199" s="28">
        <v>906</v>
      </c>
      <c r="D199" s="28">
        <v>34</v>
      </c>
      <c r="E199" s="28">
        <v>0</v>
      </c>
      <c r="F199" s="25">
        <v>0</v>
      </c>
      <c r="G199" s="28">
        <v>0</v>
      </c>
      <c r="H199" s="28">
        <v>2</v>
      </c>
      <c r="I199" s="28">
        <v>1</v>
      </c>
      <c r="J199" s="26">
        <v>0.0375</v>
      </c>
      <c r="K199" s="27">
        <v>6.34</v>
      </c>
      <c r="L199" s="27">
        <v>238.1</v>
      </c>
      <c r="M199" s="19">
        <v>0</v>
      </c>
      <c r="N199" s="20">
        <v>0</v>
      </c>
      <c r="O199" s="22" t="e">
        <f t="shared" si="15"/>
        <v>#DIV/0!</v>
      </c>
      <c r="P199" s="23" t="e">
        <f t="shared" si="16"/>
        <v>#DIV/0!</v>
      </c>
      <c r="Q199" s="21" t="e">
        <f t="shared" si="17"/>
        <v>#DIV/0!</v>
      </c>
    </row>
    <row r="200" s="2" customFormat="1" spans="1:17">
      <c r="A200" s="17">
        <f t="shared" si="14"/>
        <v>44395</v>
      </c>
      <c r="B200" s="25">
        <v>247.71</v>
      </c>
      <c r="C200" s="28">
        <v>1145</v>
      </c>
      <c r="D200" s="28">
        <v>37</v>
      </c>
      <c r="E200" s="28">
        <v>0</v>
      </c>
      <c r="F200" s="25">
        <v>0</v>
      </c>
      <c r="G200" s="28">
        <v>1</v>
      </c>
      <c r="H200" s="28">
        <v>0</v>
      </c>
      <c r="I200" s="28">
        <v>2</v>
      </c>
      <c r="J200" s="26">
        <v>0.0323</v>
      </c>
      <c r="K200" s="27">
        <v>6.69</v>
      </c>
      <c r="L200" s="27">
        <v>216.34</v>
      </c>
      <c r="M200" s="19">
        <v>0</v>
      </c>
      <c r="N200" s="20">
        <v>0</v>
      </c>
      <c r="O200" s="22" t="e">
        <f t="shared" si="15"/>
        <v>#DIV/0!</v>
      </c>
      <c r="P200" s="23" t="e">
        <f t="shared" si="16"/>
        <v>#DIV/0!</v>
      </c>
      <c r="Q200" s="21">
        <f t="shared" si="17"/>
        <v>247.71</v>
      </c>
    </row>
    <row r="201" s="2" customFormat="1" spans="1:17">
      <c r="A201" s="17">
        <f t="shared" si="14"/>
        <v>44396</v>
      </c>
      <c r="B201" s="25">
        <v>261.43</v>
      </c>
      <c r="C201" s="28">
        <v>1226</v>
      </c>
      <c r="D201" s="28">
        <v>43</v>
      </c>
      <c r="E201" s="28">
        <v>0</v>
      </c>
      <c r="F201" s="25">
        <v>0</v>
      </c>
      <c r="G201" s="28">
        <v>1</v>
      </c>
      <c r="H201" s="28">
        <v>0</v>
      </c>
      <c r="I201" s="28">
        <v>3</v>
      </c>
      <c r="J201" s="26">
        <v>0.0351</v>
      </c>
      <c r="K201" s="27">
        <v>6.08</v>
      </c>
      <c r="L201" s="27">
        <v>213.24</v>
      </c>
      <c r="M201" s="19">
        <v>0</v>
      </c>
      <c r="N201" s="20">
        <v>0</v>
      </c>
      <c r="O201" s="22" t="e">
        <f t="shared" si="15"/>
        <v>#DIV/0!</v>
      </c>
      <c r="P201" s="23" t="e">
        <f t="shared" si="16"/>
        <v>#DIV/0!</v>
      </c>
      <c r="Q201" s="21">
        <f t="shared" si="17"/>
        <v>261.43</v>
      </c>
    </row>
    <row r="202" s="2" customFormat="1" spans="1:17">
      <c r="A202" s="17">
        <f t="shared" si="14"/>
        <v>44397</v>
      </c>
      <c r="B202" s="25">
        <v>270.03</v>
      </c>
      <c r="C202" s="28">
        <v>981</v>
      </c>
      <c r="D202" s="28">
        <v>42</v>
      </c>
      <c r="E202" s="28">
        <v>0</v>
      </c>
      <c r="F202" s="25">
        <v>0</v>
      </c>
      <c r="G202" s="28">
        <v>5</v>
      </c>
      <c r="H202" s="28">
        <v>2</v>
      </c>
      <c r="I202" s="28">
        <v>5</v>
      </c>
      <c r="J202" s="26">
        <v>0.0428</v>
      </c>
      <c r="K202" s="27">
        <v>6.43</v>
      </c>
      <c r="L202" s="27">
        <v>275.26</v>
      </c>
      <c r="M202" s="19">
        <v>0</v>
      </c>
      <c r="N202" s="20">
        <v>0</v>
      </c>
      <c r="O202" s="22" t="e">
        <f t="shared" si="15"/>
        <v>#DIV/0!</v>
      </c>
      <c r="P202" s="23" t="e">
        <f t="shared" si="16"/>
        <v>#DIV/0!</v>
      </c>
      <c r="Q202" s="21">
        <f t="shared" si="17"/>
        <v>54.006</v>
      </c>
    </row>
    <row r="203" s="2" customFormat="1" spans="1:17">
      <c r="A203" s="17">
        <f t="shared" si="14"/>
        <v>44398</v>
      </c>
      <c r="B203" s="25">
        <v>213.25</v>
      </c>
      <c r="C203" s="28">
        <v>978</v>
      </c>
      <c r="D203" s="28">
        <v>35</v>
      </c>
      <c r="E203" s="28">
        <v>0</v>
      </c>
      <c r="F203" s="25">
        <v>0</v>
      </c>
      <c r="G203" s="28">
        <v>1</v>
      </c>
      <c r="H203" s="28">
        <v>0</v>
      </c>
      <c r="I203" s="28">
        <v>2</v>
      </c>
      <c r="J203" s="26">
        <v>0.0358</v>
      </c>
      <c r="K203" s="27">
        <v>6.09</v>
      </c>
      <c r="L203" s="27">
        <v>218.05</v>
      </c>
      <c r="M203" s="19">
        <v>0</v>
      </c>
      <c r="N203" s="20">
        <v>0</v>
      </c>
      <c r="O203" s="22" t="e">
        <f t="shared" si="15"/>
        <v>#DIV/0!</v>
      </c>
      <c r="P203" s="23" t="e">
        <f t="shared" si="16"/>
        <v>#DIV/0!</v>
      </c>
      <c r="Q203" s="21">
        <f t="shared" si="17"/>
        <v>213.25</v>
      </c>
    </row>
    <row r="204" s="2" customFormat="1" spans="1:17">
      <c r="A204" s="17">
        <f t="shared" si="14"/>
        <v>44399</v>
      </c>
      <c r="B204" s="25">
        <v>242.54</v>
      </c>
      <c r="C204" s="28">
        <v>1001</v>
      </c>
      <c r="D204" s="28">
        <v>34</v>
      </c>
      <c r="E204" s="28">
        <v>0</v>
      </c>
      <c r="F204" s="25">
        <v>0</v>
      </c>
      <c r="G204" s="28">
        <v>5</v>
      </c>
      <c r="H204" s="28">
        <v>0</v>
      </c>
      <c r="I204" s="28">
        <v>2</v>
      </c>
      <c r="J204" s="26">
        <v>0.034</v>
      </c>
      <c r="K204" s="27">
        <v>7.13</v>
      </c>
      <c r="L204" s="27">
        <v>242.3</v>
      </c>
      <c r="M204" s="19">
        <v>0</v>
      </c>
      <c r="N204" s="20">
        <v>0</v>
      </c>
      <c r="O204" s="22" t="e">
        <f t="shared" si="15"/>
        <v>#DIV/0!</v>
      </c>
      <c r="P204" s="23" t="e">
        <f t="shared" si="16"/>
        <v>#DIV/0!</v>
      </c>
      <c r="Q204" s="21">
        <f t="shared" si="17"/>
        <v>48.508</v>
      </c>
    </row>
    <row r="205" s="2" customFormat="1" spans="1:17">
      <c r="A205" s="17">
        <f t="shared" si="14"/>
        <v>44400</v>
      </c>
      <c r="B205" s="25">
        <v>250.81</v>
      </c>
      <c r="C205" s="28">
        <v>1117</v>
      </c>
      <c r="D205" s="28">
        <v>30</v>
      </c>
      <c r="E205" s="28">
        <v>0</v>
      </c>
      <c r="F205" s="25">
        <v>0</v>
      </c>
      <c r="G205" s="28">
        <v>0</v>
      </c>
      <c r="H205" s="28">
        <v>1</v>
      </c>
      <c r="I205" s="28">
        <v>1</v>
      </c>
      <c r="J205" s="26">
        <v>0.0269</v>
      </c>
      <c r="K205" s="27">
        <v>8.36</v>
      </c>
      <c r="L205" s="27">
        <v>224.54</v>
      </c>
      <c r="M205" s="19">
        <v>0</v>
      </c>
      <c r="N205" s="20">
        <v>0</v>
      </c>
      <c r="O205" s="22" t="e">
        <f t="shared" si="15"/>
        <v>#DIV/0!</v>
      </c>
      <c r="P205" s="23" t="e">
        <f t="shared" si="16"/>
        <v>#DIV/0!</v>
      </c>
      <c r="Q205" s="21" t="e">
        <f t="shared" si="17"/>
        <v>#DIV/0!</v>
      </c>
    </row>
    <row r="206" s="2" customFormat="1" spans="1:17">
      <c r="A206" s="17">
        <f t="shared" si="14"/>
        <v>44401</v>
      </c>
      <c r="B206" s="25">
        <v>138.8</v>
      </c>
      <c r="C206" s="28">
        <v>607</v>
      </c>
      <c r="D206" s="28">
        <v>14</v>
      </c>
      <c r="E206" s="28">
        <v>0</v>
      </c>
      <c r="F206" s="25">
        <v>0</v>
      </c>
      <c r="G206" s="28">
        <v>0</v>
      </c>
      <c r="H206" s="28">
        <v>0</v>
      </c>
      <c r="I206" s="28">
        <v>0</v>
      </c>
      <c r="J206" s="26">
        <v>0.0231</v>
      </c>
      <c r="K206" s="27">
        <v>9.91</v>
      </c>
      <c r="L206" s="27">
        <v>228.67</v>
      </c>
      <c r="M206" s="19">
        <v>0</v>
      </c>
      <c r="N206" s="20">
        <v>0</v>
      </c>
      <c r="O206" s="22" t="e">
        <f t="shared" si="15"/>
        <v>#DIV/0!</v>
      </c>
      <c r="P206" s="23" t="e">
        <f t="shared" si="16"/>
        <v>#DIV/0!</v>
      </c>
      <c r="Q206" s="21" t="e">
        <f t="shared" si="17"/>
        <v>#DIV/0!</v>
      </c>
    </row>
    <row r="207" s="2" customFormat="1" spans="1:17">
      <c r="A207" s="17">
        <f t="shared" si="14"/>
        <v>44402</v>
      </c>
      <c r="B207" s="25">
        <v>0</v>
      </c>
      <c r="C207" s="28">
        <v>0</v>
      </c>
      <c r="D207" s="28">
        <v>0</v>
      </c>
      <c r="E207" s="28">
        <v>0</v>
      </c>
      <c r="F207" s="25">
        <v>0</v>
      </c>
      <c r="G207" s="28">
        <v>0</v>
      </c>
      <c r="H207" s="28">
        <v>0</v>
      </c>
      <c r="I207" s="28">
        <v>0</v>
      </c>
      <c r="J207" s="26">
        <v>0</v>
      </c>
      <c r="K207" s="27">
        <v>0</v>
      </c>
      <c r="L207" s="27">
        <v>0</v>
      </c>
      <c r="M207" s="19">
        <v>0</v>
      </c>
      <c r="N207" s="20">
        <v>0</v>
      </c>
      <c r="O207" s="22" t="e">
        <f t="shared" si="15"/>
        <v>#DIV/0!</v>
      </c>
      <c r="P207" s="23" t="e">
        <f t="shared" si="16"/>
        <v>#DIV/0!</v>
      </c>
      <c r="Q207" s="21" t="e">
        <f t="shared" si="17"/>
        <v>#DIV/0!</v>
      </c>
    </row>
    <row r="208" s="2" customFormat="1" spans="1:17">
      <c r="A208" s="17">
        <f t="shared" si="14"/>
        <v>44403</v>
      </c>
      <c r="B208" s="25">
        <v>189.43</v>
      </c>
      <c r="C208" s="28">
        <v>839</v>
      </c>
      <c r="D208" s="28">
        <v>24</v>
      </c>
      <c r="E208" s="28">
        <v>0</v>
      </c>
      <c r="F208" s="25">
        <v>0</v>
      </c>
      <c r="G208" s="28">
        <v>1</v>
      </c>
      <c r="H208" s="28">
        <v>1</v>
      </c>
      <c r="I208" s="28">
        <v>1</v>
      </c>
      <c r="J208" s="26">
        <v>0.0286</v>
      </c>
      <c r="K208" s="27">
        <v>7.89</v>
      </c>
      <c r="L208" s="27">
        <v>225.78</v>
      </c>
      <c r="M208" s="19">
        <v>0</v>
      </c>
      <c r="N208" s="20">
        <v>0</v>
      </c>
      <c r="O208" s="22" t="e">
        <f t="shared" si="15"/>
        <v>#DIV/0!</v>
      </c>
      <c r="P208" s="23" t="e">
        <f t="shared" si="16"/>
        <v>#DIV/0!</v>
      </c>
      <c r="Q208" s="21">
        <f t="shared" si="17"/>
        <v>189.43</v>
      </c>
    </row>
    <row r="209" s="2" customFormat="1" spans="1:17">
      <c r="A209" s="17">
        <f t="shared" si="14"/>
        <v>44404</v>
      </c>
      <c r="B209" s="25">
        <v>240.33</v>
      </c>
      <c r="C209" s="28">
        <v>995</v>
      </c>
      <c r="D209" s="28">
        <v>18</v>
      </c>
      <c r="E209" s="28">
        <v>0</v>
      </c>
      <c r="F209" s="25">
        <v>0</v>
      </c>
      <c r="G209" s="28">
        <v>2</v>
      </c>
      <c r="H209" s="28">
        <v>0</v>
      </c>
      <c r="I209" s="28">
        <v>1</v>
      </c>
      <c r="J209" s="26">
        <v>0.0181</v>
      </c>
      <c r="K209" s="27">
        <v>13.35</v>
      </c>
      <c r="L209" s="27">
        <v>241.54</v>
      </c>
      <c r="M209" s="19">
        <v>0</v>
      </c>
      <c r="N209" s="20">
        <v>0</v>
      </c>
      <c r="O209" s="22" t="e">
        <f t="shared" si="15"/>
        <v>#DIV/0!</v>
      </c>
      <c r="P209" s="23" t="e">
        <f t="shared" si="16"/>
        <v>#DIV/0!</v>
      </c>
      <c r="Q209" s="21">
        <f t="shared" si="17"/>
        <v>120.165</v>
      </c>
    </row>
    <row r="210" s="2" customFormat="1" spans="1:17">
      <c r="A210" s="17">
        <f t="shared" si="14"/>
        <v>44405</v>
      </c>
      <c r="B210" s="25">
        <v>266.26</v>
      </c>
      <c r="C210" s="28">
        <v>1043</v>
      </c>
      <c r="D210" s="28">
        <v>34</v>
      </c>
      <c r="E210" s="28">
        <v>0</v>
      </c>
      <c r="F210" s="25">
        <v>0</v>
      </c>
      <c r="G210" s="28">
        <v>1</v>
      </c>
      <c r="H210" s="28">
        <v>0</v>
      </c>
      <c r="I210" s="28">
        <v>1</v>
      </c>
      <c r="J210" s="26">
        <v>0.0326</v>
      </c>
      <c r="K210" s="27">
        <v>7.83</v>
      </c>
      <c r="L210" s="27">
        <v>255.28</v>
      </c>
      <c r="M210" s="19">
        <v>0</v>
      </c>
      <c r="N210" s="20">
        <v>0</v>
      </c>
      <c r="O210" s="22" t="e">
        <f t="shared" si="15"/>
        <v>#DIV/0!</v>
      </c>
      <c r="P210" s="23" t="e">
        <f t="shared" si="16"/>
        <v>#DIV/0!</v>
      </c>
      <c r="Q210" s="21">
        <f t="shared" si="17"/>
        <v>266.26</v>
      </c>
    </row>
    <row r="211" s="2" customFormat="1" spans="1:17">
      <c r="A211" s="17">
        <f t="shared" si="14"/>
        <v>44406</v>
      </c>
      <c r="B211" s="25">
        <v>255.15</v>
      </c>
      <c r="C211" s="28">
        <v>995</v>
      </c>
      <c r="D211" s="28">
        <v>37</v>
      </c>
      <c r="E211" s="28">
        <v>3</v>
      </c>
      <c r="F211" s="25">
        <v>0.03</v>
      </c>
      <c r="G211" s="28">
        <v>0</v>
      </c>
      <c r="H211" s="28">
        <v>0</v>
      </c>
      <c r="I211" s="28">
        <v>1</v>
      </c>
      <c r="J211" s="26">
        <v>0.0372</v>
      </c>
      <c r="K211" s="27">
        <v>6.9</v>
      </c>
      <c r="L211" s="27">
        <v>256.43</v>
      </c>
      <c r="M211" s="19">
        <v>0</v>
      </c>
      <c r="N211" s="20">
        <v>0</v>
      </c>
      <c r="O211" s="22">
        <f t="shared" si="15"/>
        <v>0.01</v>
      </c>
      <c r="P211" s="23">
        <f t="shared" si="16"/>
        <v>85.05</v>
      </c>
      <c r="Q211" s="21" t="e">
        <f t="shared" si="17"/>
        <v>#DIV/0!</v>
      </c>
    </row>
    <row r="212" s="2" customFormat="1" spans="1:17">
      <c r="A212" s="17">
        <f t="shared" si="14"/>
        <v>44407</v>
      </c>
      <c r="B212" s="25">
        <v>283.52</v>
      </c>
      <c r="C212" s="28">
        <v>1043</v>
      </c>
      <c r="D212" s="28">
        <v>44</v>
      </c>
      <c r="E212" s="28">
        <v>1</v>
      </c>
      <c r="F212" s="25">
        <v>0.01</v>
      </c>
      <c r="G212" s="28">
        <v>0</v>
      </c>
      <c r="H212" s="28">
        <v>0</v>
      </c>
      <c r="I212" s="28">
        <v>1</v>
      </c>
      <c r="J212" s="26">
        <v>0.0422</v>
      </c>
      <c r="K212" s="27">
        <v>6.44</v>
      </c>
      <c r="L212" s="27">
        <v>271.83</v>
      </c>
      <c r="M212" s="19">
        <v>0</v>
      </c>
      <c r="N212" s="20">
        <v>0</v>
      </c>
      <c r="O212" s="22">
        <f t="shared" si="15"/>
        <v>0.01</v>
      </c>
      <c r="P212" s="23">
        <f t="shared" si="16"/>
        <v>283.52</v>
      </c>
      <c r="Q212" s="21" t="e">
        <f t="shared" si="17"/>
        <v>#DIV/0!</v>
      </c>
    </row>
    <row r="213" s="2" customFormat="1" spans="1:17">
      <c r="A213" s="17">
        <f t="shared" si="14"/>
        <v>44408</v>
      </c>
      <c r="B213" s="25">
        <v>248.49</v>
      </c>
      <c r="C213" s="28">
        <v>1079</v>
      </c>
      <c r="D213" s="28">
        <v>28</v>
      </c>
      <c r="E213" s="28">
        <v>0</v>
      </c>
      <c r="F213" s="25">
        <v>0</v>
      </c>
      <c r="G213" s="28">
        <v>0</v>
      </c>
      <c r="H213" s="28">
        <v>0</v>
      </c>
      <c r="I213" s="28">
        <v>1</v>
      </c>
      <c r="J213" s="26">
        <v>0.0259</v>
      </c>
      <c r="K213" s="27">
        <v>8.87</v>
      </c>
      <c r="L213" s="27">
        <v>230.3</v>
      </c>
      <c r="M213" s="19">
        <v>0</v>
      </c>
      <c r="N213" s="20">
        <v>0</v>
      </c>
      <c r="O213" s="22" t="e">
        <f t="shared" si="15"/>
        <v>#DIV/0!</v>
      </c>
      <c r="P213" s="23" t="e">
        <f t="shared" si="16"/>
        <v>#DIV/0!</v>
      </c>
      <c r="Q213" s="21" t="e">
        <f t="shared" si="17"/>
        <v>#DIV/0!</v>
      </c>
    </row>
    <row r="214" s="2" customFormat="1" spans="1:17">
      <c r="A214" s="17">
        <f t="shared" si="14"/>
        <v>44409</v>
      </c>
      <c r="B214" s="25">
        <v>293.55</v>
      </c>
      <c r="C214" s="28">
        <v>1263</v>
      </c>
      <c r="D214" s="28">
        <v>39</v>
      </c>
      <c r="E214" s="28">
        <v>0</v>
      </c>
      <c r="F214" s="25">
        <v>0</v>
      </c>
      <c r="G214" s="28">
        <v>0</v>
      </c>
      <c r="H214" s="28">
        <v>0</v>
      </c>
      <c r="I214" s="28">
        <v>1</v>
      </c>
      <c r="J214" s="26">
        <v>0.0309</v>
      </c>
      <c r="K214" s="27">
        <v>7.53</v>
      </c>
      <c r="L214" s="27">
        <v>232.42</v>
      </c>
      <c r="M214" s="19">
        <v>0</v>
      </c>
      <c r="N214" s="20">
        <v>0</v>
      </c>
      <c r="O214" s="22" t="e">
        <f t="shared" si="15"/>
        <v>#DIV/0!</v>
      </c>
      <c r="P214" s="23" t="e">
        <f t="shared" si="16"/>
        <v>#DIV/0!</v>
      </c>
      <c r="Q214" s="21" t="e">
        <f t="shared" si="17"/>
        <v>#DIV/0!</v>
      </c>
    </row>
    <row r="215" s="2" customFormat="1" spans="1:17">
      <c r="A215" s="17">
        <f t="shared" si="14"/>
        <v>44410</v>
      </c>
      <c r="B215" s="25">
        <v>257.21</v>
      </c>
      <c r="C215" s="28">
        <v>1169</v>
      </c>
      <c r="D215" s="28">
        <v>36</v>
      </c>
      <c r="E215" s="28">
        <v>0</v>
      </c>
      <c r="F215" s="25">
        <v>0</v>
      </c>
      <c r="G215" s="28">
        <v>0</v>
      </c>
      <c r="H215" s="28">
        <v>0</v>
      </c>
      <c r="I215" s="28">
        <v>0</v>
      </c>
      <c r="J215" s="26">
        <v>0.0308</v>
      </c>
      <c r="K215" s="27">
        <v>7.14</v>
      </c>
      <c r="L215" s="27">
        <v>220.03</v>
      </c>
      <c r="M215" s="19">
        <v>0</v>
      </c>
      <c r="N215" s="20">
        <v>0</v>
      </c>
      <c r="O215" s="22" t="e">
        <f t="shared" si="15"/>
        <v>#DIV/0!</v>
      </c>
      <c r="P215" s="23" t="e">
        <f t="shared" si="16"/>
        <v>#DIV/0!</v>
      </c>
      <c r="Q215" s="21" t="e">
        <f t="shared" si="17"/>
        <v>#DIV/0!</v>
      </c>
    </row>
    <row r="216" s="2" customFormat="1" spans="1:17">
      <c r="A216" s="17">
        <f t="shared" si="14"/>
        <v>44411</v>
      </c>
      <c r="B216" s="25">
        <v>235.15</v>
      </c>
      <c r="C216" s="28">
        <v>996</v>
      </c>
      <c r="D216" s="28">
        <v>45</v>
      </c>
      <c r="E216" s="28">
        <v>0</v>
      </c>
      <c r="F216" s="25">
        <v>0</v>
      </c>
      <c r="G216" s="28">
        <v>2</v>
      </c>
      <c r="H216" s="28">
        <v>0</v>
      </c>
      <c r="I216" s="28">
        <v>0</v>
      </c>
      <c r="J216" s="26">
        <v>0.0452</v>
      </c>
      <c r="K216" s="27">
        <v>5.23</v>
      </c>
      <c r="L216" s="27">
        <v>236.09</v>
      </c>
      <c r="M216" s="19">
        <v>0</v>
      </c>
      <c r="N216" s="20">
        <v>0</v>
      </c>
      <c r="O216" s="22" t="e">
        <f t="shared" si="15"/>
        <v>#DIV/0!</v>
      </c>
      <c r="P216" s="23" t="e">
        <f t="shared" si="16"/>
        <v>#DIV/0!</v>
      </c>
      <c r="Q216" s="21">
        <f t="shared" si="17"/>
        <v>117.575</v>
      </c>
    </row>
    <row r="217" s="2" customFormat="1" spans="1:17">
      <c r="A217" s="17">
        <f t="shared" si="14"/>
        <v>44412</v>
      </c>
      <c r="B217" s="25">
        <v>244.07</v>
      </c>
      <c r="C217" s="28">
        <v>1101</v>
      </c>
      <c r="D217" s="28">
        <v>38</v>
      </c>
      <c r="E217" s="28">
        <v>0</v>
      </c>
      <c r="F217" s="25">
        <v>0</v>
      </c>
      <c r="G217" s="28">
        <v>0</v>
      </c>
      <c r="H217" s="28">
        <v>1</v>
      </c>
      <c r="I217" s="28">
        <v>1</v>
      </c>
      <c r="J217" s="26">
        <v>0.0345</v>
      </c>
      <c r="K217" s="27">
        <v>6.42</v>
      </c>
      <c r="L217" s="27">
        <v>221.68</v>
      </c>
      <c r="M217" s="19">
        <v>0</v>
      </c>
      <c r="N217" s="20">
        <v>0</v>
      </c>
      <c r="O217" s="22" t="e">
        <f t="shared" si="15"/>
        <v>#DIV/0!</v>
      </c>
      <c r="P217" s="23" t="e">
        <f t="shared" si="16"/>
        <v>#DIV/0!</v>
      </c>
      <c r="Q217" s="21" t="e">
        <f t="shared" si="17"/>
        <v>#DIV/0!</v>
      </c>
    </row>
    <row r="218" s="2" customFormat="1" spans="1:17">
      <c r="A218" s="17">
        <f t="shared" si="14"/>
        <v>44413</v>
      </c>
      <c r="B218" s="25">
        <v>220.17</v>
      </c>
      <c r="C218" s="28">
        <v>1044</v>
      </c>
      <c r="D218" s="28">
        <v>29</v>
      </c>
      <c r="E218" s="28">
        <v>1</v>
      </c>
      <c r="F218" s="25">
        <v>0.01</v>
      </c>
      <c r="G218" s="28">
        <v>0</v>
      </c>
      <c r="H218" s="28">
        <v>0</v>
      </c>
      <c r="I218" s="28">
        <v>0</v>
      </c>
      <c r="J218" s="26">
        <v>0.0278</v>
      </c>
      <c r="K218" s="27">
        <v>7.59</v>
      </c>
      <c r="L218" s="27">
        <v>210.89</v>
      </c>
      <c r="M218" s="19">
        <v>0</v>
      </c>
      <c r="N218" s="20">
        <v>0</v>
      </c>
      <c r="O218" s="22">
        <f t="shared" si="15"/>
        <v>0.01</v>
      </c>
      <c r="P218" s="23">
        <f t="shared" si="16"/>
        <v>220.17</v>
      </c>
      <c r="Q218" s="21" t="e">
        <f t="shared" si="17"/>
        <v>#DIV/0!</v>
      </c>
    </row>
    <row r="219" s="2" customFormat="1" spans="1:17">
      <c r="A219" s="17">
        <f t="shared" si="14"/>
        <v>44414</v>
      </c>
      <c r="B219" s="25">
        <v>295.85</v>
      </c>
      <c r="C219" s="28">
        <v>1229</v>
      </c>
      <c r="D219" s="28">
        <v>29</v>
      </c>
      <c r="E219" s="28">
        <v>0</v>
      </c>
      <c r="F219" s="25">
        <v>0</v>
      </c>
      <c r="G219" s="28">
        <v>1</v>
      </c>
      <c r="H219" s="28">
        <v>0</v>
      </c>
      <c r="I219" s="28">
        <v>0</v>
      </c>
      <c r="J219" s="26">
        <v>0.0236</v>
      </c>
      <c r="K219" s="27">
        <v>10.2</v>
      </c>
      <c r="L219" s="27">
        <v>240.72</v>
      </c>
      <c r="M219" s="19">
        <v>0</v>
      </c>
      <c r="N219" s="20">
        <v>0</v>
      </c>
      <c r="O219" s="22" t="e">
        <f t="shared" si="15"/>
        <v>#DIV/0!</v>
      </c>
      <c r="P219" s="23" t="e">
        <f t="shared" si="16"/>
        <v>#DIV/0!</v>
      </c>
      <c r="Q219" s="21">
        <f t="shared" si="17"/>
        <v>295.85</v>
      </c>
    </row>
    <row r="220" s="2" customFormat="1" spans="1:17">
      <c r="A220" s="17">
        <f t="shared" si="14"/>
        <v>44415</v>
      </c>
      <c r="B220" s="25">
        <v>281.63</v>
      </c>
      <c r="C220" s="28">
        <v>1317</v>
      </c>
      <c r="D220" s="28">
        <v>33</v>
      </c>
      <c r="E220" s="28">
        <v>0</v>
      </c>
      <c r="F220" s="25">
        <v>0</v>
      </c>
      <c r="G220" s="28">
        <v>1</v>
      </c>
      <c r="H220" s="28">
        <v>1</v>
      </c>
      <c r="I220" s="28">
        <v>0</v>
      </c>
      <c r="J220" s="26">
        <v>0.0251</v>
      </c>
      <c r="K220" s="27">
        <v>8.53</v>
      </c>
      <c r="L220" s="27">
        <v>213.84</v>
      </c>
      <c r="M220" s="19">
        <v>0</v>
      </c>
      <c r="N220" s="20">
        <v>0</v>
      </c>
      <c r="O220" s="22" t="e">
        <f t="shared" si="15"/>
        <v>#DIV/0!</v>
      </c>
      <c r="P220" s="23" t="e">
        <f t="shared" si="16"/>
        <v>#DIV/0!</v>
      </c>
      <c r="Q220" s="21">
        <f t="shared" si="17"/>
        <v>281.63</v>
      </c>
    </row>
    <row r="221" s="2" customFormat="1" spans="1:17">
      <c r="A221" s="17">
        <f t="shared" si="14"/>
        <v>44416</v>
      </c>
      <c r="B221" s="25">
        <v>285.04</v>
      </c>
      <c r="C221" s="28">
        <v>1258</v>
      </c>
      <c r="D221" s="28">
        <v>33</v>
      </c>
      <c r="E221" s="28">
        <v>0</v>
      </c>
      <c r="F221" s="25">
        <v>0</v>
      </c>
      <c r="G221" s="28">
        <v>0</v>
      </c>
      <c r="H221" s="28">
        <v>0</v>
      </c>
      <c r="I221" s="28">
        <v>0</v>
      </c>
      <c r="J221" s="26">
        <v>0.0262</v>
      </c>
      <c r="K221" s="27">
        <v>8.64</v>
      </c>
      <c r="L221" s="27">
        <v>226.58</v>
      </c>
      <c r="M221" s="19">
        <v>0</v>
      </c>
      <c r="N221" s="20">
        <v>0</v>
      </c>
      <c r="O221" s="22" t="e">
        <f t="shared" si="15"/>
        <v>#DIV/0!</v>
      </c>
      <c r="P221" s="23" t="e">
        <f t="shared" si="16"/>
        <v>#DIV/0!</v>
      </c>
      <c r="Q221" s="21" t="e">
        <f t="shared" si="17"/>
        <v>#DIV/0!</v>
      </c>
    </row>
    <row r="222" s="2" customFormat="1" spans="1:17">
      <c r="A222" s="17">
        <f t="shared" si="14"/>
        <v>44417</v>
      </c>
      <c r="B222" s="25">
        <v>298.25</v>
      </c>
      <c r="C222" s="28">
        <v>1159</v>
      </c>
      <c r="D222" s="28">
        <v>26</v>
      </c>
      <c r="E222" s="28">
        <v>0</v>
      </c>
      <c r="F222" s="25">
        <v>0</v>
      </c>
      <c r="G222" s="28">
        <v>0</v>
      </c>
      <c r="H222" s="28">
        <v>0</v>
      </c>
      <c r="I222" s="28">
        <v>0</v>
      </c>
      <c r="J222" s="26">
        <v>0.0224</v>
      </c>
      <c r="K222" s="27">
        <v>11.47</v>
      </c>
      <c r="L222" s="27">
        <v>298.25</v>
      </c>
      <c r="M222" s="19">
        <v>0</v>
      </c>
      <c r="N222" s="20">
        <v>0</v>
      </c>
      <c r="O222" s="22" t="e">
        <f t="shared" si="15"/>
        <v>#DIV/0!</v>
      </c>
      <c r="P222" s="23" t="e">
        <f t="shared" si="16"/>
        <v>#DIV/0!</v>
      </c>
      <c r="Q222" s="21" t="e">
        <f t="shared" si="17"/>
        <v>#DIV/0!</v>
      </c>
    </row>
    <row r="223" s="2" customFormat="1" spans="1:17">
      <c r="A223" s="17">
        <f t="shared" si="14"/>
        <v>44418</v>
      </c>
      <c r="B223" s="25">
        <v>297.21</v>
      </c>
      <c r="C223" s="28">
        <v>1040</v>
      </c>
      <c r="D223" s="28">
        <v>47</v>
      </c>
      <c r="E223" s="28">
        <v>0</v>
      </c>
      <c r="F223" s="25">
        <v>0</v>
      </c>
      <c r="G223" s="28">
        <v>0</v>
      </c>
      <c r="H223" s="28">
        <v>0</v>
      </c>
      <c r="I223" s="28">
        <v>0</v>
      </c>
      <c r="J223" s="26">
        <v>0.0452</v>
      </c>
      <c r="K223" s="27">
        <v>6.32</v>
      </c>
      <c r="L223" s="27">
        <v>285.78</v>
      </c>
      <c r="M223" s="19">
        <v>0</v>
      </c>
      <c r="N223" s="20">
        <v>0</v>
      </c>
      <c r="O223" s="22" t="e">
        <f t="shared" si="15"/>
        <v>#DIV/0!</v>
      </c>
      <c r="P223" s="23" t="e">
        <f t="shared" si="16"/>
        <v>#DIV/0!</v>
      </c>
      <c r="Q223" s="21" t="e">
        <f t="shared" si="17"/>
        <v>#DIV/0!</v>
      </c>
    </row>
    <row r="224" s="2" customFormat="1" spans="1:17">
      <c r="A224" s="17">
        <f t="shared" si="14"/>
        <v>44419</v>
      </c>
      <c r="B224" s="25">
        <v>274.08</v>
      </c>
      <c r="C224" s="28">
        <v>1068</v>
      </c>
      <c r="D224" s="28">
        <v>66</v>
      </c>
      <c r="E224" s="28">
        <v>0</v>
      </c>
      <c r="F224" s="25">
        <v>0</v>
      </c>
      <c r="G224" s="28">
        <v>1</v>
      </c>
      <c r="H224" s="28">
        <v>1</v>
      </c>
      <c r="I224" s="28">
        <v>1</v>
      </c>
      <c r="J224" s="26">
        <v>0.0618</v>
      </c>
      <c r="K224" s="27">
        <v>4.15</v>
      </c>
      <c r="L224" s="27">
        <v>256.63</v>
      </c>
      <c r="M224" s="19">
        <v>0</v>
      </c>
      <c r="N224" s="20">
        <v>0</v>
      </c>
      <c r="O224" s="22" t="e">
        <f t="shared" si="15"/>
        <v>#DIV/0!</v>
      </c>
      <c r="P224" s="23" t="e">
        <f t="shared" si="16"/>
        <v>#DIV/0!</v>
      </c>
      <c r="Q224" s="21">
        <f t="shared" si="17"/>
        <v>274.08</v>
      </c>
    </row>
    <row r="225" s="2" customFormat="1" spans="1:17">
      <c r="A225" s="17">
        <f t="shared" ref="A225:A288" si="18">A224+1</f>
        <v>44420</v>
      </c>
      <c r="B225" s="25">
        <v>296.57</v>
      </c>
      <c r="C225" s="28">
        <v>1194</v>
      </c>
      <c r="D225" s="28">
        <v>34</v>
      </c>
      <c r="E225" s="28">
        <v>1</v>
      </c>
      <c r="F225" s="25">
        <v>0.01</v>
      </c>
      <c r="G225" s="28">
        <v>0</v>
      </c>
      <c r="H225" s="28">
        <v>0</v>
      </c>
      <c r="I225" s="28">
        <v>0</v>
      </c>
      <c r="J225" s="26">
        <v>0.0285</v>
      </c>
      <c r="K225" s="27">
        <v>8.72</v>
      </c>
      <c r="L225" s="27">
        <v>248.38</v>
      </c>
      <c r="M225" s="19">
        <v>0</v>
      </c>
      <c r="N225" s="20">
        <v>0</v>
      </c>
      <c r="O225" s="22">
        <f t="shared" si="15"/>
        <v>0.01</v>
      </c>
      <c r="P225" s="23">
        <f t="shared" si="16"/>
        <v>296.57</v>
      </c>
      <c r="Q225" s="21" t="e">
        <f t="shared" si="17"/>
        <v>#DIV/0!</v>
      </c>
    </row>
    <row r="226" s="2" customFormat="1" spans="1:17">
      <c r="A226" s="17">
        <f t="shared" si="18"/>
        <v>44421</v>
      </c>
      <c r="B226" s="25">
        <v>298.53</v>
      </c>
      <c r="C226" s="28">
        <v>1083</v>
      </c>
      <c r="D226" s="28">
        <v>38</v>
      </c>
      <c r="E226" s="28">
        <v>0</v>
      </c>
      <c r="F226" s="25">
        <v>0</v>
      </c>
      <c r="G226" s="28">
        <v>0</v>
      </c>
      <c r="H226" s="28">
        <v>0</v>
      </c>
      <c r="I226" s="28">
        <v>0</v>
      </c>
      <c r="J226" s="26">
        <v>0.0351</v>
      </c>
      <c r="K226" s="27">
        <v>7.86</v>
      </c>
      <c r="L226" s="27">
        <v>275.65</v>
      </c>
      <c r="M226" s="19">
        <v>0</v>
      </c>
      <c r="N226" s="20">
        <v>0</v>
      </c>
      <c r="O226" s="22" t="e">
        <f t="shared" si="15"/>
        <v>#DIV/0!</v>
      </c>
      <c r="P226" s="23" t="e">
        <f t="shared" si="16"/>
        <v>#DIV/0!</v>
      </c>
      <c r="Q226" s="21" t="e">
        <f t="shared" si="17"/>
        <v>#DIV/0!</v>
      </c>
    </row>
    <row r="227" s="2" customFormat="1" spans="1:17">
      <c r="A227" s="17">
        <f t="shared" si="18"/>
        <v>44422</v>
      </c>
      <c r="B227" s="25">
        <v>297.84</v>
      </c>
      <c r="C227" s="28">
        <v>1007</v>
      </c>
      <c r="D227" s="28">
        <v>25</v>
      </c>
      <c r="E227" s="28">
        <v>0</v>
      </c>
      <c r="F227" s="25">
        <v>0</v>
      </c>
      <c r="G227" s="28">
        <v>0</v>
      </c>
      <c r="H227" s="28">
        <v>0</v>
      </c>
      <c r="I227" s="28">
        <v>0</v>
      </c>
      <c r="J227" s="26">
        <v>0.0248</v>
      </c>
      <c r="K227" s="27">
        <v>11.91</v>
      </c>
      <c r="L227" s="27">
        <v>295.77</v>
      </c>
      <c r="M227" s="19">
        <v>0</v>
      </c>
      <c r="N227" s="20">
        <v>0</v>
      </c>
      <c r="O227" s="22" t="e">
        <f t="shared" si="15"/>
        <v>#DIV/0!</v>
      </c>
      <c r="P227" s="23" t="e">
        <f t="shared" si="16"/>
        <v>#DIV/0!</v>
      </c>
      <c r="Q227" s="21" t="e">
        <f t="shared" si="17"/>
        <v>#DIV/0!</v>
      </c>
    </row>
    <row r="228" s="2" customFormat="1" spans="1:17">
      <c r="A228" s="17">
        <f t="shared" si="18"/>
        <v>44423</v>
      </c>
      <c r="B228" s="25">
        <v>290.9</v>
      </c>
      <c r="C228" s="28">
        <v>1079</v>
      </c>
      <c r="D228" s="28">
        <v>39</v>
      </c>
      <c r="E228" s="28">
        <v>0</v>
      </c>
      <c r="F228" s="25">
        <v>0</v>
      </c>
      <c r="G228" s="28">
        <v>2</v>
      </c>
      <c r="H228" s="28">
        <v>0</v>
      </c>
      <c r="I228" s="28">
        <v>0</v>
      </c>
      <c r="J228" s="26">
        <v>0.0361</v>
      </c>
      <c r="K228" s="27">
        <v>7.46</v>
      </c>
      <c r="L228" s="27">
        <v>269.6</v>
      </c>
      <c r="M228" s="19">
        <v>0</v>
      </c>
      <c r="N228" s="20">
        <v>0</v>
      </c>
      <c r="O228" s="22" t="e">
        <f t="shared" si="15"/>
        <v>#DIV/0!</v>
      </c>
      <c r="P228" s="23" t="e">
        <f t="shared" si="16"/>
        <v>#DIV/0!</v>
      </c>
      <c r="Q228" s="21">
        <f t="shared" si="17"/>
        <v>145.45</v>
      </c>
    </row>
    <row r="229" s="2" customFormat="1" spans="1:17">
      <c r="A229" s="17">
        <f t="shared" si="18"/>
        <v>44424</v>
      </c>
      <c r="B229" s="25">
        <v>295.47</v>
      </c>
      <c r="C229" s="28">
        <v>1022</v>
      </c>
      <c r="D229" s="28">
        <v>46</v>
      </c>
      <c r="E229" s="28">
        <v>0</v>
      </c>
      <c r="F229" s="25">
        <v>0</v>
      </c>
      <c r="G229" s="28">
        <v>2</v>
      </c>
      <c r="H229" s="28">
        <v>0</v>
      </c>
      <c r="I229" s="28">
        <v>2</v>
      </c>
      <c r="J229" s="26">
        <v>0.045</v>
      </c>
      <c r="K229" s="27">
        <v>6.42</v>
      </c>
      <c r="L229" s="27">
        <v>289.11</v>
      </c>
      <c r="M229" s="19">
        <v>0</v>
      </c>
      <c r="N229" s="20">
        <v>0</v>
      </c>
      <c r="O229" s="22" t="e">
        <f t="shared" si="15"/>
        <v>#DIV/0!</v>
      </c>
      <c r="P229" s="23" t="e">
        <f t="shared" si="16"/>
        <v>#DIV/0!</v>
      </c>
      <c r="Q229" s="21">
        <f t="shared" si="17"/>
        <v>147.735</v>
      </c>
    </row>
    <row r="230" s="2" customFormat="1" spans="1:17">
      <c r="A230" s="17">
        <f t="shared" si="18"/>
        <v>44425</v>
      </c>
      <c r="B230" s="25">
        <v>153.51</v>
      </c>
      <c r="C230" s="28">
        <v>539</v>
      </c>
      <c r="D230" s="28">
        <v>18</v>
      </c>
      <c r="E230" s="28">
        <v>0</v>
      </c>
      <c r="F230" s="25">
        <v>0</v>
      </c>
      <c r="G230" s="28">
        <v>1</v>
      </c>
      <c r="H230" s="28">
        <v>0</v>
      </c>
      <c r="I230" s="28">
        <v>0</v>
      </c>
      <c r="J230" s="26">
        <v>0.0334</v>
      </c>
      <c r="K230" s="27">
        <v>8.53</v>
      </c>
      <c r="L230" s="27">
        <v>284.81</v>
      </c>
      <c r="M230" s="19">
        <v>0</v>
      </c>
      <c r="N230" s="20">
        <v>0</v>
      </c>
      <c r="O230" s="22" t="e">
        <f t="shared" si="15"/>
        <v>#DIV/0!</v>
      </c>
      <c r="P230" s="23" t="e">
        <f t="shared" si="16"/>
        <v>#DIV/0!</v>
      </c>
      <c r="Q230" s="21">
        <f t="shared" si="17"/>
        <v>153.51</v>
      </c>
    </row>
    <row r="231" s="2" customFormat="1" spans="1:17">
      <c r="A231" s="17">
        <f t="shared" si="18"/>
        <v>44426</v>
      </c>
      <c r="B231" s="25">
        <v>285.39</v>
      </c>
      <c r="C231" s="28">
        <v>942</v>
      </c>
      <c r="D231" s="28">
        <v>37</v>
      </c>
      <c r="E231" s="28">
        <v>0</v>
      </c>
      <c r="F231" s="25">
        <v>0</v>
      </c>
      <c r="G231" s="28">
        <v>0</v>
      </c>
      <c r="H231" s="28">
        <v>1</v>
      </c>
      <c r="I231" s="28">
        <v>1</v>
      </c>
      <c r="J231" s="26">
        <v>0.0393</v>
      </c>
      <c r="K231" s="27">
        <v>7.71</v>
      </c>
      <c r="L231" s="27">
        <v>302.96</v>
      </c>
      <c r="M231" s="19">
        <v>0</v>
      </c>
      <c r="N231" s="20">
        <v>0</v>
      </c>
      <c r="O231" s="22" t="e">
        <f t="shared" si="15"/>
        <v>#DIV/0!</v>
      </c>
      <c r="P231" s="23" t="e">
        <f t="shared" si="16"/>
        <v>#DIV/0!</v>
      </c>
      <c r="Q231" s="21" t="e">
        <f t="shared" si="17"/>
        <v>#DIV/0!</v>
      </c>
    </row>
    <row r="232" s="2" customFormat="1" spans="1:17">
      <c r="A232" s="17">
        <f t="shared" si="18"/>
        <v>44427</v>
      </c>
      <c r="B232" s="25">
        <v>281.99</v>
      </c>
      <c r="C232" s="28">
        <v>1173</v>
      </c>
      <c r="D232" s="28">
        <v>32</v>
      </c>
      <c r="E232" s="28">
        <v>0</v>
      </c>
      <c r="F232" s="25">
        <v>0</v>
      </c>
      <c r="G232" s="28">
        <v>0</v>
      </c>
      <c r="H232" s="28">
        <v>0</v>
      </c>
      <c r="I232" s="28">
        <v>0</v>
      </c>
      <c r="J232" s="26">
        <v>0.0273</v>
      </c>
      <c r="K232" s="27">
        <v>8.81</v>
      </c>
      <c r="L232" s="27">
        <v>240.4</v>
      </c>
      <c r="M232" s="19">
        <v>0</v>
      </c>
      <c r="N232" s="20">
        <v>0</v>
      </c>
      <c r="O232" s="22" t="e">
        <f t="shared" si="15"/>
        <v>#DIV/0!</v>
      </c>
      <c r="P232" s="23" t="e">
        <f t="shared" si="16"/>
        <v>#DIV/0!</v>
      </c>
      <c r="Q232" s="21" t="e">
        <f t="shared" si="17"/>
        <v>#DIV/0!</v>
      </c>
    </row>
    <row r="233" s="2" customFormat="1" spans="1:17">
      <c r="A233" s="17">
        <f t="shared" si="18"/>
        <v>44428</v>
      </c>
      <c r="B233" s="25">
        <v>293.72</v>
      </c>
      <c r="C233" s="28">
        <v>1090</v>
      </c>
      <c r="D233" s="28">
        <v>46</v>
      </c>
      <c r="E233" s="28">
        <v>0</v>
      </c>
      <c r="F233" s="25">
        <v>0</v>
      </c>
      <c r="G233" s="28">
        <v>1</v>
      </c>
      <c r="H233" s="28">
        <v>0</v>
      </c>
      <c r="I233" s="28">
        <v>1</v>
      </c>
      <c r="J233" s="26">
        <v>0.0422</v>
      </c>
      <c r="K233" s="27">
        <v>6.39</v>
      </c>
      <c r="L233" s="27">
        <v>269.47</v>
      </c>
      <c r="M233" s="19">
        <v>0</v>
      </c>
      <c r="N233" s="20">
        <v>0</v>
      </c>
      <c r="O233" s="22" t="e">
        <f t="shared" si="15"/>
        <v>#DIV/0!</v>
      </c>
      <c r="P233" s="23" t="e">
        <f t="shared" si="16"/>
        <v>#DIV/0!</v>
      </c>
      <c r="Q233" s="21">
        <f t="shared" si="17"/>
        <v>293.72</v>
      </c>
    </row>
    <row r="234" s="2" customFormat="1" spans="1:17">
      <c r="A234" s="17">
        <f t="shared" si="18"/>
        <v>44429</v>
      </c>
      <c r="B234" s="25">
        <v>277.64</v>
      </c>
      <c r="C234" s="28">
        <v>1014</v>
      </c>
      <c r="D234" s="28">
        <v>26</v>
      </c>
      <c r="E234" s="28">
        <v>0</v>
      </c>
      <c r="F234" s="25">
        <v>0</v>
      </c>
      <c r="G234" s="28">
        <v>2</v>
      </c>
      <c r="H234" s="28">
        <v>0</v>
      </c>
      <c r="I234" s="28">
        <v>0</v>
      </c>
      <c r="J234" s="26">
        <v>0.0256</v>
      </c>
      <c r="K234" s="27">
        <v>10.68</v>
      </c>
      <c r="L234" s="27">
        <v>273.81</v>
      </c>
      <c r="M234" s="19">
        <v>0</v>
      </c>
      <c r="N234" s="20">
        <v>0</v>
      </c>
      <c r="O234" s="22" t="e">
        <f t="shared" si="15"/>
        <v>#DIV/0!</v>
      </c>
      <c r="P234" s="23" t="e">
        <f t="shared" si="16"/>
        <v>#DIV/0!</v>
      </c>
      <c r="Q234" s="21">
        <f t="shared" si="17"/>
        <v>138.82</v>
      </c>
    </row>
    <row r="235" s="2" customFormat="1" spans="1:17">
      <c r="A235" s="17">
        <f t="shared" si="18"/>
        <v>44430</v>
      </c>
      <c r="B235" s="25">
        <v>265.46</v>
      </c>
      <c r="C235" s="28">
        <v>1070</v>
      </c>
      <c r="D235" s="28">
        <v>41</v>
      </c>
      <c r="E235" s="28">
        <v>0</v>
      </c>
      <c r="F235" s="25">
        <v>0</v>
      </c>
      <c r="G235" s="28">
        <v>5</v>
      </c>
      <c r="H235" s="28">
        <v>0</v>
      </c>
      <c r="I235" s="28">
        <v>1</v>
      </c>
      <c r="J235" s="26">
        <v>0.0383</v>
      </c>
      <c r="K235" s="27">
        <v>6.47</v>
      </c>
      <c r="L235" s="27">
        <v>248.09</v>
      </c>
      <c r="M235" s="19">
        <v>0</v>
      </c>
      <c r="N235" s="20">
        <v>0</v>
      </c>
      <c r="O235" s="22" t="e">
        <f t="shared" si="15"/>
        <v>#DIV/0!</v>
      </c>
      <c r="P235" s="23" t="e">
        <f t="shared" si="16"/>
        <v>#DIV/0!</v>
      </c>
      <c r="Q235" s="21">
        <f t="shared" si="17"/>
        <v>53.092</v>
      </c>
    </row>
    <row r="236" s="2" customFormat="1" spans="1:17">
      <c r="A236" s="17">
        <f t="shared" si="18"/>
        <v>44431</v>
      </c>
      <c r="B236" s="25">
        <v>279.8</v>
      </c>
      <c r="C236" s="28">
        <v>1009</v>
      </c>
      <c r="D236" s="28">
        <v>36</v>
      </c>
      <c r="E236" s="28">
        <v>0</v>
      </c>
      <c r="F236" s="25">
        <v>0</v>
      </c>
      <c r="G236" s="28">
        <v>1</v>
      </c>
      <c r="H236" s="28">
        <v>0</v>
      </c>
      <c r="I236" s="28">
        <v>0</v>
      </c>
      <c r="J236" s="26">
        <v>0.0357</v>
      </c>
      <c r="K236" s="27">
        <v>7.77</v>
      </c>
      <c r="L236" s="27">
        <v>277.3</v>
      </c>
      <c r="M236" s="19">
        <v>0</v>
      </c>
      <c r="N236" s="20">
        <v>0</v>
      </c>
      <c r="O236" s="22" t="e">
        <f t="shared" si="15"/>
        <v>#DIV/0!</v>
      </c>
      <c r="P236" s="23" t="e">
        <f t="shared" si="16"/>
        <v>#DIV/0!</v>
      </c>
      <c r="Q236" s="21">
        <f t="shared" si="17"/>
        <v>279.8</v>
      </c>
    </row>
    <row r="237" s="2" customFormat="1" spans="1:17">
      <c r="A237" s="17">
        <f t="shared" si="18"/>
        <v>44432</v>
      </c>
      <c r="B237" s="25" t="s">
        <v>17</v>
      </c>
      <c r="C237" s="27" t="s">
        <v>17</v>
      </c>
      <c r="D237" s="27" t="s">
        <v>17</v>
      </c>
      <c r="E237" s="27" t="s">
        <v>17</v>
      </c>
      <c r="F237" s="25" t="s">
        <v>17</v>
      </c>
      <c r="G237" s="27" t="s">
        <v>17</v>
      </c>
      <c r="H237" s="27" t="s">
        <v>17</v>
      </c>
      <c r="I237" s="27" t="s">
        <v>17</v>
      </c>
      <c r="J237" s="27" t="s">
        <v>17</v>
      </c>
      <c r="K237" s="27" t="s">
        <v>17</v>
      </c>
      <c r="L237" s="27" t="s">
        <v>17</v>
      </c>
      <c r="M237" s="19">
        <v>0</v>
      </c>
      <c r="N237" s="20">
        <v>0</v>
      </c>
      <c r="O237" s="22" t="e">
        <f t="shared" si="15"/>
        <v>#VALUE!</v>
      </c>
      <c r="P237" s="23" t="e">
        <f t="shared" si="16"/>
        <v>#VALUE!</v>
      </c>
      <c r="Q237" s="21" t="e">
        <f t="shared" si="17"/>
        <v>#VALUE!</v>
      </c>
    </row>
    <row r="238" s="2" customFormat="1" spans="1:17">
      <c r="A238" s="17">
        <f t="shared" si="18"/>
        <v>44433</v>
      </c>
      <c r="B238" s="25">
        <v>199.68</v>
      </c>
      <c r="C238" s="28">
        <v>769</v>
      </c>
      <c r="D238" s="28">
        <v>35</v>
      </c>
      <c r="E238" s="28">
        <v>0</v>
      </c>
      <c r="F238" s="25">
        <v>0</v>
      </c>
      <c r="G238" s="28">
        <v>1</v>
      </c>
      <c r="H238" s="28">
        <v>0</v>
      </c>
      <c r="I238" s="28">
        <v>1</v>
      </c>
      <c r="J238" s="26">
        <v>0.0455</v>
      </c>
      <c r="K238" s="27">
        <v>5.71</v>
      </c>
      <c r="L238" s="27">
        <v>259.66</v>
      </c>
      <c r="M238" s="19">
        <v>0</v>
      </c>
      <c r="N238" s="20">
        <v>0</v>
      </c>
      <c r="O238" s="22" t="e">
        <f t="shared" si="15"/>
        <v>#DIV/0!</v>
      </c>
      <c r="P238" s="23" t="e">
        <f t="shared" si="16"/>
        <v>#DIV/0!</v>
      </c>
      <c r="Q238" s="21">
        <f t="shared" si="17"/>
        <v>199.68</v>
      </c>
    </row>
    <row r="239" s="2" customFormat="1" spans="1:17">
      <c r="A239" s="17">
        <f t="shared" si="18"/>
        <v>44434</v>
      </c>
      <c r="B239" s="25">
        <v>288.21</v>
      </c>
      <c r="C239" s="28">
        <v>979</v>
      </c>
      <c r="D239" s="28">
        <v>37</v>
      </c>
      <c r="E239" s="28">
        <v>0</v>
      </c>
      <c r="F239" s="25">
        <v>0</v>
      </c>
      <c r="G239" s="28">
        <v>0</v>
      </c>
      <c r="H239" s="28">
        <v>0</v>
      </c>
      <c r="I239" s="28">
        <v>0</v>
      </c>
      <c r="J239" s="26">
        <v>0.0378</v>
      </c>
      <c r="K239" s="27">
        <v>7.79</v>
      </c>
      <c r="L239" s="27">
        <v>294.39</v>
      </c>
      <c r="M239" s="19">
        <v>0</v>
      </c>
      <c r="N239" s="20">
        <v>0</v>
      </c>
      <c r="O239" s="22" t="e">
        <f t="shared" si="15"/>
        <v>#DIV/0!</v>
      </c>
      <c r="P239" s="23" t="e">
        <f t="shared" si="16"/>
        <v>#DIV/0!</v>
      </c>
      <c r="Q239" s="21" t="e">
        <f t="shared" si="17"/>
        <v>#DIV/0!</v>
      </c>
    </row>
    <row r="240" s="2" customFormat="1" spans="1:17">
      <c r="A240" s="17">
        <f t="shared" si="18"/>
        <v>44435</v>
      </c>
      <c r="B240" s="25">
        <v>284.79</v>
      </c>
      <c r="C240" s="28">
        <v>1053</v>
      </c>
      <c r="D240" s="28">
        <v>34</v>
      </c>
      <c r="E240" s="28">
        <v>0</v>
      </c>
      <c r="F240" s="25">
        <v>0</v>
      </c>
      <c r="G240" s="28">
        <v>1</v>
      </c>
      <c r="H240" s="28">
        <v>0</v>
      </c>
      <c r="I240" s="28">
        <v>0</v>
      </c>
      <c r="J240" s="26">
        <v>0.0323</v>
      </c>
      <c r="K240" s="27">
        <v>8.38</v>
      </c>
      <c r="L240" s="27">
        <v>270.46</v>
      </c>
      <c r="M240" s="19">
        <v>0</v>
      </c>
      <c r="N240" s="20">
        <v>0</v>
      </c>
      <c r="O240" s="22" t="e">
        <f t="shared" si="15"/>
        <v>#DIV/0!</v>
      </c>
      <c r="P240" s="23" t="e">
        <f t="shared" si="16"/>
        <v>#DIV/0!</v>
      </c>
      <c r="Q240" s="21">
        <f t="shared" si="17"/>
        <v>284.79</v>
      </c>
    </row>
    <row r="241" s="2" customFormat="1" spans="1:17">
      <c r="A241" s="17">
        <f t="shared" si="18"/>
        <v>44436</v>
      </c>
      <c r="B241" s="25">
        <v>272.49</v>
      </c>
      <c r="C241" s="28">
        <v>1047</v>
      </c>
      <c r="D241" s="28">
        <v>27</v>
      </c>
      <c r="E241" s="28">
        <v>0</v>
      </c>
      <c r="F241" s="25">
        <v>0</v>
      </c>
      <c r="G241" s="28">
        <v>3</v>
      </c>
      <c r="H241" s="28">
        <v>0</v>
      </c>
      <c r="I241" s="28">
        <v>0</v>
      </c>
      <c r="J241" s="26">
        <v>0.0258</v>
      </c>
      <c r="K241" s="27">
        <v>10.09</v>
      </c>
      <c r="L241" s="27">
        <v>272.49</v>
      </c>
      <c r="M241" s="19">
        <v>0</v>
      </c>
      <c r="N241" s="20">
        <v>0</v>
      </c>
      <c r="O241" s="22" t="e">
        <f t="shared" si="15"/>
        <v>#DIV/0!</v>
      </c>
      <c r="P241" s="23" t="e">
        <f t="shared" si="16"/>
        <v>#DIV/0!</v>
      </c>
      <c r="Q241" s="21">
        <f t="shared" si="17"/>
        <v>90.83</v>
      </c>
    </row>
    <row r="242" s="2" customFormat="1" spans="1:17">
      <c r="A242" s="17">
        <f t="shared" si="18"/>
        <v>44437</v>
      </c>
      <c r="B242" s="25">
        <v>257.08</v>
      </c>
      <c r="C242" s="28">
        <v>1158</v>
      </c>
      <c r="D242" s="28">
        <v>49</v>
      </c>
      <c r="E242" s="28">
        <v>0</v>
      </c>
      <c r="F242" s="25">
        <v>0</v>
      </c>
      <c r="G242" s="28">
        <v>1</v>
      </c>
      <c r="H242" s="28">
        <v>0</v>
      </c>
      <c r="I242" s="28">
        <v>1</v>
      </c>
      <c r="J242" s="26">
        <v>0.0423</v>
      </c>
      <c r="K242" s="27">
        <v>5.25</v>
      </c>
      <c r="L242" s="27">
        <v>222</v>
      </c>
      <c r="M242" s="19">
        <v>0</v>
      </c>
      <c r="N242" s="20">
        <v>0</v>
      </c>
      <c r="O242" s="22" t="e">
        <f t="shared" si="15"/>
        <v>#DIV/0!</v>
      </c>
      <c r="P242" s="23" t="e">
        <f t="shared" si="16"/>
        <v>#DIV/0!</v>
      </c>
      <c r="Q242" s="21">
        <f t="shared" si="17"/>
        <v>257.08</v>
      </c>
    </row>
    <row r="243" s="2" customFormat="1" spans="1:17">
      <c r="A243" s="17">
        <f t="shared" si="18"/>
        <v>44438</v>
      </c>
      <c r="B243" s="25">
        <v>295.03</v>
      </c>
      <c r="C243" s="28">
        <v>1150</v>
      </c>
      <c r="D243" s="28">
        <v>35</v>
      </c>
      <c r="E243" s="28">
        <v>0</v>
      </c>
      <c r="F243" s="25">
        <v>0</v>
      </c>
      <c r="G243" s="28">
        <v>1</v>
      </c>
      <c r="H243" s="28">
        <v>0</v>
      </c>
      <c r="I243" s="28">
        <v>0</v>
      </c>
      <c r="J243" s="26">
        <v>0.0304</v>
      </c>
      <c r="K243" s="27">
        <v>8.43</v>
      </c>
      <c r="L243" s="27">
        <v>256.55</v>
      </c>
      <c r="M243" s="19">
        <v>0</v>
      </c>
      <c r="N243" s="20">
        <v>0</v>
      </c>
      <c r="O243" s="22" t="e">
        <f t="shared" si="15"/>
        <v>#DIV/0!</v>
      </c>
      <c r="P243" s="23" t="e">
        <f t="shared" si="16"/>
        <v>#DIV/0!</v>
      </c>
      <c r="Q243" s="21">
        <f t="shared" si="17"/>
        <v>295.03</v>
      </c>
    </row>
    <row r="244" s="2" customFormat="1" spans="1:17">
      <c r="A244" s="17">
        <f t="shared" si="18"/>
        <v>44439</v>
      </c>
      <c r="B244" s="25">
        <v>298.7</v>
      </c>
      <c r="C244" s="28">
        <v>1026</v>
      </c>
      <c r="D244" s="28">
        <v>34</v>
      </c>
      <c r="E244" s="28">
        <v>0</v>
      </c>
      <c r="F244" s="25">
        <v>0</v>
      </c>
      <c r="G244" s="28">
        <v>3</v>
      </c>
      <c r="H244" s="28">
        <v>1</v>
      </c>
      <c r="I244" s="28">
        <v>3</v>
      </c>
      <c r="J244" s="26">
        <v>0.0331</v>
      </c>
      <c r="K244" s="27">
        <v>8.79</v>
      </c>
      <c r="L244" s="27">
        <v>298.7</v>
      </c>
      <c r="M244" s="19">
        <v>0</v>
      </c>
      <c r="N244" s="20">
        <v>0</v>
      </c>
      <c r="O244" s="22" t="e">
        <f t="shared" si="15"/>
        <v>#DIV/0!</v>
      </c>
      <c r="P244" s="23" t="e">
        <f t="shared" si="16"/>
        <v>#DIV/0!</v>
      </c>
      <c r="Q244" s="21">
        <f t="shared" si="17"/>
        <v>99.5666666666667</v>
      </c>
    </row>
    <row r="245" s="2" customFormat="1" spans="1:17">
      <c r="A245" s="17">
        <f t="shared" si="18"/>
        <v>44440</v>
      </c>
      <c r="B245" s="25">
        <v>355.12</v>
      </c>
      <c r="C245" s="28">
        <v>1348</v>
      </c>
      <c r="D245" s="28">
        <v>36</v>
      </c>
      <c r="E245" s="28">
        <v>0</v>
      </c>
      <c r="F245" s="25">
        <v>0</v>
      </c>
      <c r="G245" s="28">
        <v>0</v>
      </c>
      <c r="H245" s="28">
        <v>0</v>
      </c>
      <c r="I245" s="28">
        <v>0</v>
      </c>
      <c r="J245" s="26">
        <v>0.0267</v>
      </c>
      <c r="K245" s="27">
        <v>9.86</v>
      </c>
      <c r="L245" s="27">
        <v>263.44</v>
      </c>
      <c r="M245" s="19">
        <v>0</v>
      </c>
      <c r="N245" s="20">
        <v>0</v>
      </c>
      <c r="O245" s="22" t="e">
        <f t="shared" si="15"/>
        <v>#DIV/0!</v>
      </c>
      <c r="P245" s="23" t="e">
        <f t="shared" si="16"/>
        <v>#DIV/0!</v>
      </c>
      <c r="Q245" s="21" t="e">
        <f t="shared" si="17"/>
        <v>#DIV/0!</v>
      </c>
    </row>
    <row r="246" s="2" customFormat="1" spans="1:17">
      <c r="A246" s="17">
        <f t="shared" si="18"/>
        <v>44441</v>
      </c>
      <c r="B246" s="25">
        <v>303.18</v>
      </c>
      <c r="C246" s="28">
        <v>1261</v>
      </c>
      <c r="D246" s="28">
        <v>36</v>
      </c>
      <c r="E246" s="28">
        <v>0</v>
      </c>
      <c r="F246" s="25">
        <v>0</v>
      </c>
      <c r="G246" s="28">
        <v>2</v>
      </c>
      <c r="H246" s="28">
        <v>0</v>
      </c>
      <c r="I246" s="28">
        <v>0</v>
      </c>
      <c r="J246" s="26">
        <v>0.0285</v>
      </c>
      <c r="K246" s="27">
        <v>8.42</v>
      </c>
      <c r="L246" s="27">
        <v>240.43</v>
      </c>
      <c r="M246" s="19">
        <v>0</v>
      </c>
      <c r="N246" s="20">
        <v>0</v>
      </c>
      <c r="O246" s="22" t="e">
        <f t="shared" si="15"/>
        <v>#DIV/0!</v>
      </c>
      <c r="P246" s="23" t="e">
        <f t="shared" si="16"/>
        <v>#DIV/0!</v>
      </c>
      <c r="Q246" s="21">
        <f t="shared" si="17"/>
        <v>151.59</v>
      </c>
    </row>
    <row r="247" s="2" customFormat="1" spans="1:17">
      <c r="A247" s="17">
        <f t="shared" si="18"/>
        <v>44442</v>
      </c>
      <c r="B247" s="25">
        <v>353.35</v>
      </c>
      <c r="C247" s="28">
        <v>1320</v>
      </c>
      <c r="D247" s="28">
        <v>24</v>
      </c>
      <c r="E247" s="28">
        <v>2</v>
      </c>
      <c r="F247" s="32">
        <v>0.02</v>
      </c>
      <c r="G247" s="28">
        <v>0</v>
      </c>
      <c r="H247" s="28">
        <v>0</v>
      </c>
      <c r="I247" s="28">
        <v>2</v>
      </c>
      <c r="J247" s="26">
        <v>0.0182</v>
      </c>
      <c r="K247" s="27">
        <v>14.72</v>
      </c>
      <c r="L247" s="27">
        <v>353.35</v>
      </c>
      <c r="M247" s="19">
        <v>0</v>
      </c>
      <c r="N247" s="20">
        <v>0</v>
      </c>
      <c r="O247" s="22">
        <f t="shared" si="15"/>
        <v>0.01</v>
      </c>
      <c r="P247" s="23">
        <f t="shared" si="16"/>
        <v>176.675</v>
      </c>
      <c r="Q247" s="21" t="e">
        <f t="shared" si="17"/>
        <v>#DIV/0!</v>
      </c>
    </row>
    <row r="248" s="2" customFormat="1" spans="1:17">
      <c r="A248" s="17">
        <f t="shared" si="18"/>
        <v>44443</v>
      </c>
      <c r="B248" s="25" t="s">
        <v>17</v>
      </c>
      <c r="C248" s="27" t="s">
        <v>17</v>
      </c>
      <c r="D248" s="27" t="s">
        <v>17</v>
      </c>
      <c r="E248" s="27" t="s">
        <v>17</v>
      </c>
      <c r="F248" s="25" t="s">
        <v>17</v>
      </c>
      <c r="G248" s="27" t="s">
        <v>17</v>
      </c>
      <c r="H248" s="27" t="s">
        <v>17</v>
      </c>
      <c r="I248" s="27" t="s">
        <v>17</v>
      </c>
      <c r="J248" s="27" t="s">
        <v>17</v>
      </c>
      <c r="K248" s="27" t="s">
        <v>17</v>
      </c>
      <c r="L248" s="27" t="s">
        <v>17</v>
      </c>
      <c r="M248" s="19">
        <v>0</v>
      </c>
      <c r="N248" s="20">
        <v>0</v>
      </c>
      <c r="O248" s="22" t="e">
        <f t="shared" si="15"/>
        <v>#VALUE!</v>
      </c>
      <c r="P248" s="23" t="e">
        <f t="shared" si="16"/>
        <v>#VALUE!</v>
      </c>
      <c r="Q248" s="21" t="e">
        <f t="shared" si="17"/>
        <v>#VALUE!</v>
      </c>
    </row>
    <row r="249" s="2" customFormat="1" spans="1:17">
      <c r="A249" s="17">
        <f t="shared" si="18"/>
        <v>44444</v>
      </c>
      <c r="B249" s="25">
        <v>298.2</v>
      </c>
      <c r="C249" s="28">
        <v>1201</v>
      </c>
      <c r="D249" s="28">
        <v>25</v>
      </c>
      <c r="E249" s="28">
        <v>0</v>
      </c>
      <c r="F249" s="25">
        <v>0</v>
      </c>
      <c r="G249" s="28">
        <v>0</v>
      </c>
      <c r="H249" s="28">
        <v>1</v>
      </c>
      <c r="I249" s="28">
        <v>1</v>
      </c>
      <c r="J249" s="26">
        <v>0.0208</v>
      </c>
      <c r="K249" s="27">
        <v>11.93</v>
      </c>
      <c r="L249" s="27">
        <v>248.29</v>
      </c>
      <c r="M249" s="19">
        <v>0</v>
      </c>
      <c r="N249" s="20">
        <v>0</v>
      </c>
      <c r="O249" s="22" t="e">
        <f t="shared" si="15"/>
        <v>#DIV/0!</v>
      </c>
      <c r="P249" s="23" t="e">
        <f t="shared" si="16"/>
        <v>#DIV/0!</v>
      </c>
      <c r="Q249" s="21" t="e">
        <f t="shared" si="17"/>
        <v>#DIV/0!</v>
      </c>
    </row>
    <row r="250" s="2" customFormat="1" spans="1:17">
      <c r="A250" s="17">
        <f t="shared" si="18"/>
        <v>44445</v>
      </c>
      <c r="B250" s="25">
        <v>267.99</v>
      </c>
      <c r="C250" s="28">
        <v>1050</v>
      </c>
      <c r="D250" s="28">
        <v>26</v>
      </c>
      <c r="E250" s="28">
        <v>0</v>
      </c>
      <c r="F250" s="25">
        <v>0</v>
      </c>
      <c r="G250" s="28">
        <v>0</v>
      </c>
      <c r="H250" s="28">
        <v>0</v>
      </c>
      <c r="I250" s="28">
        <v>0</v>
      </c>
      <c r="J250" s="26">
        <v>0.0248</v>
      </c>
      <c r="K250" s="27">
        <v>10.31</v>
      </c>
      <c r="L250" s="27">
        <v>255.23</v>
      </c>
      <c r="M250" s="19">
        <v>0</v>
      </c>
      <c r="N250" s="20">
        <v>0</v>
      </c>
      <c r="O250" s="22" t="e">
        <f t="shared" si="15"/>
        <v>#DIV/0!</v>
      </c>
      <c r="P250" s="23" t="e">
        <f t="shared" si="16"/>
        <v>#DIV/0!</v>
      </c>
      <c r="Q250" s="21" t="e">
        <f t="shared" si="17"/>
        <v>#DIV/0!</v>
      </c>
    </row>
    <row r="251" s="2" customFormat="1" spans="1:17">
      <c r="A251" s="17">
        <f t="shared" si="18"/>
        <v>44446</v>
      </c>
      <c r="B251" s="25" t="s">
        <v>17</v>
      </c>
      <c r="C251" s="27" t="s">
        <v>17</v>
      </c>
      <c r="D251" s="27" t="s">
        <v>17</v>
      </c>
      <c r="E251" s="27" t="s">
        <v>17</v>
      </c>
      <c r="F251" s="25" t="s">
        <v>17</v>
      </c>
      <c r="G251" s="27" t="s">
        <v>17</v>
      </c>
      <c r="H251" s="27" t="s">
        <v>17</v>
      </c>
      <c r="I251" s="27" t="s">
        <v>17</v>
      </c>
      <c r="J251" s="27" t="s">
        <v>17</v>
      </c>
      <c r="K251" s="27" t="s">
        <v>17</v>
      </c>
      <c r="L251" s="27" t="s">
        <v>17</v>
      </c>
      <c r="M251" s="19">
        <v>0</v>
      </c>
      <c r="N251" s="20">
        <v>0</v>
      </c>
      <c r="O251" s="22" t="e">
        <f t="shared" si="15"/>
        <v>#VALUE!</v>
      </c>
      <c r="P251" s="23" t="e">
        <f t="shared" si="16"/>
        <v>#VALUE!</v>
      </c>
      <c r="Q251" s="21" t="e">
        <f t="shared" si="17"/>
        <v>#VALUE!</v>
      </c>
    </row>
    <row r="252" s="2" customFormat="1" spans="1:17">
      <c r="A252" s="17">
        <f t="shared" si="18"/>
        <v>44447</v>
      </c>
      <c r="B252" s="25">
        <v>294.57</v>
      </c>
      <c r="C252" s="28">
        <v>1059</v>
      </c>
      <c r="D252" s="28">
        <v>43</v>
      </c>
      <c r="E252" s="28">
        <v>0</v>
      </c>
      <c r="F252" s="25">
        <v>0</v>
      </c>
      <c r="G252" s="28">
        <v>1</v>
      </c>
      <c r="H252" s="28">
        <v>1</v>
      </c>
      <c r="I252" s="28">
        <v>1</v>
      </c>
      <c r="J252" s="26">
        <v>0.0406</v>
      </c>
      <c r="K252" s="27">
        <v>6.85</v>
      </c>
      <c r="L252" s="27">
        <v>278.16</v>
      </c>
      <c r="M252" s="19">
        <v>0</v>
      </c>
      <c r="N252" s="20">
        <v>0</v>
      </c>
      <c r="O252" s="22" t="e">
        <f t="shared" si="15"/>
        <v>#DIV/0!</v>
      </c>
      <c r="P252" s="23" t="e">
        <f t="shared" si="16"/>
        <v>#DIV/0!</v>
      </c>
      <c r="Q252" s="21">
        <f t="shared" si="17"/>
        <v>294.57</v>
      </c>
    </row>
    <row r="253" s="2" customFormat="1" spans="1:17">
      <c r="A253" s="17">
        <f t="shared" si="18"/>
        <v>44448</v>
      </c>
      <c r="B253" s="25">
        <v>276.23</v>
      </c>
      <c r="C253" s="28">
        <v>982</v>
      </c>
      <c r="D253" s="28">
        <v>38</v>
      </c>
      <c r="E253" s="28">
        <v>0</v>
      </c>
      <c r="F253" s="25">
        <v>0</v>
      </c>
      <c r="G253" s="28">
        <v>1</v>
      </c>
      <c r="H253" s="28">
        <v>0</v>
      </c>
      <c r="I253" s="28">
        <v>0</v>
      </c>
      <c r="J253" s="26">
        <v>0.0387</v>
      </c>
      <c r="K253" s="27">
        <v>7.27</v>
      </c>
      <c r="L253" s="27">
        <v>281.29</v>
      </c>
      <c r="M253" s="19">
        <v>0</v>
      </c>
      <c r="N253" s="20">
        <v>0</v>
      </c>
      <c r="O253" s="22" t="e">
        <f t="shared" si="15"/>
        <v>#DIV/0!</v>
      </c>
      <c r="P253" s="23" t="e">
        <f t="shared" si="16"/>
        <v>#DIV/0!</v>
      </c>
      <c r="Q253" s="21">
        <f t="shared" si="17"/>
        <v>276.23</v>
      </c>
    </row>
    <row r="254" s="2" customFormat="1" spans="1:17">
      <c r="A254" s="17">
        <f t="shared" si="18"/>
        <v>44449</v>
      </c>
      <c r="B254" s="25">
        <v>195.14</v>
      </c>
      <c r="C254" s="28">
        <v>814</v>
      </c>
      <c r="D254" s="28">
        <v>31</v>
      </c>
      <c r="E254" s="28">
        <v>0</v>
      </c>
      <c r="F254" s="25">
        <v>0</v>
      </c>
      <c r="G254" s="28">
        <v>0</v>
      </c>
      <c r="H254" s="28">
        <v>0</v>
      </c>
      <c r="I254" s="28">
        <v>0</v>
      </c>
      <c r="J254" s="26">
        <v>0.0381</v>
      </c>
      <c r="K254" s="27">
        <v>6.29</v>
      </c>
      <c r="L254" s="27">
        <v>239.73</v>
      </c>
      <c r="M254" s="19">
        <v>0</v>
      </c>
      <c r="N254" s="20">
        <v>0</v>
      </c>
      <c r="O254" s="22" t="e">
        <f t="shared" si="15"/>
        <v>#DIV/0!</v>
      </c>
      <c r="P254" s="23" t="e">
        <f t="shared" si="16"/>
        <v>#DIV/0!</v>
      </c>
      <c r="Q254" s="21" t="e">
        <f t="shared" si="17"/>
        <v>#DIV/0!</v>
      </c>
    </row>
    <row r="255" s="2" customFormat="1" spans="1:17">
      <c r="A255" s="17">
        <f t="shared" si="18"/>
        <v>44450</v>
      </c>
      <c r="B255" s="25" t="s">
        <v>17</v>
      </c>
      <c r="C255" s="27" t="s">
        <v>17</v>
      </c>
      <c r="D255" s="27" t="s">
        <v>17</v>
      </c>
      <c r="E255" s="27" t="s">
        <v>17</v>
      </c>
      <c r="F255" s="25" t="s">
        <v>17</v>
      </c>
      <c r="G255" s="27" t="s">
        <v>17</v>
      </c>
      <c r="H255" s="27" t="s">
        <v>17</v>
      </c>
      <c r="I255" s="27" t="s">
        <v>17</v>
      </c>
      <c r="J255" s="27" t="s">
        <v>17</v>
      </c>
      <c r="K255" s="27" t="s">
        <v>17</v>
      </c>
      <c r="L255" s="27" t="s">
        <v>17</v>
      </c>
      <c r="M255" s="19">
        <v>0</v>
      </c>
      <c r="N255" s="20">
        <v>0</v>
      </c>
      <c r="O255" s="22" t="e">
        <f t="shared" si="15"/>
        <v>#VALUE!</v>
      </c>
      <c r="P255" s="23" t="e">
        <f t="shared" si="16"/>
        <v>#VALUE!</v>
      </c>
      <c r="Q255" s="21" t="e">
        <f t="shared" si="17"/>
        <v>#VALUE!</v>
      </c>
    </row>
    <row r="256" s="2" customFormat="1" spans="1:17">
      <c r="A256" s="17">
        <f t="shared" si="18"/>
        <v>44451</v>
      </c>
      <c r="B256" s="25" t="s">
        <v>17</v>
      </c>
      <c r="C256" s="27" t="s">
        <v>17</v>
      </c>
      <c r="D256" s="27" t="s">
        <v>17</v>
      </c>
      <c r="E256" s="27" t="s">
        <v>17</v>
      </c>
      <c r="F256" s="25" t="s">
        <v>17</v>
      </c>
      <c r="G256" s="27" t="s">
        <v>17</v>
      </c>
      <c r="H256" s="27" t="s">
        <v>17</v>
      </c>
      <c r="I256" s="27" t="s">
        <v>17</v>
      </c>
      <c r="J256" s="27" t="s">
        <v>17</v>
      </c>
      <c r="K256" s="27" t="s">
        <v>17</v>
      </c>
      <c r="L256" s="27" t="s">
        <v>17</v>
      </c>
      <c r="M256" s="19">
        <v>0</v>
      </c>
      <c r="N256" s="20">
        <v>0</v>
      </c>
      <c r="O256" s="22" t="e">
        <f t="shared" si="15"/>
        <v>#VALUE!</v>
      </c>
      <c r="P256" s="23" t="e">
        <f t="shared" si="16"/>
        <v>#VALUE!</v>
      </c>
      <c r="Q256" s="21" t="e">
        <f t="shared" si="17"/>
        <v>#VALUE!</v>
      </c>
    </row>
    <row r="257" s="2" customFormat="1" spans="1:17">
      <c r="A257" s="17">
        <f t="shared" si="18"/>
        <v>44452</v>
      </c>
      <c r="B257" s="25">
        <v>191.37</v>
      </c>
      <c r="C257" s="28">
        <v>883</v>
      </c>
      <c r="D257" s="28">
        <v>17</v>
      </c>
      <c r="E257" s="28">
        <v>0</v>
      </c>
      <c r="F257" s="25">
        <v>0</v>
      </c>
      <c r="G257" s="28">
        <v>0</v>
      </c>
      <c r="H257" s="28">
        <v>1</v>
      </c>
      <c r="I257" s="28">
        <v>0</v>
      </c>
      <c r="J257" s="26">
        <v>0.0193</v>
      </c>
      <c r="K257" s="27">
        <v>11.26</v>
      </c>
      <c r="L257" s="27">
        <v>216.73</v>
      </c>
      <c r="M257" s="19">
        <v>0</v>
      </c>
      <c r="N257" s="20">
        <v>0</v>
      </c>
      <c r="O257" s="22" t="e">
        <f t="shared" si="15"/>
        <v>#DIV/0!</v>
      </c>
      <c r="P257" s="23" t="e">
        <f t="shared" si="16"/>
        <v>#DIV/0!</v>
      </c>
      <c r="Q257" s="21" t="e">
        <f t="shared" si="17"/>
        <v>#DIV/0!</v>
      </c>
    </row>
    <row r="258" s="2" customFormat="1" spans="1:17">
      <c r="A258" s="17">
        <f t="shared" si="18"/>
        <v>44453</v>
      </c>
      <c r="B258" s="25" t="s">
        <v>17</v>
      </c>
      <c r="C258" s="28"/>
      <c r="D258" s="28"/>
      <c r="E258" s="28"/>
      <c r="F258" s="25"/>
      <c r="G258" s="28"/>
      <c r="H258" s="28"/>
      <c r="I258" s="28"/>
      <c r="J258" s="26"/>
      <c r="K258" s="27"/>
      <c r="L258" s="27"/>
      <c r="M258" s="19">
        <v>0</v>
      </c>
      <c r="N258" s="20">
        <v>0</v>
      </c>
      <c r="O258" s="22" t="e">
        <f t="shared" ref="O258:O321" si="19">F258/E258</f>
        <v>#DIV/0!</v>
      </c>
      <c r="P258" s="23" t="e">
        <f t="shared" ref="P258:P321" si="20">B258/E258</f>
        <v>#VALUE!</v>
      </c>
      <c r="Q258" s="21" t="e">
        <f t="shared" ref="Q258:Q321" si="21">B258/G258</f>
        <v>#VALUE!</v>
      </c>
    </row>
    <row r="259" s="2" customFormat="1" spans="1:17">
      <c r="A259" s="17">
        <f t="shared" si="18"/>
        <v>44454</v>
      </c>
      <c r="B259" s="25">
        <v>252.1</v>
      </c>
      <c r="C259" s="28">
        <v>1001</v>
      </c>
      <c r="D259" s="28">
        <v>29</v>
      </c>
      <c r="E259" s="28">
        <v>1</v>
      </c>
      <c r="F259" s="25">
        <v>0.01</v>
      </c>
      <c r="G259" s="28">
        <v>1</v>
      </c>
      <c r="H259" s="28">
        <v>0</v>
      </c>
      <c r="I259" s="28">
        <v>0</v>
      </c>
      <c r="J259" s="26">
        <v>0.029</v>
      </c>
      <c r="K259" s="27">
        <v>8.69</v>
      </c>
      <c r="L259" s="27">
        <v>251.85</v>
      </c>
      <c r="M259" s="19">
        <v>0</v>
      </c>
      <c r="N259" s="20">
        <v>0</v>
      </c>
      <c r="O259" s="22">
        <f t="shared" si="19"/>
        <v>0.01</v>
      </c>
      <c r="P259" s="23">
        <f t="shared" si="20"/>
        <v>252.1</v>
      </c>
      <c r="Q259" s="21">
        <f t="shared" si="21"/>
        <v>252.1</v>
      </c>
    </row>
    <row r="260" s="2" customFormat="1" spans="1:17">
      <c r="A260" s="17">
        <f t="shared" si="18"/>
        <v>44455</v>
      </c>
      <c r="B260" s="25">
        <v>269.62</v>
      </c>
      <c r="C260" s="28">
        <v>971</v>
      </c>
      <c r="D260" s="28">
        <v>37</v>
      </c>
      <c r="E260" s="28">
        <v>0</v>
      </c>
      <c r="F260" s="25">
        <v>0</v>
      </c>
      <c r="G260" s="28">
        <v>0</v>
      </c>
      <c r="H260" s="28">
        <v>0</v>
      </c>
      <c r="I260" s="28">
        <v>2</v>
      </c>
      <c r="J260" s="26">
        <v>0.0381</v>
      </c>
      <c r="K260" s="27">
        <v>7.29</v>
      </c>
      <c r="L260" s="27">
        <v>277.67</v>
      </c>
      <c r="M260" s="19">
        <v>0</v>
      </c>
      <c r="N260" s="20">
        <v>0</v>
      </c>
      <c r="O260" s="22" t="e">
        <f t="shared" si="19"/>
        <v>#DIV/0!</v>
      </c>
      <c r="P260" s="23" t="e">
        <f t="shared" si="20"/>
        <v>#DIV/0!</v>
      </c>
      <c r="Q260" s="21" t="e">
        <f t="shared" si="21"/>
        <v>#DIV/0!</v>
      </c>
    </row>
    <row r="261" s="2" customFormat="1" spans="1:17">
      <c r="A261" s="17">
        <f t="shared" si="18"/>
        <v>44456</v>
      </c>
      <c r="B261" s="25">
        <v>153.18</v>
      </c>
      <c r="C261" s="28">
        <v>540</v>
      </c>
      <c r="D261" s="28">
        <v>17</v>
      </c>
      <c r="E261" s="28">
        <v>0</v>
      </c>
      <c r="F261" s="25">
        <v>0</v>
      </c>
      <c r="G261" s="28">
        <v>0</v>
      </c>
      <c r="H261" s="28">
        <v>0</v>
      </c>
      <c r="I261" s="28">
        <v>2</v>
      </c>
      <c r="J261" s="26"/>
      <c r="K261" s="27"/>
      <c r="L261" s="27"/>
      <c r="M261" s="19">
        <v>0</v>
      </c>
      <c r="N261" s="20">
        <v>0</v>
      </c>
      <c r="O261" s="22" t="e">
        <f t="shared" si="19"/>
        <v>#DIV/0!</v>
      </c>
      <c r="P261" s="23" t="e">
        <f t="shared" si="20"/>
        <v>#DIV/0!</v>
      </c>
      <c r="Q261" s="21" t="e">
        <f t="shared" si="21"/>
        <v>#DIV/0!</v>
      </c>
    </row>
    <row r="262" s="2" customFormat="1" spans="1:17">
      <c r="A262" s="17">
        <f t="shared" si="18"/>
        <v>44457</v>
      </c>
      <c r="B262" s="25" t="s">
        <v>17</v>
      </c>
      <c r="C262" s="28"/>
      <c r="D262" s="28"/>
      <c r="E262" s="28"/>
      <c r="F262" s="25"/>
      <c r="G262" s="28"/>
      <c r="H262" s="28"/>
      <c r="I262" s="28"/>
      <c r="J262" s="26"/>
      <c r="K262" s="27"/>
      <c r="L262" s="27"/>
      <c r="M262" s="19">
        <v>0</v>
      </c>
      <c r="N262" s="20">
        <v>0</v>
      </c>
      <c r="O262" s="22" t="e">
        <f t="shared" si="19"/>
        <v>#DIV/0!</v>
      </c>
      <c r="P262" s="23" t="e">
        <f t="shared" si="20"/>
        <v>#VALUE!</v>
      </c>
      <c r="Q262" s="21" t="e">
        <f t="shared" si="21"/>
        <v>#VALUE!</v>
      </c>
    </row>
    <row r="263" s="2" customFormat="1" spans="1:17">
      <c r="A263" s="17">
        <f t="shared" si="18"/>
        <v>44458</v>
      </c>
      <c r="B263" s="25">
        <v>258.44</v>
      </c>
      <c r="C263" s="28">
        <v>1168</v>
      </c>
      <c r="D263" s="28">
        <v>28</v>
      </c>
      <c r="E263" s="28">
        <v>0</v>
      </c>
      <c r="F263" s="25">
        <v>0</v>
      </c>
      <c r="G263" s="28">
        <v>1</v>
      </c>
      <c r="H263" s="28">
        <v>0</v>
      </c>
      <c r="I263" s="28">
        <v>1</v>
      </c>
      <c r="J263" s="26">
        <v>0.024</v>
      </c>
      <c r="K263" s="27">
        <v>9.23</v>
      </c>
      <c r="L263" s="27">
        <v>258.44</v>
      </c>
      <c r="M263" s="19">
        <v>0</v>
      </c>
      <c r="N263" s="20">
        <v>0</v>
      </c>
      <c r="O263" s="22" t="e">
        <f t="shared" si="19"/>
        <v>#DIV/0!</v>
      </c>
      <c r="P263" s="23" t="e">
        <f t="shared" si="20"/>
        <v>#DIV/0!</v>
      </c>
      <c r="Q263" s="21">
        <f t="shared" si="21"/>
        <v>258.44</v>
      </c>
    </row>
    <row r="264" s="2" customFormat="1" spans="1:17">
      <c r="A264" s="17">
        <f t="shared" si="18"/>
        <v>44459</v>
      </c>
      <c r="B264" s="25">
        <v>255.38</v>
      </c>
      <c r="C264" s="28">
        <v>1169</v>
      </c>
      <c r="D264" s="28">
        <v>24</v>
      </c>
      <c r="E264" s="28">
        <v>0</v>
      </c>
      <c r="F264" s="25">
        <v>0</v>
      </c>
      <c r="G264" s="28">
        <v>0</v>
      </c>
      <c r="H264" s="28">
        <v>0</v>
      </c>
      <c r="I264" s="28">
        <v>0</v>
      </c>
      <c r="J264" s="26">
        <v>0.0205</v>
      </c>
      <c r="K264" s="27">
        <v>10.64</v>
      </c>
      <c r="L264" s="27">
        <v>218.46</v>
      </c>
      <c r="M264" s="19">
        <v>0</v>
      </c>
      <c r="N264" s="20">
        <v>0</v>
      </c>
      <c r="O264" s="22" t="e">
        <f t="shared" si="19"/>
        <v>#DIV/0!</v>
      </c>
      <c r="P264" s="23" t="e">
        <f t="shared" si="20"/>
        <v>#DIV/0!</v>
      </c>
      <c r="Q264" s="21" t="e">
        <f t="shared" si="21"/>
        <v>#DIV/0!</v>
      </c>
    </row>
    <row r="265" s="2" customFormat="1" spans="1:17">
      <c r="A265" s="17">
        <f t="shared" si="18"/>
        <v>44460</v>
      </c>
      <c r="B265" s="25" t="s">
        <v>17</v>
      </c>
      <c r="C265" s="27" t="s">
        <v>17</v>
      </c>
      <c r="D265" s="27" t="s">
        <v>17</v>
      </c>
      <c r="E265" s="27" t="s">
        <v>17</v>
      </c>
      <c r="F265" s="25" t="s">
        <v>17</v>
      </c>
      <c r="G265" s="27" t="s">
        <v>17</v>
      </c>
      <c r="H265" s="27" t="s">
        <v>17</v>
      </c>
      <c r="I265" s="27" t="s">
        <v>17</v>
      </c>
      <c r="J265" s="27" t="s">
        <v>17</v>
      </c>
      <c r="K265" s="27" t="s">
        <v>17</v>
      </c>
      <c r="L265" s="27" t="s">
        <v>17</v>
      </c>
      <c r="M265" s="19">
        <v>0</v>
      </c>
      <c r="N265" s="20">
        <v>0</v>
      </c>
      <c r="O265" s="22" t="e">
        <f t="shared" si="19"/>
        <v>#VALUE!</v>
      </c>
      <c r="P265" s="23" t="e">
        <f t="shared" si="20"/>
        <v>#VALUE!</v>
      </c>
      <c r="Q265" s="21" t="e">
        <f t="shared" si="21"/>
        <v>#VALUE!</v>
      </c>
    </row>
    <row r="266" s="2" customFormat="1" spans="1:17">
      <c r="A266" s="17">
        <f t="shared" si="18"/>
        <v>44461</v>
      </c>
      <c r="B266" s="25">
        <v>240</v>
      </c>
      <c r="C266" s="28">
        <v>1019</v>
      </c>
      <c r="D266" s="28">
        <v>35</v>
      </c>
      <c r="E266" s="28">
        <v>0</v>
      </c>
      <c r="F266" s="25">
        <v>0</v>
      </c>
      <c r="G266" s="28">
        <v>1</v>
      </c>
      <c r="H266" s="28">
        <v>0</v>
      </c>
      <c r="I266" s="28">
        <v>1</v>
      </c>
      <c r="J266" s="26">
        <v>0.0343</v>
      </c>
      <c r="K266" s="27">
        <v>6.86</v>
      </c>
      <c r="L266" s="27">
        <v>253.53</v>
      </c>
      <c r="M266" s="19">
        <v>0</v>
      </c>
      <c r="N266" s="20">
        <v>0</v>
      </c>
      <c r="O266" s="22" t="e">
        <f t="shared" si="19"/>
        <v>#DIV/0!</v>
      </c>
      <c r="P266" s="23" t="e">
        <f t="shared" si="20"/>
        <v>#DIV/0!</v>
      </c>
      <c r="Q266" s="21">
        <f t="shared" si="21"/>
        <v>240</v>
      </c>
    </row>
    <row r="267" s="2" customFormat="1" spans="1:17">
      <c r="A267" s="17">
        <f t="shared" si="18"/>
        <v>44462</v>
      </c>
      <c r="B267" s="25">
        <v>226.43</v>
      </c>
      <c r="C267" s="28">
        <v>978</v>
      </c>
      <c r="D267" s="28">
        <v>22</v>
      </c>
      <c r="E267" s="28">
        <v>0</v>
      </c>
      <c r="F267" s="25">
        <v>0</v>
      </c>
      <c r="G267" s="28">
        <v>0</v>
      </c>
      <c r="H267" s="28">
        <v>0</v>
      </c>
      <c r="I267" s="28">
        <v>0</v>
      </c>
      <c r="J267" s="26">
        <v>0.0225</v>
      </c>
      <c r="K267" s="27">
        <v>10.29</v>
      </c>
      <c r="L267" s="27">
        <v>231.52</v>
      </c>
      <c r="M267" s="19">
        <v>0</v>
      </c>
      <c r="N267" s="20">
        <v>0</v>
      </c>
      <c r="O267" s="22" t="e">
        <f t="shared" si="19"/>
        <v>#DIV/0!</v>
      </c>
      <c r="P267" s="23" t="e">
        <f t="shared" si="20"/>
        <v>#DIV/0!</v>
      </c>
      <c r="Q267" s="21" t="e">
        <f t="shared" si="21"/>
        <v>#DIV/0!</v>
      </c>
    </row>
    <row r="268" s="2" customFormat="1" spans="1:17">
      <c r="A268" s="17">
        <f t="shared" si="18"/>
        <v>44463</v>
      </c>
      <c r="B268" s="25">
        <v>201.88</v>
      </c>
      <c r="C268" s="28">
        <v>921</v>
      </c>
      <c r="D268" s="28">
        <v>17</v>
      </c>
      <c r="E268" s="28">
        <v>0</v>
      </c>
      <c r="F268" s="25">
        <v>0</v>
      </c>
      <c r="G268" s="28">
        <v>0</v>
      </c>
      <c r="H268" s="28">
        <v>1</v>
      </c>
      <c r="I268" s="28">
        <v>0</v>
      </c>
      <c r="J268" s="26">
        <v>0.0185</v>
      </c>
      <c r="K268" s="27">
        <v>11.88</v>
      </c>
      <c r="L268" s="27">
        <v>219.2</v>
      </c>
      <c r="M268" s="19">
        <v>0</v>
      </c>
      <c r="N268" s="20">
        <v>0</v>
      </c>
      <c r="O268" s="22" t="e">
        <f t="shared" si="19"/>
        <v>#DIV/0!</v>
      </c>
      <c r="P268" s="23" t="e">
        <f t="shared" si="20"/>
        <v>#DIV/0!</v>
      </c>
      <c r="Q268" s="21" t="e">
        <f t="shared" si="21"/>
        <v>#DIV/0!</v>
      </c>
    </row>
    <row r="269" s="2" customFormat="1" spans="1:17">
      <c r="A269" s="17">
        <f t="shared" si="18"/>
        <v>44464</v>
      </c>
      <c r="B269" s="25" t="s">
        <v>17</v>
      </c>
      <c r="C269" s="28"/>
      <c r="D269" s="28"/>
      <c r="E269" s="28"/>
      <c r="F269" s="25"/>
      <c r="G269" s="28"/>
      <c r="H269" s="28"/>
      <c r="I269" s="28"/>
      <c r="J269" s="26"/>
      <c r="K269" s="27"/>
      <c r="L269" s="27"/>
      <c r="M269" s="19">
        <v>0</v>
      </c>
      <c r="N269" s="20">
        <v>0</v>
      </c>
      <c r="O269" s="22" t="e">
        <f t="shared" si="19"/>
        <v>#DIV/0!</v>
      </c>
      <c r="P269" s="23" t="e">
        <f t="shared" si="20"/>
        <v>#VALUE!</v>
      </c>
      <c r="Q269" s="21" t="e">
        <f t="shared" si="21"/>
        <v>#VALUE!</v>
      </c>
    </row>
    <row r="270" s="2" customFormat="1" spans="1:17">
      <c r="A270" s="17">
        <f t="shared" si="18"/>
        <v>44465</v>
      </c>
      <c r="B270" s="25">
        <v>298.32</v>
      </c>
      <c r="C270" s="28">
        <v>1095</v>
      </c>
      <c r="D270" s="28">
        <v>26</v>
      </c>
      <c r="E270" s="28">
        <v>0</v>
      </c>
      <c r="F270" s="25">
        <v>0</v>
      </c>
      <c r="G270" s="28">
        <v>0</v>
      </c>
      <c r="H270" s="28">
        <v>0</v>
      </c>
      <c r="I270" s="28">
        <v>0</v>
      </c>
      <c r="J270" s="26">
        <v>0.0237</v>
      </c>
      <c r="K270" s="27">
        <v>11.47</v>
      </c>
      <c r="L270" s="27">
        <v>272.44</v>
      </c>
      <c r="M270" s="19">
        <v>0</v>
      </c>
      <c r="N270" s="20">
        <v>0</v>
      </c>
      <c r="O270" s="22" t="e">
        <f t="shared" si="19"/>
        <v>#DIV/0!</v>
      </c>
      <c r="P270" s="23" t="e">
        <f t="shared" si="20"/>
        <v>#DIV/0!</v>
      </c>
      <c r="Q270" s="21" t="e">
        <f t="shared" si="21"/>
        <v>#DIV/0!</v>
      </c>
    </row>
    <row r="271" s="2" customFormat="1" spans="1:17">
      <c r="A271" s="17">
        <f t="shared" si="18"/>
        <v>44466</v>
      </c>
      <c r="B271" s="25">
        <v>296.66</v>
      </c>
      <c r="C271" s="28">
        <v>1146</v>
      </c>
      <c r="D271" s="28">
        <v>26</v>
      </c>
      <c r="E271" s="28">
        <v>0</v>
      </c>
      <c r="F271" s="25">
        <v>0</v>
      </c>
      <c r="G271" s="28">
        <v>1</v>
      </c>
      <c r="H271" s="28">
        <v>0</v>
      </c>
      <c r="I271" s="28">
        <v>0</v>
      </c>
      <c r="J271" s="26">
        <v>0.0227</v>
      </c>
      <c r="K271" s="27">
        <v>11.41</v>
      </c>
      <c r="L271" s="27">
        <v>258.87</v>
      </c>
      <c r="M271" s="19">
        <v>0</v>
      </c>
      <c r="N271" s="20">
        <v>0</v>
      </c>
      <c r="O271" s="22" t="e">
        <f t="shared" si="19"/>
        <v>#DIV/0!</v>
      </c>
      <c r="P271" s="23" t="e">
        <f t="shared" si="20"/>
        <v>#DIV/0!</v>
      </c>
      <c r="Q271" s="21">
        <f t="shared" si="21"/>
        <v>296.66</v>
      </c>
    </row>
    <row r="272" s="2" customFormat="1" spans="1:17">
      <c r="A272" s="17">
        <f t="shared" si="18"/>
        <v>44467</v>
      </c>
      <c r="B272" s="25">
        <v>213.23</v>
      </c>
      <c r="C272" s="28">
        <v>785</v>
      </c>
      <c r="D272" s="28">
        <v>49</v>
      </c>
      <c r="E272" s="28">
        <v>0</v>
      </c>
      <c r="F272" s="25">
        <v>0</v>
      </c>
      <c r="G272" s="28">
        <v>1</v>
      </c>
      <c r="H272" s="28">
        <v>0</v>
      </c>
      <c r="I272" s="28">
        <v>3</v>
      </c>
      <c r="J272" s="26">
        <v>0.0624</v>
      </c>
      <c r="K272" s="27">
        <v>4.35</v>
      </c>
      <c r="L272" s="27">
        <v>271.63</v>
      </c>
      <c r="M272" s="19">
        <v>0</v>
      </c>
      <c r="N272" s="20">
        <v>0</v>
      </c>
      <c r="O272" s="22" t="e">
        <f t="shared" si="19"/>
        <v>#DIV/0!</v>
      </c>
      <c r="P272" s="23" t="e">
        <f t="shared" si="20"/>
        <v>#DIV/0!</v>
      </c>
      <c r="Q272" s="21">
        <f t="shared" si="21"/>
        <v>213.23</v>
      </c>
    </row>
    <row r="273" s="2" customFormat="1" spans="1:17">
      <c r="A273" s="17">
        <f t="shared" si="18"/>
        <v>44468</v>
      </c>
      <c r="B273" s="25">
        <v>284.81</v>
      </c>
      <c r="C273" s="28">
        <v>1119</v>
      </c>
      <c r="D273" s="28">
        <v>59</v>
      </c>
      <c r="E273" s="28">
        <v>0</v>
      </c>
      <c r="F273" s="25">
        <v>0</v>
      </c>
      <c r="G273" s="28">
        <v>0</v>
      </c>
      <c r="H273" s="28">
        <v>0</v>
      </c>
      <c r="I273" s="28">
        <v>0</v>
      </c>
      <c r="J273" s="26">
        <v>0.0527</v>
      </c>
      <c r="K273" s="27">
        <v>4.83</v>
      </c>
      <c r="L273" s="27">
        <v>254.52</v>
      </c>
      <c r="M273" s="19">
        <v>0</v>
      </c>
      <c r="N273" s="20">
        <v>0</v>
      </c>
      <c r="O273" s="22" t="e">
        <f t="shared" si="19"/>
        <v>#DIV/0!</v>
      </c>
      <c r="P273" s="23" t="e">
        <f t="shared" si="20"/>
        <v>#DIV/0!</v>
      </c>
      <c r="Q273" s="21" t="e">
        <f t="shared" si="21"/>
        <v>#DIV/0!</v>
      </c>
    </row>
    <row r="274" s="2" customFormat="1" spans="1:17">
      <c r="A274" s="17">
        <f t="shared" si="18"/>
        <v>44469</v>
      </c>
      <c r="B274" s="25">
        <v>249.47</v>
      </c>
      <c r="C274" s="28">
        <v>1102</v>
      </c>
      <c r="D274" s="28">
        <v>57</v>
      </c>
      <c r="E274" s="28">
        <v>3</v>
      </c>
      <c r="F274" s="25">
        <v>264</v>
      </c>
      <c r="G274" s="28">
        <v>2</v>
      </c>
      <c r="H274" s="28">
        <v>0</v>
      </c>
      <c r="I274" s="28">
        <v>2</v>
      </c>
      <c r="J274" s="26">
        <v>0.0517</v>
      </c>
      <c r="K274" s="27">
        <v>4.73</v>
      </c>
      <c r="L274" s="27">
        <v>244.53</v>
      </c>
      <c r="M274" s="19">
        <v>0</v>
      </c>
      <c r="N274" s="20">
        <v>0</v>
      </c>
      <c r="O274" s="22">
        <f t="shared" si="19"/>
        <v>88</v>
      </c>
      <c r="P274" s="23">
        <f t="shared" si="20"/>
        <v>83.1566666666667</v>
      </c>
      <c r="Q274" s="21">
        <f t="shared" si="21"/>
        <v>124.735</v>
      </c>
    </row>
    <row r="275" s="2" customFormat="1" spans="1:17">
      <c r="A275" s="17">
        <f t="shared" si="18"/>
        <v>44470</v>
      </c>
      <c r="B275" s="25">
        <v>279.55</v>
      </c>
      <c r="C275" s="28">
        <v>1275</v>
      </c>
      <c r="D275" s="28">
        <v>41</v>
      </c>
      <c r="E275" s="28">
        <v>0</v>
      </c>
      <c r="F275" s="25">
        <v>0</v>
      </c>
      <c r="G275" s="28">
        <v>2</v>
      </c>
      <c r="H275" s="28">
        <v>0</v>
      </c>
      <c r="I275" s="28">
        <v>0</v>
      </c>
      <c r="J275" s="26">
        <v>0.0322</v>
      </c>
      <c r="K275" s="27">
        <v>6.82</v>
      </c>
      <c r="L275" s="27">
        <v>219.25</v>
      </c>
      <c r="M275" s="19">
        <v>0</v>
      </c>
      <c r="N275" s="20">
        <v>0</v>
      </c>
      <c r="O275" s="22" t="e">
        <f t="shared" si="19"/>
        <v>#DIV/0!</v>
      </c>
      <c r="P275" s="23" t="e">
        <f t="shared" si="20"/>
        <v>#DIV/0!</v>
      </c>
      <c r="Q275" s="21">
        <f t="shared" si="21"/>
        <v>139.775</v>
      </c>
    </row>
    <row r="276" s="2" customFormat="1" spans="1:17">
      <c r="A276" s="17">
        <f t="shared" si="18"/>
        <v>44471</v>
      </c>
      <c r="B276" s="25" t="s">
        <v>17</v>
      </c>
      <c r="C276" s="28"/>
      <c r="D276" s="28"/>
      <c r="E276" s="28"/>
      <c r="F276" s="25"/>
      <c r="G276" s="28"/>
      <c r="H276" s="28"/>
      <c r="I276" s="28"/>
      <c r="J276" s="26"/>
      <c r="K276" s="27"/>
      <c r="L276" s="27"/>
      <c r="M276" s="19">
        <v>0</v>
      </c>
      <c r="N276" s="20">
        <v>0</v>
      </c>
      <c r="O276" s="22" t="e">
        <f t="shared" si="19"/>
        <v>#DIV/0!</v>
      </c>
      <c r="P276" s="23" t="e">
        <f t="shared" si="20"/>
        <v>#VALUE!</v>
      </c>
      <c r="Q276" s="21" t="e">
        <f t="shared" si="21"/>
        <v>#VALUE!</v>
      </c>
    </row>
    <row r="277" s="2" customFormat="1" spans="1:17">
      <c r="A277" s="17">
        <f t="shared" si="18"/>
        <v>44472</v>
      </c>
      <c r="B277" s="25">
        <v>263.6</v>
      </c>
      <c r="C277" s="28">
        <v>1288</v>
      </c>
      <c r="D277" s="28">
        <v>27</v>
      </c>
      <c r="E277" s="28">
        <v>0</v>
      </c>
      <c r="F277" s="25">
        <v>0</v>
      </c>
      <c r="G277" s="28">
        <v>1</v>
      </c>
      <c r="H277" s="28">
        <v>0</v>
      </c>
      <c r="I277" s="28">
        <v>0</v>
      </c>
      <c r="J277" s="26">
        <v>0.021</v>
      </c>
      <c r="K277" s="27">
        <v>9.76</v>
      </c>
      <c r="L277" s="27">
        <v>204.66</v>
      </c>
      <c r="M277" s="19">
        <v>0</v>
      </c>
      <c r="N277" s="20">
        <v>0</v>
      </c>
      <c r="O277" s="22" t="e">
        <f t="shared" si="19"/>
        <v>#DIV/0!</v>
      </c>
      <c r="P277" s="23" t="e">
        <f t="shared" si="20"/>
        <v>#DIV/0!</v>
      </c>
      <c r="Q277" s="21">
        <f t="shared" si="21"/>
        <v>263.6</v>
      </c>
    </row>
    <row r="278" s="2" customFormat="1" spans="1:17">
      <c r="A278" s="17">
        <f t="shared" si="18"/>
        <v>44473</v>
      </c>
      <c r="B278" s="25">
        <v>285.11</v>
      </c>
      <c r="C278" s="28">
        <v>1304</v>
      </c>
      <c r="D278" s="28">
        <v>40</v>
      </c>
      <c r="E278" s="28">
        <v>0</v>
      </c>
      <c r="F278" s="25">
        <v>0</v>
      </c>
      <c r="G278" s="28">
        <v>4</v>
      </c>
      <c r="H278" s="28">
        <v>0</v>
      </c>
      <c r="I278" s="28">
        <v>0</v>
      </c>
      <c r="J278" s="26">
        <v>0.0307</v>
      </c>
      <c r="K278" s="27">
        <v>7.13</v>
      </c>
      <c r="L278" s="27">
        <v>218.64</v>
      </c>
      <c r="M278" s="19">
        <v>0</v>
      </c>
      <c r="N278" s="20">
        <v>0</v>
      </c>
      <c r="O278" s="22" t="e">
        <f t="shared" si="19"/>
        <v>#DIV/0!</v>
      </c>
      <c r="P278" s="23" t="e">
        <f t="shared" si="20"/>
        <v>#DIV/0!</v>
      </c>
      <c r="Q278" s="21">
        <f t="shared" si="21"/>
        <v>71.2775</v>
      </c>
    </row>
    <row r="279" s="2" customFormat="1" spans="1:17">
      <c r="A279" s="17">
        <f t="shared" si="18"/>
        <v>44474</v>
      </c>
      <c r="B279" s="25" t="s">
        <v>17</v>
      </c>
      <c r="C279" s="28"/>
      <c r="D279" s="28"/>
      <c r="E279" s="28"/>
      <c r="F279" s="25"/>
      <c r="G279" s="28"/>
      <c r="H279" s="28"/>
      <c r="I279" s="28"/>
      <c r="J279" s="26"/>
      <c r="K279" s="27"/>
      <c r="L279" s="27"/>
      <c r="M279" s="19">
        <v>0</v>
      </c>
      <c r="N279" s="20">
        <v>0</v>
      </c>
      <c r="O279" s="22" t="e">
        <f t="shared" si="19"/>
        <v>#DIV/0!</v>
      </c>
      <c r="P279" s="23" t="e">
        <f t="shared" si="20"/>
        <v>#VALUE!</v>
      </c>
      <c r="Q279" s="21" t="e">
        <f t="shared" si="21"/>
        <v>#VALUE!</v>
      </c>
    </row>
    <row r="280" s="2" customFormat="1" spans="1:17">
      <c r="A280" s="17">
        <f t="shared" si="18"/>
        <v>44475</v>
      </c>
      <c r="B280" s="25">
        <v>298.87</v>
      </c>
      <c r="C280" s="28">
        <v>1087</v>
      </c>
      <c r="D280" s="28">
        <v>31</v>
      </c>
      <c r="E280" s="28">
        <v>0</v>
      </c>
      <c r="F280" s="25">
        <v>0</v>
      </c>
      <c r="G280" s="28">
        <v>2</v>
      </c>
      <c r="H280" s="28">
        <v>0</v>
      </c>
      <c r="I280" s="28">
        <v>0</v>
      </c>
      <c r="J280" s="26">
        <v>0.0285</v>
      </c>
      <c r="K280" s="27">
        <v>9.64</v>
      </c>
      <c r="L280" s="27">
        <v>274.95</v>
      </c>
      <c r="M280" s="19">
        <v>0</v>
      </c>
      <c r="N280" s="20">
        <v>0</v>
      </c>
      <c r="O280" s="22" t="e">
        <f t="shared" si="19"/>
        <v>#DIV/0!</v>
      </c>
      <c r="P280" s="23" t="e">
        <f t="shared" si="20"/>
        <v>#DIV/0!</v>
      </c>
      <c r="Q280" s="21">
        <f t="shared" si="21"/>
        <v>149.435</v>
      </c>
    </row>
    <row r="281" s="2" customFormat="1" spans="1:17">
      <c r="A281" s="17">
        <f t="shared" si="18"/>
        <v>44476</v>
      </c>
      <c r="B281" s="25">
        <v>298.74</v>
      </c>
      <c r="C281" s="28">
        <v>1006</v>
      </c>
      <c r="D281" s="28">
        <v>36</v>
      </c>
      <c r="E281" s="28">
        <v>2</v>
      </c>
      <c r="F281" s="25">
        <v>386</v>
      </c>
      <c r="G281" s="28">
        <v>4</v>
      </c>
      <c r="H281" s="28">
        <v>0</v>
      </c>
      <c r="I281" s="28">
        <v>1</v>
      </c>
      <c r="J281" s="26">
        <v>0.0358</v>
      </c>
      <c r="K281" s="27">
        <v>8.3</v>
      </c>
      <c r="L281" s="27">
        <v>296.96</v>
      </c>
      <c r="M281" s="19">
        <v>0</v>
      </c>
      <c r="N281" s="20">
        <v>0</v>
      </c>
      <c r="O281" s="22">
        <f t="shared" si="19"/>
        <v>193</v>
      </c>
      <c r="P281" s="23">
        <f t="shared" si="20"/>
        <v>149.37</v>
      </c>
      <c r="Q281" s="21">
        <f t="shared" si="21"/>
        <v>74.685</v>
      </c>
    </row>
    <row r="282" s="2" customFormat="1" spans="1:17">
      <c r="A282" s="17">
        <f t="shared" si="18"/>
        <v>44477</v>
      </c>
      <c r="B282" s="25">
        <v>297.17</v>
      </c>
      <c r="C282" s="28">
        <v>1069</v>
      </c>
      <c r="D282" s="28">
        <v>28</v>
      </c>
      <c r="E282" s="28">
        <v>0</v>
      </c>
      <c r="F282" s="25">
        <v>0</v>
      </c>
      <c r="G282" s="28">
        <v>1</v>
      </c>
      <c r="H282" s="28">
        <v>2</v>
      </c>
      <c r="I282" s="28">
        <v>1</v>
      </c>
      <c r="J282" s="26">
        <v>0.0262</v>
      </c>
      <c r="K282" s="27">
        <v>10.61</v>
      </c>
      <c r="L282" s="27">
        <v>277.99</v>
      </c>
      <c r="M282" s="19">
        <v>0</v>
      </c>
      <c r="N282" s="20">
        <v>0</v>
      </c>
      <c r="O282" s="22" t="e">
        <f t="shared" si="19"/>
        <v>#DIV/0!</v>
      </c>
      <c r="P282" s="23" t="e">
        <f t="shared" si="20"/>
        <v>#DIV/0!</v>
      </c>
      <c r="Q282" s="21">
        <f t="shared" si="21"/>
        <v>297.17</v>
      </c>
    </row>
    <row r="283" s="2" customFormat="1" spans="1:17">
      <c r="A283" s="17">
        <f t="shared" si="18"/>
        <v>44478</v>
      </c>
      <c r="B283" s="25" t="s">
        <v>17</v>
      </c>
      <c r="C283" s="28"/>
      <c r="D283" s="28"/>
      <c r="E283" s="28"/>
      <c r="F283" s="25"/>
      <c r="G283" s="28"/>
      <c r="H283" s="28"/>
      <c r="I283" s="28"/>
      <c r="J283" s="26"/>
      <c r="K283" s="27"/>
      <c r="L283" s="27"/>
      <c r="M283" s="19">
        <v>0</v>
      </c>
      <c r="N283" s="20">
        <v>0</v>
      </c>
      <c r="O283" s="22" t="e">
        <f t="shared" si="19"/>
        <v>#DIV/0!</v>
      </c>
      <c r="P283" s="23" t="e">
        <f t="shared" si="20"/>
        <v>#VALUE!</v>
      </c>
      <c r="Q283" s="21" t="e">
        <f t="shared" si="21"/>
        <v>#VALUE!</v>
      </c>
    </row>
    <row r="284" s="2" customFormat="1" spans="1:17">
      <c r="A284" s="17">
        <f t="shared" si="18"/>
        <v>44479</v>
      </c>
      <c r="B284" s="25">
        <v>288.29</v>
      </c>
      <c r="C284" s="28">
        <v>1205</v>
      </c>
      <c r="D284" s="28">
        <v>33</v>
      </c>
      <c r="E284" s="28">
        <v>0</v>
      </c>
      <c r="F284" s="25">
        <v>0</v>
      </c>
      <c r="G284" s="28">
        <v>1</v>
      </c>
      <c r="H284" s="28">
        <v>0</v>
      </c>
      <c r="I284" s="28">
        <v>3</v>
      </c>
      <c r="J284" s="26">
        <v>0.0274</v>
      </c>
      <c r="K284" s="27">
        <v>8.74</v>
      </c>
      <c r="L284" s="27">
        <v>239.24</v>
      </c>
      <c r="M284" s="19">
        <v>0</v>
      </c>
      <c r="N284" s="20">
        <v>0</v>
      </c>
      <c r="O284" s="22" t="e">
        <f t="shared" si="19"/>
        <v>#DIV/0!</v>
      </c>
      <c r="P284" s="23" t="e">
        <f t="shared" si="20"/>
        <v>#DIV/0!</v>
      </c>
      <c r="Q284" s="21">
        <f t="shared" si="21"/>
        <v>288.29</v>
      </c>
    </row>
    <row r="285" s="2" customFormat="1" spans="1:17">
      <c r="A285" s="17">
        <f t="shared" si="18"/>
        <v>44480</v>
      </c>
      <c r="B285" s="25">
        <v>298.88</v>
      </c>
      <c r="C285" s="28">
        <v>1019</v>
      </c>
      <c r="D285" s="28">
        <v>30</v>
      </c>
      <c r="E285" s="28">
        <v>0</v>
      </c>
      <c r="F285" s="25">
        <v>0</v>
      </c>
      <c r="G285" s="28">
        <v>2</v>
      </c>
      <c r="H285" s="28">
        <v>0</v>
      </c>
      <c r="I285" s="28">
        <v>1</v>
      </c>
      <c r="J285" s="26">
        <v>0.0294</v>
      </c>
      <c r="K285" s="27">
        <v>9.96</v>
      </c>
      <c r="L285" s="27">
        <v>293.31</v>
      </c>
      <c r="M285" s="19">
        <v>0</v>
      </c>
      <c r="N285" s="20">
        <v>0</v>
      </c>
      <c r="O285" s="22" t="e">
        <f t="shared" si="19"/>
        <v>#DIV/0!</v>
      </c>
      <c r="P285" s="23" t="e">
        <f t="shared" si="20"/>
        <v>#DIV/0!</v>
      </c>
      <c r="Q285" s="21">
        <f t="shared" si="21"/>
        <v>149.44</v>
      </c>
    </row>
    <row r="286" s="2" customFormat="1" spans="1:17">
      <c r="A286" s="17">
        <f t="shared" si="18"/>
        <v>44481</v>
      </c>
      <c r="B286" s="25" t="s">
        <v>17</v>
      </c>
      <c r="C286" s="28"/>
      <c r="D286" s="28"/>
      <c r="E286" s="28"/>
      <c r="F286" s="25"/>
      <c r="G286" s="28"/>
      <c r="H286" s="28"/>
      <c r="I286" s="28"/>
      <c r="J286" s="26"/>
      <c r="K286" s="27"/>
      <c r="L286" s="27"/>
      <c r="M286" s="19">
        <v>0</v>
      </c>
      <c r="N286" s="20">
        <v>0</v>
      </c>
      <c r="O286" s="22" t="e">
        <f t="shared" si="19"/>
        <v>#DIV/0!</v>
      </c>
      <c r="P286" s="23" t="e">
        <f t="shared" si="20"/>
        <v>#VALUE!</v>
      </c>
      <c r="Q286" s="21" t="e">
        <f t="shared" si="21"/>
        <v>#VALUE!</v>
      </c>
    </row>
    <row r="287" s="2" customFormat="1" spans="1:17">
      <c r="A287" s="17">
        <f t="shared" si="18"/>
        <v>44482</v>
      </c>
      <c r="B287" s="25">
        <v>298.6</v>
      </c>
      <c r="C287" s="28">
        <v>985</v>
      </c>
      <c r="D287" s="28">
        <v>29</v>
      </c>
      <c r="E287" s="28">
        <v>0</v>
      </c>
      <c r="F287" s="25">
        <v>0</v>
      </c>
      <c r="G287" s="28">
        <v>4</v>
      </c>
      <c r="H287" s="28">
        <v>2</v>
      </c>
      <c r="I287" s="28">
        <v>1</v>
      </c>
      <c r="J287" s="26">
        <v>0.0294</v>
      </c>
      <c r="K287" s="27">
        <v>10.3</v>
      </c>
      <c r="L287" s="27">
        <v>298.6</v>
      </c>
      <c r="M287" s="19">
        <v>0</v>
      </c>
      <c r="N287" s="20">
        <v>0</v>
      </c>
      <c r="O287" s="22" t="e">
        <f t="shared" si="19"/>
        <v>#DIV/0!</v>
      </c>
      <c r="P287" s="23" t="e">
        <f t="shared" si="20"/>
        <v>#DIV/0!</v>
      </c>
      <c r="Q287" s="21">
        <f t="shared" si="21"/>
        <v>74.65</v>
      </c>
    </row>
    <row r="288" s="2" customFormat="1" spans="1:17">
      <c r="A288" s="17">
        <f t="shared" si="18"/>
        <v>44483</v>
      </c>
      <c r="B288" s="25">
        <v>481.13</v>
      </c>
      <c r="C288" s="28">
        <v>1403</v>
      </c>
      <c r="D288" s="28">
        <v>84</v>
      </c>
      <c r="E288" s="28">
        <v>3</v>
      </c>
      <c r="F288" s="25">
        <v>264.01</v>
      </c>
      <c r="G288" s="28">
        <v>5</v>
      </c>
      <c r="H288" s="28">
        <v>2</v>
      </c>
      <c r="I288" s="28">
        <v>0</v>
      </c>
      <c r="J288" s="26">
        <v>0.0599</v>
      </c>
      <c r="K288" s="27">
        <v>5.73</v>
      </c>
      <c r="L288" s="27">
        <v>342.93</v>
      </c>
      <c r="M288" s="19">
        <v>0</v>
      </c>
      <c r="N288" s="20">
        <v>0</v>
      </c>
      <c r="O288" s="22">
        <f t="shared" si="19"/>
        <v>88.0033333333333</v>
      </c>
      <c r="P288" s="23">
        <f t="shared" si="20"/>
        <v>160.376666666667</v>
      </c>
      <c r="Q288" s="21">
        <f t="shared" si="21"/>
        <v>96.226</v>
      </c>
    </row>
    <row r="289" s="2" customFormat="1" spans="1:17">
      <c r="A289" s="17">
        <f t="shared" ref="A289:A352" si="22">A288+1</f>
        <v>44484</v>
      </c>
      <c r="B289" s="25">
        <v>298.57</v>
      </c>
      <c r="C289" s="28">
        <v>976</v>
      </c>
      <c r="D289" s="28">
        <v>24</v>
      </c>
      <c r="E289" s="28">
        <v>0</v>
      </c>
      <c r="F289" s="25">
        <v>0</v>
      </c>
      <c r="G289" s="28">
        <v>3</v>
      </c>
      <c r="H289" s="28">
        <v>0</v>
      </c>
      <c r="I289" s="28">
        <v>2</v>
      </c>
      <c r="J289" s="26">
        <v>0.0246</v>
      </c>
      <c r="K289" s="27">
        <v>12.44</v>
      </c>
      <c r="L289" s="27">
        <v>305.91</v>
      </c>
      <c r="M289" s="19">
        <v>0</v>
      </c>
      <c r="N289" s="20">
        <v>0</v>
      </c>
      <c r="O289" s="22" t="e">
        <f t="shared" si="19"/>
        <v>#DIV/0!</v>
      </c>
      <c r="P289" s="23" t="e">
        <f t="shared" si="20"/>
        <v>#DIV/0!</v>
      </c>
      <c r="Q289" s="21">
        <f t="shared" si="21"/>
        <v>99.5233333333333</v>
      </c>
    </row>
    <row r="290" s="2" customFormat="1" spans="1:17">
      <c r="A290" s="17">
        <f t="shared" si="22"/>
        <v>44485</v>
      </c>
      <c r="B290" s="25" t="s">
        <v>17</v>
      </c>
      <c r="C290" s="28"/>
      <c r="D290" s="28"/>
      <c r="E290" s="28"/>
      <c r="F290" s="25"/>
      <c r="G290" s="28"/>
      <c r="H290" s="28"/>
      <c r="I290" s="28"/>
      <c r="J290" s="26"/>
      <c r="K290" s="27"/>
      <c r="L290" s="27"/>
      <c r="M290" s="19">
        <v>0</v>
      </c>
      <c r="N290" s="20">
        <v>0</v>
      </c>
      <c r="O290" s="22" t="e">
        <f t="shared" si="19"/>
        <v>#DIV/0!</v>
      </c>
      <c r="P290" s="23" t="e">
        <f t="shared" si="20"/>
        <v>#VALUE!</v>
      </c>
      <c r="Q290" s="21" t="e">
        <f t="shared" si="21"/>
        <v>#VALUE!</v>
      </c>
    </row>
    <row r="291" s="2" customFormat="1" spans="1:17">
      <c r="A291" s="17">
        <f t="shared" si="22"/>
        <v>44486</v>
      </c>
      <c r="B291" s="25">
        <v>297.84</v>
      </c>
      <c r="C291" s="28">
        <v>1085</v>
      </c>
      <c r="D291" s="28">
        <v>29</v>
      </c>
      <c r="E291" s="28">
        <v>0</v>
      </c>
      <c r="F291" s="25">
        <v>0</v>
      </c>
      <c r="G291" s="28">
        <v>2</v>
      </c>
      <c r="H291" s="28">
        <v>0</v>
      </c>
      <c r="I291" s="28">
        <v>3</v>
      </c>
      <c r="J291" s="26">
        <v>0.0267</v>
      </c>
      <c r="K291" s="27">
        <v>10.27</v>
      </c>
      <c r="L291" s="27">
        <v>274.51</v>
      </c>
      <c r="M291" s="19">
        <v>0</v>
      </c>
      <c r="N291" s="20">
        <v>0</v>
      </c>
      <c r="O291" s="22" t="e">
        <f t="shared" si="19"/>
        <v>#DIV/0!</v>
      </c>
      <c r="P291" s="23" t="e">
        <f t="shared" si="20"/>
        <v>#DIV/0!</v>
      </c>
      <c r="Q291" s="21">
        <f t="shared" si="21"/>
        <v>148.92</v>
      </c>
    </row>
    <row r="292" s="2" customFormat="1" spans="1:17">
      <c r="A292" s="17">
        <f t="shared" si="22"/>
        <v>44487</v>
      </c>
      <c r="B292" s="25">
        <v>298.63</v>
      </c>
      <c r="C292" s="28">
        <v>941</v>
      </c>
      <c r="D292" s="28">
        <v>35</v>
      </c>
      <c r="E292" s="28">
        <v>1</v>
      </c>
      <c r="F292" s="25">
        <v>188</v>
      </c>
      <c r="G292" s="28">
        <v>1</v>
      </c>
      <c r="H292" s="28">
        <v>0</v>
      </c>
      <c r="I292" s="28">
        <v>3</v>
      </c>
      <c r="J292" s="26">
        <v>0.0372</v>
      </c>
      <c r="K292" s="27">
        <v>8.53</v>
      </c>
      <c r="L292" s="27">
        <v>317.35</v>
      </c>
      <c r="M292" s="19">
        <v>0</v>
      </c>
      <c r="N292" s="20">
        <v>0</v>
      </c>
      <c r="O292" s="22">
        <f t="shared" si="19"/>
        <v>188</v>
      </c>
      <c r="P292" s="23">
        <f t="shared" si="20"/>
        <v>298.63</v>
      </c>
      <c r="Q292" s="21">
        <f t="shared" si="21"/>
        <v>298.63</v>
      </c>
    </row>
    <row r="293" s="2" customFormat="1" spans="1:17">
      <c r="A293" s="17">
        <f t="shared" si="22"/>
        <v>44488</v>
      </c>
      <c r="B293" s="25" t="s">
        <v>17</v>
      </c>
      <c r="C293" s="28"/>
      <c r="D293" s="28"/>
      <c r="E293" s="28"/>
      <c r="F293" s="25"/>
      <c r="G293" s="28"/>
      <c r="H293" s="28"/>
      <c r="I293" s="28"/>
      <c r="J293" s="26"/>
      <c r="K293" s="27"/>
      <c r="L293" s="27"/>
      <c r="M293" s="19">
        <v>0</v>
      </c>
      <c r="N293" s="20">
        <v>0</v>
      </c>
      <c r="O293" s="22" t="e">
        <f t="shared" si="19"/>
        <v>#DIV/0!</v>
      </c>
      <c r="P293" s="23" t="e">
        <f t="shared" si="20"/>
        <v>#VALUE!</v>
      </c>
      <c r="Q293" s="21" t="e">
        <f t="shared" si="21"/>
        <v>#VALUE!</v>
      </c>
    </row>
    <row r="294" s="2" customFormat="1" spans="1:17">
      <c r="A294" s="17">
        <f t="shared" si="22"/>
        <v>44489</v>
      </c>
      <c r="B294" s="25">
        <v>195.85</v>
      </c>
      <c r="C294" s="28">
        <v>449</v>
      </c>
      <c r="D294" s="28">
        <v>42</v>
      </c>
      <c r="E294" s="28">
        <v>2</v>
      </c>
      <c r="F294" s="25">
        <v>2853</v>
      </c>
      <c r="G294" s="28">
        <v>3</v>
      </c>
      <c r="H294" s="28">
        <v>0</v>
      </c>
      <c r="I294" s="28">
        <v>2</v>
      </c>
      <c r="J294" s="26">
        <v>0.0935</v>
      </c>
      <c r="K294" s="27">
        <v>4.66</v>
      </c>
      <c r="L294" s="27">
        <v>436.19</v>
      </c>
      <c r="M294" s="19">
        <v>0</v>
      </c>
      <c r="N294" s="20">
        <v>0</v>
      </c>
      <c r="O294" s="22">
        <f t="shared" si="19"/>
        <v>1426.5</v>
      </c>
      <c r="P294" s="23">
        <f t="shared" si="20"/>
        <v>97.925</v>
      </c>
      <c r="Q294" s="21">
        <f t="shared" si="21"/>
        <v>65.2833333333333</v>
      </c>
    </row>
    <row r="295" s="2" customFormat="1" spans="1:17">
      <c r="A295" s="17">
        <f t="shared" si="22"/>
        <v>44490</v>
      </c>
      <c r="B295" s="25">
        <v>498.28</v>
      </c>
      <c r="C295" s="28">
        <v>1230</v>
      </c>
      <c r="D295" s="28">
        <v>90</v>
      </c>
      <c r="E295" s="28">
        <v>4</v>
      </c>
      <c r="F295" s="25">
        <v>3476.5</v>
      </c>
      <c r="G295" s="28">
        <v>0</v>
      </c>
      <c r="H295" s="28">
        <v>2</v>
      </c>
      <c r="I295" s="28">
        <v>5</v>
      </c>
      <c r="J295" s="26">
        <v>0.0732</v>
      </c>
      <c r="K295" s="27">
        <v>5.54</v>
      </c>
      <c r="L295" s="27">
        <v>405.11</v>
      </c>
      <c r="M295" s="19">
        <v>0</v>
      </c>
      <c r="N295" s="20">
        <v>0</v>
      </c>
      <c r="O295" s="22">
        <f t="shared" si="19"/>
        <v>869.125</v>
      </c>
      <c r="P295" s="23">
        <f t="shared" si="20"/>
        <v>124.57</v>
      </c>
      <c r="Q295" s="21" t="e">
        <f t="shared" si="21"/>
        <v>#DIV/0!</v>
      </c>
    </row>
    <row r="296" s="2" customFormat="1" spans="1:17">
      <c r="A296" s="17">
        <f t="shared" si="22"/>
        <v>44491</v>
      </c>
      <c r="B296" s="25">
        <v>299.19</v>
      </c>
      <c r="C296" s="28">
        <v>837</v>
      </c>
      <c r="D296" s="28">
        <v>47</v>
      </c>
      <c r="E296" s="28">
        <v>3</v>
      </c>
      <c r="F296" s="25">
        <v>4379.6</v>
      </c>
      <c r="G296" s="28">
        <v>0</v>
      </c>
      <c r="H296" s="28">
        <v>1</v>
      </c>
      <c r="I296" s="28">
        <v>0</v>
      </c>
      <c r="J296" s="26">
        <v>0.0562</v>
      </c>
      <c r="K296" s="27">
        <v>6.37</v>
      </c>
      <c r="L296" s="27">
        <v>357.46</v>
      </c>
      <c r="M296" s="19">
        <v>0</v>
      </c>
      <c r="N296" s="20">
        <v>0</v>
      </c>
      <c r="O296" s="22">
        <f t="shared" si="19"/>
        <v>1459.86666666667</v>
      </c>
      <c r="P296" s="23">
        <f t="shared" si="20"/>
        <v>99.73</v>
      </c>
      <c r="Q296" s="21" t="e">
        <f t="shared" si="21"/>
        <v>#DIV/0!</v>
      </c>
    </row>
    <row r="297" s="2" customFormat="1" spans="1:17">
      <c r="A297" s="17">
        <f t="shared" si="22"/>
        <v>44492</v>
      </c>
      <c r="B297" s="25">
        <v>298.69</v>
      </c>
      <c r="C297" s="28">
        <v>1013</v>
      </c>
      <c r="D297" s="28">
        <v>36</v>
      </c>
      <c r="E297" s="28">
        <v>1</v>
      </c>
      <c r="F297" s="25">
        <v>944.37</v>
      </c>
      <c r="G297" s="28">
        <v>0</v>
      </c>
      <c r="H297" s="28">
        <v>0</v>
      </c>
      <c r="I297" s="28">
        <v>0</v>
      </c>
      <c r="J297" s="26">
        <v>0.0355</v>
      </c>
      <c r="K297" s="27">
        <v>8.3</v>
      </c>
      <c r="L297" s="27">
        <v>294.86</v>
      </c>
      <c r="M297" s="19">
        <v>0</v>
      </c>
      <c r="N297" s="20">
        <v>0</v>
      </c>
      <c r="O297" s="22">
        <f t="shared" si="19"/>
        <v>944.37</v>
      </c>
      <c r="P297" s="23">
        <f t="shared" si="20"/>
        <v>298.69</v>
      </c>
      <c r="Q297" s="21" t="e">
        <f t="shared" si="21"/>
        <v>#DIV/0!</v>
      </c>
    </row>
    <row r="298" s="2" customFormat="1" spans="1:17">
      <c r="A298" s="17">
        <f t="shared" si="22"/>
        <v>44493</v>
      </c>
      <c r="B298" s="25">
        <v>293.38</v>
      </c>
      <c r="C298" s="28">
        <v>1093</v>
      </c>
      <c r="D298" s="28">
        <v>33</v>
      </c>
      <c r="E298" s="28">
        <v>0</v>
      </c>
      <c r="F298" s="25">
        <v>0</v>
      </c>
      <c r="G298" s="28">
        <v>1</v>
      </c>
      <c r="H298" s="28">
        <v>2</v>
      </c>
      <c r="I298" s="28">
        <v>1</v>
      </c>
      <c r="J298" s="26">
        <v>0.0302</v>
      </c>
      <c r="K298" s="27">
        <v>8.89</v>
      </c>
      <c r="L298" s="27">
        <v>268.42</v>
      </c>
      <c r="M298" s="19">
        <v>0</v>
      </c>
      <c r="N298" s="20">
        <v>0</v>
      </c>
      <c r="O298" s="22" t="e">
        <f t="shared" si="19"/>
        <v>#DIV/0!</v>
      </c>
      <c r="P298" s="23" t="e">
        <f t="shared" si="20"/>
        <v>#DIV/0!</v>
      </c>
      <c r="Q298" s="21">
        <f t="shared" si="21"/>
        <v>293.38</v>
      </c>
    </row>
    <row r="299" s="2" customFormat="1" spans="1:17">
      <c r="A299" s="17">
        <f t="shared" si="22"/>
        <v>44494</v>
      </c>
      <c r="B299" s="25">
        <v>298.95</v>
      </c>
      <c r="C299" s="28">
        <v>947</v>
      </c>
      <c r="D299" s="28">
        <v>60</v>
      </c>
      <c r="E299" s="28">
        <v>3</v>
      </c>
      <c r="F299" s="25">
        <v>1144.93</v>
      </c>
      <c r="G299" s="28">
        <v>0</v>
      </c>
      <c r="H299" s="28">
        <v>3</v>
      </c>
      <c r="I299" s="28">
        <v>1</v>
      </c>
      <c r="J299" s="26">
        <v>0.0634</v>
      </c>
      <c r="K299" s="27">
        <v>4.98</v>
      </c>
      <c r="L299" s="27">
        <v>315.68</v>
      </c>
      <c r="M299" s="19">
        <v>0</v>
      </c>
      <c r="N299" s="20">
        <v>0</v>
      </c>
      <c r="O299" s="22">
        <f t="shared" si="19"/>
        <v>381.643333333333</v>
      </c>
      <c r="P299" s="23">
        <f t="shared" si="20"/>
        <v>99.65</v>
      </c>
      <c r="Q299" s="21" t="e">
        <f t="shared" si="21"/>
        <v>#DIV/0!</v>
      </c>
    </row>
    <row r="300" s="2" customFormat="1" spans="1:17">
      <c r="A300" s="17">
        <f t="shared" si="22"/>
        <v>44495</v>
      </c>
      <c r="B300" s="25">
        <v>298.76</v>
      </c>
      <c r="C300" s="28">
        <v>898</v>
      </c>
      <c r="D300" s="28">
        <v>64</v>
      </c>
      <c r="E300" s="28">
        <v>2</v>
      </c>
      <c r="F300" s="25">
        <v>3783.18</v>
      </c>
      <c r="G300" s="28">
        <v>0</v>
      </c>
      <c r="H300" s="28">
        <v>0</v>
      </c>
      <c r="I300" s="28">
        <v>2</v>
      </c>
      <c r="J300" s="26">
        <v>0.0713</v>
      </c>
      <c r="K300" s="27">
        <v>4.67</v>
      </c>
      <c r="L300" s="27">
        <v>332.69</v>
      </c>
      <c r="M300" s="19">
        <v>0</v>
      </c>
      <c r="N300" s="20">
        <v>0</v>
      </c>
      <c r="O300" s="22">
        <f t="shared" si="19"/>
        <v>1891.59</v>
      </c>
      <c r="P300" s="23">
        <f t="shared" si="20"/>
        <v>149.38</v>
      </c>
      <c r="Q300" s="21" t="e">
        <f t="shared" si="21"/>
        <v>#DIV/0!</v>
      </c>
    </row>
    <row r="301" s="2" customFormat="1" spans="1:17">
      <c r="A301" s="17">
        <f t="shared" si="22"/>
        <v>44496</v>
      </c>
      <c r="B301" s="25">
        <v>312.85</v>
      </c>
      <c r="C301" s="28">
        <v>1060</v>
      </c>
      <c r="D301" s="28">
        <v>53</v>
      </c>
      <c r="E301" s="28">
        <v>1</v>
      </c>
      <c r="F301" s="25">
        <v>2110</v>
      </c>
      <c r="G301" s="28">
        <v>0</v>
      </c>
      <c r="H301" s="28">
        <v>1</v>
      </c>
      <c r="I301" s="28">
        <v>3</v>
      </c>
      <c r="J301" s="26">
        <v>0.05</v>
      </c>
      <c r="K301" s="27">
        <v>5.9</v>
      </c>
      <c r="L301" s="27">
        <v>312.85</v>
      </c>
      <c r="M301" s="19">
        <v>0</v>
      </c>
      <c r="N301" s="20">
        <v>0</v>
      </c>
      <c r="O301" s="22">
        <f t="shared" si="19"/>
        <v>2110</v>
      </c>
      <c r="P301" s="23">
        <f t="shared" si="20"/>
        <v>312.85</v>
      </c>
      <c r="Q301" s="21" t="e">
        <f t="shared" si="21"/>
        <v>#DIV/0!</v>
      </c>
    </row>
    <row r="302" s="2" customFormat="1" spans="1:17">
      <c r="A302" s="17">
        <f t="shared" si="22"/>
        <v>44497</v>
      </c>
      <c r="B302" s="25">
        <v>490.66</v>
      </c>
      <c r="C302" s="28">
        <v>1177</v>
      </c>
      <c r="D302" s="28">
        <v>81</v>
      </c>
      <c r="E302" s="28">
        <v>3</v>
      </c>
      <c r="F302" s="25">
        <v>33</v>
      </c>
      <c r="G302" s="28">
        <v>2</v>
      </c>
      <c r="H302" s="28">
        <v>4</v>
      </c>
      <c r="I302" s="28">
        <v>1</v>
      </c>
      <c r="J302" s="26">
        <v>0.0688</v>
      </c>
      <c r="K302" s="27">
        <v>6.06</v>
      </c>
      <c r="L302" s="27">
        <v>416.87</v>
      </c>
      <c r="M302" s="19">
        <v>0</v>
      </c>
      <c r="N302" s="20">
        <v>0</v>
      </c>
      <c r="O302" s="22">
        <f t="shared" si="19"/>
        <v>11</v>
      </c>
      <c r="P302" s="23">
        <f t="shared" si="20"/>
        <v>163.553333333333</v>
      </c>
      <c r="Q302" s="21">
        <f t="shared" si="21"/>
        <v>245.33</v>
      </c>
    </row>
    <row r="303" s="2" customFormat="1" spans="1:17">
      <c r="A303" s="17">
        <f t="shared" si="22"/>
        <v>44498</v>
      </c>
      <c r="B303" s="25">
        <v>298.81</v>
      </c>
      <c r="C303" s="28">
        <v>943</v>
      </c>
      <c r="D303" s="28">
        <v>32</v>
      </c>
      <c r="E303" s="28">
        <v>1</v>
      </c>
      <c r="F303" s="25">
        <v>961</v>
      </c>
      <c r="G303" s="28">
        <v>0</v>
      </c>
      <c r="H303" s="28">
        <v>0</v>
      </c>
      <c r="I303" s="28">
        <v>0</v>
      </c>
      <c r="J303" s="26">
        <v>0.0339</v>
      </c>
      <c r="K303" s="27">
        <v>9.34</v>
      </c>
      <c r="L303" s="27">
        <v>316.87</v>
      </c>
      <c r="M303" s="19">
        <v>0</v>
      </c>
      <c r="N303" s="20">
        <v>0</v>
      </c>
      <c r="O303" s="22">
        <f t="shared" si="19"/>
        <v>961</v>
      </c>
      <c r="P303" s="23">
        <f t="shared" si="20"/>
        <v>298.81</v>
      </c>
      <c r="Q303" s="21" t="e">
        <f t="shared" si="21"/>
        <v>#DIV/0!</v>
      </c>
    </row>
    <row r="304" s="2" customFormat="1" spans="1:17">
      <c r="A304" s="17">
        <f t="shared" si="22"/>
        <v>44499</v>
      </c>
      <c r="B304" s="25">
        <v>308.99</v>
      </c>
      <c r="C304" s="28">
        <v>1135</v>
      </c>
      <c r="D304" s="28">
        <v>37</v>
      </c>
      <c r="E304" s="28">
        <v>0</v>
      </c>
      <c r="F304" s="25">
        <v>0</v>
      </c>
      <c r="G304" s="28">
        <v>0</v>
      </c>
      <c r="H304" s="28">
        <v>3</v>
      </c>
      <c r="I304" s="28">
        <v>1</v>
      </c>
      <c r="J304" s="26">
        <v>0.0326</v>
      </c>
      <c r="K304" s="27">
        <v>8.35</v>
      </c>
      <c r="L304" s="27">
        <v>272.24</v>
      </c>
      <c r="M304" s="19">
        <v>0</v>
      </c>
      <c r="N304" s="20">
        <v>0</v>
      </c>
      <c r="O304" s="22" t="e">
        <f t="shared" si="19"/>
        <v>#DIV/0!</v>
      </c>
      <c r="P304" s="23" t="e">
        <f t="shared" si="20"/>
        <v>#DIV/0!</v>
      </c>
      <c r="Q304" s="21" t="e">
        <f t="shared" si="21"/>
        <v>#DIV/0!</v>
      </c>
    </row>
    <row r="305" s="2" customFormat="1" spans="1:17">
      <c r="A305" s="17">
        <f t="shared" si="22"/>
        <v>44500</v>
      </c>
      <c r="B305" s="25">
        <v>457.03</v>
      </c>
      <c r="C305" s="28">
        <v>1527</v>
      </c>
      <c r="D305" s="28">
        <v>54</v>
      </c>
      <c r="E305" s="28">
        <v>2</v>
      </c>
      <c r="F305" s="25">
        <v>2862.24</v>
      </c>
      <c r="G305" s="28">
        <v>4</v>
      </c>
      <c r="H305" s="28">
        <v>1</v>
      </c>
      <c r="I305" s="28">
        <v>3</v>
      </c>
      <c r="J305" s="26">
        <v>0.0354</v>
      </c>
      <c r="K305" s="27">
        <v>8.46</v>
      </c>
      <c r="L305" s="27">
        <v>299.3</v>
      </c>
      <c r="M305" s="19">
        <v>0</v>
      </c>
      <c r="N305" s="20">
        <v>0</v>
      </c>
      <c r="O305" s="22">
        <f t="shared" si="19"/>
        <v>1431.12</v>
      </c>
      <c r="P305" s="23">
        <f t="shared" si="20"/>
        <v>228.515</v>
      </c>
      <c r="Q305" s="21">
        <f t="shared" si="21"/>
        <v>114.2575</v>
      </c>
    </row>
    <row r="306" s="2" customFormat="1" spans="1:17">
      <c r="A306" s="17">
        <f t="shared" si="22"/>
        <v>44501</v>
      </c>
      <c r="B306" s="25">
        <v>456.55</v>
      </c>
      <c r="C306" s="28">
        <v>1405</v>
      </c>
      <c r="D306" s="28">
        <v>49</v>
      </c>
      <c r="E306" s="28">
        <v>0</v>
      </c>
      <c r="F306" s="25">
        <v>0</v>
      </c>
      <c r="G306" s="28">
        <v>3</v>
      </c>
      <c r="H306" s="28">
        <v>2</v>
      </c>
      <c r="I306" s="28">
        <v>1</v>
      </c>
      <c r="J306" s="26">
        <v>0.0349</v>
      </c>
      <c r="K306" s="27">
        <v>9.32</v>
      </c>
      <c r="L306" s="27">
        <v>324.95</v>
      </c>
      <c r="M306" s="19">
        <v>0</v>
      </c>
      <c r="N306" s="20">
        <v>0</v>
      </c>
      <c r="O306" s="22" t="e">
        <f t="shared" si="19"/>
        <v>#DIV/0!</v>
      </c>
      <c r="P306" s="23" t="e">
        <f t="shared" si="20"/>
        <v>#DIV/0!</v>
      </c>
      <c r="Q306" s="21">
        <f t="shared" si="21"/>
        <v>152.183333333333</v>
      </c>
    </row>
    <row r="307" s="2" customFormat="1" spans="1:17">
      <c r="A307" s="17">
        <f t="shared" si="22"/>
        <v>44502</v>
      </c>
      <c r="B307" s="25">
        <v>392.38</v>
      </c>
      <c r="C307" s="28">
        <v>1277</v>
      </c>
      <c r="D307" s="28">
        <v>43</v>
      </c>
      <c r="E307" s="28">
        <v>2</v>
      </c>
      <c r="F307" s="25">
        <v>1908.39</v>
      </c>
      <c r="G307" s="28">
        <v>2</v>
      </c>
      <c r="H307" s="28">
        <v>1</v>
      </c>
      <c r="I307" s="28">
        <v>2</v>
      </c>
      <c r="J307" s="26">
        <v>0.0337</v>
      </c>
      <c r="K307" s="27">
        <v>9.13</v>
      </c>
      <c r="L307" s="27">
        <v>307.27</v>
      </c>
      <c r="M307" s="19">
        <v>0</v>
      </c>
      <c r="N307" s="20">
        <v>0</v>
      </c>
      <c r="O307" s="22">
        <f t="shared" si="19"/>
        <v>954.195</v>
      </c>
      <c r="P307" s="23">
        <f t="shared" si="20"/>
        <v>196.19</v>
      </c>
      <c r="Q307" s="21">
        <f t="shared" si="21"/>
        <v>196.19</v>
      </c>
    </row>
    <row r="308" s="2" customFormat="1" spans="1:17">
      <c r="A308" s="17">
        <f t="shared" si="22"/>
        <v>44503</v>
      </c>
      <c r="B308" s="25">
        <v>380.46</v>
      </c>
      <c r="C308" s="28">
        <v>1274</v>
      </c>
      <c r="D308" s="28">
        <v>50</v>
      </c>
      <c r="E308" s="28">
        <v>0</v>
      </c>
      <c r="F308" s="25">
        <v>0</v>
      </c>
      <c r="G308" s="28">
        <v>0</v>
      </c>
      <c r="H308" s="28">
        <v>1</v>
      </c>
      <c r="I308" s="28">
        <v>3</v>
      </c>
      <c r="J308" s="26">
        <v>0.0392</v>
      </c>
      <c r="K308" s="27">
        <v>7.61</v>
      </c>
      <c r="L308" s="27">
        <v>298.63</v>
      </c>
      <c r="M308" s="19">
        <v>0</v>
      </c>
      <c r="N308" s="20">
        <v>0</v>
      </c>
      <c r="O308" s="22" t="e">
        <f t="shared" si="19"/>
        <v>#DIV/0!</v>
      </c>
      <c r="P308" s="23" t="e">
        <f t="shared" si="20"/>
        <v>#DIV/0!</v>
      </c>
      <c r="Q308" s="21" t="e">
        <f t="shared" si="21"/>
        <v>#DIV/0!</v>
      </c>
    </row>
    <row r="309" s="2" customFormat="1" spans="1:17">
      <c r="A309" s="17">
        <f t="shared" si="22"/>
        <v>44504</v>
      </c>
      <c r="B309" s="25">
        <v>398.92</v>
      </c>
      <c r="C309" s="28">
        <v>1039</v>
      </c>
      <c r="D309" s="28">
        <v>69</v>
      </c>
      <c r="E309" s="28">
        <v>3</v>
      </c>
      <c r="F309" s="25">
        <v>857.75</v>
      </c>
      <c r="G309" s="28">
        <v>0</v>
      </c>
      <c r="H309" s="28">
        <v>0</v>
      </c>
      <c r="I309" s="28">
        <v>2</v>
      </c>
      <c r="J309" s="26">
        <v>0.0664</v>
      </c>
      <c r="K309" s="27">
        <v>5.78</v>
      </c>
      <c r="L309" s="27">
        <v>383.95</v>
      </c>
      <c r="M309" s="19">
        <v>0</v>
      </c>
      <c r="N309" s="20">
        <v>0</v>
      </c>
      <c r="O309" s="22">
        <f t="shared" si="19"/>
        <v>285.916666666667</v>
      </c>
      <c r="P309" s="23">
        <f t="shared" si="20"/>
        <v>132.973333333333</v>
      </c>
      <c r="Q309" s="21" t="e">
        <f t="shared" si="21"/>
        <v>#DIV/0!</v>
      </c>
    </row>
    <row r="310" s="2" customFormat="1" spans="1:17">
      <c r="A310" s="17">
        <f t="shared" si="22"/>
        <v>44505</v>
      </c>
      <c r="B310" s="25">
        <v>398.83</v>
      </c>
      <c r="C310" s="28">
        <v>1228</v>
      </c>
      <c r="D310" s="28">
        <v>42</v>
      </c>
      <c r="E310" s="28">
        <v>0</v>
      </c>
      <c r="F310" s="25">
        <v>0</v>
      </c>
      <c r="G310" s="28">
        <v>0</v>
      </c>
      <c r="H310" s="28">
        <v>0</v>
      </c>
      <c r="I310" s="28">
        <v>0</v>
      </c>
      <c r="J310" s="26">
        <v>0.0342</v>
      </c>
      <c r="K310" s="27">
        <v>9.5</v>
      </c>
      <c r="L310" s="27">
        <v>398.83</v>
      </c>
      <c r="M310" s="19">
        <v>0</v>
      </c>
      <c r="N310" s="20">
        <v>0</v>
      </c>
      <c r="O310" s="22" t="e">
        <f t="shared" si="19"/>
        <v>#DIV/0!</v>
      </c>
      <c r="P310" s="23" t="e">
        <f t="shared" si="20"/>
        <v>#DIV/0!</v>
      </c>
      <c r="Q310" s="21" t="e">
        <f t="shared" si="21"/>
        <v>#DIV/0!</v>
      </c>
    </row>
    <row r="311" s="2" customFormat="1" spans="1:17">
      <c r="A311" s="17">
        <f t="shared" si="22"/>
        <v>44506</v>
      </c>
      <c r="B311" s="25">
        <v>399.17</v>
      </c>
      <c r="C311" s="28">
        <v>1323</v>
      </c>
      <c r="D311" s="28">
        <v>26</v>
      </c>
      <c r="E311" s="28">
        <v>0</v>
      </c>
      <c r="F311" s="25">
        <v>0</v>
      </c>
      <c r="G311" s="28">
        <v>0</v>
      </c>
      <c r="H311" s="28">
        <v>0</v>
      </c>
      <c r="I311" s="28">
        <v>0</v>
      </c>
      <c r="J311" s="26">
        <v>0.0197</v>
      </c>
      <c r="K311" s="27">
        <v>15.35</v>
      </c>
      <c r="L311" s="27">
        <v>301.72</v>
      </c>
      <c r="M311" s="19">
        <v>0</v>
      </c>
      <c r="N311" s="20">
        <v>0</v>
      </c>
      <c r="O311" s="22" t="e">
        <f t="shared" si="19"/>
        <v>#DIV/0!</v>
      </c>
      <c r="P311" s="23" t="e">
        <f t="shared" si="20"/>
        <v>#DIV/0!</v>
      </c>
      <c r="Q311" s="21" t="e">
        <f t="shared" si="21"/>
        <v>#DIV/0!</v>
      </c>
    </row>
    <row r="312" s="2" customFormat="1" spans="1:17">
      <c r="A312" s="17">
        <f t="shared" si="22"/>
        <v>44507</v>
      </c>
      <c r="B312" s="25">
        <v>462.66</v>
      </c>
      <c r="C312" s="28">
        <v>1452</v>
      </c>
      <c r="D312" s="28">
        <v>36</v>
      </c>
      <c r="E312" s="28">
        <v>0</v>
      </c>
      <c r="F312" s="25">
        <v>0</v>
      </c>
      <c r="G312" s="28">
        <v>0</v>
      </c>
      <c r="H312" s="28">
        <v>0</v>
      </c>
      <c r="I312" s="28">
        <v>0</v>
      </c>
      <c r="J312" s="26">
        <v>0.0248</v>
      </c>
      <c r="K312" s="27">
        <v>12.85</v>
      </c>
      <c r="L312" s="27">
        <v>318.64</v>
      </c>
      <c r="M312" s="19">
        <v>0</v>
      </c>
      <c r="N312" s="20">
        <v>0</v>
      </c>
      <c r="O312" s="22" t="e">
        <f t="shared" si="19"/>
        <v>#DIV/0!</v>
      </c>
      <c r="P312" s="23" t="e">
        <f t="shared" si="20"/>
        <v>#DIV/0!</v>
      </c>
      <c r="Q312" s="21" t="e">
        <f t="shared" si="21"/>
        <v>#DIV/0!</v>
      </c>
    </row>
    <row r="313" s="2" customFormat="1" spans="1:17">
      <c r="A313" s="17">
        <f t="shared" si="22"/>
        <v>44508</v>
      </c>
      <c r="B313" s="25">
        <v>498.57</v>
      </c>
      <c r="C313" s="28">
        <v>1554</v>
      </c>
      <c r="D313" s="28">
        <v>42</v>
      </c>
      <c r="E313" s="28">
        <v>1</v>
      </c>
      <c r="F313" s="25">
        <v>11</v>
      </c>
      <c r="G313" s="28">
        <v>0</v>
      </c>
      <c r="H313" s="28">
        <v>2</v>
      </c>
      <c r="I313" s="28">
        <v>1</v>
      </c>
      <c r="J313" s="26">
        <v>0.027</v>
      </c>
      <c r="K313" s="27">
        <v>11.87</v>
      </c>
      <c r="L313" s="27">
        <v>320.83</v>
      </c>
      <c r="M313" s="19">
        <v>0</v>
      </c>
      <c r="N313" s="20">
        <v>0</v>
      </c>
      <c r="O313" s="22">
        <f t="shared" si="19"/>
        <v>11</v>
      </c>
      <c r="P313" s="23">
        <f t="shared" si="20"/>
        <v>498.57</v>
      </c>
      <c r="Q313" s="21" t="e">
        <f t="shared" si="21"/>
        <v>#DIV/0!</v>
      </c>
    </row>
    <row r="314" s="2" customFormat="1" spans="1:17">
      <c r="A314" s="17">
        <f t="shared" si="22"/>
        <v>44509</v>
      </c>
      <c r="B314" s="25">
        <v>620.12</v>
      </c>
      <c r="C314" s="28">
        <v>1654</v>
      </c>
      <c r="D314" s="28">
        <v>63</v>
      </c>
      <c r="E314" s="28">
        <v>8</v>
      </c>
      <c r="F314" s="25">
        <v>3669.52</v>
      </c>
      <c r="G314" s="28">
        <v>6</v>
      </c>
      <c r="H314" s="28">
        <v>3</v>
      </c>
      <c r="I314" s="28">
        <v>3</v>
      </c>
      <c r="J314" s="26">
        <v>0.0381</v>
      </c>
      <c r="K314" s="27">
        <v>9.84</v>
      </c>
      <c r="L314" s="27">
        <v>374.92</v>
      </c>
      <c r="M314" s="19">
        <v>0</v>
      </c>
      <c r="N314" s="20">
        <v>0</v>
      </c>
      <c r="O314" s="22">
        <f t="shared" si="19"/>
        <v>458.69</v>
      </c>
      <c r="P314" s="23">
        <f t="shared" si="20"/>
        <v>77.515</v>
      </c>
      <c r="Q314" s="21">
        <f t="shared" si="21"/>
        <v>103.353333333333</v>
      </c>
    </row>
    <row r="315" s="2" customFormat="1" spans="1:17">
      <c r="A315" s="17">
        <f t="shared" si="22"/>
        <v>44510</v>
      </c>
      <c r="B315" s="25">
        <v>597.7</v>
      </c>
      <c r="C315" s="28">
        <v>1885</v>
      </c>
      <c r="D315" s="28">
        <v>60</v>
      </c>
      <c r="E315" s="28">
        <v>3</v>
      </c>
      <c r="F315" s="25">
        <v>1053</v>
      </c>
      <c r="G315" s="28">
        <v>2</v>
      </c>
      <c r="H315" s="28">
        <v>0</v>
      </c>
      <c r="I315" s="28">
        <v>1</v>
      </c>
      <c r="J315" s="26">
        <v>0.0318</v>
      </c>
      <c r="K315" s="27">
        <v>9.96</v>
      </c>
      <c r="L315" s="27">
        <v>317.08</v>
      </c>
      <c r="M315" s="19">
        <v>0</v>
      </c>
      <c r="N315" s="20">
        <v>0</v>
      </c>
      <c r="O315" s="22">
        <f t="shared" si="19"/>
        <v>351</v>
      </c>
      <c r="P315" s="23">
        <f t="shared" si="20"/>
        <v>199.233333333333</v>
      </c>
      <c r="Q315" s="21">
        <f t="shared" si="21"/>
        <v>298.85</v>
      </c>
    </row>
    <row r="316" s="2" customFormat="1" spans="1:17">
      <c r="A316" s="17">
        <f t="shared" si="22"/>
        <v>44511</v>
      </c>
      <c r="B316" s="25">
        <v>790.04</v>
      </c>
      <c r="C316" s="28">
        <v>2306</v>
      </c>
      <c r="D316" s="28">
        <v>98</v>
      </c>
      <c r="E316" s="28">
        <v>8</v>
      </c>
      <c r="F316" s="25">
        <v>7509.46</v>
      </c>
      <c r="G316" s="28">
        <v>4</v>
      </c>
      <c r="H316" s="28">
        <v>0</v>
      </c>
      <c r="I316" s="28">
        <v>2</v>
      </c>
      <c r="J316" s="26">
        <v>0.0425</v>
      </c>
      <c r="K316" s="27">
        <v>8.06</v>
      </c>
      <c r="L316" s="27">
        <v>342.6</v>
      </c>
      <c r="M316" s="19">
        <v>0</v>
      </c>
      <c r="N316" s="20">
        <v>0</v>
      </c>
      <c r="O316" s="22">
        <f t="shared" si="19"/>
        <v>938.6825</v>
      </c>
      <c r="P316" s="23">
        <f t="shared" si="20"/>
        <v>98.755</v>
      </c>
      <c r="Q316" s="21">
        <f t="shared" si="21"/>
        <v>197.51</v>
      </c>
    </row>
    <row r="317" s="2" customFormat="1" spans="1:17">
      <c r="A317" s="17">
        <f t="shared" si="22"/>
        <v>44512</v>
      </c>
      <c r="B317" s="25">
        <v>499.85</v>
      </c>
      <c r="C317" s="28">
        <v>1493</v>
      </c>
      <c r="D317" s="28">
        <v>49</v>
      </c>
      <c r="E317" s="28">
        <v>3</v>
      </c>
      <c r="F317" s="25">
        <v>1133</v>
      </c>
      <c r="G317" s="28">
        <v>0</v>
      </c>
      <c r="H317" s="28">
        <v>0</v>
      </c>
      <c r="I317" s="28">
        <v>0</v>
      </c>
      <c r="J317" s="26">
        <v>0.0328</v>
      </c>
      <c r="K317" s="27">
        <v>10.2</v>
      </c>
      <c r="L317" s="27">
        <v>334.8</v>
      </c>
      <c r="M317" s="19">
        <v>0</v>
      </c>
      <c r="N317" s="20">
        <v>0</v>
      </c>
      <c r="O317" s="22">
        <f t="shared" si="19"/>
        <v>377.666666666667</v>
      </c>
      <c r="P317" s="23">
        <f t="shared" si="20"/>
        <v>166.616666666667</v>
      </c>
      <c r="Q317" s="21" t="e">
        <f t="shared" si="21"/>
        <v>#DIV/0!</v>
      </c>
    </row>
    <row r="318" s="2" customFormat="1" spans="1:17">
      <c r="A318" s="17">
        <f t="shared" si="22"/>
        <v>44513</v>
      </c>
      <c r="B318" s="25">
        <v>383.43</v>
      </c>
      <c r="C318" s="28">
        <v>1580</v>
      </c>
      <c r="D318" s="28">
        <v>37</v>
      </c>
      <c r="E318" s="28">
        <v>0</v>
      </c>
      <c r="F318" s="25">
        <v>0</v>
      </c>
      <c r="G318" s="28">
        <v>0</v>
      </c>
      <c r="H318" s="28">
        <v>0</v>
      </c>
      <c r="I318" s="28">
        <v>2</v>
      </c>
      <c r="J318" s="26">
        <v>0.0234</v>
      </c>
      <c r="K318" s="27">
        <v>10.36</v>
      </c>
      <c r="L318" s="27">
        <v>242.68</v>
      </c>
      <c r="M318" s="19">
        <v>0</v>
      </c>
      <c r="N318" s="20">
        <v>0</v>
      </c>
      <c r="O318" s="22" t="e">
        <f t="shared" si="19"/>
        <v>#DIV/0!</v>
      </c>
      <c r="P318" s="23" t="e">
        <f t="shared" si="20"/>
        <v>#DIV/0!</v>
      </c>
      <c r="Q318" s="21" t="e">
        <f t="shared" si="21"/>
        <v>#DIV/0!</v>
      </c>
    </row>
    <row r="319" s="2" customFormat="1" spans="1:17">
      <c r="A319" s="17">
        <f t="shared" si="22"/>
        <v>44514</v>
      </c>
      <c r="B319" s="25">
        <v>344.38</v>
      </c>
      <c r="C319" s="28">
        <v>1455</v>
      </c>
      <c r="D319" s="28">
        <v>36</v>
      </c>
      <c r="E319" s="28">
        <v>0</v>
      </c>
      <c r="F319" s="25">
        <v>0</v>
      </c>
      <c r="G319" s="28">
        <v>1</v>
      </c>
      <c r="H319" s="28">
        <v>0</v>
      </c>
      <c r="I319" s="28">
        <v>1</v>
      </c>
      <c r="J319" s="26">
        <v>0.0247</v>
      </c>
      <c r="K319" s="27">
        <v>9.57</v>
      </c>
      <c r="L319" s="27">
        <v>236.69</v>
      </c>
      <c r="M319" s="19">
        <v>0</v>
      </c>
      <c r="N319" s="20">
        <v>0</v>
      </c>
      <c r="O319" s="22" t="e">
        <f t="shared" si="19"/>
        <v>#DIV/0!</v>
      </c>
      <c r="P319" s="23" t="e">
        <f t="shared" si="20"/>
        <v>#DIV/0!</v>
      </c>
      <c r="Q319" s="21">
        <f t="shared" si="21"/>
        <v>344.38</v>
      </c>
    </row>
    <row r="320" s="2" customFormat="1" spans="1:17">
      <c r="A320" s="17">
        <f t="shared" si="22"/>
        <v>44515</v>
      </c>
      <c r="B320" s="25">
        <v>298.84</v>
      </c>
      <c r="C320" s="28">
        <v>1229</v>
      </c>
      <c r="D320" s="28">
        <v>31</v>
      </c>
      <c r="E320" s="28">
        <v>2</v>
      </c>
      <c r="F320" s="25">
        <v>1122</v>
      </c>
      <c r="G320" s="28">
        <v>0</v>
      </c>
      <c r="H320" s="28">
        <v>0</v>
      </c>
      <c r="I320" s="28">
        <v>2</v>
      </c>
      <c r="J320" s="26">
        <v>0.0252</v>
      </c>
      <c r="K320" s="27">
        <v>9.64</v>
      </c>
      <c r="L320" s="27">
        <v>243.16</v>
      </c>
      <c r="M320" s="19">
        <v>0</v>
      </c>
      <c r="N320" s="20">
        <v>0</v>
      </c>
      <c r="O320" s="22">
        <f t="shared" si="19"/>
        <v>561</v>
      </c>
      <c r="P320" s="23">
        <f t="shared" si="20"/>
        <v>149.42</v>
      </c>
      <c r="Q320" s="21" t="e">
        <f t="shared" si="21"/>
        <v>#DIV/0!</v>
      </c>
    </row>
    <row r="321" s="2" customFormat="1" spans="1:17">
      <c r="A321" s="17">
        <f t="shared" si="22"/>
        <v>44516</v>
      </c>
      <c r="B321" s="25">
        <v>298.98</v>
      </c>
      <c r="C321" s="28">
        <v>1097</v>
      </c>
      <c r="D321" s="28">
        <v>21</v>
      </c>
      <c r="E321" s="28">
        <v>0</v>
      </c>
      <c r="F321" s="25">
        <v>0</v>
      </c>
      <c r="G321" s="28">
        <v>0</v>
      </c>
      <c r="H321" s="28">
        <v>0</v>
      </c>
      <c r="I321" s="28">
        <v>3</v>
      </c>
      <c r="J321" s="26">
        <v>0.0191</v>
      </c>
      <c r="K321" s="27">
        <v>14.24</v>
      </c>
      <c r="L321" s="27">
        <v>298.98</v>
      </c>
      <c r="M321" s="19">
        <v>0</v>
      </c>
      <c r="N321" s="20">
        <v>0</v>
      </c>
      <c r="O321" s="22" t="e">
        <f t="shared" si="19"/>
        <v>#DIV/0!</v>
      </c>
      <c r="P321" s="23" t="e">
        <f t="shared" si="20"/>
        <v>#DIV/0!</v>
      </c>
      <c r="Q321" s="21" t="e">
        <f t="shared" si="21"/>
        <v>#DIV/0!</v>
      </c>
    </row>
    <row r="322" s="2" customFormat="1" spans="1:17">
      <c r="A322" s="17">
        <f t="shared" si="22"/>
        <v>44517</v>
      </c>
      <c r="B322" s="25">
        <v>398.24</v>
      </c>
      <c r="C322" s="28">
        <v>1366</v>
      </c>
      <c r="D322" s="28">
        <v>64</v>
      </c>
      <c r="E322" s="28">
        <v>0</v>
      </c>
      <c r="F322" s="25">
        <v>0</v>
      </c>
      <c r="G322" s="28">
        <v>0</v>
      </c>
      <c r="H322" s="28">
        <v>0</v>
      </c>
      <c r="I322" s="28">
        <v>7</v>
      </c>
      <c r="J322" s="26">
        <v>0.0469</v>
      </c>
      <c r="K322" s="27">
        <v>6.22</v>
      </c>
      <c r="L322" s="27">
        <v>291.54</v>
      </c>
      <c r="M322" s="19">
        <v>0</v>
      </c>
      <c r="N322" s="20">
        <v>0</v>
      </c>
      <c r="O322" s="22" t="e">
        <f t="shared" ref="O322:O366" si="23">F322/E322</f>
        <v>#DIV/0!</v>
      </c>
      <c r="P322" s="23" t="e">
        <f t="shared" ref="P322:P366" si="24">B322/E322</f>
        <v>#DIV/0!</v>
      </c>
      <c r="Q322" s="21" t="e">
        <f t="shared" ref="Q322:Q366" si="25">B322/G322</f>
        <v>#DIV/0!</v>
      </c>
    </row>
    <row r="323" s="2" customFormat="1" spans="1:17">
      <c r="A323" s="17">
        <f t="shared" si="22"/>
        <v>44518</v>
      </c>
      <c r="B323" s="25">
        <v>368.54</v>
      </c>
      <c r="C323" s="28">
        <v>1434</v>
      </c>
      <c r="D323" s="28">
        <v>24</v>
      </c>
      <c r="E323" s="28">
        <v>0</v>
      </c>
      <c r="F323" s="25">
        <v>0</v>
      </c>
      <c r="G323" s="28">
        <v>0</v>
      </c>
      <c r="H323" s="28">
        <v>0</v>
      </c>
      <c r="I323" s="28">
        <v>2</v>
      </c>
      <c r="J323" s="26">
        <v>0.0167</v>
      </c>
      <c r="K323" s="27">
        <v>15.36</v>
      </c>
      <c r="L323" s="27">
        <v>257</v>
      </c>
      <c r="M323" s="19">
        <v>0</v>
      </c>
      <c r="N323" s="20">
        <v>0</v>
      </c>
      <c r="O323" s="22" t="e">
        <f t="shared" si="23"/>
        <v>#DIV/0!</v>
      </c>
      <c r="P323" s="23" t="e">
        <f t="shared" si="24"/>
        <v>#DIV/0!</v>
      </c>
      <c r="Q323" s="21" t="e">
        <f t="shared" si="25"/>
        <v>#DIV/0!</v>
      </c>
    </row>
    <row r="324" s="2" customFormat="1" spans="1:17">
      <c r="A324" s="17">
        <f t="shared" si="22"/>
        <v>44519</v>
      </c>
      <c r="B324" s="25">
        <v>298.36</v>
      </c>
      <c r="C324" s="28">
        <v>1090</v>
      </c>
      <c r="D324" s="28">
        <v>43</v>
      </c>
      <c r="E324" s="28">
        <v>1</v>
      </c>
      <c r="F324" s="25">
        <v>999</v>
      </c>
      <c r="G324" s="28">
        <v>1</v>
      </c>
      <c r="H324" s="28">
        <v>0</v>
      </c>
      <c r="I324" s="28">
        <v>3</v>
      </c>
      <c r="J324" s="26">
        <v>0.0394</v>
      </c>
      <c r="K324" s="27">
        <v>6.94</v>
      </c>
      <c r="L324" s="27">
        <v>273.72</v>
      </c>
      <c r="M324" s="19">
        <v>0</v>
      </c>
      <c r="N324" s="20">
        <v>0</v>
      </c>
      <c r="O324" s="22">
        <f t="shared" si="23"/>
        <v>999</v>
      </c>
      <c r="P324" s="23">
        <f t="shared" si="24"/>
        <v>298.36</v>
      </c>
      <c r="Q324" s="21">
        <f t="shared" si="25"/>
        <v>298.36</v>
      </c>
    </row>
    <row r="325" s="2" customFormat="1" spans="1:17">
      <c r="A325" s="17">
        <f t="shared" si="22"/>
        <v>44520</v>
      </c>
      <c r="B325" s="25" t="s">
        <v>17</v>
      </c>
      <c r="C325" s="27" t="s">
        <v>17</v>
      </c>
      <c r="D325" s="27" t="s">
        <v>17</v>
      </c>
      <c r="E325" s="27" t="s">
        <v>17</v>
      </c>
      <c r="F325" s="25">
        <v>0</v>
      </c>
      <c r="G325" s="28">
        <v>0</v>
      </c>
      <c r="H325" s="28">
        <v>0</v>
      </c>
      <c r="I325" s="28">
        <v>0</v>
      </c>
      <c r="J325" s="26">
        <v>0</v>
      </c>
      <c r="K325" s="27">
        <v>0</v>
      </c>
      <c r="L325" s="27">
        <v>0</v>
      </c>
      <c r="M325" s="19">
        <v>0</v>
      </c>
      <c r="N325" s="20">
        <v>0</v>
      </c>
      <c r="O325" s="22" t="e">
        <f t="shared" si="23"/>
        <v>#VALUE!</v>
      </c>
      <c r="P325" s="23" t="e">
        <f t="shared" si="24"/>
        <v>#VALUE!</v>
      </c>
      <c r="Q325" s="21" t="e">
        <f t="shared" si="25"/>
        <v>#VALUE!</v>
      </c>
    </row>
    <row r="326" s="2" customFormat="1" spans="1:17">
      <c r="A326" s="17">
        <f t="shared" si="22"/>
        <v>44521</v>
      </c>
      <c r="B326" s="25">
        <v>179.6</v>
      </c>
      <c r="C326" s="28">
        <v>777</v>
      </c>
      <c r="D326" s="28">
        <v>24</v>
      </c>
      <c r="E326" s="28">
        <v>0</v>
      </c>
      <c r="F326" s="25">
        <v>0</v>
      </c>
      <c r="G326" s="28">
        <v>0</v>
      </c>
      <c r="H326" s="28">
        <v>0</v>
      </c>
      <c r="I326" s="28">
        <v>0</v>
      </c>
      <c r="J326" s="26">
        <v>0.0309</v>
      </c>
      <c r="K326" s="27">
        <v>7.48</v>
      </c>
      <c r="L326" s="27">
        <v>231.15</v>
      </c>
      <c r="M326" s="19">
        <v>0</v>
      </c>
      <c r="N326" s="20">
        <v>0</v>
      </c>
      <c r="O326" s="22" t="e">
        <f t="shared" si="23"/>
        <v>#DIV/0!</v>
      </c>
      <c r="P326" s="23" t="e">
        <f t="shared" si="24"/>
        <v>#DIV/0!</v>
      </c>
      <c r="Q326" s="21" t="e">
        <f t="shared" si="25"/>
        <v>#DIV/0!</v>
      </c>
    </row>
    <row r="327" s="2" customFormat="1" spans="1:17">
      <c r="A327" s="17">
        <f t="shared" si="22"/>
        <v>44522</v>
      </c>
      <c r="B327" s="25">
        <v>272.06</v>
      </c>
      <c r="C327" s="28">
        <v>1095</v>
      </c>
      <c r="D327" s="28">
        <v>45</v>
      </c>
      <c r="E327" s="28">
        <v>0</v>
      </c>
      <c r="F327" s="25">
        <v>0</v>
      </c>
      <c r="G327" s="28">
        <v>0</v>
      </c>
      <c r="H327" s="28">
        <v>1</v>
      </c>
      <c r="I327" s="28">
        <v>3</v>
      </c>
      <c r="J327" s="26">
        <v>0.0411</v>
      </c>
      <c r="K327" s="27">
        <v>6.05</v>
      </c>
      <c r="L327" s="27">
        <v>272.06</v>
      </c>
      <c r="M327" s="19">
        <v>0</v>
      </c>
      <c r="N327" s="20">
        <v>0</v>
      </c>
      <c r="O327" s="22" t="e">
        <f t="shared" si="23"/>
        <v>#DIV/0!</v>
      </c>
      <c r="P327" s="23" t="e">
        <f t="shared" si="24"/>
        <v>#DIV/0!</v>
      </c>
      <c r="Q327" s="21" t="e">
        <f t="shared" si="25"/>
        <v>#DIV/0!</v>
      </c>
    </row>
    <row r="328" s="2" customFormat="1" spans="1:17">
      <c r="A328" s="17">
        <f t="shared" si="22"/>
        <v>44523</v>
      </c>
      <c r="B328" s="25" t="s">
        <v>17</v>
      </c>
      <c r="C328" s="27" t="s">
        <v>17</v>
      </c>
      <c r="D328" s="27" t="s">
        <v>17</v>
      </c>
      <c r="E328" s="27" t="s">
        <v>17</v>
      </c>
      <c r="F328" s="25" t="s">
        <v>17</v>
      </c>
      <c r="G328" s="27" t="s">
        <v>17</v>
      </c>
      <c r="H328" s="27" t="s">
        <v>17</v>
      </c>
      <c r="I328" s="27" t="s">
        <v>17</v>
      </c>
      <c r="J328" s="27" t="s">
        <v>17</v>
      </c>
      <c r="K328" s="27" t="s">
        <v>17</v>
      </c>
      <c r="L328" s="27"/>
      <c r="M328" s="19">
        <v>0</v>
      </c>
      <c r="N328" s="20">
        <v>0</v>
      </c>
      <c r="O328" s="22" t="e">
        <f t="shared" si="23"/>
        <v>#VALUE!</v>
      </c>
      <c r="P328" s="23" t="e">
        <f t="shared" si="24"/>
        <v>#VALUE!</v>
      </c>
      <c r="Q328" s="21" t="e">
        <f t="shared" si="25"/>
        <v>#VALUE!</v>
      </c>
    </row>
    <row r="329" s="2" customFormat="1" spans="1:17">
      <c r="A329" s="17">
        <f t="shared" si="22"/>
        <v>44524</v>
      </c>
      <c r="B329" s="25">
        <v>278.64</v>
      </c>
      <c r="C329" s="28">
        <v>1080</v>
      </c>
      <c r="D329" s="28">
        <v>49</v>
      </c>
      <c r="E329" s="28">
        <v>0</v>
      </c>
      <c r="F329" s="25">
        <v>0</v>
      </c>
      <c r="G329" s="28">
        <v>1</v>
      </c>
      <c r="H329" s="28">
        <v>1</v>
      </c>
      <c r="I329" s="28">
        <v>5</v>
      </c>
      <c r="J329" s="26">
        <v>0.0454</v>
      </c>
      <c r="K329" s="27">
        <v>5.69</v>
      </c>
      <c r="L329" s="27">
        <v>258</v>
      </c>
      <c r="M329" s="19">
        <v>0</v>
      </c>
      <c r="N329" s="20">
        <v>0</v>
      </c>
      <c r="O329" s="22" t="e">
        <f t="shared" si="23"/>
        <v>#DIV/0!</v>
      </c>
      <c r="P329" s="23" t="e">
        <f t="shared" si="24"/>
        <v>#DIV/0!</v>
      </c>
      <c r="Q329" s="21">
        <f t="shared" si="25"/>
        <v>278.64</v>
      </c>
    </row>
    <row r="330" s="2" customFormat="1" spans="1:17">
      <c r="A330" s="17">
        <f t="shared" si="22"/>
        <v>44525</v>
      </c>
      <c r="B330" s="25">
        <v>273.19</v>
      </c>
      <c r="C330" s="28">
        <v>1102</v>
      </c>
      <c r="D330" s="28">
        <v>29</v>
      </c>
      <c r="E330" s="28">
        <v>0</v>
      </c>
      <c r="F330" s="25">
        <v>0</v>
      </c>
      <c r="G330" s="28">
        <v>0</v>
      </c>
      <c r="H330" s="28">
        <v>0</v>
      </c>
      <c r="I330" s="28">
        <v>1</v>
      </c>
      <c r="J330" s="26">
        <v>0.0263</v>
      </c>
      <c r="K330" s="27">
        <v>9.42</v>
      </c>
      <c r="L330" s="27">
        <v>247.9</v>
      </c>
      <c r="M330" s="19">
        <v>0</v>
      </c>
      <c r="N330" s="20">
        <v>0</v>
      </c>
      <c r="O330" s="22" t="e">
        <f t="shared" si="23"/>
        <v>#DIV/0!</v>
      </c>
      <c r="P330" s="23" t="e">
        <f t="shared" si="24"/>
        <v>#DIV/0!</v>
      </c>
      <c r="Q330" s="21" t="e">
        <f t="shared" si="25"/>
        <v>#DIV/0!</v>
      </c>
    </row>
    <row r="331" s="2" customFormat="1" spans="1:17">
      <c r="A331" s="17">
        <f t="shared" si="22"/>
        <v>44526</v>
      </c>
      <c r="B331" s="25">
        <v>256.03</v>
      </c>
      <c r="C331" s="28">
        <v>573</v>
      </c>
      <c r="D331" s="28">
        <v>16</v>
      </c>
      <c r="E331" s="28">
        <v>0</v>
      </c>
      <c r="F331" s="25">
        <v>0</v>
      </c>
      <c r="G331" s="28">
        <v>0</v>
      </c>
      <c r="H331" s="28">
        <v>0</v>
      </c>
      <c r="I331" s="28">
        <v>0</v>
      </c>
      <c r="J331" s="26">
        <v>0.0279</v>
      </c>
      <c r="K331" s="27">
        <v>9.75</v>
      </c>
      <c r="L331" s="27">
        <v>272.3</v>
      </c>
      <c r="M331" s="19">
        <v>0</v>
      </c>
      <c r="N331" s="20">
        <v>0</v>
      </c>
      <c r="O331" s="22" t="e">
        <f t="shared" si="23"/>
        <v>#DIV/0!</v>
      </c>
      <c r="P331" s="23" t="e">
        <f t="shared" si="24"/>
        <v>#DIV/0!</v>
      </c>
      <c r="Q331" s="21" t="e">
        <f t="shared" si="25"/>
        <v>#DIV/0!</v>
      </c>
    </row>
    <row r="332" s="2" customFormat="1" spans="1:17">
      <c r="A332" s="17">
        <f t="shared" si="22"/>
        <v>44527</v>
      </c>
      <c r="B332" s="25" t="s">
        <v>17</v>
      </c>
      <c r="C332" s="28" t="s">
        <v>17</v>
      </c>
      <c r="D332" s="28" t="s">
        <v>17</v>
      </c>
      <c r="E332" s="28" t="s">
        <v>17</v>
      </c>
      <c r="F332" s="25" t="s">
        <v>17</v>
      </c>
      <c r="G332" s="28" t="s">
        <v>17</v>
      </c>
      <c r="H332" s="28" t="s">
        <v>17</v>
      </c>
      <c r="I332" s="28" t="s">
        <v>17</v>
      </c>
      <c r="J332" s="27" t="s">
        <v>17</v>
      </c>
      <c r="K332" s="27" t="s">
        <v>17</v>
      </c>
      <c r="L332" s="27" t="s">
        <v>17</v>
      </c>
      <c r="M332" s="19">
        <v>0</v>
      </c>
      <c r="N332" s="20">
        <v>0</v>
      </c>
      <c r="O332" s="22" t="e">
        <f t="shared" si="23"/>
        <v>#VALUE!</v>
      </c>
      <c r="P332" s="23" t="e">
        <f t="shared" si="24"/>
        <v>#VALUE!</v>
      </c>
      <c r="Q332" s="21" t="e">
        <f t="shared" si="25"/>
        <v>#VALUE!</v>
      </c>
    </row>
    <row r="333" s="2" customFormat="1" spans="1:17">
      <c r="A333" s="17">
        <f t="shared" si="22"/>
        <v>44528</v>
      </c>
      <c r="B333" s="25" t="s">
        <v>17</v>
      </c>
      <c r="C333" s="28" t="s">
        <v>17</v>
      </c>
      <c r="D333" s="28" t="s">
        <v>17</v>
      </c>
      <c r="E333" s="28" t="s">
        <v>17</v>
      </c>
      <c r="F333" s="25" t="s">
        <v>17</v>
      </c>
      <c r="G333" s="28" t="s">
        <v>17</v>
      </c>
      <c r="H333" s="28" t="s">
        <v>17</v>
      </c>
      <c r="I333" s="28" t="s">
        <v>17</v>
      </c>
      <c r="J333" s="27" t="s">
        <v>17</v>
      </c>
      <c r="K333" s="27" t="s">
        <v>17</v>
      </c>
      <c r="L333" s="27" t="s">
        <v>17</v>
      </c>
      <c r="M333" s="19">
        <v>0</v>
      </c>
      <c r="N333" s="20">
        <v>0</v>
      </c>
      <c r="O333" s="22" t="e">
        <f t="shared" si="23"/>
        <v>#VALUE!</v>
      </c>
      <c r="P333" s="23" t="e">
        <f t="shared" si="24"/>
        <v>#VALUE!</v>
      </c>
      <c r="Q333" s="21" t="e">
        <f t="shared" si="25"/>
        <v>#VALUE!</v>
      </c>
    </row>
    <row r="334" s="2" customFormat="1" spans="1:17">
      <c r="A334" s="17">
        <f t="shared" si="22"/>
        <v>44529</v>
      </c>
      <c r="B334" s="25">
        <v>77.26</v>
      </c>
      <c r="C334" s="28">
        <v>181</v>
      </c>
      <c r="D334" s="28">
        <v>10</v>
      </c>
      <c r="E334" s="28">
        <v>2</v>
      </c>
      <c r="F334" s="25">
        <v>1998</v>
      </c>
      <c r="G334" s="28">
        <v>1</v>
      </c>
      <c r="H334" s="28">
        <v>0</v>
      </c>
      <c r="I334" s="28">
        <v>2</v>
      </c>
      <c r="J334" s="26">
        <v>0.0552</v>
      </c>
      <c r="K334" s="27">
        <v>7.73</v>
      </c>
      <c r="L334" s="27">
        <v>426.85</v>
      </c>
      <c r="M334" s="19">
        <v>0</v>
      </c>
      <c r="N334" s="20">
        <v>0</v>
      </c>
      <c r="O334" s="22">
        <f t="shared" si="23"/>
        <v>999</v>
      </c>
      <c r="P334" s="23">
        <f t="shared" si="24"/>
        <v>38.63</v>
      </c>
      <c r="Q334" s="21">
        <f t="shared" si="25"/>
        <v>77.26</v>
      </c>
    </row>
    <row r="335" s="2" customFormat="1" spans="1:17">
      <c r="A335" s="17">
        <f t="shared" si="22"/>
        <v>44530</v>
      </c>
      <c r="B335" s="25" t="s">
        <v>17</v>
      </c>
      <c r="C335" s="27" t="s">
        <v>17</v>
      </c>
      <c r="D335" s="27" t="s">
        <v>17</v>
      </c>
      <c r="E335" s="27" t="s">
        <v>17</v>
      </c>
      <c r="F335" s="25" t="s">
        <v>17</v>
      </c>
      <c r="G335" s="27" t="s">
        <v>17</v>
      </c>
      <c r="H335" s="27" t="s">
        <v>17</v>
      </c>
      <c r="I335" s="27" t="s">
        <v>17</v>
      </c>
      <c r="J335" s="27" t="s">
        <v>17</v>
      </c>
      <c r="K335" s="27" t="s">
        <v>17</v>
      </c>
      <c r="L335" s="27" t="s">
        <v>17</v>
      </c>
      <c r="M335" s="19">
        <v>0</v>
      </c>
      <c r="N335" s="20">
        <v>0</v>
      </c>
      <c r="O335" s="22" t="e">
        <f t="shared" si="23"/>
        <v>#VALUE!</v>
      </c>
      <c r="P335" s="23" t="e">
        <f t="shared" si="24"/>
        <v>#VALUE!</v>
      </c>
      <c r="Q335" s="21" t="e">
        <f t="shared" si="25"/>
        <v>#VALUE!</v>
      </c>
    </row>
    <row r="336" s="2" customFormat="1" spans="1:17">
      <c r="A336" s="17">
        <f t="shared" si="22"/>
        <v>44531</v>
      </c>
      <c r="B336" s="25">
        <v>117.29</v>
      </c>
      <c r="C336" s="28">
        <v>252</v>
      </c>
      <c r="D336" s="28">
        <v>27</v>
      </c>
      <c r="E336" s="28">
        <v>0</v>
      </c>
      <c r="F336" s="25">
        <v>0</v>
      </c>
      <c r="G336" s="28">
        <v>1</v>
      </c>
      <c r="H336" s="28">
        <v>0</v>
      </c>
      <c r="I336" s="28">
        <v>1</v>
      </c>
      <c r="J336" s="26">
        <v>0.1071</v>
      </c>
      <c r="K336" s="27">
        <v>4.34</v>
      </c>
      <c r="L336" s="27">
        <v>465.44</v>
      </c>
      <c r="M336" s="19">
        <v>0</v>
      </c>
      <c r="N336" s="20">
        <v>0</v>
      </c>
      <c r="O336" s="22" t="e">
        <f t="shared" si="23"/>
        <v>#DIV/0!</v>
      </c>
      <c r="P336" s="23" t="e">
        <f t="shared" si="24"/>
        <v>#DIV/0!</v>
      </c>
      <c r="Q336" s="21">
        <f t="shared" si="25"/>
        <v>117.29</v>
      </c>
    </row>
    <row r="337" s="2" customFormat="1" spans="1:17">
      <c r="A337" s="17">
        <f t="shared" si="22"/>
        <v>44532</v>
      </c>
      <c r="B337" s="25">
        <v>140.19</v>
      </c>
      <c r="C337" s="28">
        <v>315</v>
      </c>
      <c r="D337" s="28">
        <v>20</v>
      </c>
      <c r="E337" s="28">
        <v>0</v>
      </c>
      <c r="F337" s="25">
        <v>0</v>
      </c>
      <c r="G337" s="28">
        <v>0</v>
      </c>
      <c r="H337" s="28">
        <v>0</v>
      </c>
      <c r="I337" s="28">
        <v>0</v>
      </c>
      <c r="J337" s="26">
        <v>0.0635</v>
      </c>
      <c r="K337" s="27">
        <v>7.01</v>
      </c>
      <c r="L337" s="27">
        <v>445.05</v>
      </c>
      <c r="M337" s="19">
        <v>0</v>
      </c>
      <c r="N337" s="20">
        <v>0</v>
      </c>
      <c r="O337" s="22" t="e">
        <f t="shared" si="23"/>
        <v>#DIV/0!</v>
      </c>
      <c r="P337" s="23" t="e">
        <f t="shared" si="24"/>
        <v>#DIV/0!</v>
      </c>
      <c r="Q337" s="21" t="e">
        <f t="shared" si="25"/>
        <v>#DIV/0!</v>
      </c>
    </row>
    <row r="338" s="2" customFormat="1" spans="1:17">
      <c r="A338" s="17">
        <f t="shared" si="22"/>
        <v>44533</v>
      </c>
      <c r="B338" s="25">
        <v>122.77</v>
      </c>
      <c r="C338" s="28">
        <v>287</v>
      </c>
      <c r="D338" s="28">
        <v>23</v>
      </c>
      <c r="E338" s="28">
        <v>0</v>
      </c>
      <c r="F338" s="25">
        <v>0</v>
      </c>
      <c r="G338" s="28">
        <v>0</v>
      </c>
      <c r="H338" s="28">
        <v>0</v>
      </c>
      <c r="I338" s="28">
        <v>1</v>
      </c>
      <c r="J338" s="26">
        <v>0.0801</v>
      </c>
      <c r="K338" s="27">
        <v>5.34</v>
      </c>
      <c r="L338" s="27">
        <v>427.77</v>
      </c>
      <c r="M338" s="19">
        <v>0</v>
      </c>
      <c r="N338" s="20">
        <v>0</v>
      </c>
      <c r="O338" s="22" t="e">
        <f t="shared" si="23"/>
        <v>#DIV/0!</v>
      </c>
      <c r="P338" s="23" t="e">
        <f t="shared" si="24"/>
        <v>#DIV/0!</v>
      </c>
      <c r="Q338" s="21" t="e">
        <f t="shared" si="25"/>
        <v>#DIV/0!</v>
      </c>
    </row>
    <row r="339" s="2" customFormat="1" spans="1:17">
      <c r="A339" s="17">
        <f t="shared" si="22"/>
        <v>44534</v>
      </c>
      <c r="B339" s="25">
        <v>128.53</v>
      </c>
      <c r="C339" s="28">
        <v>386</v>
      </c>
      <c r="D339" s="28">
        <v>10</v>
      </c>
      <c r="E339" s="28">
        <v>0</v>
      </c>
      <c r="F339" s="25">
        <v>0</v>
      </c>
      <c r="G339" s="28">
        <v>0</v>
      </c>
      <c r="H339" s="28">
        <v>0</v>
      </c>
      <c r="I339" s="28">
        <v>0</v>
      </c>
      <c r="J339" s="26">
        <v>0.0259</v>
      </c>
      <c r="K339" s="27">
        <v>12.85</v>
      </c>
      <c r="L339" s="27">
        <v>332.98</v>
      </c>
      <c r="M339" s="19">
        <v>0</v>
      </c>
      <c r="N339" s="20">
        <v>0</v>
      </c>
      <c r="O339" s="22" t="e">
        <f t="shared" si="23"/>
        <v>#DIV/0!</v>
      </c>
      <c r="P339" s="23" t="e">
        <f t="shared" si="24"/>
        <v>#DIV/0!</v>
      </c>
      <c r="Q339" s="21" t="e">
        <f t="shared" si="25"/>
        <v>#DIV/0!</v>
      </c>
    </row>
    <row r="340" s="2" customFormat="1" spans="1:17">
      <c r="A340" s="17">
        <f t="shared" si="22"/>
        <v>44535</v>
      </c>
      <c r="B340" s="25">
        <v>134.85</v>
      </c>
      <c r="C340" s="28">
        <v>469</v>
      </c>
      <c r="D340" s="28">
        <v>16</v>
      </c>
      <c r="E340" s="28">
        <v>0</v>
      </c>
      <c r="F340" s="25">
        <v>0</v>
      </c>
      <c r="G340" s="28">
        <v>0</v>
      </c>
      <c r="H340" s="28">
        <v>0</v>
      </c>
      <c r="I340" s="28">
        <v>0</v>
      </c>
      <c r="J340" s="26">
        <v>0.0341</v>
      </c>
      <c r="K340" s="27">
        <v>8.43</v>
      </c>
      <c r="L340" s="27">
        <v>287.53</v>
      </c>
      <c r="M340" s="19">
        <v>0</v>
      </c>
      <c r="N340" s="20">
        <v>0</v>
      </c>
      <c r="O340" s="22" t="e">
        <f t="shared" si="23"/>
        <v>#DIV/0!</v>
      </c>
      <c r="P340" s="23" t="e">
        <f t="shared" si="24"/>
        <v>#DIV/0!</v>
      </c>
      <c r="Q340" s="21" t="e">
        <f t="shared" si="25"/>
        <v>#DIV/0!</v>
      </c>
    </row>
    <row r="341" s="2" customFormat="1" spans="1:17">
      <c r="A341" s="17">
        <f t="shared" si="22"/>
        <v>44536</v>
      </c>
      <c r="B341" s="25">
        <v>123.29</v>
      </c>
      <c r="C341" s="28">
        <v>391</v>
      </c>
      <c r="D341" s="28">
        <v>28</v>
      </c>
      <c r="E341" s="28">
        <v>0</v>
      </c>
      <c r="F341" s="25">
        <v>0</v>
      </c>
      <c r="G341" s="28">
        <v>0</v>
      </c>
      <c r="H341" s="28">
        <v>0</v>
      </c>
      <c r="I341" s="28">
        <v>1</v>
      </c>
      <c r="J341" s="26">
        <v>0.0716</v>
      </c>
      <c r="K341" s="27">
        <v>4.4</v>
      </c>
      <c r="L341" s="27">
        <v>315.32</v>
      </c>
      <c r="M341" s="19">
        <v>0</v>
      </c>
      <c r="N341" s="20">
        <v>0</v>
      </c>
      <c r="O341" s="22" t="e">
        <f t="shared" si="23"/>
        <v>#DIV/0!</v>
      </c>
      <c r="P341" s="23" t="e">
        <f t="shared" si="24"/>
        <v>#DIV/0!</v>
      </c>
      <c r="Q341" s="21" t="e">
        <f t="shared" si="25"/>
        <v>#DIV/0!</v>
      </c>
    </row>
    <row r="342" s="2" customFormat="1" spans="1:17">
      <c r="A342" s="17">
        <f t="shared" si="22"/>
        <v>44537</v>
      </c>
      <c r="B342" s="25" t="s">
        <v>17</v>
      </c>
      <c r="C342" s="27" t="s">
        <v>17</v>
      </c>
      <c r="D342" s="27" t="s">
        <v>17</v>
      </c>
      <c r="E342" s="27" t="s">
        <v>17</v>
      </c>
      <c r="F342" s="25" t="s">
        <v>17</v>
      </c>
      <c r="G342" s="27" t="s">
        <v>17</v>
      </c>
      <c r="H342" s="27" t="s">
        <v>17</v>
      </c>
      <c r="I342" s="27" t="s">
        <v>17</v>
      </c>
      <c r="J342" s="27" t="s">
        <v>17</v>
      </c>
      <c r="K342" s="27" t="s">
        <v>17</v>
      </c>
      <c r="L342" s="27" t="s">
        <v>17</v>
      </c>
      <c r="M342" s="19">
        <v>0</v>
      </c>
      <c r="N342" s="20">
        <v>0</v>
      </c>
      <c r="O342" s="22" t="e">
        <f t="shared" si="23"/>
        <v>#VALUE!</v>
      </c>
      <c r="P342" s="23" t="e">
        <f t="shared" si="24"/>
        <v>#VALUE!</v>
      </c>
      <c r="Q342" s="21" t="e">
        <f t="shared" si="25"/>
        <v>#VALUE!</v>
      </c>
    </row>
    <row r="343" s="2" customFormat="1" spans="1:17">
      <c r="A343" s="17">
        <f t="shared" si="22"/>
        <v>44538</v>
      </c>
      <c r="B343" s="25">
        <v>138.62</v>
      </c>
      <c r="C343" s="28">
        <v>339</v>
      </c>
      <c r="D343" s="28">
        <v>27</v>
      </c>
      <c r="E343" s="28">
        <v>0</v>
      </c>
      <c r="F343" s="25">
        <v>0</v>
      </c>
      <c r="G343" s="28">
        <v>0</v>
      </c>
      <c r="H343" s="28">
        <v>0</v>
      </c>
      <c r="I343" s="28">
        <v>1</v>
      </c>
      <c r="J343" s="26">
        <v>0.0796</v>
      </c>
      <c r="K343" s="27">
        <v>5.13</v>
      </c>
      <c r="L343" s="27">
        <v>408.91</v>
      </c>
      <c r="M343" s="19">
        <v>0</v>
      </c>
      <c r="N343" s="20">
        <v>0</v>
      </c>
      <c r="O343" s="22" t="e">
        <f t="shared" si="23"/>
        <v>#DIV/0!</v>
      </c>
      <c r="P343" s="23" t="e">
        <f t="shared" si="24"/>
        <v>#DIV/0!</v>
      </c>
      <c r="Q343" s="21" t="e">
        <f t="shared" si="25"/>
        <v>#DIV/0!</v>
      </c>
    </row>
    <row r="344" s="2" customFormat="1" spans="1:17">
      <c r="A344" s="17">
        <f t="shared" si="22"/>
        <v>44539</v>
      </c>
      <c r="B344" s="25">
        <v>136.89</v>
      </c>
      <c r="C344" s="28">
        <v>288</v>
      </c>
      <c r="D344" s="28">
        <v>16</v>
      </c>
      <c r="E344" s="28">
        <v>0</v>
      </c>
      <c r="F344" s="25">
        <v>0</v>
      </c>
      <c r="G344" s="28">
        <v>0</v>
      </c>
      <c r="H344" s="28">
        <v>0</v>
      </c>
      <c r="I344" s="28">
        <v>1</v>
      </c>
      <c r="J344" s="26">
        <v>0.0556</v>
      </c>
      <c r="K344" s="27">
        <v>8.56</v>
      </c>
      <c r="L344" s="27">
        <v>473.51</v>
      </c>
      <c r="M344" s="19">
        <v>0</v>
      </c>
      <c r="N344" s="20">
        <v>0</v>
      </c>
      <c r="O344" s="22" t="e">
        <f t="shared" si="23"/>
        <v>#DIV/0!</v>
      </c>
      <c r="P344" s="23" t="e">
        <f t="shared" si="24"/>
        <v>#DIV/0!</v>
      </c>
      <c r="Q344" s="21" t="e">
        <f t="shared" si="25"/>
        <v>#DIV/0!</v>
      </c>
    </row>
    <row r="345" s="2" customFormat="1" spans="1:17">
      <c r="A345" s="17">
        <f t="shared" si="22"/>
        <v>44540</v>
      </c>
      <c r="B345" s="25">
        <v>128.91</v>
      </c>
      <c r="C345" s="28">
        <v>276</v>
      </c>
      <c r="D345" s="28">
        <v>21</v>
      </c>
      <c r="E345" s="28">
        <v>0</v>
      </c>
      <c r="F345" s="25">
        <v>0</v>
      </c>
      <c r="G345" s="28">
        <v>0</v>
      </c>
      <c r="H345" s="28">
        <v>0</v>
      </c>
      <c r="I345" s="28">
        <v>0</v>
      </c>
      <c r="J345" s="26">
        <v>0.0761</v>
      </c>
      <c r="K345" s="27">
        <v>6.14</v>
      </c>
      <c r="L345" s="27">
        <v>467.07</v>
      </c>
      <c r="M345" s="19">
        <v>0</v>
      </c>
      <c r="N345" s="20">
        <v>0</v>
      </c>
      <c r="O345" s="22" t="e">
        <f t="shared" si="23"/>
        <v>#DIV/0!</v>
      </c>
      <c r="P345" s="23" t="e">
        <f t="shared" si="24"/>
        <v>#DIV/0!</v>
      </c>
      <c r="Q345" s="21" t="e">
        <f t="shared" si="25"/>
        <v>#DIV/0!</v>
      </c>
    </row>
    <row r="346" s="2" customFormat="1" spans="1:17">
      <c r="A346" s="17">
        <f t="shared" si="22"/>
        <v>44541</v>
      </c>
      <c r="B346" s="25">
        <v>0</v>
      </c>
      <c r="C346" s="28" t="s">
        <v>17</v>
      </c>
      <c r="D346" s="28" t="s">
        <v>17</v>
      </c>
      <c r="E346" s="28" t="s">
        <v>17</v>
      </c>
      <c r="F346" s="32" t="s">
        <v>17</v>
      </c>
      <c r="G346" s="28" t="s">
        <v>17</v>
      </c>
      <c r="H346" s="28" t="s">
        <v>17</v>
      </c>
      <c r="I346" s="28" t="s">
        <v>17</v>
      </c>
      <c r="J346" s="28" t="s">
        <v>17</v>
      </c>
      <c r="K346" s="28" t="s">
        <v>17</v>
      </c>
      <c r="L346" s="28" t="s">
        <v>17</v>
      </c>
      <c r="M346" s="19">
        <v>0</v>
      </c>
      <c r="N346" s="20">
        <v>0</v>
      </c>
      <c r="O346" s="22" t="e">
        <f t="shared" si="23"/>
        <v>#VALUE!</v>
      </c>
      <c r="P346" s="23" t="e">
        <f t="shared" si="24"/>
        <v>#VALUE!</v>
      </c>
      <c r="Q346" s="21" t="e">
        <f t="shared" si="25"/>
        <v>#VALUE!</v>
      </c>
    </row>
    <row r="347" s="2" customFormat="1" spans="1:17">
      <c r="A347" s="17">
        <f t="shared" si="22"/>
        <v>44542</v>
      </c>
      <c r="B347" s="25">
        <v>0</v>
      </c>
      <c r="C347" s="28" t="s">
        <v>17</v>
      </c>
      <c r="D347" s="28" t="s">
        <v>17</v>
      </c>
      <c r="E347" s="28" t="s">
        <v>17</v>
      </c>
      <c r="F347" s="32" t="s">
        <v>17</v>
      </c>
      <c r="G347" s="28" t="s">
        <v>17</v>
      </c>
      <c r="H347" s="28" t="s">
        <v>17</v>
      </c>
      <c r="I347" s="28" t="s">
        <v>17</v>
      </c>
      <c r="J347" s="28" t="s">
        <v>17</v>
      </c>
      <c r="K347" s="28" t="s">
        <v>17</v>
      </c>
      <c r="L347" s="28" t="s">
        <v>17</v>
      </c>
      <c r="M347" s="19">
        <v>0</v>
      </c>
      <c r="N347" s="20">
        <v>0</v>
      </c>
      <c r="O347" s="22" t="e">
        <f t="shared" si="23"/>
        <v>#VALUE!</v>
      </c>
      <c r="P347" s="23" t="e">
        <f t="shared" si="24"/>
        <v>#VALUE!</v>
      </c>
      <c r="Q347" s="21" t="e">
        <f t="shared" si="25"/>
        <v>#VALUE!</v>
      </c>
    </row>
    <row r="348" s="2" customFormat="1" spans="1:17">
      <c r="A348" s="17">
        <f t="shared" si="22"/>
        <v>44543</v>
      </c>
      <c r="B348" s="25">
        <v>101.08</v>
      </c>
      <c r="C348" s="28">
        <v>198</v>
      </c>
      <c r="D348" s="28">
        <v>13</v>
      </c>
      <c r="E348" s="28">
        <v>0</v>
      </c>
      <c r="F348" s="25">
        <v>0</v>
      </c>
      <c r="G348" s="28">
        <v>0</v>
      </c>
      <c r="H348" s="28">
        <v>0</v>
      </c>
      <c r="I348" s="28">
        <v>1</v>
      </c>
      <c r="J348" s="26">
        <v>0.0657</v>
      </c>
      <c r="K348" s="27">
        <v>7.78</v>
      </c>
      <c r="L348" s="27">
        <v>511.01</v>
      </c>
      <c r="M348" s="19">
        <v>0</v>
      </c>
      <c r="N348" s="20">
        <v>0</v>
      </c>
      <c r="O348" s="22" t="e">
        <f t="shared" si="23"/>
        <v>#DIV/0!</v>
      </c>
      <c r="P348" s="23" t="e">
        <f t="shared" si="24"/>
        <v>#DIV/0!</v>
      </c>
      <c r="Q348" s="21" t="e">
        <f t="shared" si="25"/>
        <v>#DIV/0!</v>
      </c>
    </row>
    <row r="349" s="2" customFormat="1" spans="1:17">
      <c r="A349" s="17">
        <f t="shared" si="22"/>
        <v>44544</v>
      </c>
      <c r="B349" s="25">
        <v>41.24</v>
      </c>
      <c r="C349" s="28">
        <v>111</v>
      </c>
      <c r="D349" s="28">
        <v>6</v>
      </c>
      <c r="E349" s="28">
        <v>0</v>
      </c>
      <c r="F349" s="25">
        <v>0</v>
      </c>
      <c r="G349" s="28">
        <v>0</v>
      </c>
      <c r="H349" s="28">
        <v>0</v>
      </c>
      <c r="I349" s="28">
        <v>0</v>
      </c>
      <c r="J349" s="26">
        <v>0.0541</v>
      </c>
      <c r="K349" s="27">
        <v>6.87</v>
      </c>
      <c r="L349" s="27">
        <v>371.53</v>
      </c>
      <c r="M349" s="19">
        <v>0</v>
      </c>
      <c r="N349" s="20">
        <v>0</v>
      </c>
      <c r="O349" s="22" t="e">
        <f t="shared" si="23"/>
        <v>#DIV/0!</v>
      </c>
      <c r="P349" s="23" t="e">
        <f t="shared" si="24"/>
        <v>#DIV/0!</v>
      </c>
      <c r="Q349" s="21" t="e">
        <f t="shared" si="25"/>
        <v>#DIV/0!</v>
      </c>
    </row>
    <row r="350" s="2" customFormat="1" spans="1:17">
      <c r="A350" s="17">
        <f t="shared" si="22"/>
        <v>44545</v>
      </c>
      <c r="B350" s="25">
        <v>82.83</v>
      </c>
      <c r="C350" s="28">
        <v>193</v>
      </c>
      <c r="D350" s="28">
        <v>10.35</v>
      </c>
      <c r="E350" s="28">
        <v>0</v>
      </c>
      <c r="F350" s="25">
        <v>0</v>
      </c>
      <c r="G350" s="28">
        <v>1</v>
      </c>
      <c r="H350" s="28">
        <v>0</v>
      </c>
      <c r="I350" s="28">
        <v>0</v>
      </c>
      <c r="J350" s="26">
        <v>0.0415</v>
      </c>
      <c r="K350" s="27">
        <v>10.35</v>
      </c>
      <c r="L350" s="27">
        <v>429.17</v>
      </c>
      <c r="M350" s="19">
        <v>0</v>
      </c>
      <c r="N350" s="20">
        <v>0</v>
      </c>
      <c r="O350" s="22" t="e">
        <f t="shared" si="23"/>
        <v>#DIV/0!</v>
      </c>
      <c r="P350" s="23" t="e">
        <f t="shared" si="24"/>
        <v>#DIV/0!</v>
      </c>
      <c r="Q350" s="21">
        <f t="shared" si="25"/>
        <v>82.83</v>
      </c>
    </row>
    <row r="351" s="2" customFormat="1" spans="1:17">
      <c r="A351" s="17">
        <f t="shared" si="22"/>
        <v>44546</v>
      </c>
      <c r="B351" s="25">
        <v>113.74</v>
      </c>
      <c r="C351" s="28">
        <v>254</v>
      </c>
      <c r="D351" s="28">
        <v>14</v>
      </c>
      <c r="E351" s="28">
        <v>0</v>
      </c>
      <c r="F351" s="25">
        <v>0</v>
      </c>
      <c r="G351" s="28">
        <v>1</v>
      </c>
      <c r="H351" s="28">
        <v>0</v>
      </c>
      <c r="I351" s="28">
        <v>0</v>
      </c>
      <c r="J351" s="26">
        <v>0.0551</v>
      </c>
      <c r="K351" s="27">
        <v>8.12</v>
      </c>
      <c r="L351" s="27">
        <v>447.8</v>
      </c>
      <c r="M351" s="19">
        <v>0</v>
      </c>
      <c r="N351" s="20">
        <v>0</v>
      </c>
      <c r="O351" s="22" t="e">
        <f t="shared" si="23"/>
        <v>#DIV/0!</v>
      </c>
      <c r="P351" s="23" t="e">
        <f t="shared" si="24"/>
        <v>#DIV/0!</v>
      </c>
      <c r="Q351" s="21">
        <f t="shared" si="25"/>
        <v>113.74</v>
      </c>
    </row>
    <row r="352" s="2" customFormat="1" spans="1:17">
      <c r="A352" s="17">
        <f t="shared" si="22"/>
        <v>44547</v>
      </c>
      <c r="B352" s="25">
        <v>92.11</v>
      </c>
      <c r="C352" s="28">
        <v>245</v>
      </c>
      <c r="D352" s="28">
        <v>7</v>
      </c>
      <c r="E352" s="28">
        <v>0</v>
      </c>
      <c r="F352" s="25">
        <v>0</v>
      </c>
      <c r="G352" s="28">
        <v>0</v>
      </c>
      <c r="H352" s="28">
        <v>0</v>
      </c>
      <c r="I352" s="28">
        <v>0</v>
      </c>
      <c r="J352" s="26">
        <v>0.0286</v>
      </c>
      <c r="K352" s="27">
        <v>13.16</v>
      </c>
      <c r="L352" s="27">
        <v>375.96</v>
      </c>
      <c r="M352" s="19">
        <v>0</v>
      </c>
      <c r="N352" s="20">
        <v>0</v>
      </c>
      <c r="O352" s="22" t="e">
        <f t="shared" si="23"/>
        <v>#DIV/0!</v>
      </c>
      <c r="P352" s="23" t="e">
        <f t="shared" si="24"/>
        <v>#DIV/0!</v>
      </c>
      <c r="Q352" s="21" t="e">
        <f t="shared" si="25"/>
        <v>#DIV/0!</v>
      </c>
    </row>
    <row r="353" s="2" customFormat="1" spans="1:17">
      <c r="A353" s="17">
        <f t="shared" ref="A353:A416" si="26">A352+1</f>
        <v>44548</v>
      </c>
      <c r="B353" s="25">
        <v>125.34</v>
      </c>
      <c r="C353" s="28">
        <v>264</v>
      </c>
      <c r="D353" s="28">
        <v>20</v>
      </c>
      <c r="E353" s="28">
        <v>0</v>
      </c>
      <c r="F353" s="25">
        <v>0</v>
      </c>
      <c r="G353" s="28">
        <v>1</v>
      </c>
      <c r="H353" s="28">
        <v>0</v>
      </c>
      <c r="I353" s="28">
        <v>1</v>
      </c>
      <c r="J353" s="26">
        <v>0.0758</v>
      </c>
      <c r="K353" s="27">
        <v>6.27</v>
      </c>
      <c r="L353" s="27">
        <v>474.77</v>
      </c>
      <c r="M353" s="19">
        <v>0</v>
      </c>
      <c r="N353" s="20">
        <v>0</v>
      </c>
      <c r="O353" s="22" t="e">
        <f t="shared" si="23"/>
        <v>#DIV/0!</v>
      </c>
      <c r="P353" s="23" t="e">
        <f t="shared" si="24"/>
        <v>#DIV/0!</v>
      </c>
      <c r="Q353" s="21">
        <f t="shared" si="25"/>
        <v>125.34</v>
      </c>
    </row>
    <row r="354" s="2" customFormat="1" spans="1:17">
      <c r="A354" s="17">
        <f t="shared" si="26"/>
        <v>44549</v>
      </c>
      <c r="B354" s="25">
        <v>138.46</v>
      </c>
      <c r="C354" s="28">
        <v>286</v>
      </c>
      <c r="D354" s="28">
        <v>11</v>
      </c>
      <c r="E354" s="28">
        <v>0</v>
      </c>
      <c r="F354" s="25">
        <v>0</v>
      </c>
      <c r="G354" s="28">
        <v>0</v>
      </c>
      <c r="H354" s="28">
        <v>0</v>
      </c>
      <c r="I354" s="28">
        <v>0</v>
      </c>
      <c r="J354" s="26">
        <v>0.0385</v>
      </c>
      <c r="K354" s="27">
        <v>12.59</v>
      </c>
      <c r="L354" s="27">
        <v>483.17</v>
      </c>
      <c r="M354" s="19">
        <v>0</v>
      </c>
      <c r="N354" s="20">
        <v>0</v>
      </c>
      <c r="O354" s="22" t="e">
        <f t="shared" si="23"/>
        <v>#DIV/0!</v>
      </c>
      <c r="P354" s="23" t="e">
        <f t="shared" si="24"/>
        <v>#DIV/0!</v>
      </c>
      <c r="Q354" s="21" t="e">
        <f t="shared" si="25"/>
        <v>#DIV/0!</v>
      </c>
    </row>
    <row r="355" s="2" customFormat="1" spans="1:17">
      <c r="A355" s="17">
        <f t="shared" si="26"/>
        <v>44550</v>
      </c>
      <c r="B355" s="18">
        <v>142.15</v>
      </c>
      <c r="C355" s="19">
        <v>281</v>
      </c>
      <c r="D355" s="19">
        <v>15</v>
      </c>
      <c r="E355" s="19">
        <v>0</v>
      </c>
      <c r="F355" s="18">
        <v>0</v>
      </c>
      <c r="G355" s="19">
        <v>0</v>
      </c>
      <c r="H355" s="19">
        <v>1</v>
      </c>
      <c r="I355" s="19">
        <v>1</v>
      </c>
      <c r="J355" s="20">
        <v>0.0534</v>
      </c>
      <c r="K355" s="21">
        <v>9.48</v>
      </c>
      <c r="L355" s="21">
        <v>505.87</v>
      </c>
      <c r="M355" s="19">
        <v>0</v>
      </c>
      <c r="N355" s="20">
        <v>0</v>
      </c>
      <c r="O355" s="22" t="e">
        <f t="shared" si="23"/>
        <v>#DIV/0!</v>
      </c>
      <c r="P355" s="23" t="e">
        <f t="shared" si="24"/>
        <v>#DIV/0!</v>
      </c>
      <c r="Q355" s="21" t="e">
        <f t="shared" si="25"/>
        <v>#DIV/0!</v>
      </c>
    </row>
    <row r="356" s="2" customFormat="1" spans="1:17">
      <c r="A356" s="17">
        <f t="shared" si="26"/>
        <v>44551</v>
      </c>
      <c r="B356" s="18">
        <v>38.07</v>
      </c>
      <c r="C356" s="19">
        <v>99</v>
      </c>
      <c r="D356" s="19">
        <v>6</v>
      </c>
      <c r="E356" s="19">
        <v>0</v>
      </c>
      <c r="F356" s="18">
        <v>0</v>
      </c>
      <c r="G356" s="19">
        <v>0</v>
      </c>
      <c r="H356" s="19">
        <v>0</v>
      </c>
      <c r="I356" s="19">
        <v>0</v>
      </c>
      <c r="J356" s="20">
        <v>0.0606</v>
      </c>
      <c r="K356" s="21">
        <v>6.35</v>
      </c>
      <c r="L356" s="21">
        <v>384.55</v>
      </c>
      <c r="M356" s="19">
        <v>0</v>
      </c>
      <c r="N356" s="20">
        <v>0</v>
      </c>
      <c r="O356" s="22" t="e">
        <f t="shared" si="23"/>
        <v>#DIV/0!</v>
      </c>
      <c r="P356" s="23" t="e">
        <f t="shared" si="24"/>
        <v>#DIV/0!</v>
      </c>
      <c r="Q356" s="21" t="e">
        <f t="shared" si="25"/>
        <v>#DIV/0!</v>
      </c>
    </row>
    <row r="357" s="2" customFormat="1" spans="1:17">
      <c r="A357" s="17">
        <f t="shared" si="26"/>
        <v>44552</v>
      </c>
      <c r="B357" s="18">
        <v>114.87</v>
      </c>
      <c r="C357" s="19">
        <v>222</v>
      </c>
      <c r="D357" s="19">
        <v>15</v>
      </c>
      <c r="E357" s="19">
        <v>0</v>
      </c>
      <c r="F357" s="18">
        <v>0</v>
      </c>
      <c r="G357" s="19">
        <v>0</v>
      </c>
      <c r="H357" s="19">
        <v>0</v>
      </c>
      <c r="I357" s="19">
        <v>0</v>
      </c>
      <c r="J357" s="20">
        <v>0.0676</v>
      </c>
      <c r="K357" s="21">
        <v>7.66</v>
      </c>
      <c r="L357" s="21">
        <v>517.43</v>
      </c>
      <c r="M357" s="19">
        <v>0</v>
      </c>
      <c r="N357" s="20">
        <v>0</v>
      </c>
      <c r="O357" s="22" t="e">
        <f t="shared" si="23"/>
        <v>#DIV/0!</v>
      </c>
      <c r="P357" s="23" t="e">
        <f t="shared" si="24"/>
        <v>#DIV/0!</v>
      </c>
      <c r="Q357" s="21" t="e">
        <f t="shared" si="25"/>
        <v>#DIV/0!</v>
      </c>
    </row>
    <row r="358" s="2" customFormat="1" spans="1:17">
      <c r="A358" s="17">
        <f t="shared" si="26"/>
        <v>44553</v>
      </c>
      <c r="B358" s="18">
        <v>143.21</v>
      </c>
      <c r="C358" s="19">
        <v>287</v>
      </c>
      <c r="D358" s="19">
        <v>15</v>
      </c>
      <c r="E358" s="19">
        <v>0</v>
      </c>
      <c r="F358" s="18">
        <v>0</v>
      </c>
      <c r="G358" s="19">
        <v>1</v>
      </c>
      <c r="H358" s="19">
        <v>0</v>
      </c>
      <c r="I358" s="19">
        <v>0</v>
      </c>
      <c r="J358" s="20">
        <v>0.0523</v>
      </c>
      <c r="K358" s="21">
        <v>9.55</v>
      </c>
      <c r="L358" s="21">
        <v>498.99</v>
      </c>
      <c r="M358" s="19">
        <v>0</v>
      </c>
      <c r="N358" s="20">
        <v>0</v>
      </c>
      <c r="O358" s="22" t="e">
        <f t="shared" si="23"/>
        <v>#DIV/0!</v>
      </c>
      <c r="P358" s="23" t="e">
        <f t="shared" si="24"/>
        <v>#DIV/0!</v>
      </c>
      <c r="Q358" s="21">
        <f t="shared" si="25"/>
        <v>143.21</v>
      </c>
    </row>
    <row r="359" s="2" customFormat="1" spans="1:17">
      <c r="A359" s="17">
        <f t="shared" si="26"/>
        <v>44554</v>
      </c>
      <c r="B359" s="18">
        <v>141.09</v>
      </c>
      <c r="C359" s="19">
        <v>293</v>
      </c>
      <c r="D359" s="19">
        <v>17</v>
      </c>
      <c r="E359" s="19">
        <v>0</v>
      </c>
      <c r="F359" s="18">
        <v>0</v>
      </c>
      <c r="G359" s="19">
        <v>0</v>
      </c>
      <c r="H359" s="19">
        <v>0</v>
      </c>
      <c r="I359" s="19">
        <v>1</v>
      </c>
      <c r="J359" s="20">
        <v>0.058</v>
      </c>
      <c r="K359" s="21">
        <v>8.3</v>
      </c>
      <c r="L359" s="21">
        <v>481.54</v>
      </c>
      <c r="M359" s="19">
        <v>0</v>
      </c>
      <c r="N359" s="20">
        <v>0</v>
      </c>
      <c r="O359" s="22" t="e">
        <f t="shared" si="23"/>
        <v>#DIV/0!</v>
      </c>
      <c r="P359" s="23" t="e">
        <f t="shared" si="24"/>
        <v>#DIV/0!</v>
      </c>
      <c r="Q359" s="21" t="e">
        <f t="shared" si="25"/>
        <v>#DIV/0!</v>
      </c>
    </row>
    <row r="360" s="2" customFormat="1" spans="1:17">
      <c r="A360" s="17">
        <f t="shared" si="26"/>
        <v>44555</v>
      </c>
      <c r="B360" s="18">
        <v>135.12</v>
      </c>
      <c r="C360" s="19">
        <v>278</v>
      </c>
      <c r="D360" s="19">
        <v>9</v>
      </c>
      <c r="E360" s="19">
        <v>0</v>
      </c>
      <c r="F360" s="18">
        <v>0</v>
      </c>
      <c r="G360" s="19">
        <v>0</v>
      </c>
      <c r="H360" s="19">
        <v>0</v>
      </c>
      <c r="I360" s="19">
        <v>0</v>
      </c>
      <c r="J360" s="20">
        <v>0.0324</v>
      </c>
      <c r="K360" s="21">
        <v>15.01</v>
      </c>
      <c r="L360" s="21">
        <v>486.04</v>
      </c>
      <c r="M360" s="19">
        <v>0</v>
      </c>
      <c r="N360" s="20">
        <v>0</v>
      </c>
      <c r="O360" s="22" t="e">
        <f t="shared" si="23"/>
        <v>#DIV/0!</v>
      </c>
      <c r="P360" s="23" t="e">
        <f t="shared" si="24"/>
        <v>#DIV/0!</v>
      </c>
      <c r="Q360" s="21" t="e">
        <f t="shared" si="25"/>
        <v>#DIV/0!</v>
      </c>
    </row>
    <row r="361" s="2" customFormat="1" spans="1:17">
      <c r="A361" s="17">
        <f t="shared" si="26"/>
        <v>44556</v>
      </c>
      <c r="B361" s="18">
        <v>120.04</v>
      </c>
      <c r="C361" s="19">
        <v>269</v>
      </c>
      <c r="D361" s="19">
        <v>7</v>
      </c>
      <c r="E361" s="19">
        <v>0</v>
      </c>
      <c r="F361" s="18">
        <v>0</v>
      </c>
      <c r="G361" s="19">
        <v>0</v>
      </c>
      <c r="H361" s="19">
        <v>0</v>
      </c>
      <c r="I361" s="19">
        <v>1</v>
      </c>
      <c r="J361" s="20">
        <v>0.026</v>
      </c>
      <c r="K361" s="21">
        <v>17.15</v>
      </c>
      <c r="L361" s="21">
        <v>446.25</v>
      </c>
      <c r="M361" s="19">
        <v>0</v>
      </c>
      <c r="N361" s="20">
        <v>0</v>
      </c>
      <c r="O361" s="22" t="e">
        <f t="shared" si="23"/>
        <v>#DIV/0!</v>
      </c>
      <c r="P361" s="23" t="e">
        <f t="shared" si="24"/>
        <v>#DIV/0!</v>
      </c>
      <c r="Q361" s="21" t="e">
        <f t="shared" si="25"/>
        <v>#DIV/0!</v>
      </c>
    </row>
    <row r="362" s="2" customFormat="1" spans="1:17">
      <c r="A362" s="17">
        <f t="shared" si="26"/>
        <v>44557</v>
      </c>
      <c r="B362" s="18">
        <v>133.22</v>
      </c>
      <c r="C362" s="19">
        <v>294</v>
      </c>
      <c r="D362" s="19">
        <v>10</v>
      </c>
      <c r="E362" s="19">
        <v>0</v>
      </c>
      <c r="F362" s="18">
        <v>0</v>
      </c>
      <c r="G362" s="19">
        <v>0</v>
      </c>
      <c r="H362" s="19">
        <v>0</v>
      </c>
      <c r="I362" s="19">
        <v>0</v>
      </c>
      <c r="J362" s="20">
        <v>0.034</v>
      </c>
      <c r="K362" s="21">
        <v>13.32</v>
      </c>
      <c r="L362" s="21">
        <v>453.13</v>
      </c>
      <c r="M362" s="19">
        <v>0</v>
      </c>
      <c r="N362" s="20">
        <v>0</v>
      </c>
      <c r="O362" s="22" t="e">
        <f t="shared" si="23"/>
        <v>#DIV/0!</v>
      </c>
      <c r="P362" s="23" t="e">
        <f t="shared" si="24"/>
        <v>#DIV/0!</v>
      </c>
      <c r="Q362" s="21" t="e">
        <f t="shared" si="25"/>
        <v>#DIV/0!</v>
      </c>
    </row>
    <row r="363" s="2" customFormat="1" spans="1:17">
      <c r="A363" s="17">
        <f t="shared" si="26"/>
        <v>44558</v>
      </c>
      <c r="B363" s="18">
        <v>35.09</v>
      </c>
      <c r="C363" s="19">
        <v>104</v>
      </c>
      <c r="D363" s="19">
        <v>1</v>
      </c>
      <c r="E363" s="19">
        <v>0</v>
      </c>
      <c r="F363" s="18">
        <v>0</v>
      </c>
      <c r="G363" s="19">
        <v>0</v>
      </c>
      <c r="H363" s="19">
        <v>0</v>
      </c>
      <c r="I363" s="19">
        <v>0</v>
      </c>
      <c r="J363" s="20">
        <v>0.0096</v>
      </c>
      <c r="K363" s="21">
        <v>35.09</v>
      </c>
      <c r="L363" s="21">
        <v>337.4</v>
      </c>
      <c r="M363" s="19">
        <v>0</v>
      </c>
      <c r="N363" s="20">
        <v>0</v>
      </c>
      <c r="O363" s="22" t="e">
        <f t="shared" si="23"/>
        <v>#DIV/0!</v>
      </c>
      <c r="P363" s="23" t="e">
        <f t="shared" si="24"/>
        <v>#DIV/0!</v>
      </c>
      <c r="Q363" s="21" t="e">
        <f t="shared" si="25"/>
        <v>#DIV/0!</v>
      </c>
    </row>
    <row r="364" s="2" customFormat="1" spans="1:17">
      <c r="A364" s="17">
        <f t="shared" si="26"/>
        <v>44559</v>
      </c>
      <c r="B364" s="18">
        <v>109.22</v>
      </c>
      <c r="C364" s="19">
        <v>240</v>
      </c>
      <c r="D364" s="19">
        <v>12</v>
      </c>
      <c r="E364" s="19">
        <v>0</v>
      </c>
      <c r="F364" s="18">
        <v>0</v>
      </c>
      <c r="G364" s="19">
        <v>0</v>
      </c>
      <c r="H364" s="19">
        <v>0</v>
      </c>
      <c r="I364" s="19">
        <v>0</v>
      </c>
      <c r="J364" s="20">
        <v>0.05</v>
      </c>
      <c r="K364" s="21">
        <v>9.1</v>
      </c>
      <c r="L364" s="21">
        <v>455.08</v>
      </c>
      <c r="M364" s="19">
        <v>0</v>
      </c>
      <c r="N364" s="20">
        <v>0</v>
      </c>
      <c r="O364" s="22" t="e">
        <f t="shared" si="23"/>
        <v>#DIV/0!</v>
      </c>
      <c r="P364" s="23" t="e">
        <f t="shared" si="24"/>
        <v>#DIV/0!</v>
      </c>
      <c r="Q364" s="21" t="e">
        <f t="shared" si="25"/>
        <v>#DIV/0!</v>
      </c>
    </row>
    <row r="365" s="2" customFormat="1" spans="1:17">
      <c r="A365" s="17">
        <f t="shared" si="26"/>
        <v>44560</v>
      </c>
      <c r="B365" s="18">
        <v>83.79</v>
      </c>
      <c r="C365" s="19">
        <v>190</v>
      </c>
      <c r="D365" s="19">
        <v>13</v>
      </c>
      <c r="E365" s="19">
        <v>0</v>
      </c>
      <c r="F365" s="18">
        <v>0</v>
      </c>
      <c r="G365" s="19">
        <v>0</v>
      </c>
      <c r="H365" s="19">
        <v>0</v>
      </c>
      <c r="I365" s="19">
        <v>2</v>
      </c>
      <c r="J365" s="20">
        <v>0.0684</v>
      </c>
      <c r="K365" s="21">
        <v>6.45</v>
      </c>
      <c r="L365" s="21">
        <v>441</v>
      </c>
      <c r="M365" s="19">
        <v>0</v>
      </c>
      <c r="N365" s="20">
        <v>0</v>
      </c>
      <c r="O365" s="22" t="e">
        <f t="shared" si="23"/>
        <v>#DIV/0!</v>
      </c>
      <c r="P365" s="23" t="e">
        <f t="shared" si="24"/>
        <v>#DIV/0!</v>
      </c>
      <c r="Q365" s="21" t="e">
        <f t="shared" si="25"/>
        <v>#DIV/0!</v>
      </c>
    </row>
    <row r="366" s="2" customFormat="1" spans="1:17">
      <c r="A366" s="17">
        <f t="shared" si="26"/>
        <v>44561</v>
      </c>
      <c r="B366" s="18">
        <v>50.11</v>
      </c>
      <c r="C366" s="19">
        <v>182</v>
      </c>
      <c r="D366" s="19">
        <v>4</v>
      </c>
      <c r="E366" s="19">
        <v>0</v>
      </c>
      <c r="F366" s="18">
        <v>0</v>
      </c>
      <c r="G366" s="19">
        <v>0</v>
      </c>
      <c r="H366" s="19">
        <v>0</v>
      </c>
      <c r="I366" s="19">
        <v>0</v>
      </c>
      <c r="J366" s="20">
        <v>0.022</v>
      </c>
      <c r="K366" s="21">
        <v>12.53</v>
      </c>
      <c r="L366" s="21">
        <v>275.33</v>
      </c>
      <c r="M366" s="19">
        <v>0</v>
      </c>
      <c r="N366" s="20">
        <v>0</v>
      </c>
      <c r="O366" s="22" t="e">
        <f t="shared" si="23"/>
        <v>#DIV/0!</v>
      </c>
      <c r="P366" s="23" t="e">
        <f t="shared" si="24"/>
        <v>#DIV/0!</v>
      </c>
      <c r="Q366" s="21" t="e">
        <f t="shared" si="25"/>
        <v>#DIV/0!</v>
      </c>
    </row>
    <row r="367" s="2" customFormat="1" spans="1:17">
      <c r="A367" s="17">
        <f t="shared" si="26"/>
        <v>44562</v>
      </c>
      <c r="B367" s="25">
        <v>0</v>
      </c>
      <c r="C367" s="28">
        <v>0</v>
      </c>
      <c r="D367" s="28">
        <v>0</v>
      </c>
      <c r="E367" s="28">
        <v>0</v>
      </c>
      <c r="F367" s="18">
        <v>0</v>
      </c>
      <c r="G367" s="28">
        <v>0</v>
      </c>
      <c r="H367" s="28">
        <v>0</v>
      </c>
      <c r="I367" s="28">
        <v>0</v>
      </c>
      <c r="J367" s="28">
        <v>0</v>
      </c>
      <c r="K367" s="28">
        <v>0</v>
      </c>
      <c r="L367" s="28"/>
      <c r="M367" s="19"/>
      <c r="N367" s="20"/>
      <c r="O367" s="22"/>
      <c r="P367" s="23"/>
      <c r="Q367" s="21"/>
    </row>
    <row r="368" s="2" customFormat="1" spans="1:17">
      <c r="A368" s="17">
        <f t="shared" si="26"/>
        <v>44563</v>
      </c>
      <c r="B368" s="33">
        <v>141.11</v>
      </c>
      <c r="C368" s="34">
        <v>280</v>
      </c>
      <c r="D368" s="34">
        <v>18</v>
      </c>
      <c r="E368" s="34">
        <v>0</v>
      </c>
      <c r="F368" s="18">
        <v>0</v>
      </c>
      <c r="G368" s="34">
        <v>0</v>
      </c>
      <c r="H368" s="34">
        <v>0</v>
      </c>
      <c r="I368" s="34">
        <v>1</v>
      </c>
      <c r="J368" s="35">
        <v>0.064285</v>
      </c>
      <c r="K368" s="36">
        <v>7.839444</v>
      </c>
      <c r="L368" s="36">
        <v>503.963999999999</v>
      </c>
      <c r="M368" s="19">
        <v>0</v>
      </c>
      <c r="N368" s="20">
        <v>0</v>
      </c>
      <c r="O368" s="22" t="e">
        <f t="shared" ref="O368:O373" si="27">F368/E368</f>
        <v>#DIV/0!</v>
      </c>
      <c r="P368" s="23" t="e">
        <f t="shared" ref="P368:P373" si="28">B368/E368</f>
        <v>#DIV/0!</v>
      </c>
      <c r="Q368" s="21" t="e">
        <f t="shared" ref="Q368:Q373" si="29">B368/G368</f>
        <v>#DIV/0!</v>
      </c>
    </row>
    <row r="369" s="2" customFormat="1" spans="1:17">
      <c r="A369" s="17">
        <f t="shared" si="26"/>
        <v>44564</v>
      </c>
      <c r="B369" s="33">
        <v>118.68</v>
      </c>
      <c r="C369" s="34">
        <v>270</v>
      </c>
      <c r="D369" s="34">
        <v>21</v>
      </c>
      <c r="E369" s="34">
        <v>0</v>
      </c>
      <c r="F369" s="18">
        <v>0</v>
      </c>
      <c r="G369" s="34">
        <v>0</v>
      </c>
      <c r="H369" s="34">
        <v>0</v>
      </c>
      <c r="I369" s="34">
        <v>1</v>
      </c>
      <c r="J369" s="35">
        <v>0.077777</v>
      </c>
      <c r="K369" s="36">
        <v>5.651428</v>
      </c>
      <c r="L369" s="36">
        <v>439.554999999999</v>
      </c>
      <c r="M369" s="19">
        <v>0</v>
      </c>
      <c r="N369" s="20">
        <v>0</v>
      </c>
      <c r="O369" s="22" t="e">
        <f t="shared" si="27"/>
        <v>#DIV/0!</v>
      </c>
      <c r="P369" s="23" t="e">
        <f t="shared" si="28"/>
        <v>#DIV/0!</v>
      </c>
      <c r="Q369" s="21" t="e">
        <f t="shared" si="29"/>
        <v>#DIV/0!</v>
      </c>
    </row>
    <row r="370" s="2" customFormat="1" spans="1:17">
      <c r="A370" s="17">
        <f t="shared" si="26"/>
        <v>44565</v>
      </c>
      <c r="B370" s="25">
        <v>0</v>
      </c>
      <c r="C370" s="34" t="s">
        <v>18</v>
      </c>
      <c r="D370" s="34" t="s">
        <v>18</v>
      </c>
      <c r="E370" s="34" t="s">
        <v>18</v>
      </c>
      <c r="F370" s="18">
        <v>0</v>
      </c>
      <c r="G370" s="34" t="s">
        <v>18</v>
      </c>
      <c r="H370" s="34" t="s">
        <v>18</v>
      </c>
      <c r="I370" s="34" t="s">
        <v>18</v>
      </c>
      <c r="J370" s="35" t="s">
        <v>18</v>
      </c>
      <c r="K370" s="36" t="s">
        <v>18</v>
      </c>
      <c r="L370" s="36"/>
      <c r="M370" s="19"/>
      <c r="N370" s="20"/>
      <c r="O370" s="22"/>
      <c r="P370" s="23"/>
      <c r="Q370" s="21"/>
    </row>
    <row r="371" s="2" customFormat="1" spans="1:17">
      <c r="A371" s="17">
        <f t="shared" si="26"/>
        <v>44566</v>
      </c>
      <c r="B371" s="33">
        <v>113.75</v>
      </c>
      <c r="C371" s="34">
        <v>208</v>
      </c>
      <c r="D371" s="34">
        <v>17</v>
      </c>
      <c r="E371" s="34">
        <v>0</v>
      </c>
      <c r="F371" s="18">
        <v>0</v>
      </c>
      <c r="G371" s="34">
        <v>0</v>
      </c>
      <c r="H371" s="34">
        <v>0</v>
      </c>
      <c r="I371" s="34">
        <v>1</v>
      </c>
      <c r="J371" s="35">
        <v>0.08173</v>
      </c>
      <c r="K371" s="36">
        <v>6.691176</v>
      </c>
      <c r="L371" s="36">
        <v>546.875</v>
      </c>
      <c r="M371" s="19">
        <v>0</v>
      </c>
      <c r="N371" s="20">
        <v>0</v>
      </c>
      <c r="O371" s="22" t="e">
        <f t="shared" si="27"/>
        <v>#DIV/0!</v>
      </c>
      <c r="P371" s="23" t="e">
        <f t="shared" si="28"/>
        <v>#DIV/0!</v>
      </c>
      <c r="Q371" s="21" t="e">
        <f t="shared" si="29"/>
        <v>#DIV/0!</v>
      </c>
    </row>
    <row r="372" s="2" customFormat="1" spans="1:17">
      <c r="A372" s="17">
        <f t="shared" si="26"/>
        <v>44567</v>
      </c>
      <c r="B372" s="33">
        <v>113.06</v>
      </c>
      <c r="C372" s="34">
        <v>270</v>
      </c>
      <c r="D372" s="34">
        <v>9</v>
      </c>
      <c r="E372" s="34">
        <v>0</v>
      </c>
      <c r="F372" s="18">
        <v>0</v>
      </c>
      <c r="G372" s="34">
        <v>0</v>
      </c>
      <c r="H372" s="34">
        <v>0</v>
      </c>
      <c r="I372" s="34">
        <v>0</v>
      </c>
      <c r="J372" s="35">
        <v>0.033333</v>
      </c>
      <c r="K372" s="36">
        <v>12.562222</v>
      </c>
      <c r="L372" s="36">
        <v>418.74</v>
      </c>
      <c r="M372" s="19">
        <v>0</v>
      </c>
      <c r="N372" s="20">
        <v>0</v>
      </c>
      <c r="O372" s="22" t="e">
        <f t="shared" si="27"/>
        <v>#DIV/0!</v>
      </c>
      <c r="P372" s="23" t="e">
        <f t="shared" si="28"/>
        <v>#DIV/0!</v>
      </c>
      <c r="Q372" s="21" t="e">
        <f t="shared" si="29"/>
        <v>#DIV/0!</v>
      </c>
    </row>
    <row r="373" s="2" customFormat="1" spans="1:17">
      <c r="A373" s="17">
        <f t="shared" si="26"/>
        <v>44568</v>
      </c>
      <c r="B373" s="33">
        <v>120.42</v>
      </c>
      <c r="C373" s="34">
        <v>269</v>
      </c>
      <c r="D373" s="34">
        <v>8</v>
      </c>
      <c r="E373" s="34">
        <v>0</v>
      </c>
      <c r="F373" s="18">
        <v>0</v>
      </c>
      <c r="G373" s="34">
        <v>1</v>
      </c>
      <c r="H373" s="34">
        <v>0</v>
      </c>
      <c r="I373" s="34">
        <v>0</v>
      </c>
      <c r="J373" s="35">
        <v>0.029739</v>
      </c>
      <c r="K373" s="36">
        <v>15.0525</v>
      </c>
      <c r="L373" s="36">
        <v>447.657</v>
      </c>
      <c r="M373" s="19">
        <v>0</v>
      </c>
      <c r="N373" s="20">
        <v>0</v>
      </c>
      <c r="O373" s="22" t="e">
        <f t="shared" si="27"/>
        <v>#DIV/0!</v>
      </c>
      <c r="P373" s="23" t="e">
        <f t="shared" si="28"/>
        <v>#DIV/0!</v>
      </c>
      <c r="Q373" s="21">
        <f t="shared" si="29"/>
        <v>120.42</v>
      </c>
    </row>
    <row r="374" s="2" customFormat="1" spans="1:17">
      <c r="A374" s="17">
        <f t="shared" si="26"/>
        <v>44569</v>
      </c>
      <c r="B374" s="25">
        <v>0</v>
      </c>
      <c r="C374" s="34" t="s">
        <v>18</v>
      </c>
      <c r="D374" s="34" t="s">
        <v>18</v>
      </c>
      <c r="E374" s="34" t="s">
        <v>18</v>
      </c>
      <c r="F374" s="18">
        <v>0</v>
      </c>
      <c r="G374" s="34" t="s">
        <v>18</v>
      </c>
      <c r="H374" s="34" t="s">
        <v>18</v>
      </c>
      <c r="I374" s="34" t="s">
        <v>18</v>
      </c>
      <c r="J374" s="35" t="s">
        <v>18</v>
      </c>
      <c r="K374" s="36" t="s">
        <v>18</v>
      </c>
      <c r="L374" s="36"/>
      <c r="M374" s="19"/>
      <c r="N374" s="20"/>
      <c r="O374" s="22"/>
      <c r="P374" s="23"/>
      <c r="Q374" s="21"/>
    </row>
    <row r="375" s="2" customFormat="1" spans="1:17">
      <c r="A375" s="17">
        <f t="shared" si="26"/>
        <v>44570</v>
      </c>
      <c r="B375" s="25">
        <v>0</v>
      </c>
      <c r="C375" s="34" t="s">
        <v>18</v>
      </c>
      <c r="D375" s="34" t="s">
        <v>18</v>
      </c>
      <c r="E375" s="34" t="s">
        <v>18</v>
      </c>
      <c r="F375" s="18">
        <v>0</v>
      </c>
      <c r="G375" s="34" t="s">
        <v>18</v>
      </c>
      <c r="H375" s="34" t="s">
        <v>18</v>
      </c>
      <c r="I375" s="34" t="s">
        <v>18</v>
      </c>
      <c r="J375" s="35" t="s">
        <v>18</v>
      </c>
      <c r="K375" s="36" t="s">
        <v>18</v>
      </c>
      <c r="L375" s="36"/>
      <c r="M375" s="19"/>
      <c r="N375" s="20"/>
      <c r="O375" s="22"/>
      <c r="P375" s="23"/>
      <c r="Q375" s="21"/>
    </row>
    <row r="376" s="2" customFormat="1" spans="1:17">
      <c r="A376" s="17">
        <f t="shared" si="26"/>
        <v>44571</v>
      </c>
      <c r="B376" s="33">
        <v>124.15</v>
      </c>
      <c r="C376" s="34">
        <v>309</v>
      </c>
      <c r="D376" s="34">
        <v>14</v>
      </c>
      <c r="E376" s="34">
        <v>0</v>
      </c>
      <c r="F376" s="18">
        <v>0</v>
      </c>
      <c r="G376" s="34">
        <v>0</v>
      </c>
      <c r="H376" s="34">
        <v>0</v>
      </c>
      <c r="I376" s="34">
        <v>0</v>
      </c>
      <c r="J376" s="35">
        <v>0.045307</v>
      </c>
      <c r="K376" s="36">
        <v>8.867857</v>
      </c>
      <c r="L376" s="36">
        <v>401.779</v>
      </c>
      <c r="M376" s="19">
        <v>0</v>
      </c>
      <c r="N376" s="20">
        <v>0</v>
      </c>
      <c r="O376" s="22" t="e">
        <f t="shared" ref="O376:O380" si="30">F376/E376</f>
        <v>#DIV/0!</v>
      </c>
      <c r="P376" s="23" t="e">
        <f t="shared" ref="P376:P380" si="31">B376/E376</f>
        <v>#DIV/0!</v>
      </c>
      <c r="Q376" s="21" t="e">
        <f t="shared" ref="Q376:Q380" si="32">B376/G376</f>
        <v>#DIV/0!</v>
      </c>
    </row>
    <row r="377" s="2" customFormat="1" spans="1:17">
      <c r="A377" s="17">
        <f t="shared" si="26"/>
        <v>44572</v>
      </c>
      <c r="B377" s="33">
        <v>154.37</v>
      </c>
      <c r="C377" s="34">
        <v>344</v>
      </c>
      <c r="D377" s="34">
        <v>21</v>
      </c>
      <c r="E377" s="34" t="s">
        <v>18</v>
      </c>
      <c r="F377" s="18">
        <v>0</v>
      </c>
      <c r="G377" s="34" t="s">
        <v>18</v>
      </c>
      <c r="H377" s="34" t="s">
        <v>18</v>
      </c>
      <c r="I377" s="34" t="s">
        <v>18</v>
      </c>
      <c r="J377" s="35">
        <v>0.061046</v>
      </c>
      <c r="K377" s="36">
        <v>7.350952</v>
      </c>
      <c r="L377" s="36">
        <v>448.75</v>
      </c>
      <c r="M377" s="19">
        <v>0</v>
      </c>
      <c r="N377" s="20">
        <v>0</v>
      </c>
      <c r="O377" s="22" t="e">
        <f t="shared" si="30"/>
        <v>#VALUE!</v>
      </c>
      <c r="P377" s="23" t="e">
        <f t="shared" si="31"/>
        <v>#VALUE!</v>
      </c>
      <c r="Q377" s="21" t="e">
        <f t="shared" si="32"/>
        <v>#VALUE!</v>
      </c>
    </row>
    <row r="378" s="2" customFormat="1" spans="1:17">
      <c r="A378" s="17">
        <f t="shared" si="26"/>
        <v>44573</v>
      </c>
      <c r="B378" s="33">
        <v>136.44</v>
      </c>
      <c r="C378" s="34">
        <v>309</v>
      </c>
      <c r="D378" s="34">
        <v>14</v>
      </c>
      <c r="E378" s="34">
        <v>0</v>
      </c>
      <c r="F378" s="18">
        <v>0</v>
      </c>
      <c r="G378" s="34">
        <v>0</v>
      </c>
      <c r="H378" s="34">
        <v>0</v>
      </c>
      <c r="I378" s="34">
        <v>0</v>
      </c>
      <c r="J378" s="35">
        <v>0.045307</v>
      </c>
      <c r="K378" s="36">
        <v>9.745714</v>
      </c>
      <c r="L378" s="36">
        <v>441.553</v>
      </c>
      <c r="M378" s="19">
        <v>0</v>
      </c>
      <c r="N378" s="20">
        <v>0</v>
      </c>
      <c r="O378" s="22" t="e">
        <f t="shared" si="30"/>
        <v>#DIV/0!</v>
      </c>
      <c r="P378" s="23" t="e">
        <f t="shared" si="31"/>
        <v>#DIV/0!</v>
      </c>
      <c r="Q378" s="21" t="e">
        <f t="shared" si="32"/>
        <v>#DIV/0!</v>
      </c>
    </row>
    <row r="379" s="2" customFormat="1" spans="1:17">
      <c r="A379" s="17">
        <f t="shared" si="26"/>
        <v>44574</v>
      </c>
      <c r="B379" s="33">
        <v>117.46</v>
      </c>
      <c r="C379" s="34">
        <v>288</v>
      </c>
      <c r="D379" s="34">
        <v>8</v>
      </c>
      <c r="E379" s="34">
        <v>0</v>
      </c>
      <c r="F379" s="18">
        <v>0</v>
      </c>
      <c r="G379" s="34">
        <v>0</v>
      </c>
      <c r="H379" s="34">
        <v>0</v>
      </c>
      <c r="I379" s="34">
        <v>0</v>
      </c>
      <c r="J379" s="35">
        <v>0.027777</v>
      </c>
      <c r="K379" s="36">
        <v>14.6825</v>
      </c>
      <c r="L379" s="36">
        <v>407.847</v>
      </c>
      <c r="M379" s="19">
        <v>0</v>
      </c>
      <c r="N379" s="20">
        <v>0</v>
      </c>
      <c r="O379" s="22" t="e">
        <f t="shared" si="30"/>
        <v>#DIV/0!</v>
      </c>
      <c r="P379" s="23" t="e">
        <f t="shared" si="31"/>
        <v>#DIV/0!</v>
      </c>
      <c r="Q379" s="21" t="e">
        <f t="shared" si="32"/>
        <v>#DIV/0!</v>
      </c>
    </row>
    <row r="380" s="2" customFormat="1" spans="1:17">
      <c r="A380" s="17">
        <f t="shared" si="26"/>
        <v>44575</v>
      </c>
      <c r="B380" s="33">
        <v>110.84</v>
      </c>
      <c r="C380" s="34">
        <v>267</v>
      </c>
      <c r="D380" s="34">
        <v>15</v>
      </c>
      <c r="E380" s="34">
        <v>0</v>
      </c>
      <c r="F380" s="18">
        <v>0</v>
      </c>
      <c r="G380" s="34">
        <v>0</v>
      </c>
      <c r="H380" s="34">
        <v>0</v>
      </c>
      <c r="I380" s="34">
        <v>1</v>
      </c>
      <c r="J380" s="35">
        <v>0.056179</v>
      </c>
      <c r="K380" s="36">
        <v>7.389333</v>
      </c>
      <c r="L380" s="36">
        <v>415.131</v>
      </c>
      <c r="M380" s="19">
        <v>0</v>
      </c>
      <c r="N380" s="20">
        <v>0</v>
      </c>
      <c r="O380" s="22" t="e">
        <f t="shared" si="30"/>
        <v>#DIV/0!</v>
      </c>
      <c r="P380" s="23" t="e">
        <f t="shared" si="31"/>
        <v>#DIV/0!</v>
      </c>
      <c r="Q380" s="21" t="e">
        <f t="shared" si="32"/>
        <v>#DIV/0!</v>
      </c>
    </row>
    <row r="381" s="2" customFormat="1" spans="1:17">
      <c r="A381" s="17">
        <f t="shared" si="26"/>
        <v>44576</v>
      </c>
      <c r="B381" s="25">
        <v>0</v>
      </c>
      <c r="C381" s="34" t="s">
        <v>18</v>
      </c>
      <c r="D381" s="34" t="s">
        <v>18</v>
      </c>
      <c r="E381" s="34"/>
      <c r="F381" s="18"/>
      <c r="G381" s="34"/>
      <c r="H381" s="34"/>
      <c r="I381" s="34"/>
      <c r="J381" s="35"/>
      <c r="K381" s="36"/>
      <c r="L381" s="36"/>
      <c r="M381" s="19"/>
      <c r="N381" s="20"/>
      <c r="O381" s="22"/>
      <c r="P381" s="23"/>
      <c r="Q381" s="21"/>
    </row>
    <row r="382" s="2" customFormat="1" spans="1:17">
      <c r="A382" s="17">
        <f t="shared" si="26"/>
        <v>44577</v>
      </c>
      <c r="B382" s="25">
        <v>0</v>
      </c>
      <c r="C382" s="34" t="s">
        <v>18</v>
      </c>
      <c r="D382" s="34" t="s">
        <v>18</v>
      </c>
      <c r="E382" s="34"/>
      <c r="F382" s="18"/>
      <c r="G382" s="34"/>
      <c r="H382" s="34"/>
      <c r="I382" s="34"/>
      <c r="J382" s="35"/>
      <c r="K382" s="36"/>
      <c r="L382" s="36"/>
      <c r="M382" s="19"/>
      <c r="N382" s="20"/>
      <c r="O382" s="22"/>
      <c r="P382" s="23"/>
      <c r="Q382" s="21"/>
    </row>
    <row r="383" s="2" customFormat="1" spans="1:17">
      <c r="A383" s="17">
        <f t="shared" si="26"/>
        <v>44578</v>
      </c>
      <c r="B383" s="33">
        <v>158.32</v>
      </c>
      <c r="C383" s="34">
        <v>440</v>
      </c>
      <c r="D383" s="34">
        <v>20</v>
      </c>
      <c r="E383" s="34">
        <v>0</v>
      </c>
      <c r="F383" s="18">
        <v>0</v>
      </c>
      <c r="G383" s="34">
        <v>0</v>
      </c>
      <c r="H383" s="34">
        <v>0</v>
      </c>
      <c r="I383" s="34">
        <v>1</v>
      </c>
      <c r="J383" s="35">
        <v>0.045454</v>
      </c>
      <c r="K383" s="36">
        <v>7.916</v>
      </c>
      <c r="L383" s="36">
        <v>359.818</v>
      </c>
      <c r="M383" s="19">
        <v>0</v>
      </c>
      <c r="N383" s="20">
        <v>0</v>
      </c>
      <c r="O383" s="22" t="e">
        <f t="shared" ref="O383:O401" si="33">F383/E383</f>
        <v>#DIV/0!</v>
      </c>
      <c r="P383" s="23" t="e">
        <f t="shared" ref="P383:P401" si="34">B383/E383</f>
        <v>#DIV/0!</v>
      </c>
      <c r="Q383" s="21" t="e">
        <f t="shared" ref="Q383:Q401" si="35">B383/G383</f>
        <v>#DIV/0!</v>
      </c>
    </row>
    <row r="384" s="2" customFormat="1" spans="1:17">
      <c r="A384" s="17">
        <f t="shared" si="26"/>
        <v>44579</v>
      </c>
      <c r="B384" s="33">
        <v>109.48</v>
      </c>
      <c r="C384" s="34">
        <v>268</v>
      </c>
      <c r="D384" s="34">
        <v>11</v>
      </c>
      <c r="E384" s="34">
        <v>0</v>
      </c>
      <c r="F384" s="18">
        <v>0</v>
      </c>
      <c r="G384" s="34">
        <v>0</v>
      </c>
      <c r="H384" s="34">
        <v>0</v>
      </c>
      <c r="I384" s="34">
        <v>0</v>
      </c>
      <c r="J384" s="35">
        <v>0.041044</v>
      </c>
      <c r="K384" s="36">
        <v>9.952727</v>
      </c>
      <c r="L384" s="36">
        <v>408.507</v>
      </c>
      <c r="M384" s="19">
        <v>0</v>
      </c>
      <c r="N384" s="20">
        <v>0</v>
      </c>
      <c r="O384" s="22" t="e">
        <f t="shared" si="33"/>
        <v>#DIV/0!</v>
      </c>
      <c r="P384" s="23" t="e">
        <f t="shared" si="34"/>
        <v>#DIV/0!</v>
      </c>
      <c r="Q384" s="21" t="e">
        <f t="shared" si="35"/>
        <v>#DIV/0!</v>
      </c>
    </row>
    <row r="385" s="2" customFormat="1" spans="1:17">
      <c r="A385" s="17">
        <f t="shared" si="26"/>
        <v>44580</v>
      </c>
      <c r="B385" s="33">
        <v>101.52</v>
      </c>
      <c r="C385" s="34">
        <v>239</v>
      </c>
      <c r="D385" s="34">
        <v>14</v>
      </c>
      <c r="E385" s="34">
        <v>0</v>
      </c>
      <c r="F385" s="18">
        <v>0</v>
      </c>
      <c r="G385" s="34">
        <v>0</v>
      </c>
      <c r="H385" s="34">
        <v>0</v>
      </c>
      <c r="I385" s="34">
        <v>1</v>
      </c>
      <c r="J385" s="35">
        <v>0.058577</v>
      </c>
      <c r="K385" s="36">
        <v>7.251428</v>
      </c>
      <c r="L385" s="36">
        <v>424.769</v>
      </c>
      <c r="M385" s="19">
        <v>0</v>
      </c>
      <c r="N385" s="20">
        <v>0</v>
      </c>
      <c r="O385" s="22" t="e">
        <f t="shared" si="33"/>
        <v>#DIV/0!</v>
      </c>
      <c r="P385" s="23" t="e">
        <f t="shared" si="34"/>
        <v>#DIV/0!</v>
      </c>
      <c r="Q385" s="21" t="e">
        <f t="shared" si="35"/>
        <v>#DIV/0!</v>
      </c>
    </row>
    <row r="386" s="2" customFormat="1" spans="1:17">
      <c r="A386" s="17">
        <f t="shared" si="26"/>
        <v>44581</v>
      </c>
      <c r="B386" s="33">
        <v>105.69</v>
      </c>
      <c r="C386" s="34">
        <v>239</v>
      </c>
      <c r="D386" s="34">
        <v>11</v>
      </c>
      <c r="E386" s="34">
        <v>0</v>
      </c>
      <c r="F386" s="18">
        <v>0</v>
      </c>
      <c r="G386" s="34">
        <v>0</v>
      </c>
      <c r="H386" s="34">
        <v>0</v>
      </c>
      <c r="I386" s="34">
        <v>1</v>
      </c>
      <c r="J386" s="35">
        <v>0.046025</v>
      </c>
      <c r="K386" s="36">
        <v>9.608181</v>
      </c>
      <c r="L386" s="36">
        <v>442.217</v>
      </c>
      <c r="M386" s="19">
        <v>0</v>
      </c>
      <c r="N386" s="20">
        <v>0</v>
      </c>
      <c r="O386" s="22" t="e">
        <f t="shared" si="33"/>
        <v>#DIV/0!</v>
      </c>
      <c r="P386" s="23" t="e">
        <f t="shared" si="34"/>
        <v>#DIV/0!</v>
      </c>
      <c r="Q386" s="21" t="e">
        <f t="shared" si="35"/>
        <v>#DIV/0!</v>
      </c>
    </row>
    <row r="387" s="2" customFormat="1" spans="1:17">
      <c r="A387" s="17">
        <f t="shared" si="26"/>
        <v>44582</v>
      </c>
      <c r="B387" s="33">
        <v>74.17</v>
      </c>
      <c r="C387" s="34">
        <v>222</v>
      </c>
      <c r="D387" s="34">
        <v>12</v>
      </c>
      <c r="E387" s="34" t="s">
        <v>18</v>
      </c>
      <c r="F387" s="18">
        <v>0</v>
      </c>
      <c r="G387" s="34" t="s">
        <v>18</v>
      </c>
      <c r="H387" s="34" t="s">
        <v>18</v>
      </c>
      <c r="I387" s="34" t="s">
        <v>18</v>
      </c>
      <c r="J387" s="35">
        <v>0.054054</v>
      </c>
      <c r="K387" s="36">
        <v>6.180833</v>
      </c>
      <c r="L387" s="36">
        <v>334.099</v>
      </c>
      <c r="M387" s="19">
        <v>0</v>
      </c>
      <c r="N387" s="20">
        <v>0</v>
      </c>
      <c r="O387" s="22" t="e">
        <f t="shared" si="33"/>
        <v>#VALUE!</v>
      </c>
      <c r="P387" s="23" t="e">
        <f t="shared" si="34"/>
        <v>#VALUE!</v>
      </c>
      <c r="Q387" s="21" t="e">
        <f t="shared" si="35"/>
        <v>#VALUE!</v>
      </c>
    </row>
    <row r="388" s="2" customFormat="1" spans="1:17">
      <c r="A388" s="17">
        <f t="shared" si="26"/>
        <v>44583</v>
      </c>
      <c r="B388" s="33">
        <v>54.33</v>
      </c>
      <c r="C388" s="34">
        <v>160</v>
      </c>
      <c r="D388" s="34">
        <v>9</v>
      </c>
      <c r="E388" s="34">
        <v>0</v>
      </c>
      <c r="F388" s="18">
        <v>0</v>
      </c>
      <c r="G388" s="34">
        <v>0</v>
      </c>
      <c r="H388" s="34">
        <v>0</v>
      </c>
      <c r="I388" s="34">
        <v>1</v>
      </c>
      <c r="J388" s="35">
        <v>0.05625</v>
      </c>
      <c r="K388" s="36">
        <v>6.036666</v>
      </c>
      <c r="L388" s="36">
        <v>339.561999999999</v>
      </c>
      <c r="M388" s="19">
        <v>0</v>
      </c>
      <c r="N388" s="20">
        <v>0</v>
      </c>
      <c r="O388" s="22" t="e">
        <f t="shared" si="33"/>
        <v>#DIV/0!</v>
      </c>
      <c r="P388" s="23" t="e">
        <f t="shared" si="34"/>
        <v>#DIV/0!</v>
      </c>
      <c r="Q388" s="21" t="e">
        <f t="shared" si="35"/>
        <v>#DIV/0!</v>
      </c>
    </row>
    <row r="389" s="2" customFormat="1" spans="1:17">
      <c r="A389" s="17">
        <f t="shared" si="26"/>
        <v>44584</v>
      </c>
      <c r="B389" s="33">
        <v>42.23</v>
      </c>
      <c r="C389" s="34">
        <v>131</v>
      </c>
      <c r="D389" s="34">
        <v>8</v>
      </c>
      <c r="E389" s="34">
        <v>0</v>
      </c>
      <c r="F389" s="18">
        <v>0</v>
      </c>
      <c r="G389" s="34">
        <v>0</v>
      </c>
      <c r="H389" s="34">
        <v>0</v>
      </c>
      <c r="I389" s="34">
        <v>0</v>
      </c>
      <c r="J389" s="35">
        <v>0.061068</v>
      </c>
      <c r="K389" s="36">
        <v>5.27875</v>
      </c>
      <c r="L389" s="36">
        <v>322.366</v>
      </c>
      <c r="M389" s="19">
        <v>0</v>
      </c>
      <c r="N389" s="20">
        <v>0</v>
      </c>
      <c r="O389" s="22" t="e">
        <f t="shared" si="33"/>
        <v>#DIV/0!</v>
      </c>
      <c r="P389" s="23" t="e">
        <f t="shared" si="34"/>
        <v>#DIV/0!</v>
      </c>
      <c r="Q389" s="21" t="e">
        <f t="shared" si="35"/>
        <v>#DIV/0!</v>
      </c>
    </row>
    <row r="390" s="2" customFormat="1" spans="1:17">
      <c r="A390" s="17">
        <f t="shared" si="26"/>
        <v>44585</v>
      </c>
      <c r="B390" s="33">
        <v>64.93</v>
      </c>
      <c r="C390" s="34">
        <v>183</v>
      </c>
      <c r="D390" s="34">
        <v>4</v>
      </c>
      <c r="E390" s="34">
        <v>0</v>
      </c>
      <c r="F390" s="18">
        <v>0</v>
      </c>
      <c r="G390" s="34">
        <v>0</v>
      </c>
      <c r="H390" s="34">
        <v>0</v>
      </c>
      <c r="I390" s="34">
        <v>0</v>
      </c>
      <c r="J390" s="35">
        <v>0.021857</v>
      </c>
      <c r="K390" s="36">
        <v>16.2325</v>
      </c>
      <c r="L390" s="36">
        <v>354.808</v>
      </c>
      <c r="M390" s="19">
        <v>0</v>
      </c>
      <c r="N390" s="20">
        <v>0</v>
      </c>
      <c r="O390" s="22" t="e">
        <f t="shared" si="33"/>
        <v>#DIV/0!</v>
      </c>
      <c r="P390" s="23" t="e">
        <f t="shared" si="34"/>
        <v>#DIV/0!</v>
      </c>
      <c r="Q390" s="21" t="e">
        <f t="shared" si="35"/>
        <v>#DIV/0!</v>
      </c>
    </row>
    <row r="391" s="2" customFormat="1" spans="1:17">
      <c r="A391" s="17">
        <f t="shared" si="26"/>
        <v>44586</v>
      </c>
      <c r="B391" s="33">
        <v>104.34</v>
      </c>
      <c r="C391" s="34">
        <v>246</v>
      </c>
      <c r="D391" s="34">
        <v>23</v>
      </c>
      <c r="E391" s="34">
        <v>0</v>
      </c>
      <c r="F391" s="18">
        <v>0</v>
      </c>
      <c r="G391" s="34">
        <v>0</v>
      </c>
      <c r="H391" s="34">
        <v>1</v>
      </c>
      <c r="I391" s="34">
        <v>0</v>
      </c>
      <c r="J391" s="35">
        <v>0.093495</v>
      </c>
      <c r="K391" s="36">
        <v>4.536521</v>
      </c>
      <c r="L391" s="36">
        <v>424.146</v>
      </c>
      <c r="M391" s="19">
        <v>0</v>
      </c>
      <c r="N391" s="20">
        <v>0</v>
      </c>
      <c r="O391" s="22" t="e">
        <f t="shared" si="33"/>
        <v>#DIV/0!</v>
      </c>
      <c r="P391" s="23" t="e">
        <f t="shared" si="34"/>
        <v>#DIV/0!</v>
      </c>
      <c r="Q391" s="21" t="e">
        <f t="shared" si="35"/>
        <v>#DIV/0!</v>
      </c>
    </row>
    <row r="392" s="2" customFormat="1" spans="1:17">
      <c r="A392" s="17">
        <f t="shared" si="26"/>
        <v>44587</v>
      </c>
      <c r="B392" s="33">
        <v>61.8</v>
      </c>
      <c r="C392" s="34">
        <v>200</v>
      </c>
      <c r="D392" s="34">
        <v>14</v>
      </c>
      <c r="E392" s="34">
        <v>0</v>
      </c>
      <c r="F392" s="18">
        <v>0</v>
      </c>
      <c r="G392" s="34">
        <v>0</v>
      </c>
      <c r="H392" s="34">
        <v>1</v>
      </c>
      <c r="I392" s="34">
        <v>1</v>
      </c>
      <c r="J392" s="35">
        <v>0.07</v>
      </c>
      <c r="K392" s="36">
        <v>4.414285</v>
      </c>
      <c r="L392" s="36">
        <v>309</v>
      </c>
      <c r="M392" s="19">
        <v>0</v>
      </c>
      <c r="N392" s="20">
        <v>0</v>
      </c>
      <c r="O392" s="22" t="e">
        <f t="shared" si="33"/>
        <v>#DIV/0!</v>
      </c>
      <c r="P392" s="23" t="e">
        <f t="shared" si="34"/>
        <v>#DIV/0!</v>
      </c>
      <c r="Q392" s="21" t="e">
        <f t="shared" si="35"/>
        <v>#DIV/0!</v>
      </c>
    </row>
    <row r="393" s="2" customFormat="1" spans="1:17">
      <c r="A393" s="17">
        <f t="shared" si="26"/>
        <v>44588</v>
      </c>
      <c r="B393" s="33">
        <v>152.97</v>
      </c>
      <c r="C393" s="34">
        <v>591</v>
      </c>
      <c r="D393" s="34">
        <v>21</v>
      </c>
      <c r="E393" s="34">
        <v>0</v>
      </c>
      <c r="F393" s="18">
        <v>0</v>
      </c>
      <c r="G393" s="34">
        <v>1</v>
      </c>
      <c r="H393" s="34">
        <v>0</v>
      </c>
      <c r="I393" s="34">
        <v>2</v>
      </c>
      <c r="J393" s="35">
        <v>0.035532</v>
      </c>
      <c r="K393" s="36">
        <v>7.284285</v>
      </c>
      <c r="L393" s="36">
        <v>258.832</v>
      </c>
      <c r="M393" s="19">
        <v>0</v>
      </c>
      <c r="N393" s="20">
        <v>0</v>
      </c>
      <c r="O393" s="22" t="e">
        <f t="shared" si="33"/>
        <v>#DIV/0!</v>
      </c>
      <c r="P393" s="23" t="e">
        <f t="shared" si="34"/>
        <v>#DIV/0!</v>
      </c>
      <c r="Q393" s="21">
        <f t="shared" si="35"/>
        <v>152.97</v>
      </c>
    </row>
    <row r="394" s="2" customFormat="1" spans="1:17">
      <c r="A394" s="17">
        <f t="shared" si="26"/>
        <v>44589</v>
      </c>
      <c r="B394" s="33">
        <v>111.56</v>
      </c>
      <c r="C394" s="34">
        <v>433</v>
      </c>
      <c r="D394" s="34">
        <v>13</v>
      </c>
      <c r="E394" s="34">
        <v>0</v>
      </c>
      <c r="F394" s="18">
        <v>0</v>
      </c>
      <c r="G394" s="34">
        <v>0</v>
      </c>
      <c r="H394" s="34">
        <v>0</v>
      </c>
      <c r="I394" s="34">
        <v>0</v>
      </c>
      <c r="J394" s="35">
        <v>0.030023</v>
      </c>
      <c r="K394" s="36">
        <v>8.581538</v>
      </c>
      <c r="L394" s="36">
        <v>257.644</v>
      </c>
      <c r="M394" s="19">
        <v>0</v>
      </c>
      <c r="N394" s="20">
        <v>0</v>
      </c>
      <c r="O394" s="22" t="e">
        <f t="shared" si="33"/>
        <v>#DIV/0!</v>
      </c>
      <c r="P394" s="23" t="e">
        <f t="shared" si="34"/>
        <v>#DIV/0!</v>
      </c>
      <c r="Q394" s="21" t="e">
        <f t="shared" si="35"/>
        <v>#DIV/0!</v>
      </c>
    </row>
    <row r="395" s="2" customFormat="1" spans="1:17">
      <c r="A395" s="17">
        <f t="shared" si="26"/>
        <v>44590</v>
      </c>
      <c r="B395" s="33">
        <v>80.81</v>
      </c>
      <c r="C395" s="34">
        <v>308</v>
      </c>
      <c r="D395" s="34">
        <v>12</v>
      </c>
      <c r="E395" s="34">
        <v>0</v>
      </c>
      <c r="F395" s="18">
        <v>0</v>
      </c>
      <c r="G395" s="34">
        <v>0</v>
      </c>
      <c r="H395" s="34">
        <v>0</v>
      </c>
      <c r="I395" s="34">
        <v>0</v>
      </c>
      <c r="J395" s="35">
        <v>0.038961</v>
      </c>
      <c r="K395" s="36">
        <v>6.734166</v>
      </c>
      <c r="L395" s="36">
        <v>262.37</v>
      </c>
      <c r="M395" s="19">
        <v>0</v>
      </c>
      <c r="N395" s="20">
        <v>0</v>
      </c>
      <c r="O395" s="22" t="e">
        <f t="shared" si="33"/>
        <v>#DIV/0!</v>
      </c>
      <c r="P395" s="23" t="e">
        <f t="shared" si="34"/>
        <v>#DIV/0!</v>
      </c>
      <c r="Q395" s="21" t="e">
        <f t="shared" si="35"/>
        <v>#DIV/0!</v>
      </c>
    </row>
    <row r="396" s="2" customFormat="1" spans="1:17">
      <c r="A396" s="17">
        <f t="shared" si="26"/>
        <v>44591</v>
      </c>
      <c r="B396" s="33">
        <v>84.87</v>
      </c>
      <c r="C396" s="34">
        <v>396</v>
      </c>
      <c r="D396" s="34">
        <v>6</v>
      </c>
      <c r="E396" s="34" t="s">
        <v>18</v>
      </c>
      <c r="F396" s="18">
        <v>0</v>
      </c>
      <c r="G396" s="34" t="s">
        <v>18</v>
      </c>
      <c r="H396" s="34" t="s">
        <v>18</v>
      </c>
      <c r="I396" s="34" t="s">
        <v>18</v>
      </c>
      <c r="J396" s="35">
        <v>0.015151</v>
      </c>
      <c r="K396" s="36">
        <v>14.145</v>
      </c>
      <c r="L396" s="36">
        <v>214.318</v>
      </c>
      <c r="M396" s="19">
        <v>0</v>
      </c>
      <c r="N396" s="20">
        <v>0</v>
      </c>
      <c r="O396" s="22" t="e">
        <f t="shared" si="33"/>
        <v>#VALUE!</v>
      </c>
      <c r="P396" s="23" t="e">
        <f t="shared" si="34"/>
        <v>#VALUE!</v>
      </c>
      <c r="Q396" s="21" t="e">
        <f t="shared" si="35"/>
        <v>#VALUE!</v>
      </c>
    </row>
    <row r="397" s="2" customFormat="1" spans="1:17">
      <c r="A397" s="17">
        <f t="shared" si="26"/>
        <v>44592</v>
      </c>
      <c r="B397" s="33">
        <v>174.15</v>
      </c>
      <c r="C397" s="34">
        <v>821</v>
      </c>
      <c r="D397" s="34">
        <v>26</v>
      </c>
      <c r="E397" s="34">
        <v>0</v>
      </c>
      <c r="F397" s="18">
        <v>0</v>
      </c>
      <c r="G397" s="34">
        <v>0</v>
      </c>
      <c r="H397" s="34">
        <v>0</v>
      </c>
      <c r="I397" s="34">
        <v>0</v>
      </c>
      <c r="J397" s="35">
        <v>0.031668</v>
      </c>
      <c r="K397" s="36">
        <v>6.698076</v>
      </c>
      <c r="L397" s="36">
        <v>212.119</v>
      </c>
      <c r="M397" s="19">
        <v>0</v>
      </c>
      <c r="N397" s="20">
        <v>0</v>
      </c>
      <c r="O397" s="22" t="e">
        <f t="shared" si="33"/>
        <v>#DIV/0!</v>
      </c>
      <c r="P397" s="23" t="e">
        <f t="shared" si="34"/>
        <v>#DIV/0!</v>
      </c>
      <c r="Q397" s="21" t="e">
        <f t="shared" si="35"/>
        <v>#DIV/0!</v>
      </c>
    </row>
    <row r="398" s="2" customFormat="1" spans="1:17">
      <c r="A398" s="17">
        <f t="shared" si="26"/>
        <v>44593</v>
      </c>
      <c r="B398" s="33">
        <v>202.51</v>
      </c>
      <c r="C398" s="34">
        <v>936</v>
      </c>
      <c r="D398" s="34">
        <v>34</v>
      </c>
      <c r="E398" s="34">
        <v>0</v>
      </c>
      <c r="F398" s="18">
        <v>0</v>
      </c>
      <c r="G398" s="34">
        <v>0</v>
      </c>
      <c r="H398" s="34">
        <v>0</v>
      </c>
      <c r="I398" s="34">
        <v>0</v>
      </c>
      <c r="J398" s="35">
        <v>0.036324</v>
      </c>
      <c r="K398" s="36">
        <v>5.956176</v>
      </c>
      <c r="L398" s="36">
        <v>216.356</v>
      </c>
      <c r="M398" s="19">
        <v>0</v>
      </c>
      <c r="N398" s="20">
        <v>0</v>
      </c>
      <c r="O398" s="22" t="e">
        <f t="shared" si="33"/>
        <v>#DIV/0!</v>
      </c>
      <c r="P398" s="23" t="e">
        <f t="shared" si="34"/>
        <v>#DIV/0!</v>
      </c>
      <c r="Q398" s="21" t="e">
        <f t="shared" si="35"/>
        <v>#DIV/0!</v>
      </c>
    </row>
    <row r="399" s="2" customFormat="1" spans="1:17">
      <c r="A399" s="17">
        <f t="shared" si="26"/>
        <v>44594</v>
      </c>
      <c r="B399" s="33">
        <v>199.83</v>
      </c>
      <c r="C399" s="34">
        <v>960</v>
      </c>
      <c r="D399" s="34">
        <v>30</v>
      </c>
      <c r="E399" s="34">
        <v>0</v>
      </c>
      <c r="F399" s="18">
        <v>0</v>
      </c>
      <c r="G399" s="34">
        <v>0</v>
      </c>
      <c r="H399" s="34">
        <v>0</v>
      </c>
      <c r="I399" s="34">
        <v>1</v>
      </c>
      <c r="J399" s="35">
        <v>0.03125</v>
      </c>
      <c r="K399" s="36">
        <v>6.661</v>
      </c>
      <c r="L399" s="36">
        <v>208.156</v>
      </c>
      <c r="M399" s="19">
        <v>0</v>
      </c>
      <c r="N399" s="20">
        <v>0</v>
      </c>
      <c r="O399" s="22" t="e">
        <f t="shared" si="33"/>
        <v>#DIV/0!</v>
      </c>
      <c r="P399" s="23" t="e">
        <f t="shared" si="34"/>
        <v>#DIV/0!</v>
      </c>
      <c r="Q399" s="21" t="e">
        <f t="shared" si="35"/>
        <v>#DIV/0!</v>
      </c>
    </row>
    <row r="400" s="2" customFormat="1" spans="1:17">
      <c r="A400" s="17">
        <f t="shared" si="26"/>
        <v>44595</v>
      </c>
      <c r="B400" s="33">
        <v>211.02</v>
      </c>
      <c r="C400" s="34">
        <v>1070</v>
      </c>
      <c r="D400" s="34">
        <v>34</v>
      </c>
      <c r="E400" s="34">
        <v>0</v>
      </c>
      <c r="F400" s="18">
        <v>0</v>
      </c>
      <c r="G400" s="34">
        <v>0</v>
      </c>
      <c r="H400" s="34">
        <v>0</v>
      </c>
      <c r="I400" s="34">
        <v>2</v>
      </c>
      <c r="J400" s="35">
        <v>0.031775</v>
      </c>
      <c r="K400" s="36">
        <v>6.20647</v>
      </c>
      <c r="L400" s="36">
        <v>197.214</v>
      </c>
      <c r="M400" s="19">
        <v>0</v>
      </c>
      <c r="N400" s="20">
        <v>0</v>
      </c>
      <c r="O400" s="22" t="e">
        <f t="shared" si="33"/>
        <v>#DIV/0!</v>
      </c>
      <c r="P400" s="23" t="e">
        <f t="shared" si="34"/>
        <v>#DIV/0!</v>
      </c>
      <c r="Q400" s="21" t="e">
        <f t="shared" si="35"/>
        <v>#DIV/0!</v>
      </c>
    </row>
    <row r="401" s="2" customFormat="1" spans="1:17">
      <c r="A401" s="17">
        <f t="shared" si="26"/>
        <v>44596</v>
      </c>
      <c r="B401" s="33">
        <v>226.88</v>
      </c>
      <c r="C401" s="34">
        <v>1080</v>
      </c>
      <c r="D401" s="34">
        <v>43</v>
      </c>
      <c r="E401" s="34">
        <v>0</v>
      </c>
      <c r="F401" s="18">
        <v>0</v>
      </c>
      <c r="G401" s="34">
        <v>0</v>
      </c>
      <c r="H401" s="34">
        <v>0</v>
      </c>
      <c r="I401" s="34">
        <v>0</v>
      </c>
      <c r="J401" s="35">
        <v>0.039814</v>
      </c>
      <c r="K401" s="36">
        <v>5.276279</v>
      </c>
      <c r="L401" s="36">
        <v>210.074</v>
      </c>
      <c r="M401" s="19">
        <v>0</v>
      </c>
      <c r="N401" s="20">
        <v>0</v>
      </c>
      <c r="O401" s="22" t="e">
        <f t="shared" si="33"/>
        <v>#DIV/0!</v>
      </c>
      <c r="P401" s="23" t="e">
        <f t="shared" si="34"/>
        <v>#DIV/0!</v>
      </c>
      <c r="Q401" s="21" t="e">
        <f t="shared" si="35"/>
        <v>#DIV/0!</v>
      </c>
    </row>
    <row r="402" s="2" customFormat="1" spans="1:17">
      <c r="A402" s="17">
        <f t="shared" si="26"/>
        <v>44597</v>
      </c>
      <c r="B402" s="25">
        <v>0</v>
      </c>
      <c r="C402" s="34" t="s">
        <v>18</v>
      </c>
      <c r="D402" s="34"/>
      <c r="E402" s="34"/>
      <c r="F402" s="18"/>
      <c r="G402" s="34" t="s">
        <v>18</v>
      </c>
      <c r="H402" s="34" t="s">
        <v>18</v>
      </c>
      <c r="I402" s="34" t="s">
        <v>18</v>
      </c>
      <c r="J402" s="35" t="s">
        <v>18</v>
      </c>
      <c r="K402" s="36" t="s">
        <v>18</v>
      </c>
      <c r="L402" s="36"/>
      <c r="M402" s="36"/>
      <c r="N402" s="36"/>
      <c r="O402" s="37"/>
      <c r="P402" s="38"/>
      <c r="Q402" s="36"/>
    </row>
    <row r="403" s="2" customFormat="1" spans="1:17">
      <c r="A403" s="17">
        <f t="shared" si="26"/>
        <v>44598</v>
      </c>
      <c r="B403" s="25">
        <v>0</v>
      </c>
      <c r="C403" s="34" t="s">
        <v>18</v>
      </c>
      <c r="D403" s="34"/>
      <c r="E403" s="34"/>
      <c r="F403" s="18"/>
      <c r="G403" s="34" t="s">
        <v>18</v>
      </c>
      <c r="H403" s="34" t="s">
        <v>18</v>
      </c>
      <c r="I403" s="34" t="s">
        <v>18</v>
      </c>
      <c r="J403" s="35" t="s">
        <v>18</v>
      </c>
      <c r="K403" s="36" t="s">
        <v>18</v>
      </c>
      <c r="L403" s="36"/>
      <c r="M403" s="36"/>
      <c r="N403" s="36"/>
      <c r="O403" s="37"/>
      <c r="P403" s="38"/>
      <c r="Q403" s="36"/>
    </row>
    <row r="404" s="2" customFormat="1" spans="1:17">
      <c r="A404" s="17">
        <f t="shared" si="26"/>
        <v>44599</v>
      </c>
      <c r="B404" s="39">
        <v>252.6</v>
      </c>
      <c r="C404" s="40">
        <v>1187</v>
      </c>
      <c r="D404" s="40">
        <v>51</v>
      </c>
      <c r="E404" s="40">
        <v>0</v>
      </c>
      <c r="F404" s="18">
        <v>0</v>
      </c>
      <c r="G404" s="40">
        <v>0</v>
      </c>
      <c r="H404" s="40">
        <v>0</v>
      </c>
      <c r="I404" s="40">
        <v>1</v>
      </c>
      <c r="J404" s="41">
        <v>0.042965</v>
      </c>
      <c r="K404" s="42">
        <v>4.952941</v>
      </c>
      <c r="L404" s="42">
        <v>212.805</v>
      </c>
      <c r="M404" s="19">
        <v>0</v>
      </c>
      <c r="N404" s="20">
        <v>0</v>
      </c>
      <c r="O404" s="22" t="e">
        <f t="shared" ref="O404:O443" si="36">F404/E404</f>
        <v>#DIV/0!</v>
      </c>
      <c r="P404" s="23" t="e">
        <f t="shared" ref="P404:P443" si="37">B404/E404</f>
        <v>#DIV/0!</v>
      </c>
      <c r="Q404" s="21" t="e">
        <f t="shared" ref="Q404:Q443" si="38">B404/G404</f>
        <v>#DIV/0!</v>
      </c>
    </row>
    <row r="405" s="2" customFormat="1" spans="1:17">
      <c r="A405" s="17">
        <f t="shared" si="26"/>
        <v>44600</v>
      </c>
      <c r="B405" s="39">
        <v>223.1</v>
      </c>
      <c r="C405" s="40">
        <v>1125</v>
      </c>
      <c r="D405" s="40">
        <v>35</v>
      </c>
      <c r="E405" s="40">
        <v>0</v>
      </c>
      <c r="F405" s="18">
        <v>0</v>
      </c>
      <c r="G405" s="40">
        <v>0</v>
      </c>
      <c r="H405" s="40">
        <v>0</v>
      </c>
      <c r="I405" s="40">
        <v>1</v>
      </c>
      <c r="J405" s="41">
        <v>0.031111</v>
      </c>
      <c r="K405" s="42">
        <v>6.374285</v>
      </c>
      <c r="L405" s="42">
        <v>198.310999999999</v>
      </c>
      <c r="M405" s="19">
        <v>0</v>
      </c>
      <c r="N405" s="20">
        <v>0</v>
      </c>
      <c r="O405" s="22" t="e">
        <f t="shared" si="36"/>
        <v>#DIV/0!</v>
      </c>
      <c r="P405" s="23" t="e">
        <f t="shared" si="37"/>
        <v>#DIV/0!</v>
      </c>
      <c r="Q405" s="21" t="e">
        <f t="shared" si="38"/>
        <v>#DIV/0!</v>
      </c>
    </row>
    <row r="406" s="2" customFormat="1" spans="1:17">
      <c r="A406" s="17">
        <f t="shared" si="26"/>
        <v>44601</v>
      </c>
      <c r="B406" s="39">
        <v>239.78</v>
      </c>
      <c r="C406" s="40">
        <v>1119</v>
      </c>
      <c r="D406" s="40">
        <v>37</v>
      </c>
      <c r="E406" s="40">
        <v>0</v>
      </c>
      <c r="F406" s="18">
        <v>0</v>
      </c>
      <c r="G406" s="40">
        <v>0</v>
      </c>
      <c r="H406" s="40">
        <v>0</v>
      </c>
      <c r="I406" s="40">
        <v>0</v>
      </c>
      <c r="J406" s="41">
        <v>0.033065</v>
      </c>
      <c r="K406" s="42">
        <v>6.48054</v>
      </c>
      <c r="L406" s="42">
        <v>214.28</v>
      </c>
      <c r="M406" s="19">
        <v>0</v>
      </c>
      <c r="N406" s="20">
        <v>0</v>
      </c>
      <c r="O406" s="22" t="e">
        <f t="shared" si="36"/>
        <v>#DIV/0!</v>
      </c>
      <c r="P406" s="23" t="e">
        <f t="shared" si="37"/>
        <v>#DIV/0!</v>
      </c>
      <c r="Q406" s="21" t="e">
        <f t="shared" si="38"/>
        <v>#DIV/0!</v>
      </c>
    </row>
    <row r="407" s="2" customFormat="1" spans="1:17">
      <c r="A407" s="17">
        <f t="shared" si="26"/>
        <v>44602</v>
      </c>
      <c r="B407" s="39">
        <v>254.88</v>
      </c>
      <c r="C407" s="40">
        <v>1095</v>
      </c>
      <c r="D407" s="40">
        <v>47</v>
      </c>
      <c r="E407" s="40">
        <v>0</v>
      </c>
      <c r="F407" s="18">
        <v>0</v>
      </c>
      <c r="G407" s="40">
        <v>0</v>
      </c>
      <c r="H407" s="40">
        <v>1</v>
      </c>
      <c r="I407" s="40">
        <v>2</v>
      </c>
      <c r="J407" s="41">
        <v>0.042922</v>
      </c>
      <c r="K407" s="42">
        <v>5.422978</v>
      </c>
      <c r="L407" s="42">
        <v>232.767</v>
      </c>
      <c r="M407" s="19">
        <v>0</v>
      </c>
      <c r="N407" s="20">
        <v>0</v>
      </c>
      <c r="O407" s="22" t="e">
        <f t="shared" si="36"/>
        <v>#DIV/0!</v>
      </c>
      <c r="P407" s="23" t="e">
        <f t="shared" si="37"/>
        <v>#DIV/0!</v>
      </c>
      <c r="Q407" s="21" t="e">
        <f t="shared" si="38"/>
        <v>#DIV/0!</v>
      </c>
    </row>
    <row r="408" s="2" customFormat="1" spans="1:17">
      <c r="A408" s="17">
        <f t="shared" si="26"/>
        <v>44603</v>
      </c>
      <c r="B408" s="39">
        <v>254.23</v>
      </c>
      <c r="C408" s="40">
        <v>1119</v>
      </c>
      <c r="D408" s="40">
        <v>54</v>
      </c>
      <c r="E408" s="40">
        <v>0</v>
      </c>
      <c r="F408" s="18">
        <v>0</v>
      </c>
      <c r="G408" s="40">
        <v>0</v>
      </c>
      <c r="H408" s="40">
        <v>0</v>
      </c>
      <c r="I408" s="40">
        <v>1</v>
      </c>
      <c r="J408" s="41">
        <v>0.048257</v>
      </c>
      <c r="K408" s="42">
        <v>4.707962</v>
      </c>
      <c r="L408" s="42">
        <v>227.193</v>
      </c>
      <c r="M408" s="19">
        <v>0</v>
      </c>
      <c r="N408" s="20">
        <v>0</v>
      </c>
      <c r="O408" s="22" t="e">
        <f t="shared" si="36"/>
        <v>#DIV/0!</v>
      </c>
      <c r="P408" s="23" t="e">
        <f t="shared" si="37"/>
        <v>#DIV/0!</v>
      </c>
      <c r="Q408" s="21" t="e">
        <f t="shared" si="38"/>
        <v>#DIV/0!</v>
      </c>
    </row>
    <row r="409" s="2" customFormat="1" spans="1:17">
      <c r="A409" s="17">
        <f t="shared" si="26"/>
        <v>44604</v>
      </c>
      <c r="B409" s="39">
        <v>112.15</v>
      </c>
      <c r="C409" s="40">
        <v>535</v>
      </c>
      <c r="D409" s="40">
        <v>22</v>
      </c>
      <c r="E409" s="40">
        <v>0</v>
      </c>
      <c r="F409" s="18">
        <v>0</v>
      </c>
      <c r="G409" s="40">
        <v>0</v>
      </c>
      <c r="H409" s="40">
        <v>0</v>
      </c>
      <c r="I409" s="40">
        <v>1</v>
      </c>
      <c r="J409" s="41">
        <v>0.041121</v>
      </c>
      <c r="K409" s="42">
        <v>5.097727</v>
      </c>
      <c r="L409" s="42">
        <v>209.626</v>
      </c>
      <c r="M409" s="19">
        <v>0</v>
      </c>
      <c r="N409" s="20">
        <v>0</v>
      </c>
      <c r="O409" s="22" t="e">
        <f t="shared" si="36"/>
        <v>#DIV/0!</v>
      </c>
      <c r="P409" s="23" t="e">
        <f t="shared" si="37"/>
        <v>#DIV/0!</v>
      </c>
      <c r="Q409" s="21" t="e">
        <f t="shared" si="38"/>
        <v>#DIV/0!</v>
      </c>
    </row>
    <row r="410" s="2" customFormat="1" spans="1:17">
      <c r="A410" s="17">
        <f t="shared" si="26"/>
        <v>44605</v>
      </c>
      <c r="B410" s="39">
        <v>141.26</v>
      </c>
      <c r="C410" s="40">
        <v>614</v>
      </c>
      <c r="D410" s="40">
        <v>26</v>
      </c>
      <c r="E410" s="40">
        <v>0</v>
      </c>
      <c r="F410" s="18">
        <v>0</v>
      </c>
      <c r="G410" s="40">
        <v>0</v>
      </c>
      <c r="H410" s="40">
        <v>0</v>
      </c>
      <c r="I410" s="40">
        <v>0</v>
      </c>
      <c r="J410" s="41">
        <v>0.042345</v>
      </c>
      <c r="K410" s="42">
        <v>5.433076</v>
      </c>
      <c r="L410" s="42">
        <v>230.065</v>
      </c>
      <c r="M410" s="19">
        <v>0</v>
      </c>
      <c r="N410" s="20">
        <v>0</v>
      </c>
      <c r="O410" s="22" t="e">
        <f t="shared" si="36"/>
        <v>#DIV/0!</v>
      </c>
      <c r="P410" s="23" t="e">
        <f t="shared" si="37"/>
        <v>#DIV/0!</v>
      </c>
      <c r="Q410" s="21" t="e">
        <f t="shared" si="38"/>
        <v>#DIV/0!</v>
      </c>
    </row>
    <row r="411" s="2" customFormat="1" spans="1:17">
      <c r="A411" s="17">
        <f t="shared" si="26"/>
        <v>44606</v>
      </c>
      <c r="B411" s="39">
        <v>225.74</v>
      </c>
      <c r="C411" s="40">
        <v>1145</v>
      </c>
      <c r="D411" s="40">
        <v>43</v>
      </c>
      <c r="E411" s="40">
        <v>0</v>
      </c>
      <c r="F411" s="18">
        <v>0</v>
      </c>
      <c r="G411" s="40">
        <v>0</v>
      </c>
      <c r="H411" s="40">
        <v>0</v>
      </c>
      <c r="I411" s="40">
        <v>0</v>
      </c>
      <c r="J411" s="41">
        <v>0.037554</v>
      </c>
      <c r="K411" s="42">
        <v>5.249767</v>
      </c>
      <c r="L411" s="42">
        <v>197.152</v>
      </c>
      <c r="M411" s="19">
        <v>0</v>
      </c>
      <c r="N411" s="20">
        <v>0</v>
      </c>
      <c r="O411" s="22" t="e">
        <f t="shared" si="36"/>
        <v>#DIV/0!</v>
      </c>
      <c r="P411" s="23" t="e">
        <f t="shared" si="37"/>
        <v>#DIV/0!</v>
      </c>
      <c r="Q411" s="21" t="e">
        <f t="shared" si="38"/>
        <v>#DIV/0!</v>
      </c>
    </row>
    <row r="412" s="2" customFormat="1" spans="1:17">
      <c r="A412" s="17">
        <f t="shared" si="26"/>
        <v>44607</v>
      </c>
      <c r="B412" s="39">
        <v>256.6</v>
      </c>
      <c r="C412" s="40">
        <v>1158</v>
      </c>
      <c r="D412" s="40">
        <v>49</v>
      </c>
      <c r="E412" s="40">
        <v>0</v>
      </c>
      <c r="F412" s="18">
        <v>0</v>
      </c>
      <c r="G412" s="40">
        <v>0</v>
      </c>
      <c r="H412" s="40">
        <v>1</v>
      </c>
      <c r="I412" s="40">
        <v>2</v>
      </c>
      <c r="J412" s="41">
        <v>0.042314</v>
      </c>
      <c r="K412" s="42">
        <v>5.236734</v>
      </c>
      <c r="L412" s="42">
        <v>221.588</v>
      </c>
      <c r="M412" s="19">
        <v>0</v>
      </c>
      <c r="N412" s="20">
        <v>0</v>
      </c>
      <c r="O412" s="22" t="e">
        <f t="shared" si="36"/>
        <v>#DIV/0!</v>
      </c>
      <c r="P412" s="23" t="e">
        <f t="shared" si="37"/>
        <v>#DIV/0!</v>
      </c>
      <c r="Q412" s="21" t="e">
        <f t="shared" si="38"/>
        <v>#DIV/0!</v>
      </c>
    </row>
    <row r="413" s="2" customFormat="1" spans="1:17">
      <c r="A413" s="17">
        <f t="shared" si="26"/>
        <v>44608</v>
      </c>
      <c r="B413" s="39">
        <v>250.08</v>
      </c>
      <c r="C413" s="40">
        <v>1146</v>
      </c>
      <c r="D413" s="40">
        <v>43</v>
      </c>
      <c r="E413" s="40">
        <v>0</v>
      </c>
      <c r="F413" s="18">
        <v>0</v>
      </c>
      <c r="G413" s="40">
        <v>0</v>
      </c>
      <c r="H413" s="40">
        <v>0</v>
      </c>
      <c r="I413" s="40">
        <v>0</v>
      </c>
      <c r="J413" s="41">
        <v>0.037521</v>
      </c>
      <c r="K413" s="42">
        <v>5.815813</v>
      </c>
      <c r="L413" s="42">
        <v>218.219</v>
      </c>
      <c r="M413" s="19">
        <v>0</v>
      </c>
      <c r="N413" s="20">
        <v>0</v>
      </c>
      <c r="O413" s="22" t="e">
        <f t="shared" si="36"/>
        <v>#DIV/0!</v>
      </c>
      <c r="P413" s="23" t="e">
        <f t="shared" si="37"/>
        <v>#DIV/0!</v>
      </c>
      <c r="Q413" s="21" t="e">
        <f t="shared" si="38"/>
        <v>#DIV/0!</v>
      </c>
    </row>
    <row r="414" s="2" customFormat="1" spans="1:17">
      <c r="A414" s="17">
        <f t="shared" si="26"/>
        <v>44609</v>
      </c>
      <c r="B414" s="39">
        <v>219.72</v>
      </c>
      <c r="C414" s="40">
        <v>950</v>
      </c>
      <c r="D414" s="40">
        <v>43</v>
      </c>
      <c r="E414" s="40">
        <v>0</v>
      </c>
      <c r="F414" s="18">
        <v>0</v>
      </c>
      <c r="G414" s="40">
        <v>0</v>
      </c>
      <c r="H414" s="40">
        <v>0</v>
      </c>
      <c r="I414" s="40">
        <v>0</v>
      </c>
      <c r="J414" s="41">
        <v>0.045263</v>
      </c>
      <c r="K414" s="42">
        <v>5.109767</v>
      </c>
      <c r="L414" s="42">
        <v>231.284</v>
      </c>
      <c r="M414" s="19">
        <v>0</v>
      </c>
      <c r="N414" s="20">
        <v>0</v>
      </c>
      <c r="O414" s="22" t="e">
        <f t="shared" si="36"/>
        <v>#DIV/0!</v>
      </c>
      <c r="P414" s="23" t="e">
        <f t="shared" si="37"/>
        <v>#DIV/0!</v>
      </c>
      <c r="Q414" s="21" t="e">
        <f t="shared" si="38"/>
        <v>#DIV/0!</v>
      </c>
    </row>
    <row r="415" s="2" customFormat="1" spans="1:17">
      <c r="A415" s="17">
        <f t="shared" si="26"/>
        <v>44610</v>
      </c>
      <c r="B415" s="39">
        <v>185.81</v>
      </c>
      <c r="C415" s="40">
        <v>883</v>
      </c>
      <c r="D415" s="40">
        <v>48</v>
      </c>
      <c r="E415" s="40">
        <v>0</v>
      </c>
      <c r="F415" s="18">
        <v>0</v>
      </c>
      <c r="G415" s="40">
        <v>4</v>
      </c>
      <c r="H415" s="40">
        <v>0</v>
      </c>
      <c r="I415" s="40">
        <v>1</v>
      </c>
      <c r="J415" s="41">
        <v>0.05436</v>
      </c>
      <c r="K415" s="42">
        <v>3.871041</v>
      </c>
      <c r="L415" s="42">
        <v>210.43</v>
      </c>
      <c r="M415" s="19">
        <v>0</v>
      </c>
      <c r="N415" s="20">
        <v>0</v>
      </c>
      <c r="O415" s="22" t="e">
        <f t="shared" si="36"/>
        <v>#DIV/0!</v>
      </c>
      <c r="P415" s="23" t="e">
        <f t="shared" si="37"/>
        <v>#DIV/0!</v>
      </c>
      <c r="Q415" s="21">
        <f t="shared" si="38"/>
        <v>46.4525</v>
      </c>
    </row>
    <row r="416" s="2" customFormat="1" spans="1:17">
      <c r="A416" s="17">
        <f t="shared" si="26"/>
        <v>44611</v>
      </c>
      <c r="B416" s="39">
        <v>195.14</v>
      </c>
      <c r="C416" s="40">
        <v>880</v>
      </c>
      <c r="D416" s="40">
        <v>37</v>
      </c>
      <c r="E416" s="40">
        <v>1</v>
      </c>
      <c r="F416" s="18">
        <v>99</v>
      </c>
      <c r="G416" s="40">
        <v>2</v>
      </c>
      <c r="H416" s="40">
        <v>0</v>
      </c>
      <c r="I416" s="40">
        <v>1</v>
      </c>
      <c r="J416" s="41">
        <v>0.042045</v>
      </c>
      <c r="K416" s="42">
        <v>5.274054</v>
      </c>
      <c r="L416" s="42">
        <v>221.75</v>
      </c>
      <c r="M416" s="19">
        <v>0</v>
      </c>
      <c r="N416" s="20">
        <v>0</v>
      </c>
      <c r="O416" s="22">
        <f t="shared" si="36"/>
        <v>99</v>
      </c>
      <c r="P416" s="23">
        <f t="shared" si="37"/>
        <v>195.14</v>
      </c>
      <c r="Q416" s="21">
        <f t="shared" si="38"/>
        <v>97.57</v>
      </c>
    </row>
    <row r="417" s="2" customFormat="1" spans="1:17">
      <c r="A417" s="17">
        <f t="shared" ref="A417:A480" si="39">A416+1</f>
        <v>44612</v>
      </c>
      <c r="B417" s="39">
        <v>194.54</v>
      </c>
      <c r="C417" s="40">
        <v>893</v>
      </c>
      <c r="D417" s="40">
        <v>41</v>
      </c>
      <c r="E417" s="40">
        <v>0</v>
      </c>
      <c r="F417" s="18">
        <v>0</v>
      </c>
      <c r="G417" s="40">
        <v>6</v>
      </c>
      <c r="H417" s="40">
        <v>0</v>
      </c>
      <c r="I417" s="40">
        <v>0</v>
      </c>
      <c r="J417" s="41">
        <v>0.045912</v>
      </c>
      <c r="K417" s="42">
        <v>4.744878</v>
      </c>
      <c r="L417" s="42">
        <v>217.849</v>
      </c>
      <c r="M417" s="19">
        <v>0</v>
      </c>
      <c r="N417" s="20">
        <v>0</v>
      </c>
      <c r="O417" s="22" t="e">
        <f t="shared" si="36"/>
        <v>#DIV/0!</v>
      </c>
      <c r="P417" s="23" t="e">
        <f t="shared" si="37"/>
        <v>#DIV/0!</v>
      </c>
      <c r="Q417" s="21">
        <f t="shared" si="38"/>
        <v>32.4233333333333</v>
      </c>
    </row>
    <row r="418" s="2" customFormat="1" spans="1:17">
      <c r="A418" s="17">
        <f t="shared" si="39"/>
        <v>44613</v>
      </c>
      <c r="B418" s="39">
        <v>197.75</v>
      </c>
      <c r="C418" s="40">
        <v>852</v>
      </c>
      <c r="D418" s="40">
        <v>40</v>
      </c>
      <c r="E418" s="40">
        <v>0</v>
      </c>
      <c r="F418" s="18">
        <v>0</v>
      </c>
      <c r="G418" s="40">
        <v>0</v>
      </c>
      <c r="H418" s="40">
        <v>0</v>
      </c>
      <c r="I418" s="40">
        <v>1</v>
      </c>
      <c r="J418" s="41">
        <v>0.046948</v>
      </c>
      <c r="K418" s="42">
        <v>4.94375</v>
      </c>
      <c r="L418" s="42">
        <v>232.1</v>
      </c>
      <c r="M418" s="19">
        <v>0</v>
      </c>
      <c r="N418" s="20">
        <v>0</v>
      </c>
      <c r="O418" s="22" t="e">
        <f t="shared" si="36"/>
        <v>#DIV/0!</v>
      </c>
      <c r="P418" s="23" t="e">
        <f t="shared" si="37"/>
        <v>#DIV/0!</v>
      </c>
      <c r="Q418" s="21" t="e">
        <f t="shared" si="38"/>
        <v>#DIV/0!</v>
      </c>
    </row>
    <row r="419" s="2" customFormat="1" spans="1:17">
      <c r="A419" s="17">
        <f t="shared" si="39"/>
        <v>44614</v>
      </c>
      <c r="B419" s="39">
        <v>194.41</v>
      </c>
      <c r="C419" s="40">
        <v>835</v>
      </c>
      <c r="D419" s="40">
        <v>47</v>
      </c>
      <c r="E419" s="40">
        <v>0</v>
      </c>
      <c r="F419" s="18">
        <v>0</v>
      </c>
      <c r="G419" s="40">
        <v>1</v>
      </c>
      <c r="H419" s="40">
        <v>0</v>
      </c>
      <c r="I419" s="40">
        <v>2</v>
      </c>
      <c r="J419" s="41">
        <v>0.056287</v>
      </c>
      <c r="K419" s="42">
        <v>4.136382</v>
      </c>
      <c r="L419" s="42">
        <v>232.826</v>
      </c>
      <c r="M419" s="19">
        <v>0</v>
      </c>
      <c r="N419" s="20">
        <v>0</v>
      </c>
      <c r="O419" s="22" t="e">
        <f t="shared" si="36"/>
        <v>#DIV/0!</v>
      </c>
      <c r="P419" s="23" t="e">
        <f t="shared" si="37"/>
        <v>#DIV/0!</v>
      </c>
      <c r="Q419" s="21">
        <f t="shared" si="38"/>
        <v>194.41</v>
      </c>
    </row>
    <row r="420" s="2" customFormat="1" spans="1:17">
      <c r="A420" s="17">
        <f t="shared" si="39"/>
        <v>44615</v>
      </c>
      <c r="B420" s="39">
        <v>194.9</v>
      </c>
      <c r="C420" s="40">
        <v>876</v>
      </c>
      <c r="D420" s="40">
        <v>40</v>
      </c>
      <c r="E420" s="40">
        <v>0</v>
      </c>
      <c r="F420" s="18">
        <v>0</v>
      </c>
      <c r="G420" s="40">
        <v>0</v>
      </c>
      <c r="H420" s="40">
        <v>0</v>
      </c>
      <c r="I420" s="40">
        <v>0</v>
      </c>
      <c r="J420" s="41">
        <v>0.045662</v>
      </c>
      <c r="K420" s="42">
        <v>4.8725</v>
      </c>
      <c r="L420" s="42">
        <v>222.488</v>
      </c>
      <c r="M420" s="19">
        <v>0</v>
      </c>
      <c r="N420" s="20">
        <v>0</v>
      </c>
      <c r="O420" s="22" t="e">
        <f t="shared" si="36"/>
        <v>#DIV/0!</v>
      </c>
      <c r="P420" s="23" t="e">
        <f t="shared" si="37"/>
        <v>#DIV/0!</v>
      </c>
      <c r="Q420" s="21" t="e">
        <f t="shared" si="38"/>
        <v>#DIV/0!</v>
      </c>
    </row>
    <row r="421" s="2" customFormat="1" spans="1:17">
      <c r="A421" s="17">
        <f t="shared" si="39"/>
        <v>44616</v>
      </c>
      <c r="B421" s="39">
        <v>213.94</v>
      </c>
      <c r="C421" s="40">
        <v>828</v>
      </c>
      <c r="D421" s="40">
        <v>70</v>
      </c>
      <c r="E421" s="40">
        <v>0</v>
      </c>
      <c r="F421" s="18">
        <v>0</v>
      </c>
      <c r="G421" s="40">
        <v>0</v>
      </c>
      <c r="H421" s="40">
        <v>0</v>
      </c>
      <c r="I421" s="40">
        <v>1</v>
      </c>
      <c r="J421" s="41">
        <v>0.084541</v>
      </c>
      <c r="K421" s="42">
        <v>3.056285</v>
      </c>
      <c r="L421" s="42">
        <v>258.381</v>
      </c>
      <c r="M421" s="19">
        <v>0</v>
      </c>
      <c r="N421" s="20">
        <v>0</v>
      </c>
      <c r="O421" s="22" t="e">
        <f t="shared" si="36"/>
        <v>#DIV/0!</v>
      </c>
      <c r="P421" s="23" t="e">
        <f t="shared" si="37"/>
        <v>#DIV/0!</v>
      </c>
      <c r="Q421" s="21" t="e">
        <f t="shared" si="38"/>
        <v>#DIV/0!</v>
      </c>
    </row>
    <row r="422" s="2" customFormat="1" spans="1:17">
      <c r="A422" s="17">
        <f t="shared" si="39"/>
        <v>44617</v>
      </c>
      <c r="B422" s="18">
        <v>175.78</v>
      </c>
      <c r="C422" s="19">
        <v>748</v>
      </c>
      <c r="D422" s="19">
        <v>23</v>
      </c>
      <c r="E422" s="19">
        <v>0</v>
      </c>
      <c r="F422" s="18">
        <v>0</v>
      </c>
      <c r="G422" s="40">
        <v>0</v>
      </c>
      <c r="H422" s="40">
        <v>0</v>
      </c>
      <c r="I422" s="40">
        <v>1</v>
      </c>
      <c r="J422" s="20" t="s">
        <v>19</v>
      </c>
      <c r="K422" s="43">
        <v>7.64</v>
      </c>
      <c r="L422" s="21">
        <v>235</v>
      </c>
      <c r="M422" s="19">
        <v>0</v>
      </c>
      <c r="N422" s="20">
        <v>0</v>
      </c>
      <c r="O422" s="22" t="e">
        <f t="shared" si="36"/>
        <v>#DIV/0!</v>
      </c>
      <c r="P422" s="23" t="e">
        <f t="shared" si="37"/>
        <v>#DIV/0!</v>
      </c>
      <c r="Q422" s="21" t="e">
        <f t="shared" si="38"/>
        <v>#DIV/0!</v>
      </c>
    </row>
    <row r="423" s="2" customFormat="1" spans="1:17">
      <c r="A423" s="17">
        <f t="shared" si="39"/>
        <v>44618</v>
      </c>
      <c r="B423" s="18">
        <v>177.1</v>
      </c>
      <c r="C423" s="19">
        <v>868</v>
      </c>
      <c r="D423" s="19">
        <v>31</v>
      </c>
      <c r="E423" s="19">
        <v>0</v>
      </c>
      <c r="F423" s="18">
        <v>0</v>
      </c>
      <c r="G423" s="19">
        <v>0</v>
      </c>
      <c r="H423" s="19">
        <v>0</v>
      </c>
      <c r="I423" s="19">
        <v>2</v>
      </c>
      <c r="J423" s="20" t="s">
        <v>20</v>
      </c>
      <c r="K423" s="43">
        <v>5.71</v>
      </c>
      <c r="L423" s="21">
        <v>204.03</v>
      </c>
      <c r="M423" s="19">
        <v>0</v>
      </c>
      <c r="N423" s="20">
        <v>0</v>
      </c>
      <c r="O423" s="22" t="e">
        <f t="shared" si="36"/>
        <v>#DIV/0!</v>
      </c>
      <c r="P423" s="23" t="e">
        <f t="shared" si="37"/>
        <v>#DIV/0!</v>
      </c>
      <c r="Q423" s="21" t="e">
        <f t="shared" si="38"/>
        <v>#DIV/0!</v>
      </c>
    </row>
    <row r="424" s="2" customFormat="1" spans="1:17">
      <c r="A424" s="17">
        <f t="shared" si="39"/>
        <v>44619</v>
      </c>
      <c r="B424" s="18">
        <v>202.55</v>
      </c>
      <c r="C424" s="19">
        <v>913</v>
      </c>
      <c r="D424" s="19">
        <v>33</v>
      </c>
      <c r="E424" s="19">
        <v>0</v>
      </c>
      <c r="F424" s="18">
        <v>0</v>
      </c>
      <c r="G424" s="19">
        <v>0</v>
      </c>
      <c r="H424" s="19">
        <v>0</v>
      </c>
      <c r="I424" s="19">
        <v>0</v>
      </c>
      <c r="J424" s="20">
        <v>0.0361</v>
      </c>
      <c r="K424" s="43">
        <v>6.14</v>
      </c>
      <c r="L424" s="21">
        <v>221.85</v>
      </c>
      <c r="M424" s="19">
        <v>0</v>
      </c>
      <c r="N424" s="20">
        <v>0</v>
      </c>
      <c r="O424" s="22" t="e">
        <f t="shared" si="36"/>
        <v>#DIV/0!</v>
      </c>
      <c r="P424" s="23" t="e">
        <f t="shared" si="37"/>
        <v>#DIV/0!</v>
      </c>
      <c r="Q424" s="21" t="e">
        <f t="shared" si="38"/>
        <v>#DIV/0!</v>
      </c>
    </row>
    <row r="425" s="2" customFormat="1" spans="1:17">
      <c r="A425" s="17">
        <f t="shared" si="39"/>
        <v>44620</v>
      </c>
      <c r="B425" s="18">
        <v>224.99</v>
      </c>
      <c r="C425" s="19">
        <v>904</v>
      </c>
      <c r="D425" s="19">
        <v>46</v>
      </c>
      <c r="E425" s="19">
        <v>0</v>
      </c>
      <c r="F425" s="18">
        <v>0</v>
      </c>
      <c r="G425" s="19">
        <v>0</v>
      </c>
      <c r="H425" s="19">
        <v>1</v>
      </c>
      <c r="I425" s="19">
        <v>0</v>
      </c>
      <c r="J425" s="20">
        <v>0.0509</v>
      </c>
      <c r="K425" s="21">
        <v>4.89</v>
      </c>
      <c r="L425" s="21">
        <v>248.88</v>
      </c>
      <c r="M425" s="19">
        <v>0</v>
      </c>
      <c r="N425" s="20">
        <v>0</v>
      </c>
      <c r="O425" s="22" t="e">
        <f t="shared" si="36"/>
        <v>#DIV/0!</v>
      </c>
      <c r="P425" s="23" t="e">
        <f t="shared" si="37"/>
        <v>#DIV/0!</v>
      </c>
      <c r="Q425" s="21" t="e">
        <f t="shared" si="38"/>
        <v>#DIV/0!</v>
      </c>
    </row>
    <row r="426" s="2" customFormat="1" spans="1:17">
      <c r="A426" s="17">
        <f t="shared" si="39"/>
        <v>44621</v>
      </c>
      <c r="B426" s="18">
        <v>217.38</v>
      </c>
      <c r="C426" s="19">
        <v>929</v>
      </c>
      <c r="D426" s="19">
        <v>28</v>
      </c>
      <c r="E426" s="19">
        <v>0</v>
      </c>
      <c r="F426" s="18">
        <v>0</v>
      </c>
      <c r="G426" s="19">
        <v>0</v>
      </c>
      <c r="H426" s="19">
        <v>0</v>
      </c>
      <c r="I426" s="19">
        <v>0</v>
      </c>
      <c r="J426" s="20">
        <v>0.0301</v>
      </c>
      <c r="K426" s="21">
        <v>7.76</v>
      </c>
      <c r="L426" s="21">
        <v>233.99</v>
      </c>
      <c r="M426" s="19">
        <v>0</v>
      </c>
      <c r="N426" s="20">
        <v>0</v>
      </c>
      <c r="O426" s="22" t="e">
        <f t="shared" si="36"/>
        <v>#DIV/0!</v>
      </c>
      <c r="P426" s="23" t="e">
        <f t="shared" si="37"/>
        <v>#DIV/0!</v>
      </c>
      <c r="Q426" s="21" t="e">
        <f t="shared" si="38"/>
        <v>#DIV/0!</v>
      </c>
    </row>
    <row r="427" s="2" customFormat="1" spans="1:17">
      <c r="A427" s="17">
        <f t="shared" si="39"/>
        <v>44622</v>
      </c>
      <c r="B427" s="18">
        <v>285.47</v>
      </c>
      <c r="C427" s="19">
        <v>1187</v>
      </c>
      <c r="D427" s="19">
        <v>61</v>
      </c>
      <c r="E427" s="19">
        <v>0</v>
      </c>
      <c r="F427" s="18">
        <v>0</v>
      </c>
      <c r="G427" s="19">
        <v>0</v>
      </c>
      <c r="H427" s="19">
        <v>0</v>
      </c>
      <c r="I427" s="19">
        <v>1</v>
      </c>
      <c r="J427" s="20">
        <v>0.0514</v>
      </c>
      <c r="K427" s="21">
        <v>4.66</v>
      </c>
      <c r="L427" s="21">
        <v>239.55</v>
      </c>
      <c r="M427" s="19">
        <v>0</v>
      </c>
      <c r="N427" s="20">
        <v>0</v>
      </c>
      <c r="O427" s="22" t="e">
        <f t="shared" si="36"/>
        <v>#DIV/0!</v>
      </c>
      <c r="P427" s="23" t="e">
        <f t="shared" si="37"/>
        <v>#DIV/0!</v>
      </c>
      <c r="Q427" s="21" t="e">
        <f t="shared" si="38"/>
        <v>#DIV/0!</v>
      </c>
    </row>
    <row r="428" s="2" customFormat="1" spans="1:17">
      <c r="A428" s="17">
        <f t="shared" si="39"/>
        <v>44623</v>
      </c>
      <c r="B428" s="18">
        <v>230.1</v>
      </c>
      <c r="C428" s="19">
        <v>1033</v>
      </c>
      <c r="D428" s="19">
        <v>27</v>
      </c>
      <c r="E428" s="19">
        <v>0</v>
      </c>
      <c r="F428" s="18">
        <v>0</v>
      </c>
      <c r="G428" s="19">
        <v>0</v>
      </c>
      <c r="H428" s="19">
        <v>0</v>
      </c>
      <c r="I428" s="19">
        <v>1</v>
      </c>
      <c r="J428" s="20">
        <v>0.0261</v>
      </c>
      <c r="K428" s="21">
        <v>8.52</v>
      </c>
      <c r="L428" s="21">
        <v>222.75</v>
      </c>
      <c r="M428" s="19">
        <v>0</v>
      </c>
      <c r="N428" s="20">
        <v>0</v>
      </c>
      <c r="O428" s="22" t="e">
        <f t="shared" si="36"/>
        <v>#DIV/0!</v>
      </c>
      <c r="P428" s="23" t="e">
        <f t="shared" si="37"/>
        <v>#DIV/0!</v>
      </c>
      <c r="Q428" s="21" t="e">
        <f t="shared" si="38"/>
        <v>#DIV/0!</v>
      </c>
    </row>
    <row r="429" s="2" customFormat="1" spans="1:17">
      <c r="A429" s="17">
        <f t="shared" si="39"/>
        <v>44624</v>
      </c>
      <c r="B429" s="18">
        <v>234.65</v>
      </c>
      <c r="C429" s="19">
        <v>1083</v>
      </c>
      <c r="D429" s="19">
        <v>35</v>
      </c>
      <c r="E429" s="19">
        <v>0</v>
      </c>
      <c r="F429" s="18">
        <v>0</v>
      </c>
      <c r="G429" s="19">
        <v>0</v>
      </c>
      <c r="H429" s="19">
        <v>0</v>
      </c>
      <c r="I429" s="19">
        <v>1</v>
      </c>
      <c r="J429" s="20">
        <v>0.0323</v>
      </c>
      <c r="K429" s="21">
        <v>6.7</v>
      </c>
      <c r="L429" s="21">
        <v>216.67</v>
      </c>
      <c r="M429" s="19">
        <v>0</v>
      </c>
      <c r="N429" s="20">
        <v>0</v>
      </c>
      <c r="O429" s="22" t="e">
        <f t="shared" si="36"/>
        <v>#DIV/0!</v>
      </c>
      <c r="P429" s="23" t="e">
        <f t="shared" si="37"/>
        <v>#DIV/0!</v>
      </c>
      <c r="Q429" s="21" t="e">
        <f t="shared" si="38"/>
        <v>#DIV/0!</v>
      </c>
    </row>
    <row r="430" s="2" customFormat="1" spans="1:17">
      <c r="A430" s="17">
        <f t="shared" si="39"/>
        <v>44625</v>
      </c>
      <c r="B430" s="39">
        <v>255.28</v>
      </c>
      <c r="C430" s="40">
        <v>1150</v>
      </c>
      <c r="D430" s="40">
        <v>35</v>
      </c>
      <c r="E430" s="40">
        <v>0</v>
      </c>
      <c r="F430" s="18">
        <v>0</v>
      </c>
      <c r="G430" s="19">
        <v>0</v>
      </c>
      <c r="H430" s="19">
        <v>0</v>
      </c>
      <c r="I430" s="19">
        <v>0</v>
      </c>
      <c r="J430" s="44">
        <f t="shared" ref="J430:J443" si="40">D430/C430</f>
        <v>0.0304347826086957</v>
      </c>
      <c r="K430" s="21">
        <f t="shared" ref="K430:K443" si="41">B430/D430</f>
        <v>7.29371428571429</v>
      </c>
      <c r="L430" s="45">
        <f t="shared" ref="L430:L443" si="42">(B430/C430)*1000</f>
        <v>221.982608695652</v>
      </c>
      <c r="M430" s="40">
        <v>0</v>
      </c>
      <c r="N430" s="20">
        <v>0</v>
      </c>
      <c r="O430" s="22" t="e">
        <f t="shared" si="36"/>
        <v>#DIV/0!</v>
      </c>
      <c r="P430" s="23" t="e">
        <f t="shared" si="37"/>
        <v>#DIV/0!</v>
      </c>
      <c r="Q430" s="21" t="e">
        <f t="shared" si="38"/>
        <v>#DIV/0!</v>
      </c>
    </row>
    <row r="431" s="2" customFormat="1" spans="1:17">
      <c r="A431" s="17">
        <f t="shared" si="39"/>
        <v>44626</v>
      </c>
      <c r="B431" s="39">
        <v>248.76</v>
      </c>
      <c r="C431" s="40">
        <v>1114</v>
      </c>
      <c r="D431" s="40">
        <v>35</v>
      </c>
      <c r="E431" s="40">
        <v>0</v>
      </c>
      <c r="F431" s="18">
        <v>0</v>
      </c>
      <c r="G431" s="40">
        <v>1</v>
      </c>
      <c r="H431" s="40">
        <v>0</v>
      </c>
      <c r="I431" s="40">
        <v>1</v>
      </c>
      <c r="J431" s="44">
        <f t="shared" si="40"/>
        <v>0.0314183123877917</v>
      </c>
      <c r="K431" s="21">
        <f t="shared" si="41"/>
        <v>7.10742857142857</v>
      </c>
      <c r="L431" s="45">
        <f t="shared" si="42"/>
        <v>223.303411131059</v>
      </c>
      <c r="M431" s="40">
        <v>0</v>
      </c>
      <c r="N431" s="20">
        <v>0</v>
      </c>
      <c r="O431" s="22" t="e">
        <f t="shared" si="36"/>
        <v>#DIV/0!</v>
      </c>
      <c r="P431" s="23" t="e">
        <f t="shared" si="37"/>
        <v>#DIV/0!</v>
      </c>
      <c r="Q431" s="21">
        <f t="shared" si="38"/>
        <v>248.76</v>
      </c>
    </row>
    <row r="432" s="2" customFormat="1" spans="1:17">
      <c r="A432" s="17">
        <f t="shared" si="39"/>
        <v>44627</v>
      </c>
      <c r="B432" s="39">
        <v>258.42</v>
      </c>
      <c r="C432" s="40">
        <v>1218</v>
      </c>
      <c r="D432" s="40">
        <v>31</v>
      </c>
      <c r="E432" s="40">
        <v>3</v>
      </c>
      <c r="F432" s="18">
        <v>600</v>
      </c>
      <c r="G432" s="40">
        <v>1</v>
      </c>
      <c r="H432" s="40">
        <v>0</v>
      </c>
      <c r="I432" s="40">
        <v>3</v>
      </c>
      <c r="J432" s="44">
        <f t="shared" si="40"/>
        <v>0.0254515599343186</v>
      </c>
      <c r="K432" s="21">
        <f t="shared" si="41"/>
        <v>8.33612903225806</v>
      </c>
      <c r="L432" s="45">
        <f t="shared" si="42"/>
        <v>212.167487684729</v>
      </c>
      <c r="M432" s="40">
        <v>2.32</v>
      </c>
      <c r="N432" s="20">
        <v>0.0025</v>
      </c>
      <c r="O432" s="22">
        <f t="shared" si="36"/>
        <v>200</v>
      </c>
      <c r="P432" s="23">
        <f t="shared" si="37"/>
        <v>86.14</v>
      </c>
      <c r="Q432" s="21">
        <f t="shared" si="38"/>
        <v>258.42</v>
      </c>
    </row>
    <row r="433" s="2" customFormat="1" spans="1:17">
      <c r="A433" s="17">
        <f t="shared" si="39"/>
        <v>44628</v>
      </c>
      <c r="B433" s="39">
        <v>227.65</v>
      </c>
      <c r="C433" s="40">
        <v>1128</v>
      </c>
      <c r="D433" s="40">
        <v>23</v>
      </c>
      <c r="E433" s="40">
        <v>0</v>
      </c>
      <c r="F433" s="18">
        <v>0</v>
      </c>
      <c r="G433" s="19">
        <v>0</v>
      </c>
      <c r="H433" s="19">
        <v>0</v>
      </c>
      <c r="I433" s="19">
        <v>0</v>
      </c>
      <c r="J433" s="44">
        <f t="shared" si="40"/>
        <v>0.0203900709219858</v>
      </c>
      <c r="K433" s="21">
        <f t="shared" si="41"/>
        <v>9.89782608695652</v>
      </c>
      <c r="L433" s="45">
        <f t="shared" si="42"/>
        <v>201.817375886525</v>
      </c>
      <c r="M433" s="40">
        <v>0</v>
      </c>
      <c r="N433" s="20">
        <v>0</v>
      </c>
      <c r="O433" s="22" t="e">
        <f t="shared" si="36"/>
        <v>#DIV/0!</v>
      </c>
      <c r="P433" s="23" t="e">
        <f t="shared" si="37"/>
        <v>#DIV/0!</v>
      </c>
      <c r="Q433" s="21" t="e">
        <f t="shared" si="38"/>
        <v>#DIV/0!</v>
      </c>
    </row>
    <row r="434" s="2" customFormat="1" spans="1:17">
      <c r="A434" s="17">
        <f t="shared" si="39"/>
        <v>44629</v>
      </c>
      <c r="B434" s="39">
        <v>183.98</v>
      </c>
      <c r="C434" s="40">
        <v>820</v>
      </c>
      <c r="D434" s="40">
        <v>31</v>
      </c>
      <c r="E434" s="40">
        <v>0</v>
      </c>
      <c r="F434" s="18">
        <v>0</v>
      </c>
      <c r="G434" s="40">
        <v>0</v>
      </c>
      <c r="H434" s="40">
        <v>0</v>
      </c>
      <c r="I434" s="40">
        <v>2</v>
      </c>
      <c r="J434" s="44">
        <f t="shared" si="40"/>
        <v>0.0378048780487805</v>
      </c>
      <c r="K434" s="21">
        <f t="shared" si="41"/>
        <v>5.93483870967742</v>
      </c>
      <c r="L434" s="45">
        <f t="shared" si="42"/>
        <v>224.365853658537</v>
      </c>
      <c r="M434" s="40">
        <v>0</v>
      </c>
      <c r="N434" s="20">
        <v>0</v>
      </c>
      <c r="O434" s="22" t="e">
        <f t="shared" si="36"/>
        <v>#DIV/0!</v>
      </c>
      <c r="P434" s="23" t="e">
        <f t="shared" si="37"/>
        <v>#DIV/0!</v>
      </c>
      <c r="Q434" s="21" t="e">
        <f t="shared" si="38"/>
        <v>#DIV/0!</v>
      </c>
    </row>
    <row r="435" s="2" customFormat="1" spans="1:17">
      <c r="A435" s="17">
        <f t="shared" si="39"/>
        <v>44630</v>
      </c>
      <c r="B435" s="39">
        <v>196.4</v>
      </c>
      <c r="C435" s="40">
        <v>779</v>
      </c>
      <c r="D435" s="40">
        <v>28</v>
      </c>
      <c r="E435" s="40">
        <v>0</v>
      </c>
      <c r="F435" s="18">
        <v>0</v>
      </c>
      <c r="G435" s="40">
        <v>0</v>
      </c>
      <c r="H435" s="40">
        <v>0</v>
      </c>
      <c r="I435" s="40">
        <v>0</v>
      </c>
      <c r="J435" s="44">
        <f t="shared" si="40"/>
        <v>0.0359435173299101</v>
      </c>
      <c r="K435" s="21">
        <f t="shared" si="41"/>
        <v>7.01428571428571</v>
      </c>
      <c r="L435" s="45">
        <f t="shared" si="42"/>
        <v>252.11810012837</v>
      </c>
      <c r="M435" s="40">
        <v>0</v>
      </c>
      <c r="N435" s="20">
        <v>0</v>
      </c>
      <c r="O435" s="22" t="e">
        <f t="shared" si="36"/>
        <v>#DIV/0!</v>
      </c>
      <c r="P435" s="23" t="e">
        <f t="shared" si="37"/>
        <v>#DIV/0!</v>
      </c>
      <c r="Q435" s="21" t="e">
        <f t="shared" si="38"/>
        <v>#DIV/0!</v>
      </c>
    </row>
    <row r="436" s="2" customFormat="1" spans="1:17">
      <c r="A436" s="17">
        <f t="shared" si="39"/>
        <v>44631</v>
      </c>
      <c r="B436" s="39">
        <v>152.46</v>
      </c>
      <c r="C436" s="40">
        <v>607</v>
      </c>
      <c r="D436" s="40">
        <v>22</v>
      </c>
      <c r="E436" s="40">
        <v>0</v>
      </c>
      <c r="F436" s="18">
        <v>0</v>
      </c>
      <c r="G436" s="40">
        <v>0</v>
      </c>
      <c r="H436" s="40">
        <v>1</v>
      </c>
      <c r="I436" s="40">
        <v>1</v>
      </c>
      <c r="J436" s="44">
        <f t="shared" si="40"/>
        <v>0.0362438220757825</v>
      </c>
      <c r="K436" s="21">
        <f t="shared" si="41"/>
        <v>6.93</v>
      </c>
      <c r="L436" s="45">
        <f t="shared" si="42"/>
        <v>251.169686985173</v>
      </c>
      <c r="M436" s="40">
        <v>0</v>
      </c>
      <c r="N436" s="20">
        <v>0</v>
      </c>
      <c r="O436" s="22" t="e">
        <f t="shared" si="36"/>
        <v>#DIV/0!</v>
      </c>
      <c r="P436" s="23" t="e">
        <f t="shared" si="37"/>
        <v>#DIV/0!</v>
      </c>
      <c r="Q436" s="21" t="e">
        <f t="shared" si="38"/>
        <v>#DIV/0!</v>
      </c>
    </row>
    <row r="437" s="2" customFormat="1" spans="1:17">
      <c r="A437" s="17">
        <f t="shared" si="39"/>
        <v>44632</v>
      </c>
      <c r="B437" s="46">
        <v>102.83</v>
      </c>
      <c r="C437" s="40">
        <v>446</v>
      </c>
      <c r="D437" s="40">
        <v>7</v>
      </c>
      <c r="E437" s="40">
        <v>0</v>
      </c>
      <c r="F437" s="18">
        <v>0</v>
      </c>
      <c r="G437" s="40">
        <v>0</v>
      </c>
      <c r="H437" s="40">
        <v>0</v>
      </c>
      <c r="I437" s="40">
        <v>0</v>
      </c>
      <c r="J437" s="44">
        <f t="shared" si="40"/>
        <v>0.015695067264574</v>
      </c>
      <c r="K437" s="21">
        <f t="shared" si="41"/>
        <v>14.69</v>
      </c>
      <c r="L437" s="45">
        <f t="shared" si="42"/>
        <v>230.560538116592</v>
      </c>
      <c r="M437" s="40">
        <v>0</v>
      </c>
      <c r="N437" s="20">
        <v>0</v>
      </c>
      <c r="O437" s="22" t="e">
        <f t="shared" si="36"/>
        <v>#DIV/0!</v>
      </c>
      <c r="P437" s="23" t="e">
        <f t="shared" si="37"/>
        <v>#DIV/0!</v>
      </c>
      <c r="Q437" s="21" t="e">
        <f t="shared" si="38"/>
        <v>#DIV/0!</v>
      </c>
    </row>
    <row r="438" s="2" customFormat="1" spans="1:17">
      <c r="A438" s="17">
        <f t="shared" si="39"/>
        <v>44633</v>
      </c>
      <c r="B438" s="46">
        <v>109.06</v>
      </c>
      <c r="C438" s="40">
        <v>497</v>
      </c>
      <c r="D438" s="40">
        <v>17</v>
      </c>
      <c r="E438" s="40">
        <v>0</v>
      </c>
      <c r="F438" s="18">
        <v>0</v>
      </c>
      <c r="G438" s="40">
        <v>0</v>
      </c>
      <c r="H438" s="40">
        <v>0</v>
      </c>
      <c r="I438" s="40">
        <v>1</v>
      </c>
      <c r="J438" s="44">
        <f t="shared" si="40"/>
        <v>0.03420523138833</v>
      </c>
      <c r="K438" s="21">
        <f t="shared" si="41"/>
        <v>6.41529411764706</v>
      </c>
      <c r="L438" s="45">
        <f t="shared" si="42"/>
        <v>219.43661971831</v>
      </c>
      <c r="M438" s="40">
        <v>0</v>
      </c>
      <c r="N438" s="20">
        <v>0</v>
      </c>
      <c r="O438" s="22" t="e">
        <f t="shared" si="36"/>
        <v>#DIV/0!</v>
      </c>
      <c r="P438" s="23" t="e">
        <f t="shared" si="37"/>
        <v>#DIV/0!</v>
      </c>
      <c r="Q438" s="21" t="e">
        <f t="shared" si="38"/>
        <v>#DIV/0!</v>
      </c>
    </row>
    <row r="439" s="2" customFormat="1" spans="1:17">
      <c r="A439" s="17">
        <f t="shared" si="39"/>
        <v>44634</v>
      </c>
      <c r="B439" s="46">
        <v>77.66</v>
      </c>
      <c r="C439" s="40">
        <v>361</v>
      </c>
      <c r="D439" s="40">
        <v>8</v>
      </c>
      <c r="E439" s="40">
        <v>0</v>
      </c>
      <c r="F439" s="18">
        <v>0</v>
      </c>
      <c r="G439" s="40">
        <v>0</v>
      </c>
      <c r="H439" s="40">
        <v>0</v>
      </c>
      <c r="I439" s="40">
        <v>1</v>
      </c>
      <c r="J439" s="44">
        <f t="shared" si="40"/>
        <v>0.0221606648199446</v>
      </c>
      <c r="K439" s="21">
        <f t="shared" si="41"/>
        <v>9.7075</v>
      </c>
      <c r="L439" s="45">
        <f t="shared" si="42"/>
        <v>215.124653739612</v>
      </c>
      <c r="M439" s="40">
        <v>0</v>
      </c>
      <c r="N439" s="20">
        <v>0</v>
      </c>
      <c r="O439" s="22" t="e">
        <f t="shared" si="36"/>
        <v>#DIV/0!</v>
      </c>
      <c r="P439" s="23" t="e">
        <f t="shared" si="37"/>
        <v>#DIV/0!</v>
      </c>
      <c r="Q439" s="21" t="e">
        <f t="shared" si="38"/>
        <v>#DIV/0!</v>
      </c>
    </row>
    <row r="440" s="2" customFormat="1" spans="1:17">
      <c r="A440" s="17">
        <f t="shared" si="39"/>
        <v>44635</v>
      </c>
      <c r="B440" s="46">
        <v>85.41</v>
      </c>
      <c r="C440" s="40">
        <v>318</v>
      </c>
      <c r="D440" s="40">
        <v>16</v>
      </c>
      <c r="E440" s="40">
        <v>0</v>
      </c>
      <c r="F440" s="18">
        <v>0</v>
      </c>
      <c r="G440" s="40">
        <v>0</v>
      </c>
      <c r="H440" s="40">
        <v>0</v>
      </c>
      <c r="I440" s="40">
        <v>0</v>
      </c>
      <c r="J440" s="44">
        <f t="shared" si="40"/>
        <v>0.050314465408805</v>
      </c>
      <c r="K440" s="21">
        <f t="shared" si="41"/>
        <v>5.338125</v>
      </c>
      <c r="L440" s="45">
        <f t="shared" si="42"/>
        <v>268.584905660377</v>
      </c>
      <c r="M440" s="40">
        <v>0</v>
      </c>
      <c r="N440" s="20">
        <v>0</v>
      </c>
      <c r="O440" s="22" t="e">
        <f t="shared" si="36"/>
        <v>#DIV/0!</v>
      </c>
      <c r="P440" s="23" t="e">
        <f t="shared" si="37"/>
        <v>#DIV/0!</v>
      </c>
      <c r="Q440" s="21" t="e">
        <f t="shared" si="38"/>
        <v>#DIV/0!</v>
      </c>
    </row>
    <row r="441" s="2" customFormat="1" spans="1:17">
      <c r="A441" s="17">
        <f t="shared" si="39"/>
        <v>44636</v>
      </c>
      <c r="B441" s="46">
        <v>0.78</v>
      </c>
      <c r="C441" s="40">
        <v>0</v>
      </c>
      <c r="D441" s="40">
        <v>0</v>
      </c>
      <c r="E441" s="40">
        <v>0</v>
      </c>
      <c r="F441" s="18">
        <v>0</v>
      </c>
      <c r="G441" s="40">
        <v>0</v>
      </c>
      <c r="H441" s="40">
        <v>0</v>
      </c>
      <c r="I441" s="40">
        <v>0</v>
      </c>
      <c r="J441" s="44" t="e">
        <f t="shared" si="40"/>
        <v>#DIV/0!</v>
      </c>
      <c r="K441" s="21" t="e">
        <f t="shared" si="41"/>
        <v>#DIV/0!</v>
      </c>
      <c r="L441" s="45" t="e">
        <f t="shared" si="42"/>
        <v>#DIV/0!</v>
      </c>
      <c r="M441" s="40">
        <v>0</v>
      </c>
      <c r="N441" s="20">
        <v>0</v>
      </c>
      <c r="O441" s="22" t="e">
        <f t="shared" si="36"/>
        <v>#DIV/0!</v>
      </c>
      <c r="P441" s="23" t="e">
        <f t="shared" si="37"/>
        <v>#DIV/0!</v>
      </c>
      <c r="Q441" s="21" t="e">
        <f t="shared" si="38"/>
        <v>#DIV/0!</v>
      </c>
    </row>
    <row r="442" s="2" customFormat="1" spans="1:17">
      <c r="A442" s="17">
        <f t="shared" si="39"/>
        <v>44637</v>
      </c>
      <c r="B442" s="46">
        <v>0</v>
      </c>
      <c r="C442" s="40">
        <v>0</v>
      </c>
      <c r="D442" s="40">
        <v>0</v>
      </c>
      <c r="E442" s="40">
        <v>0</v>
      </c>
      <c r="F442" s="18">
        <v>0</v>
      </c>
      <c r="G442" s="40">
        <v>0</v>
      </c>
      <c r="H442" s="40">
        <v>0</v>
      </c>
      <c r="I442" s="40">
        <v>0</v>
      </c>
      <c r="J442" s="44" t="e">
        <f t="shared" si="40"/>
        <v>#DIV/0!</v>
      </c>
      <c r="K442" s="21" t="e">
        <f t="shared" si="41"/>
        <v>#DIV/0!</v>
      </c>
      <c r="L442" s="45" t="e">
        <f t="shared" si="42"/>
        <v>#DIV/0!</v>
      </c>
      <c r="M442" s="40">
        <v>0</v>
      </c>
      <c r="N442" s="20">
        <v>0</v>
      </c>
      <c r="O442" s="22" t="e">
        <f t="shared" si="36"/>
        <v>#DIV/0!</v>
      </c>
      <c r="P442" s="23" t="e">
        <f t="shared" si="37"/>
        <v>#DIV/0!</v>
      </c>
      <c r="Q442" s="21" t="e">
        <f t="shared" si="38"/>
        <v>#DIV/0!</v>
      </c>
    </row>
    <row r="443" s="2" customFormat="1" spans="1:17">
      <c r="A443" s="17">
        <f t="shared" si="39"/>
        <v>44638</v>
      </c>
      <c r="B443" s="46">
        <v>0</v>
      </c>
      <c r="C443" s="40">
        <v>0</v>
      </c>
      <c r="D443" s="40">
        <v>0</v>
      </c>
      <c r="E443" s="40">
        <v>0</v>
      </c>
      <c r="F443" s="18">
        <v>0</v>
      </c>
      <c r="G443" s="40">
        <v>0</v>
      </c>
      <c r="H443" s="40">
        <v>0</v>
      </c>
      <c r="I443" s="40">
        <v>0</v>
      </c>
      <c r="J443" s="44" t="e">
        <f t="shared" si="40"/>
        <v>#DIV/0!</v>
      </c>
      <c r="K443" s="21" t="e">
        <f t="shared" si="41"/>
        <v>#DIV/0!</v>
      </c>
      <c r="L443" s="45" t="e">
        <f t="shared" si="42"/>
        <v>#DIV/0!</v>
      </c>
      <c r="M443" s="40">
        <v>0</v>
      </c>
      <c r="N443" s="20">
        <v>0</v>
      </c>
      <c r="O443" s="22" t="e">
        <f t="shared" si="36"/>
        <v>#DIV/0!</v>
      </c>
      <c r="P443" s="23" t="e">
        <f t="shared" si="37"/>
        <v>#DIV/0!</v>
      </c>
      <c r="Q443" s="21" t="e">
        <f t="shared" si="38"/>
        <v>#DIV/0!</v>
      </c>
    </row>
    <row r="444" s="2" customFormat="1" spans="1:17">
      <c r="A444" s="17">
        <f t="shared" si="39"/>
        <v>44639</v>
      </c>
      <c r="B444" s="46">
        <v>0</v>
      </c>
      <c r="C444" s="40">
        <v>0</v>
      </c>
      <c r="D444" s="40">
        <v>0</v>
      </c>
      <c r="E444" s="40">
        <v>0</v>
      </c>
      <c r="F444" s="39">
        <v>0</v>
      </c>
      <c r="G444" s="40">
        <v>0</v>
      </c>
      <c r="H444" s="40">
        <v>0</v>
      </c>
      <c r="I444" s="40">
        <v>0</v>
      </c>
      <c r="J444" s="40">
        <v>0</v>
      </c>
      <c r="K444" s="40">
        <v>0</v>
      </c>
      <c r="L444" s="40">
        <v>0</v>
      </c>
      <c r="M444" s="40">
        <v>0</v>
      </c>
      <c r="N444" s="40">
        <v>0</v>
      </c>
      <c r="O444" s="47">
        <v>0</v>
      </c>
      <c r="P444" s="48">
        <v>0</v>
      </c>
      <c r="Q444" s="40">
        <v>0</v>
      </c>
    </row>
    <row r="445" s="2" customFormat="1" spans="1:17">
      <c r="A445" s="17">
        <f t="shared" si="39"/>
        <v>44640</v>
      </c>
      <c r="B445" s="46">
        <v>0</v>
      </c>
      <c r="C445" s="40">
        <v>0</v>
      </c>
      <c r="D445" s="40">
        <v>0</v>
      </c>
      <c r="E445" s="40">
        <v>0</v>
      </c>
      <c r="F445" s="39">
        <v>0</v>
      </c>
      <c r="G445" s="40">
        <v>0</v>
      </c>
      <c r="H445" s="40">
        <v>0</v>
      </c>
      <c r="I445" s="40">
        <v>0</v>
      </c>
      <c r="J445" s="40">
        <v>0</v>
      </c>
      <c r="K445" s="40">
        <v>0</v>
      </c>
      <c r="L445" s="40">
        <v>0</v>
      </c>
      <c r="M445" s="40">
        <v>0</v>
      </c>
      <c r="N445" s="40">
        <v>0</v>
      </c>
      <c r="O445" s="47">
        <v>0</v>
      </c>
      <c r="P445" s="48">
        <v>0</v>
      </c>
      <c r="Q445" s="40">
        <v>0</v>
      </c>
    </row>
    <row r="446" s="2" customFormat="1" spans="1:17">
      <c r="A446" s="17">
        <f t="shared" si="39"/>
        <v>44641</v>
      </c>
      <c r="B446" s="46">
        <v>0</v>
      </c>
      <c r="C446" s="40">
        <v>0</v>
      </c>
      <c r="D446" s="40">
        <v>0</v>
      </c>
      <c r="E446" s="40">
        <v>0</v>
      </c>
      <c r="F446" s="39">
        <v>0</v>
      </c>
      <c r="G446" s="40">
        <v>0</v>
      </c>
      <c r="H446" s="40">
        <v>0</v>
      </c>
      <c r="I446" s="40">
        <v>0</v>
      </c>
      <c r="J446" s="40">
        <v>0</v>
      </c>
      <c r="K446" s="40">
        <v>0</v>
      </c>
      <c r="L446" s="40">
        <v>0</v>
      </c>
      <c r="M446" s="40">
        <v>0</v>
      </c>
      <c r="N446" s="40">
        <v>0</v>
      </c>
      <c r="O446" s="47">
        <v>0</v>
      </c>
      <c r="P446" s="48">
        <v>0</v>
      </c>
      <c r="Q446" s="40">
        <v>0</v>
      </c>
    </row>
    <row r="447" s="2" customFormat="1" spans="1:17">
      <c r="A447" s="17">
        <f t="shared" si="39"/>
        <v>44642</v>
      </c>
      <c r="B447" s="46">
        <v>0</v>
      </c>
      <c r="C447" s="40">
        <v>0</v>
      </c>
      <c r="D447" s="40">
        <v>0</v>
      </c>
      <c r="E447" s="40">
        <v>0</v>
      </c>
      <c r="F447" s="39">
        <v>0</v>
      </c>
      <c r="G447" s="40">
        <v>0</v>
      </c>
      <c r="H447" s="40">
        <v>0</v>
      </c>
      <c r="I447" s="40">
        <v>0</v>
      </c>
      <c r="J447" s="40">
        <v>0</v>
      </c>
      <c r="K447" s="40">
        <v>0</v>
      </c>
      <c r="L447" s="40">
        <v>0</v>
      </c>
      <c r="M447" s="40">
        <v>0</v>
      </c>
      <c r="N447" s="40">
        <v>0</v>
      </c>
      <c r="O447" s="47">
        <v>0</v>
      </c>
      <c r="P447" s="48">
        <v>0</v>
      </c>
      <c r="Q447" s="40">
        <v>0</v>
      </c>
    </row>
    <row r="448" s="2" customFormat="1" spans="1:17">
      <c r="A448" s="17">
        <f t="shared" si="39"/>
        <v>44643</v>
      </c>
      <c r="B448" s="46">
        <v>0</v>
      </c>
      <c r="C448" s="40">
        <v>0</v>
      </c>
      <c r="D448" s="40">
        <v>0</v>
      </c>
      <c r="E448" s="40">
        <v>0</v>
      </c>
      <c r="F448" s="39">
        <v>0</v>
      </c>
      <c r="G448" s="40">
        <v>0</v>
      </c>
      <c r="H448" s="40">
        <v>0</v>
      </c>
      <c r="I448" s="40">
        <v>0</v>
      </c>
      <c r="J448" s="40">
        <v>0</v>
      </c>
      <c r="K448" s="40">
        <v>0</v>
      </c>
      <c r="L448" s="40">
        <v>0</v>
      </c>
      <c r="M448" s="40">
        <v>0</v>
      </c>
      <c r="N448" s="40">
        <v>0</v>
      </c>
      <c r="O448" s="47">
        <v>0</v>
      </c>
      <c r="P448" s="48">
        <v>0</v>
      </c>
      <c r="Q448" s="40">
        <v>0</v>
      </c>
    </row>
    <row r="449" s="2" customFormat="1" spans="1:17">
      <c r="A449" s="17">
        <f t="shared" si="39"/>
        <v>44644</v>
      </c>
      <c r="B449" s="46">
        <v>0</v>
      </c>
      <c r="C449" s="40">
        <v>0</v>
      </c>
      <c r="D449" s="40">
        <v>0</v>
      </c>
      <c r="E449" s="40">
        <v>0</v>
      </c>
      <c r="F449" s="39">
        <v>0</v>
      </c>
      <c r="G449" s="40">
        <v>0</v>
      </c>
      <c r="H449" s="40">
        <v>0</v>
      </c>
      <c r="I449" s="40">
        <v>0</v>
      </c>
      <c r="J449" s="40">
        <v>0</v>
      </c>
      <c r="K449" s="40">
        <v>0</v>
      </c>
      <c r="L449" s="40">
        <v>0</v>
      </c>
      <c r="M449" s="40">
        <v>0</v>
      </c>
      <c r="N449" s="40">
        <v>0</v>
      </c>
      <c r="O449" s="47">
        <v>0</v>
      </c>
      <c r="P449" s="48">
        <v>0</v>
      </c>
      <c r="Q449" s="40">
        <v>0</v>
      </c>
    </row>
    <row r="450" s="2" customFormat="1" spans="1:17">
      <c r="A450" s="17">
        <f t="shared" si="39"/>
        <v>44645</v>
      </c>
      <c r="B450" s="46">
        <v>0</v>
      </c>
      <c r="C450" s="40">
        <v>0</v>
      </c>
      <c r="D450" s="40">
        <v>0</v>
      </c>
      <c r="E450" s="40">
        <v>0</v>
      </c>
      <c r="F450" s="39">
        <v>0</v>
      </c>
      <c r="G450" s="40">
        <v>0</v>
      </c>
      <c r="H450" s="40">
        <v>0</v>
      </c>
      <c r="I450" s="40">
        <v>0</v>
      </c>
      <c r="J450" s="40">
        <v>0</v>
      </c>
      <c r="K450" s="40">
        <v>0</v>
      </c>
      <c r="L450" s="40">
        <v>0</v>
      </c>
      <c r="M450" s="40">
        <v>0</v>
      </c>
      <c r="N450" s="40">
        <v>0</v>
      </c>
      <c r="O450" s="47">
        <v>0</v>
      </c>
      <c r="P450" s="48">
        <v>0</v>
      </c>
      <c r="Q450" s="40">
        <v>0</v>
      </c>
    </row>
    <row r="451" s="2" customFormat="1" spans="1:17">
      <c r="A451" s="17">
        <f t="shared" si="39"/>
        <v>44646</v>
      </c>
      <c r="B451" s="46">
        <v>0</v>
      </c>
      <c r="C451" s="40">
        <v>0</v>
      </c>
      <c r="D451" s="40">
        <v>0</v>
      </c>
      <c r="E451" s="40">
        <v>0</v>
      </c>
      <c r="F451" s="39">
        <v>0</v>
      </c>
      <c r="G451" s="40">
        <v>0</v>
      </c>
      <c r="H451" s="40">
        <v>0</v>
      </c>
      <c r="I451" s="40">
        <v>0</v>
      </c>
      <c r="J451" s="40">
        <v>0</v>
      </c>
      <c r="K451" s="40">
        <v>0</v>
      </c>
      <c r="L451" s="40">
        <v>0</v>
      </c>
      <c r="M451" s="40">
        <v>0</v>
      </c>
      <c r="N451" s="40">
        <v>0</v>
      </c>
      <c r="O451" s="47">
        <v>0</v>
      </c>
      <c r="P451" s="48">
        <v>0</v>
      </c>
      <c r="Q451" s="40">
        <v>0</v>
      </c>
    </row>
    <row r="452" s="2" customFormat="1" spans="1:17">
      <c r="A452" s="17">
        <f t="shared" si="39"/>
        <v>44647</v>
      </c>
      <c r="B452" s="46">
        <v>0</v>
      </c>
      <c r="C452" s="40">
        <v>0</v>
      </c>
      <c r="D452" s="40">
        <v>0</v>
      </c>
      <c r="E452" s="40">
        <v>0</v>
      </c>
      <c r="F452" s="39">
        <v>0</v>
      </c>
      <c r="G452" s="40">
        <v>0</v>
      </c>
      <c r="H452" s="40">
        <v>0</v>
      </c>
      <c r="I452" s="40">
        <v>0</v>
      </c>
      <c r="J452" s="40">
        <v>0</v>
      </c>
      <c r="K452" s="40">
        <v>0</v>
      </c>
      <c r="L452" s="40">
        <v>0</v>
      </c>
      <c r="M452" s="40">
        <v>0</v>
      </c>
      <c r="N452" s="40">
        <v>0</v>
      </c>
      <c r="O452" s="47">
        <v>0</v>
      </c>
      <c r="P452" s="48">
        <v>0</v>
      </c>
      <c r="Q452" s="40">
        <v>0</v>
      </c>
    </row>
    <row r="453" s="2" customFormat="1" spans="1:17">
      <c r="A453" s="17">
        <f t="shared" si="39"/>
        <v>44648</v>
      </c>
      <c r="B453" s="46">
        <v>0</v>
      </c>
      <c r="C453" s="40">
        <v>0</v>
      </c>
      <c r="D453" s="40">
        <v>0</v>
      </c>
      <c r="E453" s="40">
        <v>0</v>
      </c>
      <c r="F453" s="39">
        <v>0</v>
      </c>
      <c r="G453" s="40">
        <v>0</v>
      </c>
      <c r="H453" s="40">
        <v>0</v>
      </c>
      <c r="I453" s="40">
        <v>0</v>
      </c>
      <c r="J453" s="40">
        <v>0</v>
      </c>
      <c r="K453" s="40">
        <v>0</v>
      </c>
      <c r="L453" s="40">
        <v>0</v>
      </c>
      <c r="M453" s="40">
        <v>0</v>
      </c>
      <c r="N453" s="40">
        <v>0</v>
      </c>
      <c r="O453" s="47">
        <v>0</v>
      </c>
      <c r="P453" s="48">
        <v>0</v>
      </c>
      <c r="Q453" s="40">
        <v>0</v>
      </c>
    </row>
    <row r="454" s="2" customFormat="1" spans="1:17">
      <c r="A454" s="17">
        <f t="shared" si="39"/>
        <v>44649</v>
      </c>
      <c r="B454" s="46">
        <v>0</v>
      </c>
      <c r="C454" s="40">
        <v>0</v>
      </c>
      <c r="D454" s="40">
        <v>0</v>
      </c>
      <c r="E454" s="40">
        <v>0</v>
      </c>
      <c r="F454" s="39">
        <v>0</v>
      </c>
      <c r="G454" s="40">
        <v>0</v>
      </c>
      <c r="H454" s="40">
        <v>0</v>
      </c>
      <c r="I454" s="40">
        <v>0</v>
      </c>
      <c r="J454" s="40">
        <v>0</v>
      </c>
      <c r="K454" s="40">
        <v>0</v>
      </c>
      <c r="L454" s="40">
        <v>0</v>
      </c>
      <c r="M454" s="40">
        <v>0</v>
      </c>
      <c r="N454" s="40">
        <v>0</v>
      </c>
      <c r="O454" s="47">
        <v>0</v>
      </c>
      <c r="P454" s="48">
        <v>0</v>
      </c>
      <c r="Q454" s="40">
        <v>0</v>
      </c>
    </row>
    <row r="455" s="2" customFormat="1" spans="1:17">
      <c r="A455" s="17">
        <f t="shared" si="39"/>
        <v>44650</v>
      </c>
      <c r="B455" s="46">
        <v>0</v>
      </c>
      <c r="C455" s="40">
        <v>0</v>
      </c>
      <c r="D455" s="40">
        <v>0</v>
      </c>
      <c r="E455" s="40">
        <v>0</v>
      </c>
      <c r="F455" s="39">
        <v>0</v>
      </c>
      <c r="G455" s="40">
        <v>0</v>
      </c>
      <c r="H455" s="40">
        <v>0</v>
      </c>
      <c r="I455" s="40">
        <v>0</v>
      </c>
      <c r="J455" s="40">
        <v>0</v>
      </c>
      <c r="K455" s="40">
        <v>0</v>
      </c>
      <c r="L455" s="40">
        <v>0</v>
      </c>
      <c r="M455" s="40">
        <v>0</v>
      </c>
      <c r="N455" s="40">
        <v>0</v>
      </c>
      <c r="O455" s="47">
        <v>0</v>
      </c>
      <c r="P455" s="48">
        <v>0</v>
      </c>
      <c r="Q455" s="40">
        <v>0</v>
      </c>
    </row>
    <row r="456" s="2" customFormat="1" spans="1:17">
      <c r="A456" s="17">
        <f t="shared" si="39"/>
        <v>44651</v>
      </c>
      <c r="B456" s="46">
        <v>0</v>
      </c>
      <c r="C456" s="40">
        <v>0</v>
      </c>
      <c r="D456" s="40">
        <v>0</v>
      </c>
      <c r="E456" s="40">
        <v>0</v>
      </c>
      <c r="F456" s="39">
        <v>0</v>
      </c>
      <c r="G456" s="40">
        <v>0</v>
      </c>
      <c r="H456" s="40">
        <v>0</v>
      </c>
      <c r="I456" s="40">
        <v>0</v>
      </c>
      <c r="J456" s="40">
        <v>0</v>
      </c>
      <c r="K456" s="40">
        <v>0</v>
      </c>
      <c r="L456" s="40">
        <v>0</v>
      </c>
      <c r="M456" s="40">
        <v>0</v>
      </c>
      <c r="N456" s="40">
        <v>0</v>
      </c>
      <c r="O456" s="47">
        <v>0</v>
      </c>
      <c r="P456" s="48">
        <v>0</v>
      </c>
      <c r="Q456" s="40">
        <v>0</v>
      </c>
    </row>
    <row r="457" s="2" customFormat="1" spans="1:17">
      <c r="A457" s="17">
        <f t="shared" si="39"/>
        <v>44652</v>
      </c>
      <c r="B457" s="46">
        <v>0</v>
      </c>
      <c r="C457" s="40">
        <v>0</v>
      </c>
      <c r="D457" s="40">
        <v>0</v>
      </c>
      <c r="E457" s="40">
        <v>0</v>
      </c>
      <c r="F457" s="39">
        <v>0</v>
      </c>
      <c r="G457" s="40">
        <v>0</v>
      </c>
      <c r="H457" s="40">
        <v>0</v>
      </c>
      <c r="I457" s="40">
        <v>0</v>
      </c>
      <c r="J457" s="40">
        <v>0</v>
      </c>
      <c r="K457" s="40">
        <v>0</v>
      </c>
      <c r="L457" s="40">
        <v>0</v>
      </c>
      <c r="M457" s="40">
        <v>0</v>
      </c>
      <c r="N457" s="40">
        <v>0</v>
      </c>
      <c r="O457" s="47">
        <v>0</v>
      </c>
      <c r="P457" s="48">
        <v>0</v>
      </c>
      <c r="Q457" s="40">
        <v>0</v>
      </c>
    </row>
    <row r="458" s="2" customFormat="1" spans="1:17">
      <c r="A458" s="17">
        <f t="shared" si="39"/>
        <v>44653</v>
      </c>
      <c r="B458" s="46">
        <v>0</v>
      </c>
      <c r="C458" s="40">
        <v>0</v>
      </c>
      <c r="D458" s="40">
        <v>0</v>
      </c>
      <c r="E458" s="40">
        <v>0</v>
      </c>
      <c r="F458" s="39">
        <v>0</v>
      </c>
      <c r="G458" s="40">
        <v>0</v>
      </c>
      <c r="H458" s="40">
        <v>0</v>
      </c>
      <c r="I458" s="40">
        <v>0</v>
      </c>
      <c r="J458" s="40">
        <v>0</v>
      </c>
      <c r="K458" s="40">
        <v>0</v>
      </c>
      <c r="L458" s="40">
        <v>0</v>
      </c>
      <c r="M458" s="40">
        <v>0</v>
      </c>
      <c r="N458" s="40">
        <v>0</v>
      </c>
      <c r="O458" s="47">
        <v>0</v>
      </c>
      <c r="P458" s="48">
        <v>0</v>
      </c>
      <c r="Q458" s="40">
        <v>0</v>
      </c>
    </row>
    <row r="459" s="2" customFormat="1" spans="1:17">
      <c r="A459" s="17">
        <f t="shared" si="39"/>
        <v>44654</v>
      </c>
      <c r="B459" s="46">
        <v>0</v>
      </c>
      <c r="C459" s="40">
        <v>0</v>
      </c>
      <c r="D459" s="40">
        <v>0</v>
      </c>
      <c r="E459" s="40">
        <v>0</v>
      </c>
      <c r="F459" s="39">
        <v>0</v>
      </c>
      <c r="G459" s="40">
        <v>0</v>
      </c>
      <c r="H459" s="40">
        <v>0</v>
      </c>
      <c r="I459" s="40">
        <v>0</v>
      </c>
      <c r="J459" s="40">
        <v>0</v>
      </c>
      <c r="K459" s="40">
        <v>0</v>
      </c>
      <c r="L459" s="40">
        <v>0</v>
      </c>
      <c r="M459" s="40">
        <v>0</v>
      </c>
      <c r="N459" s="40">
        <v>0</v>
      </c>
      <c r="O459" s="47">
        <v>0</v>
      </c>
      <c r="P459" s="48">
        <v>0</v>
      </c>
      <c r="Q459" s="40">
        <v>0</v>
      </c>
    </row>
    <row r="460" s="2" customFormat="1" spans="1:17">
      <c r="A460" s="17">
        <f t="shared" si="39"/>
        <v>44655</v>
      </c>
      <c r="B460" s="46">
        <v>0</v>
      </c>
      <c r="C460" s="40">
        <v>0</v>
      </c>
      <c r="D460" s="40">
        <v>0</v>
      </c>
      <c r="E460" s="40">
        <v>0</v>
      </c>
      <c r="F460" s="39">
        <v>0</v>
      </c>
      <c r="G460" s="40">
        <v>0</v>
      </c>
      <c r="H460" s="40">
        <v>0</v>
      </c>
      <c r="I460" s="40">
        <v>0</v>
      </c>
      <c r="J460" s="40">
        <v>0</v>
      </c>
      <c r="K460" s="40">
        <v>0</v>
      </c>
      <c r="L460" s="40">
        <v>0</v>
      </c>
      <c r="M460" s="40">
        <v>0</v>
      </c>
      <c r="N460" s="40">
        <v>0</v>
      </c>
      <c r="O460" s="47">
        <v>0</v>
      </c>
      <c r="P460" s="48">
        <v>0</v>
      </c>
      <c r="Q460" s="40">
        <v>0</v>
      </c>
    </row>
    <row r="461" s="2" customFormat="1" spans="1:17">
      <c r="A461" s="17">
        <f t="shared" si="39"/>
        <v>44656</v>
      </c>
      <c r="B461" s="46">
        <v>0</v>
      </c>
      <c r="C461" s="40">
        <v>0</v>
      </c>
      <c r="D461" s="40">
        <v>0</v>
      </c>
      <c r="E461" s="40">
        <v>0</v>
      </c>
      <c r="F461" s="39">
        <v>0</v>
      </c>
      <c r="G461" s="40">
        <v>0</v>
      </c>
      <c r="H461" s="40">
        <v>0</v>
      </c>
      <c r="I461" s="40">
        <v>0</v>
      </c>
      <c r="J461" s="40">
        <v>0</v>
      </c>
      <c r="K461" s="40">
        <v>0</v>
      </c>
      <c r="L461" s="40">
        <v>0</v>
      </c>
      <c r="M461" s="40">
        <v>0</v>
      </c>
      <c r="N461" s="40">
        <v>0</v>
      </c>
      <c r="O461" s="47">
        <v>0</v>
      </c>
      <c r="P461" s="48">
        <v>0</v>
      </c>
      <c r="Q461" s="40">
        <v>0</v>
      </c>
    </row>
    <row r="462" s="2" customFormat="1" spans="1:17">
      <c r="A462" s="17">
        <f t="shared" si="39"/>
        <v>44657</v>
      </c>
      <c r="B462" s="46">
        <v>0</v>
      </c>
      <c r="C462" s="40">
        <v>0</v>
      </c>
      <c r="D462" s="40">
        <v>0</v>
      </c>
      <c r="E462" s="40">
        <v>0</v>
      </c>
      <c r="F462" s="39">
        <v>0</v>
      </c>
      <c r="G462" s="40">
        <v>0</v>
      </c>
      <c r="H462" s="40">
        <v>0</v>
      </c>
      <c r="I462" s="40">
        <v>0</v>
      </c>
      <c r="J462" s="40">
        <v>0</v>
      </c>
      <c r="K462" s="40">
        <v>0</v>
      </c>
      <c r="L462" s="40">
        <v>0</v>
      </c>
      <c r="M462" s="40">
        <v>0</v>
      </c>
      <c r="N462" s="40">
        <v>0</v>
      </c>
      <c r="O462" s="47">
        <v>0</v>
      </c>
      <c r="P462" s="48">
        <v>0</v>
      </c>
      <c r="Q462" s="40">
        <v>0</v>
      </c>
    </row>
    <row r="463" s="2" customFormat="1" spans="1:17">
      <c r="A463" s="17">
        <f t="shared" si="39"/>
        <v>44658</v>
      </c>
      <c r="B463" s="46">
        <v>0</v>
      </c>
      <c r="C463" s="40">
        <v>0</v>
      </c>
      <c r="D463" s="40">
        <v>0</v>
      </c>
      <c r="E463" s="40">
        <v>0</v>
      </c>
      <c r="F463" s="39">
        <v>0</v>
      </c>
      <c r="G463" s="40">
        <v>0</v>
      </c>
      <c r="H463" s="40">
        <v>0</v>
      </c>
      <c r="I463" s="40">
        <v>0</v>
      </c>
      <c r="J463" s="40">
        <v>0</v>
      </c>
      <c r="K463" s="40">
        <v>0</v>
      </c>
      <c r="L463" s="40">
        <v>0</v>
      </c>
      <c r="M463" s="40">
        <v>0</v>
      </c>
      <c r="N463" s="40">
        <v>0</v>
      </c>
      <c r="O463" s="47">
        <v>0</v>
      </c>
      <c r="P463" s="48">
        <v>0</v>
      </c>
      <c r="Q463" s="40">
        <v>0</v>
      </c>
    </row>
    <row r="464" s="2" customFormat="1" spans="1:17">
      <c r="A464" s="17">
        <f t="shared" si="39"/>
        <v>44659</v>
      </c>
      <c r="B464" s="46">
        <v>0</v>
      </c>
      <c r="C464" s="40">
        <v>0</v>
      </c>
      <c r="D464" s="40">
        <v>0</v>
      </c>
      <c r="E464" s="40">
        <v>0</v>
      </c>
      <c r="F464" s="39">
        <v>0</v>
      </c>
      <c r="G464" s="40">
        <v>0</v>
      </c>
      <c r="H464" s="40">
        <v>0</v>
      </c>
      <c r="I464" s="40">
        <v>0</v>
      </c>
      <c r="J464" s="40">
        <v>0</v>
      </c>
      <c r="K464" s="40">
        <v>0</v>
      </c>
      <c r="L464" s="40">
        <v>0</v>
      </c>
      <c r="M464" s="40">
        <v>0</v>
      </c>
      <c r="N464" s="40">
        <v>0</v>
      </c>
      <c r="O464" s="47">
        <v>0</v>
      </c>
      <c r="P464" s="48">
        <v>0</v>
      </c>
      <c r="Q464" s="40">
        <v>0</v>
      </c>
    </row>
    <row r="465" s="2" customFormat="1" spans="1:17">
      <c r="A465" s="17">
        <f t="shared" si="39"/>
        <v>44660</v>
      </c>
      <c r="B465" s="46">
        <v>0</v>
      </c>
      <c r="C465" s="40">
        <v>0</v>
      </c>
      <c r="D465" s="40">
        <v>0</v>
      </c>
      <c r="E465" s="40">
        <v>0</v>
      </c>
      <c r="F465" s="39">
        <v>0</v>
      </c>
      <c r="G465" s="40">
        <v>0</v>
      </c>
      <c r="H465" s="40">
        <v>0</v>
      </c>
      <c r="I465" s="40">
        <v>0</v>
      </c>
      <c r="J465" s="40">
        <v>0</v>
      </c>
      <c r="K465" s="40">
        <v>0</v>
      </c>
      <c r="L465" s="40">
        <v>0</v>
      </c>
      <c r="M465" s="40">
        <v>0</v>
      </c>
      <c r="N465" s="40">
        <v>0</v>
      </c>
      <c r="O465" s="47">
        <v>0</v>
      </c>
      <c r="P465" s="48">
        <v>0</v>
      </c>
      <c r="Q465" s="40">
        <v>0</v>
      </c>
    </row>
    <row r="466" s="2" customFormat="1" spans="1:17">
      <c r="A466" s="17">
        <f t="shared" si="39"/>
        <v>44661</v>
      </c>
      <c r="B466" s="46">
        <v>0</v>
      </c>
      <c r="C466" s="40">
        <v>0</v>
      </c>
      <c r="D466" s="40">
        <v>0</v>
      </c>
      <c r="E466" s="40">
        <v>0</v>
      </c>
      <c r="F466" s="39">
        <v>0</v>
      </c>
      <c r="G466" s="40">
        <v>0</v>
      </c>
      <c r="H466" s="40">
        <v>0</v>
      </c>
      <c r="I466" s="40">
        <v>0</v>
      </c>
      <c r="J466" s="40">
        <v>0</v>
      </c>
      <c r="K466" s="40">
        <v>0</v>
      </c>
      <c r="L466" s="40">
        <v>0</v>
      </c>
      <c r="M466" s="40">
        <v>0</v>
      </c>
      <c r="N466" s="40">
        <v>0</v>
      </c>
      <c r="O466" s="47">
        <v>0</v>
      </c>
      <c r="P466" s="48">
        <v>0</v>
      </c>
      <c r="Q466" s="40">
        <v>0</v>
      </c>
    </row>
    <row r="467" s="2" customFormat="1" spans="1:17">
      <c r="A467" s="17">
        <f t="shared" si="39"/>
        <v>44662</v>
      </c>
      <c r="B467" s="46">
        <v>0</v>
      </c>
      <c r="C467" s="40">
        <v>0</v>
      </c>
      <c r="D467" s="40">
        <v>0</v>
      </c>
      <c r="E467" s="40">
        <v>0</v>
      </c>
      <c r="F467" s="39">
        <v>0</v>
      </c>
      <c r="G467" s="40">
        <v>0</v>
      </c>
      <c r="H467" s="40">
        <v>0</v>
      </c>
      <c r="I467" s="40">
        <v>0</v>
      </c>
      <c r="J467" s="40">
        <v>0</v>
      </c>
      <c r="K467" s="40">
        <v>0</v>
      </c>
      <c r="L467" s="40">
        <v>0</v>
      </c>
      <c r="M467" s="40">
        <v>0</v>
      </c>
      <c r="N467" s="40">
        <v>0</v>
      </c>
      <c r="O467" s="47">
        <v>0</v>
      </c>
      <c r="P467" s="48">
        <v>0</v>
      </c>
      <c r="Q467" s="40">
        <v>0</v>
      </c>
    </row>
    <row r="468" s="2" customFormat="1" spans="1:17">
      <c r="A468" s="17">
        <f t="shared" si="39"/>
        <v>44663</v>
      </c>
      <c r="B468" s="46">
        <v>0</v>
      </c>
      <c r="C468" s="40">
        <v>0</v>
      </c>
      <c r="D468" s="40">
        <v>0</v>
      </c>
      <c r="E468" s="40">
        <v>0</v>
      </c>
      <c r="F468" s="39">
        <v>0</v>
      </c>
      <c r="G468" s="40">
        <v>0</v>
      </c>
      <c r="H468" s="40">
        <v>0</v>
      </c>
      <c r="I468" s="40">
        <v>0</v>
      </c>
      <c r="J468" s="40">
        <v>0</v>
      </c>
      <c r="K468" s="40">
        <v>0</v>
      </c>
      <c r="L468" s="40">
        <v>0</v>
      </c>
      <c r="M468" s="40">
        <v>0</v>
      </c>
      <c r="N468" s="40">
        <v>0</v>
      </c>
      <c r="O468" s="47">
        <v>0</v>
      </c>
      <c r="P468" s="48">
        <v>0</v>
      </c>
      <c r="Q468" s="40">
        <v>0</v>
      </c>
    </row>
    <row r="469" s="2" customFormat="1" spans="1:17">
      <c r="A469" s="17">
        <f t="shared" si="39"/>
        <v>44664</v>
      </c>
      <c r="B469" s="46">
        <v>0</v>
      </c>
      <c r="C469" s="40">
        <v>0</v>
      </c>
      <c r="D469" s="40">
        <v>0</v>
      </c>
      <c r="E469" s="40">
        <v>0</v>
      </c>
      <c r="F469" s="39">
        <v>0</v>
      </c>
      <c r="G469" s="40">
        <v>0</v>
      </c>
      <c r="H469" s="40">
        <v>0</v>
      </c>
      <c r="I469" s="40">
        <v>0</v>
      </c>
      <c r="J469" s="40">
        <v>0</v>
      </c>
      <c r="K469" s="40">
        <v>0</v>
      </c>
      <c r="L469" s="40">
        <v>0</v>
      </c>
      <c r="M469" s="40">
        <v>0</v>
      </c>
      <c r="N469" s="40">
        <v>0</v>
      </c>
      <c r="O469" s="47">
        <v>0</v>
      </c>
      <c r="P469" s="48">
        <v>0</v>
      </c>
      <c r="Q469" s="40">
        <v>0</v>
      </c>
    </row>
    <row r="470" s="2" customFormat="1" spans="1:17">
      <c r="A470" s="17">
        <f t="shared" si="39"/>
        <v>44665</v>
      </c>
      <c r="B470" s="46">
        <v>0</v>
      </c>
      <c r="C470" s="40">
        <v>0</v>
      </c>
      <c r="D470" s="40">
        <v>0</v>
      </c>
      <c r="E470" s="40">
        <v>0</v>
      </c>
      <c r="F470" s="39">
        <v>0</v>
      </c>
      <c r="G470" s="40">
        <v>0</v>
      </c>
      <c r="H470" s="40">
        <v>0</v>
      </c>
      <c r="I470" s="40">
        <v>0</v>
      </c>
      <c r="J470" s="40">
        <v>0</v>
      </c>
      <c r="K470" s="40">
        <v>0</v>
      </c>
      <c r="L470" s="40">
        <v>0</v>
      </c>
      <c r="M470" s="40">
        <v>0</v>
      </c>
      <c r="N470" s="40">
        <v>0</v>
      </c>
      <c r="O470" s="47">
        <v>0</v>
      </c>
      <c r="P470" s="48">
        <v>0</v>
      </c>
      <c r="Q470" s="40">
        <v>0</v>
      </c>
    </row>
    <row r="471" s="2" customFormat="1" spans="1:17">
      <c r="A471" s="17">
        <f t="shared" si="39"/>
        <v>44666</v>
      </c>
      <c r="B471" s="46">
        <v>0</v>
      </c>
      <c r="C471" s="40">
        <v>0</v>
      </c>
      <c r="D471" s="40">
        <v>0</v>
      </c>
      <c r="E471" s="40">
        <v>0</v>
      </c>
      <c r="F471" s="39">
        <v>0</v>
      </c>
      <c r="G471" s="40">
        <v>0</v>
      </c>
      <c r="H471" s="40">
        <v>0</v>
      </c>
      <c r="I471" s="40">
        <v>0</v>
      </c>
      <c r="J471" s="40">
        <v>0</v>
      </c>
      <c r="K471" s="40">
        <v>0</v>
      </c>
      <c r="L471" s="40">
        <v>0</v>
      </c>
      <c r="M471" s="40">
        <v>0</v>
      </c>
      <c r="N471" s="40">
        <v>0</v>
      </c>
      <c r="O471" s="47">
        <v>0</v>
      </c>
      <c r="P471" s="48">
        <v>0</v>
      </c>
      <c r="Q471" s="40">
        <v>0</v>
      </c>
    </row>
    <row r="472" s="2" customFormat="1" spans="1:17">
      <c r="A472" s="17">
        <f t="shared" si="39"/>
        <v>44667</v>
      </c>
      <c r="B472" s="46">
        <v>0</v>
      </c>
      <c r="C472" s="40">
        <v>0</v>
      </c>
      <c r="D472" s="40">
        <v>0</v>
      </c>
      <c r="E472" s="40">
        <v>0</v>
      </c>
      <c r="F472" s="39">
        <v>0</v>
      </c>
      <c r="G472" s="40">
        <v>0</v>
      </c>
      <c r="H472" s="40">
        <v>0</v>
      </c>
      <c r="I472" s="40">
        <v>0</v>
      </c>
      <c r="J472" s="40">
        <v>0</v>
      </c>
      <c r="K472" s="40">
        <v>0</v>
      </c>
      <c r="L472" s="40">
        <v>0</v>
      </c>
      <c r="M472" s="40">
        <v>0</v>
      </c>
      <c r="N472" s="40">
        <v>0</v>
      </c>
      <c r="O472" s="47">
        <v>0</v>
      </c>
      <c r="P472" s="48">
        <v>0</v>
      </c>
      <c r="Q472" s="40">
        <v>0</v>
      </c>
    </row>
    <row r="473" s="2" customFormat="1" spans="1:17">
      <c r="A473" s="17">
        <f t="shared" si="39"/>
        <v>44668</v>
      </c>
      <c r="B473" s="46">
        <v>0</v>
      </c>
      <c r="C473" s="40">
        <v>0</v>
      </c>
      <c r="D473" s="40">
        <v>0</v>
      </c>
      <c r="E473" s="40">
        <v>0</v>
      </c>
      <c r="F473" s="39">
        <v>0</v>
      </c>
      <c r="G473" s="40">
        <v>0</v>
      </c>
      <c r="H473" s="40">
        <v>0</v>
      </c>
      <c r="I473" s="40">
        <v>0</v>
      </c>
      <c r="J473" s="40">
        <v>0</v>
      </c>
      <c r="K473" s="40">
        <v>0</v>
      </c>
      <c r="L473" s="40">
        <v>0</v>
      </c>
      <c r="M473" s="40">
        <v>0</v>
      </c>
      <c r="N473" s="40">
        <v>0</v>
      </c>
      <c r="O473" s="47">
        <v>0</v>
      </c>
      <c r="P473" s="48">
        <v>0</v>
      </c>
      <c r="Q473" s="40">
        <v>0</v>
      </c>
    </row>
    <row r="474" s="2" customFormat="1" spans="1:17">
      <c r="A474" s="17">
        <f t="shared" si="39"/>
        <v>44669</v>
      </c>
      <c r="B474" s="46">
        <v>0</v>
      </c>
      <c r="C474" s="40">
        <v>0</v>
      </c>
      <c r="D474" s="40">
        <v>0</v>
      </c>
      <c r="E474" s="40">
        <v>0</v>
      </c>
      <c r="F474" s="39">
        <v>0</v>
      </c>
      <c r="G474" s="40">
        <v>0</v>
      </c>
      <c r="H474" s="40">
        <v>0</v>
      </c>
      <c r="I474" s="40">
        <v>0</v>
      </c>
      <c r="J474" s="40">
        <v>0</v>
      </c>
      <c r="K474" s="40">
        <v>0</v>
      </c>
      <c r="L474" s="40">
        <v>0</v>
      </c>
      <c r="M474" s="40">
        <v>0</v>
      </c>
      <c r="N474" s="40">
        <v>0</v>
      </c>
      <c r="O474" s="47">
        <v>0</v>
      </c>
      <c r="P474" s="48">
        <v>0</v>
      </c>
      <c r="Q474" s="40">
        <v>0</v>
      </c>
    </row>
    <row r="475" s="2" customFormat="1" spans="1:17">
      <c r="A475" s="17">
        <f t="shared" si="39"/>
        <v>44670</v>
      </c>
      <c r="B475" s="46">
        <v>0</v>
      </c>
      <c r="C475" s="40">
        <v>0</v>
      </c>
      <c r="D475" s="40">
        <v>0</v>
      </c>
      <c r="E475" s="40">
        <v>0</v>
      </c>
      <c r="F475" s="39">
        <v>0</v>
      </c>
      <c r="G475" s="40">
        <v>0</v>
      </c>
      <c r="H475" s="40">
        <v>0</v>
      </c>
      <c r="I475" s="40">
        <v>0</v>
      </c>
      <c r="J475" s="40">
        <v>0</v>
      </c>
      <c r="K475" s="40">
        <v>0</v>
      </c>
      <c r="L475" s="40">
        <v>0</v>
      </c>
      <c r="M475" s="40">
        <v>0</v>
      </c>
      <c r="N475" s="40">
        <v>0</v>
      </c>
      <c r="O475" s="47">
        <v>0</v>
      </c>
      <c r="P475" s="48">
        <v>0</v>
      </c>
      <c r="Q475" s="40">
        <v>0</v>
      </c>
    </row>
    <row r="476" s="2" customFormat="1" spans="1:17">
      <c r="A476" s="17">
        <f t="shared" si="39"/>
        <v>44671</v>
      </c>
      <c r="B476" s="46">
        <v>0</v>
      </c>
      <c r="C476" s="40">
        <v>0</v>
      </c>
      <c r="D476" s="40">
        <v>0</v>
      </c>
      <c r="E476" s="40">
        <v>0</v>
      </c>
      <c r="F476" s="39">
        <v>0</v>
      </c>
      <c r="G476" s="40">
        <v>0</v>
      </c>
      <c r="H476" s="40">
        <v>0</v>
      </c>
      <c r="I476" s="40">
        <v>0</v>
      </c>
      <c r="J476" s="40">
        <v>0</v>
      </c>
      <c r="K476" s="40">
        <v>0</v>
      </c>
      <c r="L476" s="40">
        <v>0</v>
      </c>
      <c r="M476" s="40">
        <v>0</v>
      </c>
      <c r="N476" s="40">
        <v>0</v>
      </c>
      <c r="O476" s="47">
        <v>0</v>
      </c>
      <c r="P476" s="48">
        <v>0</v>
      </c>
      <c r="Q476" s="40">
        <v>0</v>
      </c>
    </row>
    <row r="477" s="2" customFormat="1" spans="1:17">
      <c r="A477" s="17">
        <f t="shared" si="39"/>
        <v>44672</v>
      </c>
      <c r="B477" s="46">
        <v>0</v>
      </c>
      <c r="C477" s="40">
        <v>0</v>
      </c>
      <c r="D477" s="40">
        <v>0</v>
      </c>
      <c r="E477" s="40">
        <v>0</v>
      </c>
      <c r="F477" s="39">
        <v>0</v>
      </c>
      <c r="G477" s="40">
        <v>0</v>
      </c>
      <c r="H477" s="40">
        <v>0</v>
      </c>
      <c r="I477" s="40">
        <v>0</v>
      </c>
      <c r="J477" s="40">
        <v>0</v>
      </c>
      <c r="K477" s="40">
        <v>0</v>
      </c>
      <c r="L477" s="40">
        <v>0</v>
      </c>
      <c r="M477" s="40">
        <v>0</v>
      </c>
      <c r="N477" s="40">
        <v>0</v>
      </c>
      <c r="O477" s="47">
        <v>0</v>
      </c>
      <c r="P477" s="48">
        <v>0</v>
      </c>
      <c r="Q477" s="40">
        <v>0</v>
      </c>
    </row>
    <row r="478" s="2" customFormat="1" spans="1:17">
      <c r="A478" s="17">
        <f t="shared" si="39"/>
        <v>44673</v>
      </c>
      <c r="B478" s="46">
        <v>0</v>
      </c>
      <c r="C478" s="40">
        <v>0</v>
      </c>
      <c r="D478" s="40">
        <v>0</v>
      </c>
      <c r="E478" s="40">
        <v>0</v>
      </c>
      <c r="F478" s="39">
        <v>0</v>
      </c>
      <c r="G478" s="40">
        <v>0</v>
      </c>
      <c r="H478" s="40">
        <v>0</v>
      </c>
      <c r="I478" s="40">
        <v>0</v>
      </c>
      <c r="J478" s="40">
        <v>0</v>
      </c>
      <c r="K478" s="40">
        <v>0</v>
      </c>
      <c r="L478" s="40">
        <v>0</v>
      </c>
      <c r="M478" s="40">
        <v>0</v>
      </c>
      <c r="N478" s="40">
        <v>0</v>
      </c>
      <c r="O478" s="47">
        <v>0</v>
      </c>
      <c r="P478" s="48">
        <v>0</v>
      </c>
      <c r="Q478" s="40">
        <v>0</v>
      </c>
    </row>
    <row r="479" s="2" customFormat="1" spans="1:17">
      <c r="A479" s="17">
        <f t="shared" si="39"/>
        <v>44674</v>
      </c>
      <c r="B479" s="46">
        <v>0</v>
      </c>
      <c r="C479" s="40">
        <v>0</v>
      </c>
      <c r="D479" s="40">
        <v>0</v>
      </c>
      <c r="E479" s="40">
        <v>0</v>
      </c>
      <c r="F479" s="39">
        <v>0</v>
      </c>
      <c r="G479" s="40">
        <v>0</v>
      </c>
      <c r="H479" s="40">
        <v>0</v>
      </c>
      <c r="I479" s="40">
        <v>0</v>
      </c>
      <c r="J479" s="40">
        <v>0</v>
      </c>
      <c r="K479" s="40">
        <v>0</v>
      </c>
      <c r="L479" s="40">
        <v>0</v>
      </c>
      <c r="M479" s="40">
        <v>0</v>
      </c>
      <c r="N479" s="40">
        <v>0</v>
      </c>
      <c r="O479" s="47">
        <v>0</v>
      </c>
      <c r="P479" s="48">
        <v>0</v>
      </c>
      <c r="Q479" s="40">
        <v>0</v>
      </c>
    </row>
    <row r="480" s="2" customFormat="1" spans="1:17">
      <c r="A480" s="17">
        <f t="shared" si="39"/>
        <v>44675</v>
      </c>
      <c r="B480" s="46">
        <v>0</v>
      </c>
      <c r="C480" s="40">
        <v>0</v>
      </c>
      <c r="D480" s="40">
        <v>0</v>
      </c>
      <c r="E480" s="40">
        <v>0</v>
      </c>
      <c r="F480" s="39">
        <v>0</v>
      </c>
      <c r="G480" s="40">
        <v>0</v>
      </c>
      <c r="H480" s="40">
        <v>0</v>
      </c>
      <c r="I480" s="40">
        <v>0</v>
      </c>
      <c r="J480" s="40">
        <v>0</v>
      </c>
      <c r="K480" s="40">
        <v>0</v>
      </c>
      <c r="L480" s="40">
        <v>0</v>
      </c>
      <c r="M480" s="40">
        <v>0</v>
      </c>
      <c r="N480" s="40">
        <v>0</v>
      </c>
      <c r="O480" s="47">
        <v>0</v>
      </c>
      <c r="P480" s="48">
        <v>0</v>
      </c>
      <c r="Q480" s="40">
        <v>0</v>
      </c>
    </row>
    <row r="481" s="2" customFormat="1" spans="1:17">
      <c r="A481" s="17">
        <f t="shared" ref="A481:A513" si="43">A480+1</f>
        <v>44676</v>
      </c>
      <c r="B481" s="46">
        <v>0</v>
      </c>
      <c r="C481" s="40">
        <v>0</v>
      </c>
      <c r="D481" s="40">
        <v>0</v>
      </c>
      <c r="E481" s="40">
        <v>0</v>
      </c>
      <c r="F481" s="39">
        <v>0</v>
      </c>
      <c r="G481" s="40">
        <v>0</v>
      </c>
      <c r="H481" s="40">
        <v>0</v>
      </c>
      <c r="I481" s="40">
        <v>0</v>
      </c>
      <c r="J481" s="40">
        <v>0</v>
      </c>
      <c r="K481" s="40">
        <v>0</v>
      </c>
      <c r="L481" s="40">
        <v>0</v>
      </c>
      <c r="M481" s="40">
        <v>0</v>
      </c>
      <c r="N481" s="40">
        <v>0</v>
      </c>
      <c r="O481" s="47">
        <v>0</v>
      </c>
      <c r="P481" s="48">
        <v>0</v>
      </c>
      <c r="Q481" s="40">
        <v>0</v>
      </c>
    </row>
    <row r="482" s="2" customFormat="1" spans="1:17">
      <c r="A482" s="17">
        <f t="shared" si="43"/>
        <v>44677</v>
      </c>
      <c r="B482" s="46">
        <v>0</v>
      </c>
      <c r="C482" s="40">
        <v>0</v>
      </c>
      <c r="D482" s="40">
        <v>0</v>
      </c>
      <c r="E482" s="40">
        <v>0</v>
      </c>
      <c r="F482" s="39">
        <v>0</v>
      </c>
      <c r="G482" s="40">
        <v>0</v>
      </c>
      <c r="H482" s="40">
        <v>0</v>
      </c>
      <c r="I482" s="40">
        <v>0</v>
      </c>
      <c r="J482" s="40">
        <v>0</v>
      </c>
      <c r="K482" s="40">
        <v>0</v>
      </c>
      <c r="L482" s="40">
        <v>0</v>
      </c>
      <c r="M482" s="40">
        <v>0</v>
      </c>
      <c r="N482" s="40">
        <v>0</v>
      </c>
      <c r="O482" s="47">
        <v>0</v>
      </c>
      <c r="P482" s="48">
        <v>0</v>
      </c>
      <c r="Q482" s="40">
        <v>0</v>
      </c>
    </row>
    <row r="483" s="2" customFormat="1" spans="1:17">
      <c r="A483" s="17">
        <f t="shared" si="43"/>
        <v>44678</v>
      </c>
      <c r="B483" s="46">
        <v>0</v>
      </c>
      <c r="C483" s="40">
        <v>0</v>
      </c>
      <c r="D483" s="40">
        <v>0</v>
      </c>
      <c r="E483" s="40">
        <v>0</v>
      </c>
      <c r="F483" s="39">
        <v>0</v>
      </c>
      <c r="G483" s="40">
        <v>0</v>
      </c>
      <c r="H483" s="40">
        <v>0</v>
      </c>
      <c r="I483" s="40">
        <v>0</v>
      </c>
      <c r="J483" s="40">
        <v>0</v>
      </c>
      <c r="K483" s="40">
        <v>0</v>
      </c>
      <c r="L483" s="40">
        <v>0</v>
      </c>
      <c r="M483" s="40">
        <v>0</v>
      </c>
      <c r="N483" s="40">
        <v>0</v>
      </c>
      <c r="O483" s="47">
        <v>0</v>
      </c>
      <c r="P483" s="48">
        <v>0</v>
      </c>
      <c r="Q483" s="40">
        <v>0</v>
      </c>
    </row>
    <row r="484" s="2" customFormat="1" spans="1:17">
      <c r="A484" s="17">
        <f t="shared" si="43"/>
        <v>44679</v>
      </c>
      <c r="B484" s="46">
        <v>0</v>
      </c>
      <c r="C484" s="40">
        <v>0</v>
      </c>
      <c r="D484" s="40">
        <v>0</v>
      </c>
      <c r="E484" s="40">
        <v>0</v>
      </c>
      <c r="F484" s="39">
        <v>0</v>
      </c>
      <c r="G484" s="40">
        <v>0</v>
      </c>
      <c r="H484" s="40">
        <v>0</v>
      </c>
      <c r="I484" s="40">
        <v>0</v>
      </c>
      <c r="J484" s="40">
        <v>0</v>
      </c>
      <c r="K484" s="40">
        <v>0</v>
      </c>
      <c r="L484" s="40">
        <v>0</v>
      </c>
      <c r="M484" s="40">
        <v>0</v>
      </c>
      <c r="N484" s="40">
        <v>0</v>
      </c>
      <c r="O484" s="47">
        <v>0</v>
      </c>
      <c r="P484" s="48">
        <v>0</v>
      </c>
      <c r="Q484" s="40">
        <v>0</v>
      </c>
    </row>
    <row r="485" s="2" customFormat="1" spans="1:17">
      <c r="A485" s="17">
        <f t="shared" si="43"/>
        <v>44680</v>
      </c>
      <c r="B485" s="46">
        <v>0</v>
      </c>
      <c r="C485" s="40">
        <v>0</v>
      </c>
      <c r="D485" s="40">
        <v>0</v>
      </c>
      <c r="E485" s="40">
        <v>0</v>
      </c>
      <c r="F485" s="39">
        <v>0</v>
      </c>
      <c r="G485" s="40">
        <v>0</v>
      </c>
      <c r="H485" s="40">
        <v>0</v>
      </c>
      <c r="I485" s="40">
        <v>0</v>
      </c>
      <c r="J485" s="40">
        <v>0</v>
      </c>
      <c r="K485" s="40">
        <v>0</v>
      </c>
      <c r="L485" s="40">
        <v>0</v>
      </c>
      <c r="M485" s="40">
        <v>0</v>
      </c>
      <c r="N485" s="40">
        <v>0</v>
      </c>
      <c r="O485" s="47">
        <v>0</v>
      </c>
      <c r="P485" s="48">
        <v>0</v>
      </c>
      <c r="Q485" s="40">
        <v>0</v>
      </c>
    </row>
    <row r="486" s="2" customFormat="1" spans="1:17">
      <c r="A486" s="17">
        <f t="shared" si="43"/>
        <v>44681</v>
      </c>
      <c r="B486" s="46">
        <v>0</v>
      </c>
      <c r="C486" s="40">
        <v>0</v>
      </c>
      <c r="D486" s="40">
        <v>0</v>
      </c>
      <c r="E486" s="40">
        <v>0</v>
      </c>
      <c r="F486" s="39">
        <v>0</v>
      </c>
      <c r="G486" s="40">
        <v>0</v>
      </c>
      <c r="H486" s="40">
        <v>0</v>
      </c>
      <c r="I486" s="40">
        <v>0</v>
      </c>
      <c r="J486" s="40">
        <v>0</v>
      </c>
      <c r="K486" s="40">
        <v>0</v>
      </c>
      <c r="L486" s="40">
        <v>0</v>
      </c>
      <c r="M486" s="40">
        <v>0</v>
      </c>
      <c r="N486" s="40">
        <v>0</v>
      </c>
      <c r="O486" s="47">
        <v>0</v>
      </c>
      <c r="P486" s="48">
        <v>0</v>
      </c>
      <c r="Q486" s="40">
        <v>0</v>
      </c>
    </row>
    <row r="487" s="2" customFormat="1" spans="1:17">
      <c r="A487" s="17">
        <f t="shared" si="43"/>
        <v>44682</v>
      </c>
      <c r="B487" s="46">
        <v>0</v>
      </c>
      <c r="C487" s="40">
        <v>0</v>
      </c>
      <c r="D487" s="40">
        <v>0</v>
      </c>
      <c r="E487" s="40">
        <v>0</v>
      </c>
      <c r="F487" s="39">
        <v>0</v>
      </c>
      <c r="G487" s="40">
        <v>0</v>
      </c>
      <c r="H487" s="40">
        <v>0</v>
      </c>
      <c r="I487" s="40">
        <v>0</v>
      </c>
      <c r="J487" s="40">
        <v>0</v>
      </c>
      <c r="K487" s="40">
        <v>0</v>
      </c>
      <c r="L487" s="40">
        <v>0</v>
      </c>
      <c r="M487" s="40">
        <v>0</v>
      </c>
      <c r="N487" s="40">
        <v>0</v>
      </c>
      <c r="O487" s="47">
        <v>0</v>
      </c>
      <c r="P487" s="48">
        <v>0</v>
      </c>
      <c r="Q487" s="40">
        <v>0</v>
      </c>
    </row>
    <row r="488" s="2" customFormat="1" spans="1:17">
      <c r="A488" s="17">
        <f t="shared" si="43"/>
        <v>44683</v>
      </c>
      <c r="B488" s="46">
        <v>0</v>
      </c>
      <c r="C488" s="40">
        <v>0</v>
      </c>
      <c r="D488" s="40">
        <v>0</v>
      </c>
      <c r="E488" s="40">
        <v>0</v>
      </c>
      <c r="F488" s="39">
        <v>0</v>
      </c>
      <c r="G488" s="40">
        <v>0</v>
      </c>
      <c r="H488" s="40">
        <v>0</v>
      </c>
      <c r="I488" s="40">
        <v>0</v>
      </c>
      <c r="J488" s="40">
        <v>0</v>
      </c>
      <c r="K488" s="40">
        <v>0</v>
      </c>
      <c r="L488" s="40">
        <v>0</v>
      </c>
      <c r="M488" s="40">
        <v>0</v>
      </c>
      <c r="N488" s="40">
        <v>0</v>
      </c>
      <c r="O488" s="47">
        <v>0</v>
      </c>
      <c r="P488" s="48">
        <v>0</v>
      </c>
      <c r="Q488" s="40">
        <v>0</v>
      </c>
    </row>
    <row r="489" s="2" customFormat="1" spans="1:17">
      <c r="A489" s="17">
        <f t="shared" si="43"/>
        <v>44684</v>
      </c>
      <c r="B489" s="46">
        <v>0</v>
      </c>
      <c r="C489" s="40">
        <v>0</v>
      </c>
      <c r="D489" s="40">
        <v>0</v>
      </c>
      <c r="E489" s="40">
        <v>0</v>
      </c>
      <c r="F489" s="39">
        <v>0</v>
      </c>
      <c r="G489" s="40">
        <v>0</v>
      </c>
      <c r="H489" s="40">
        <v>0</v>
      </c>
      <c r="I489" s="40">
        <v>0</v>
      </c>
      <c r="J489" s="40">
        <v>0</v>
      </c>
      <c r="K489" s="40">
        <v>0</v>
      </c>
      <c r="L489" s="40">
        <v>0</v>
      </c>
      <c r="M489" s="40">
        <v>0</v>
      </c>
      <c r="N489" s="40">
        <v>0</v>
      </c>
      <c r="O489" s="47">
        <v>0</v>
      </c>
      <c r="P489" s="48">
        <v>0</v>
      </c>
      <c r="Q489" s="40">
        <v>0</v>
      </c>
    </row>
    <row r="490" s="2" customFormat="1" spans="1:17">
      <c r="A490" s="17">
        <f t="shared" si="43"/>
        <v>44685</v>
      </c>
      <c r="B490" s="46">
        <v>0</v>
      </c>
      <c r="C490" s="40">
        <v>0</v>
      </c>
      <c r="D490" s="40">
        <v>0</v>
      </c>
      <c r="E490" s="40">
        <v>0</v>
      </c>
      <c r="F490" s="39">
        <v>0</v>
      </c>
      <c r="G490" s="40">
        <v>0</v>
      </c>
      <c r="H490" s="40">
        <v>0</v>
      </c>
      <c r="I490" s="40">
        <v>0</v>
      </c>
      <c r="J490" s="40">
        <v>0</v>
      </c>
      <c r="K490" s="40">
        <v>0</v>
      </c>
      <c r="L490" s="40">
        <v>0</v>
      </c>
      <c r="M490" s="40">
        <v>0</v>
      </c>
      <c r="N490" s="40">
        <v>0</v>
      </c>
      <c r="O490" s="47">
        <v>0</v>
      </c>
      <c r="P490" s="48">
        <v>0</v>
      </c>
      <c r="Q490" s="40">
        <v>0</v>
      </c>
    </row>
    <row r="491" s="2" customFormat="1" spans="1:17">
      <c r="A491" s="17">
        <f t="shared" si="43"/>
        <v>44686</v>
      </c>
      <c r="B491" s="46">
        <v>0</v>
      </c>
      <c r="C491" s="40">
        <v>0</v>
      </c>
      <c r="D491" s="40">
        <v>0</v>
      </c>
      <c r="E491" s="40">
        <v>0</v>
      </c>
      <c r="F491" s="39">
        <v>0</v>
      </c>
      <c r="G491" s="40">
        <v>0</v>
      </c>
      <c r="H491" s="40">
        <v>0</v>
      </c>
      <c r="I491" s="40">
        <v>0</v>
      </c>
      <c r="J491" s="40">
        <v>0</v>
      </c>
      <c r="K491" s="40">
        <v>0</v>
      </c>
      <c r="L491" s="40">
        <v>0</v>
      </c>
      <c r="M491" s="40">
        <v>0</v>
      </c>
      <c r="N491" s="40">
        <v>0</v>
      </c>
      <c r="O491" s="47">
        <v>0</v>
      </c>
      <c r="P491" s="48">
        <v>0</v>
      </c>
      <c r="Q491" s="40">
        <v>0</v>
      </c>
    </row>
    <row r="492" s="2" customFormat="1" spans="1:17">
      <c r="A492" s="17">
        <f t="shared" si="43"/>
        <v>44687</v>
      </c>
      <c r="B492" s="46">
        <v>0</v>
      </c>
      <c r="C492" s="40">
        <v>0</v>
      </c>
      <c r="D492" s="40">
        <v>0</v>
      </c>
      <c r="E492" s="40">
        <v>0</v>
      </c>
      <c r="F492" s="39">
        <v>0</v>
      </c>
      <c r="G492" s="40">
        <v>0</v>
      </c>
      <c r="H492" s="40">
        <v>0</v>
      </c>
      <c r="I492" s="40">
        <v>0</v>
      </c>
      <c r="J492" s="40">
        <v>0</v>
      </c>
      <c r="K492" s="40">
        <v>0</v>
      </c>
      <c r="L492" s="40">
        <v>0</v>
      </c>
      <c r="M492" s="40">
        <v>0</v>
      </c>
      <c r="N492" s="40">
        <v>0</v>
      </c>
      <c r="O492" s="47">
        <v>0</v>
      </c>
      <c r="P492" s="48">
        <v>0</v>
      </c>
      <c r="Q492" s="40">
        <v>0</v>
      </c>
    </row>
    <row r="493" s="2" customFormat="1" spans="1:17">
      <c r="A493" s="17">
        <f t="shared" si="43"/>
        <v>44688</v>
      </c>
      <c r="B493" s="46">
        <v>0</v>
      </c>
      <c r="C493" s="40">
        <v>0</v>
      </c>
      <c r="D493" s="40">
        <v>0</v>
      </c>
      <c r="E493" s="40">
        <v>0</v>
      </c>
      <c r="F493" s="39">
        <v>0</v>
      </c>
      <c r="G493" s="40">
        <v>0</v>
      </c>
      <c r="H493" s="40">
        <v>0</v>
      </c>
      <c r="I493" s="40">
        <v>0</v>
      </c>
      <c r="J493" s="40">
        <v>0</v>
      </c>
      <c r="K493" s="40">
        <v>0</v>
      </c>
      <c r="L493" s="40">
        <v>0</v>
      </c>
      <c r="M493" s="40">
        <v>0</v>
      </c>
      <c r="N493" s="40">
        <v>0</v>
      </c>
      <c r="O493" s="47">
        <v>0</v>
      </c>
      <c r="P493" s="48">
        <v>0</v>
      </c>
      <c r="Q493" s="40">
        <v>0</v>
      </c>
    </row>
    <row r="494" s="2" customFormat="1" spans="1:17">
      <c r="A494" s="17">
        <f t="shared" si="43"/>
        <v>44689</v>
      </c>
      <c r="B494" s="46">
        <v>0</v>
      </c>
      <c r="C494" s="40">
        <v>0</v>
      </c>
      <c r="D494" s="40">
        <v>0</v>
      </c>
      <c r="E494" s="40">
        <v>0</v>
      </c>
      <c r="F494" s="39">
        <v>0</v>
      </c>
      <c r="G494" s="40">
        <v>0</v>
      </c>
      <c r="H494" s="40">
        <v>0</v>
      </c>
      <c r="I494" s="40">
        <v>0</v>
      </c>
      <c r="J494" s="40">
        <v>0</v>
      </c>
      <c r="K494" s="40">
        <v>0</v>
      </c>
      <c r="L494" s="40">
        <v>0</v>
      </c>
      <c r="M494" s="40">
        <v>0</v>
      </c>
      <c r="N494" s="40">
        <v>0</v>
      </c>
      <c r="O494" s="47">
        <v>0</v>
      </c>
      <c r="P494" s="48">
        <v>0</v>
      </c>
      <c r="Q494" s="40">
        <v>0</v>
      </c>
    </row>
    <row r="495" s="2" customFormat="1" spans="1:17">
      <c r="A495" s="17">
        <f t="shared" si="43"/>
        <v>44690</v>
      </c>
      <c r="B495" s="46">
        <v>0</v>
      </c>
      <c r="C495" s="40">
        <v>0</v>
      </c>
      <c r="D495" s="40">
        <v>0</v>
      </c>
      <c r="E495" s="40">
        <v>0</v>
      </c>
      <c r="F495" s="39">
        <v>0</v>
      </c>
      <c r="G495" s="40">
        <v>0</v>
      </c>
      <c r="H495" s="40">
        <v>0</v>
      </c>
      <c r="I495" s="40">
        <v>0</v>
      </c>
      <c r="J495" s="40">
        <v>0</v>
      </c>
      <c r="K495" s="40">
        <v>0</v>
      </c>
      <c r="L495" s="40">
        <v>0</v>
      </c>
      <c r="M495" s="40">
        <v>0</v>
      </c>
      <c r="N495" s="40">
        <v>0</v>
      </c>
      <c r="O495" s="47">
        <v>0</v>
      </c>
      <c r="P495" s="48">
        <v>0</v>
      </c>
      <c r="Q495" s="40">
        <v>0</v>
      </c>
    </row>
    <row r="496" s="2" customFormat="1" spans="1:17">
      <c r="A496" s="17">
        <f t="shared" si="43"/>
        <v>44691</v>
      </c>
      <c r="B496" s="46">
        <v>0</v>
      </c>
      <c r="C496" s="40">
        <v>0</v>
      </c>
      <c r="D496" s="40">
        <v>0</v>
      </c>
      <c r="E496" s="40">
        <v>0</v>
      </c>
      <c r="F496" s="39">
        <v>0</v>
      </c>
      <c r="G496" s="40">
        <v>0</v>
      </c>
      <c r="H496" s="40">
        <v>0</v>
      </c>
      <c r="I496" s="40">
        <v>0</v>
      </c>
      <c r="J496" s="40">
        <v>0</v>
      </c>
      <c r="K496" s="40">
        <v>0</v>
      </c>
      <c r="L496" s="40">
        <v>0</v>
      </c>
      <c r="M496" s="40">
        <v>0</v>
      </c>
      <c r="N496" s="40">
        <v>0</v>
      </c>
      <c r="O496" s="47">
        <v>0</v>
      </c>
      <c r="P496" s="48">
        <v>0</v>
      </c>
      <c r="Q496" s="40">
        <v>0</v>
      </c>
    </row>
    <row r="497" s="2" customFormat="1" spans="1:17">
      <c r="A497" s="17">
        <f t="shared" si="43"/>
        <v>44692</v>
      </c>
      <c r="B497" s="46">
        <v>0</v>
      </c>
      <c r="C497" s="40">
        <v>0</v>
      </c>
      <c r="D497" s="40">
        <v>0</v>
      </c>
      <c r="E497" s="40">
        <v>0</v>
      </c>
      <c r="F497" s="39">
        <v>0</v>
      </c>
      <c r="G497" s="40">
        <v>0</v>
      </c>
      <c r="H497" s="40">
        <v>0</v>
      </c>
      <c r="I497" s="40">
        <v>0</v>
      </c>
      <c r="J497" s="40">
        <v>0</v>
      </c>
      <c r="K497" s="40">
        <v>0</v>
      </c>
      <c r="L497" s="40">
        <v>0</v>
      </c>
      <c r="M497" s="40">
        <v>0</v>
      </c>
      <c r="N497" s="40">
        <v>0</v>
      </c>
      <c r="O497" s="47">
        <v>0</v>
      </c>
      <c r="P497" s="48">
        <v>0</v>
      </c>
      <c r="Q497" s="40">
        <v>0</v>
      </c>
    </row>
    <row r="498" s="2" customFormat="1" spans="1:17">
      <c r="A498" s="17">
        <f t="shared" si="43"/>
        <v>44693</v>
      </c>
      <c r="B498" s="46">
        <v>0</v>
      </c>
      <c r="C498" s="40">
        <v>0</v>
      </c>
      <c r="D498" s="40">
        <v>0</v>
      </c>
      <c r="E498" s="40">
        <v>0</v>
      </c>
      <c r="F498" s="39">
        <v>0</v>
      </c>
      <c r="G498" s="40">
        <v>0</v>
      </c>
      <c r="H498" s="40">
        <v>0</v>
      </c>
      <c r="I498" s="40">
        <v>0</v>
      </c>
      <c r="J498" s="40">
        <v>0</v>
      </c>
      <c r="K498" s="40">
        <v>0</v>
      </c>
      <c r="L498" s="40">
        <v>0</v>
      </c>
      <c r="M498" s="40">
        <v>0</v>
      </c>
      <c r="N498" s="40">
        <v>0</v>
      </c>
      <c r="O498" s="47">
        <v>0</v>
      </c>
      <c r="P498" s="48">
        <v>0</v>
      </c>
      <c r="Q498" s="40">
        <v>0</v>
      </c>
    </row>
    <row r="499" s="2" customFormat="1" spans="1:17">
      <c r="A499" s="17">
        <f t="shared" si="43"/>
        <v>44694</v>
      </c>
      <c r="B499" s="46">
        <v>0</v>
      </c>
      <c r="C499" s="40">
        <v>0</v>
      </c>
      <c r="D499" s="40">
        <v>0</v>
      </c>
      <c r="E499" s="40">
        <v>0</v>
      </c>
      <c r="F499" s="39">
        <v>0</v>
      </c>
      <c r="G499" s="40">
        <v>0</v>
      </c>
      <c r="H499" s="40">
        <v>0</v>
      </c>
      <c r="I499" s="40">
        <v>0</v>
      </c>
      <c r="J499" s="40">
        <v>0</v>
      </c>
      <c r="K499" s="40">
        <v>0</v>
      </c>
      <c r="L499" s="40">
        <v>0</v>
      </c>
      <c r="M499" s="40">
        <v>0</v>
      </c>
      <c r="N499" s="40">
        <v>0</v>
      </c>
      <c r="O499" s="47">
        <v>0</v>
      </c>
      <c r="P499" s="48">
        <v>0</v>
      </c>
      <c r="Q499" s="40">
        <v>0</v>
      </c>
    </row>
    <row r="500" s="2" customFormat="1" spans="1:17">
      <c r="A500" s="17">
        <f t="shared" si="43"/>
        <v>44695</v>
      </c>
      <c r="B500" s="46">
        <v>0</v>
      </c>
      <c r="C500" s="40">
        <v>0</v>
      </c>
      <c r="D500" s="40">
        <v>0</v>
      </c>
      <c r="E500" s="40">
        <v>0</v>
      </c>
      <c r="F500" s="39">
        <v>0</v>
      </c>
      <c r="G500" s="40">
        <v>0</v>
      </c>
      <c r="H500" s="40">
        <v>0</v>
      </c>
      <c r="I500" s="40">
        <v>0</v>
      </c>
      <c r="J500" s="40">
        <v>0</v>
      </c>
      <c r="K500" s="40">
        <v>0</v>
      </c>
      <c r="L500" s="40">
        <v>0</v>
      </c>
      <c r="M500" s="40">
        <v>0</v>
      </c>
      <c r="N500" s="40">
        <v>0</v>
      </c>
      <c r="O500" s="47">
        <v>0</v>
      </c>
      <c r="P500" s="48">
        <v>0</v>
      </c>
      <c r="Q500" s="40">
        <v>0</v>
      </c>
    </row>
    <row r="501" s="2" customFormat="1" spans="1:17">
      <c r="A501" s="17">
        <f t="shared" si="43"/>
        <v>44696</v>
      </c>
      <c r="B501" s="46">
        <v>0</v>
      </c>
      <c r="C501" s="40">
        <v>0</v>
      </c>
      <c r="D501" s="40">
        <v>0</v>
      </c>
      <c r="E501" s="40">
        <v>0</v>
      </c>
      <c r="F501" s="39">
        <v>0</v>
      </c>
      <c r="G501" s="40">
        <v>0</v>
      </c>
      <c r="H501" s="40">
        <v>0</v>
      </c>
      <c r="I501" s="40">
        <v>0</v>
      </c>
      <c r="J501" s="40">
        <v>0</v>
      </c>
      <c r="K501" s="40">
        <v>0</v>
      </c>
      <c r="L501" s="40">
        <v>0</v>
      </c>
      <c r="M501" s="40">
        <v>0</v>
      </c>
      <c r="N501" s="40">
        <v>0</v>
      </c>
      <c r="O501" s="47">
        <v>0</v>
      </c>
      <c r="P501" s="48">
        <v>0</v>
      </c>
      <c r="Q501" s="40">
        <v>0</v>
      </c>
    </row>
    <row r="502" s="2" customFormat="1" spans="1:17">
      <c r="A502" s="17">
        <f t="shared" si="43"/>
        <v>44697</v>
      </c>
      <c r="B502" s="46">
        <v>0</v>
      </c>
      <c r="C502" s="40">
        <v>0</v>
      </c>
      <c r="D502" s="40">
        <v>0</v>
      </c>
      <c r="E502" s="40">
        <v>0</v>
      </c>
      <c r="F502" s="39">
        <v>0</v>
      </c>
      <c r="G502" s="40">
        <v>0</v>
      </c>
      <c r="H502" s="40">
        <v>0</v>
      </c>
      <c r="I502" s="40">
        <v>0</v>
      </c>
      <c r="J502" s="40">
        <v>0</v>
      </c>
      <c r="K502" s="40">
        <v>0</v>
      </c>
      <c r="L502" s="40">
        <v>0</v>
      </c>
      <c r="M502" s="40">
        <v>0</v>
      </c>
      <c r="N502" s="40">
        <v>0</v>
      </c>
      <c r="O502" s="47">
        <v>0</v>
      </c>
      <c r="P502" s="48">
        <v>0</v>
      </c>
      <c r="Q502" s="40">
        <v>0</v>
      </c>
    </row>
    <row r="503" s="2" customFormat="1" spans="1:17">
      <c r="A503" s="17">
        <f t="shared" si="43"/>
        <v>44698</v>
      </c>
      <c r="B503" s="46">
        <v>0</v>
      </c>
      <c r="C503" s="40">
        <v>0</v>
      </c>
      <c r="D503" s="40">
        <v>0</v>
      </c>
      <c r="E503" s="40">
        <v>0</v>
      </c>
      <c r="F503" s="39">
        <v>0</v>
      </c>
      <c r="G503" s="40">
        <v>0</v>
      </c>
      <c r="H503" s="40">
        <v>0</v>
      </c>
      <c r="I503" s="40">
        <v>0</v>
      </c>
      <c r="J503" s="40">
        <v>0</v>
      </c>
      <c r="K503" s="40">
        <v>0</v>
      </c>
      <c r="L503" s="40">
        <v>0</v>
      </c>
      <c r="M503" s="40">
        <v>0</v>
      </c>
      <c r="N503" s="40">
        <v>0</v>
      </c>
      <c r="O503" s="47">
        <v>0</v>
      </c>
      <c r="P503" s="48">
        <v>0</v>
      </c>
      <c r="Q503" s="40">
        <v>0</v>
      </c>
    </row>
    <row r="504" s="2" customFormat="1" spans="1:17">
      <c r="A504" s="17">
        <f t="shared" si="43"/>
        <v>44699</v>
      </c>
      <c r="B504" s="46">
        <v>0</v>
      </c>
      <c r="C504" s="40">
        <v>0</v>
      </c>
      <c r="D504" s="40">
        <v>0</v>
      </c>
      <c r="E504" s="40">
        <v>0</v>
      </c>
      <c r="F504" s="39">
        <v>0</v>
      </c>
      <c r="G504" s="40">
        <v>0</v>
      </c>
      <c r="H504" s="40">
        <v>0</v>
      </c>
      <c r="I504" s="40">
        <v>0</v>
      </c>
      <c r="J504" s="40">
        <v>0</v>
      </c>
      <c r="K504" s="40">
        <v>0</v>
      </c>
      <c r="L504" s="40">
        <v>0</v>
      </c>
      <c r="M504" s="40">
        <v>0</v>
      </c>
      <c r="N504" s="40">
        <v>0</v>
      </c>
      <c r="O504" s="47">
        <v>0</v>
      </c>
      <c r="P504" s="48">
        <v>0</v>
      </c>
      <c r="Q504" s="40">
        <v>0</v>
      </c>
    </row>
    <row r="505" s="2" customFormat="1" spans="1:17">
      <c r="A505" s="17">
        <f t="shared" si="43"/>
        <v>44700</v>
      </c>
      <c r="B505" s="46">
        <v>0</v>
      </c>
      <c r="C505" s="40">
        <v>0</v>
      </c>
      <c r="D505" s="40">
        <v>0</v>
      </c>
      <c r="E505" s="40">
        <v>0</v>
      </c>
      <c r="F505" s="39">
        <v>0</v>
      </c>
      <c r="G505" s="40">
        <v>0</v>
      </c>
      <c r="H505" s="40">
        <v>0</v>
      </c>
      <c r="I505" s="40">
        <v>0</v>
      </c>
      <c r="J505" s="40">
        <v>0</v>
      </c>
      <c r="K505" s="40">
        <v>0</v>
      </c>
      <c r="L505" s="40">
        <v>0</v>
      </c>
      <c r="M505" s="40">
        <v>0</v>
      </c>
      <c r="N505" s="40">
        <v>0</v>
      </c>
      <c r="O505" s="47">
        <v>0</v>
      </c>
      <c r="P505" s="48">
        <v>0</v>
      </c>
      <c r="Q505" s="40">
        <v>0</v>
      </c>
    </row>
    <row r="506" s="2" customFormat="1" spans="1:17">
      <c r="A506" s="17">
        <f t="shared" si="43"/>
        <v>44701</v>
      </c>
      <c r="B506" s="46">
        <v>0</v>
      </c>
      <c r="C506" s="40">
        <v>0</v>
      </c>
      <c r="D506" s="40">
        <v>0</v>
      </c>
      <c r="E506" s="40">
        <v>0</v>
      </c>
      <c r="F506" s="39">
        <v>0</v>
      </c>
      <c r="G506" s="40">
        <v>0</v>
      </c>
      <c r="H506" s="40">
        <v>0</v>
      </c>
      <c r="I506" s="40">
        <v>0</v>
      </c>
      <c r="J506" s="40">
        <v>0</v>
      </c>
      <c r="K506" s="40">
        <v>0</v>
      </c>
      <c r="L506" s="40">
        <v>0</v>
      </c>
      <c r="M506" s="40">
        <v>0</v>
      </c>
      <c r="N506" s="40">
        <v>0</v>
      </c>
      <c r="O506" s="47">
        <v>0</v>
      </c>
      <c r="P506" s="48">
        <v>0</v>
      </c>
      <c r="Q506" s="40">
        <v>0</v>
      </c>
    </row>
    <row r="507" s="2" customFormat="1" spans="1:17">
      <c r="A507" s="17">
        <f t="shared" si="43"/>
        <v>44702</v>
      </c>
      <c r="B507" s="46">
        <v>0</v>
      </c>
      <c r="C507" s="40">
        <v>0</v>
      </c>
      <c r="D507" s="40">
        <v>0</v>
      </c>
      <c r="E507" s="40">
        <v>0</v>
      </c>
      <c r="F507" s="39">
        <v>0</v>
      </c>
      <c r="G507" s="40">
        <v>0</v>
      </c>
      <c r="H507" s="40">
        <v>0</v>
      </c>
      <c r="I507" s="40">
        <v>0</v>
      </c>
      <c r="J507" s="40">
        <v>0</v>
      </c>
      <c r="K507" s="40">
        <v>0</v>
      </c>
      <c r="L507" s="40">
        <v>0</v>
      </c>
      <c r="M507" s="40">
        <v>0</v>
      </c>
      <c r="N507" s="40">
        <v>0</v>
      </c>
      <c r="O507" s="47">
        <v>0</v>
      </c>
      <c r="P507" s="48">
        <v>0</v>
      </c>
      <c r="Q507" s="40">
        <v>0</v>
      </c>
    </row>
    <row r="508" s="2" customFormat="1" spans="1:17">
      <c r="A508" s="17">
        <f t="shared" si="43"/>
        <v>44703</v>
      </c>
      <c r="B508" s="46">
        <v>0</v>
      </c>
      <c r="C508" s="40">
        <v>0</v>
      </c>
      <c r="D508" s="40">
        <v>0</v>
      </c>
      <c r="E508" s="40">
        <v>0</v>
      </c>
      <c r="F508" s="39">
        <v>0</v>
      </c>
      <c r="G508" s="40">
        <v>0</v>
      </c>
      <c r="H508" s="40">
        <v>0</v>
      </c>
      <c r="I508" s="40">
        <v>0</v>
      </c>
      <c r="J508" s="40">
        <v>0</v>
      </c>
      <c r="K508" s="40">
        <v>0</v>
      </c>
      <c r="L508" s="40">
        <v>0</v>
      </c>
      <c r="M508" s="40">
        <v>0</v>
      </c>
      <c r="N508" s="40">
        <v>0</v>
      </c>
      <c r="O508" s="47">
        <v>0</v>
      </c>
      <c r="P508" s="48">
        <v>0</v>
      </c>
      <c r="Q508" s="40">
        <v>0</v>
      </c>
    </row>
    <row r="509" s="2" customFormat="1" spans="1:17">
      <c r="A509" s="17">
        <f t="shared" si="43"/>
        <v>44704</v>
      </c>
      <c r="B509" s="46">
        <v>0</v>
      </c>
      <c r="C509" s="40">
        <v>0</v>
      </c>
      <c r="D509" s="40">
        <v>0</v>
      </c>
      <c r="E509" s="40">
        <v>0</v>
      </c>
      <c r="F509" s="39">
        <v>0</v>
      </c>
      <c r="G509" s="40">
        <v>0</v>
      </c>
      <c r="H509" s="40">
        <v>0</v>
      </c>
      <c r="I509" s="40">
        <v>0</v>
      </c>
      <c r="J509" s="40">
        <v>0</v>
      </c>
      <c r="K509" s="40">
        <v>0</v>
      </c>
      <c r="L509" s="40">
        <v>0</v>
      </c>
      <c r="M509" s="40">
        <v>0</v>
      </c>
      <c r="N509" s="40">
        <v>0</v>
      </c>
      <c r="O509" s="47">
        <v>0</v>
      </c>
      <c r="P509" s="48">
        <v>0</v>
      </c>
      <c r="Q509" s="40">
        <v>0</v>
      </c>
    </row>
    <row r="510" s="2" customFormat="1" spans="1:17">
      <c r="A510" s="17">
        <f t="shared" si="43"/>
        <v>44705</v>
      </c>
      <c r="B510" s="46">
        <v>0</v>
      </c>
      <c r="C510" s="40">
        <v>0</v>
      </c>
      <c r="D510" s="40">
        <v>0</v>
      </c>
      <c r="E510" s="40">
        <v>0</v>
      </c>
      <c r="F510" s="39">
        <v>0</v>
      </c>
      <c r="G510" s="40">
        <v>0</v>
      </c>
      <c r="H510" s="40">
        <v>0</v>
      </c>
      <c r="I510" s="40">
        <v>0</v>
      </c>
      <c r="J510" s="40">
        <v>0</v>
      </c>
      <c r="K510" s="40">
        <v>0</v>
      </c>
      <c r="L510" s="40">
        <v>0</v>
      </c>
      <c r="M510" s="40">
        <v>0</v>
      </c>
      <c r="N510" s="40">
        <v>0</v>
      </c>
      <c r="O510" s="47">
        <v>0</v>
      </c>
      <c r="P510" s="48">
        <v>0</v>
      </c>
      <c r="Q510" s="40">
        <v>0</v>
      </c>
    </row>
    <row r="511" s="2" customFormat="1" spans="1:17">
      <c r="A511" s="17">
        <f t="shared" si="43"/>
        <v>44706</v>
      </c>
      <c r="B511" s="46">
        <v>0</v>
      </c>
      <c r="C511" s="40">
        <v>0</v>
      </c>
      <c r="D511" s="40">
        <v>0</v>
      </c>
      <c r="E511" s="40">
        <v>0</v>
      </c>
      <c r="F511" s="39">
        <v>0</v>
      </c>
      <c r="G511" s="40">
        <v>0</v>
      </c>
      <c r="H511" s="40">
        <v>0</v>
      </c>
      <c r="I511" s="40">
        <v>0</v>
      </c>
      <c r="J511" s="40">
        <v>0</v>
      </c>
      <c r="K511" s="40">
        <v>0</v>
      </c>
      <c r="L511" s="40">
        <v>0</v>
      </c>
      <c r="M511" s="40">
        <v>0</v>
      </c>
      <c r="N511" s="40">
        <v>0</v>
      </c>
      <c r="O511" s="47">
        <v>0</v>
      </c>
      <c r="P511" s="48">
        <v>0</v>
      </c>
      <c r="Q511" s="40">
        <v>0</v>
      </c>
    </row>
    <row r="512" s="2" customFormat="1" spans="1:17">
      <c r="A512" s="17">
        <f t="shared" si="43"/>
        <v>44707</v>
      </c>
      <c r="B512" s="46">
        <v>0</v>
      </c>
      <c r="C512" s="40">
        <v>0</v>
      </c>
      <c r="D512" s="40">
        <v>0</v>
      </c>
      <c r="E512" s="40">
        <v>0</v>
      </c>
      <c r="F512" s="39">
        <v>0</v>
      </c>
      <c r="G512" s="40">
        <v>0</v>
      </c>
      <c r="H512" s="40">
        <v>0</v>
      </c>
      <c r="I512" s="40">
        <v>0</v>
      </c>
      <c r="J512" s="40">
        <v>0</v>
      </c>
      <c r="K512" s="40">
        <v>0</v>
      </c>
      <c r="L512" s="40">
        <v>0</v>
      </c>
      <c r="M512" s="40">
        <v>0</v>
      </c>
      <c r="N512" s="40">
        <v>0</v>
      </c>
      <c r="O512" s="47">
        <v>0</v>
      </c>
      <c r="P512" s="48">
        <v>0</v>
      </c>
      <c r="Q512" s="40">
        <v>0</v>
      </c>
    </row>
    <row r="513" s="2" customFormat="1" spans="1:17">
      <c r="A513" s="17">
        <f t="shared" si="43"/>
        <v>44708</v>
      </c>
      <c r="B513" s="46">
        <v>0</v>
      </c>
      <c r="C513" s="40">
        <v>0</v>
      </c>
      <c r="D513" s="40">
        <v>0</v>
      </c>
      <c r="E513" s="40">
        <v>0</v>
      </c>
      <c r="F513" s="39">
        <v>0</v>
      </c>
      <c r="G513" s="40">
        <v>0</v>
      </c>
      <c r="H513" s="40">
        <v>0</v>
      </c>
      <c r="I513" s="40">
        <v>0</v>
      </c>
      <c r="J513" s="40">
        <v>0</v>
      </c>
      <c r="K513" s="40">
        <v>0</v>
      </c>
      <c r="L513" s="40">
        <v>0</v>
      </c>
      <c r="M513" s="40">
        <v>0</v>
      </c>
      <c r="N513" s="40">
        <v>0</v>
      </c>
      <c r="O513" s="47">
        <v>0</v>
      </c>
      <c r="P513" s="48">
        <v>0</v>
      </c>
      <c r="Q513" s="40">
        <v>0</v>
      </c>
    </row>
    <row r="514" s="2" customFormat="1" spans="1:17">
      <c r="A514" s="17">
        <v>45161</v>
      </c>
      <c r="B514" s="49">
        <v>41.5</v>
      </c>
      <c r="C514" s="40">
        <v>55</v>
      </c>
      <c r="D514" s="40">
        <v>11</v>
      </c>
      <c r="E514" s="40">
        <v>0</v>
      </c>
      <c r="F514" s="39">
        <v>0</v>
      </c>
      <c r="G514" s="40">
        <v>0</v>
      </c>
      <c r="H514" s="40">
        <v>0</v>
      </c>
      <c r="I514" s="40">
        <v>0</v>
      </c>
      <c r="J514" s="50">
        <v>0.2</v>
      </c>
      <c r="K514" s="39">
        <v>3.77</v>
      </c>
      <c r="L514" s="39">
        <v>754.73</v>
      </c>
      <c r="M514" s="40">
        <v>0</v>
      </c>
      <c r="N514" s="51">
        <v>0</v>
      </c>
      <c r="O514" s="52">
        <f t="shared" ref="O514:O577" si="44">IF(E514=0,0,F514/E514)</f>
        <v>0</v>
      </c>
      <c r="P514" s="52">
        <f t="shared" ref="P514:P577" si="45">IF(E514=0,0,B514/E514)</f>
        <v>0</v>
      </c>
      <c r="Q514" s="40">
        <v>0</v>
      </c>
    </row>
    <row r="515" s="2" customFormat="1" spans="1:17">
      <c r="A515" s="17">
        <v>45162</v>
      </c>
      <c r="B515" s="53">
        <v>88.95</v>
      </c>
      <c r="C515" s="19">
        <v>121</v>
      </c>
      <c r="D515" s="19">
        <v>23</v>
      </c>
      <c r="E515" s="19">
        <v>0</v>
      </c>
      <c r="F515" s="53">
        <v>0</v>
      </c>
      <c r="G515" s="19">
        <v>6</v>
      </c>
      <c r="H515" s="19">
        <v>1</v>
      </c>
      <c r="I515" s="19">
        <v>0</v>
      </c>
      <c r="J515" s="54">
        <v>0.1901</v>
      </c>
      <c r="K515" s="53">
        <v>3.87</v>
      </c>
      <c r="L515" s="53">
        <v>735.12</v>
      </c>
      <c r="M515" s="19">
        <v>0</v>
      </c>
      <c r="N515" s="20">
        <v>0</v>
      </c>
      <c r="O515" s="52">
        <f t="shared" si="44"/>
        <v>0</v>
      </c>
      <c r="P515" s="52">
        <f t="shared" si="45"/>
        <v>0</v>
      </c>
      <c r="Q515" s="55">
        <f t="shared" ref="Q515:Q578" si="46">B515/G515</f>
        <v>14.825</v>
      </c>
    </row>
    <row r="516" s="2" customFormat="1" spans="1:17">
      <c r="A516" s="17">
        <v>45163</v>
      </c>
      <c r="B516" s="53">
        <v>51.71</v>
      </c>
      <c r="C516" s="19">
        <v>71</v>
      </c>
      <c r="D516" s="19">
        <v>20</v>
      </c>
      <c r="E516" s="40">
        <v>0</v>
      </c>
      <c r="F516" s="39">
        <v>0</v>
      </c>
      <c r="G516" s="19">
        <v>4</v>
      </c>
      <c r="H516" s="19">
        <v>2</v>
      </c>
      <c r="I516" s="19">
        <v>0</v>
      </c>
      <c r="J516" s="20">
        <v>0.2817</v>
      </c>
      <c r="K516" s="53">
        <v>2.89</v>
      </c>
      <c r="L516" s="53">
        <v>812.82</v>
      </c>
      <c r="M516" s="19">
        <v>0</v>
      </c>
      <c r="N516" s="51">
        <v>0</v>
      </c>
      <c r="O516" s="52">
        <f t="shared" si="44"/>
        <v>0</v>
      </c>
      <c r="P516" s="52">
        <f t="shared" si="45"/>
        <v>0</v>
      </c>
      <c r="Q516" s="55">
        <f t="shared" si="46"/>
        <v>12.9275</v>
      </c>
    </row>
    <row r="517" s="2" customFormat="1" spans="1:17">
      <c r="A517" s="17">
        <v>45164</v>
      </c>
      <c r="B517" s="53">
        <v>52.67</v>
      </c>
      <c r="C517" s="19">
        <v>66</v>
      </c>
      <c r="D517" s="19">
        <v>25</v>
      </c>
      <c r="E517" s="19">
        <v>0</v>
      </c>
      <c r="F517" s="53">
        <v>0</v>
      </c>
      <c r="G517" s="19">
        <v>7</v>
      </c>
      <c r="H517" s="19">
        <v>0</v>
      </c>
      <c r="I517" s="19">
        <v>0</v>
      </c>
      <c r="J517" s="20">
        <v>0.3788</v>
      </c>
      <c r="K517" s="53">
        <v>2.11</v>
      </c>
      <c r="L517" s="53">
        <v>798.03</v>
      </c>
      <c r="M517" s="19">
        <v>0</v>
      </c>
      <c r="N517" s="20">
        <v>0</v>
      </c>
      <c r="O517" s="52">
        <f t="shared" si="44"/>
        <v>0</v>
      </c>
      <c r="P517" s="52">
        <f t="shared" si="45"/>
        <v>0</v>
      </c>
      <c r="Q517" s="55">
        <f t="shared" si="46"/>
        <v>7.52428571428571</v>
      </c>
    </row>
    <row r="518" s="2" customFormat="1" spans="1:17">
      <c r="A518" s="17">
        <v>45165</v>
      </c>
      <c r="B518" s="53">
        <v>60.94</v>
      </c>
      <c r="C518" s="19">
        <v>74</v>
      </c>
      <c r="D518" s="19">
        <v>33</v>
      </c>
      <c r="E518" s="19">
        <v>1</v>
      </c>
      <c r="F518" s="53">
        <v>1</v>
      </c>
      <c r="G518" s="19">
        <v>4</v>
      </c>
      <c r="H518" s="19">
        <v>0</v>
      </c>
      <c r="I518" s="19">
        <v>0</v>
      </c>
      <c r="J518" s="20">
        <v>0.4459</v>
      </c>
      <c r="K518" s="53">
        <v>1.85</v>
      </c>
      <c r="L518" s="53">
        <v>823.51</v>
      </c>
      <c r="M518" s="19">
        <v>0.02</v>
      </c>
      <c r="N518" s="20">
        <v>0.0135</v>
      </c>
      <c r="O518" s="52">
        <f t="shared" si="44"/>
        <v>1</v>
      </c>
      <c r="P518" s="52">
        <f t="shared" si="45"/>
        <v>60.94</v>
      </c>
      <c r="Q518" s="55">
        <f t="shared" si="46"/>
        <v>15.235</v>
      </c>
    </row>
    <row r="519" s="2" customFormat="1" spans="1:17">
      <c r="A519" s="17">
        <v>45166</v>
      </c>
      <c r="B519" s="53">
        <v>46.2</v>
      </c>
      <c r="C519" s="19">
        <v>63</v>
      </c>
      <c r="D519" s="19">
        <v>14</v>
      </c>
      <c r="E519" s="19">
        <v>0</v>
      </c>
      <c r="F519" s="53">
        <v>0</v>
      </c>
      <c r="G519" s="19">
        <v>2</v>
      </c>
      <c r="H519" s="19">
        <v>0</v>
      </c>
      <c r="I519" s="19">
        <v>0</v>
      </c>
      <c r="J519" s="20">
        <v>0.222</v>
      </c>
      <c r="K519" s="53">
        <v>3.3</v>
      </c>
      <c r="L519" s="53">
        <v>733.33</v>
      </c>
      <c r="M519" s="19">
        <v>0</v>
      </c>
      <c r="N519" s="20">
        <v>0</v>
      </c>
      <c r="O519" s="52">
        <f t="shared" si="44"/>
        <v>0</v>
      </c>
      <c r="P519" s="52">
        <f t="shared" si="45"/>
        <v>0</v>
      </c>
      <c r="Q519" s="55">
        <f t="shared" si="46"/>
        <v>23.1</v>
      </c>
    </row>
    <row r="520" s="2" customFormat="1" spans="1:17">
      <c r="A520" s="17">
        <v>45167</v>
      </c>
      <c r="B520" s="53">
        <v>39.78</v>
      </c>
      <c r="C520" s="19">
        <v>66</v>
      </c>
      <c r="D520" s="19">
        <v>19</v>
      </c>
      <c r="E520" s="19">
        <v>1</v>
      </c>
      <c r="F520" s="53">
        <v>1</v>
      </c>
      <c r="G520" s="19">
        <v>6</v>
      </c>
      <c r="H520" s="19">
        <v>2</v>
      </c>
      <c r="I520" s="19">
        <v>3</v>
      </c>
      <c r="J520" s="20">
        <v>0.2879</v>
      </c>
      <c r="K520" s="53">
        <v>2.09</v>
      </c>
      <c r="L520" s="53">
        <v>602.73</v>
      </c>
      <c r="M520" s="19">
        <v>0.03</v>
      </c>
      <c r="N520" s="20">
        <v>0.0152</v>
      </c>
      <c r="O520" s="52">
        <f t="shared" si="44"/>
        <v>1</v>
      </c>
      <c r="P520" s="52">
        <f t="shared" si="45"/>
        <v>39.78</v>
      </c>
      <c r="Q520" s="55">
        <f t="shared" si="46"/>
        <v>6.63</v>
      </c>
    </row>
    <row r="521" s="2" customFormat="1" spans="1:17">
      <c r="A521" s="17">
        <v>45168</v>
      </c>
      <c r="B521" s="53">
        <v>59.82</v>
      </c>
      <c r="C521" s="19">
        <v>79</v>
      </c>
      <c r="D521" s="19">
        <v>19</v>
      </c>
      <c r="E521" s="56">
        <v>0</v>
      </c>
      <c r="F521" s="53">
        <v>0</v>
      </c>
      <c r="G521" s="19">
        <v>5</v>
      </c>
      <c r="H521" s="19">
        <v>0</v>
      </c>
      <c r="I521" s="19">
        <v>2</v>
      </c>
      <c r="J521" s="20">
        <v>0.2405</v>
      </c>
      <c r="K521" s="53">
        <v>3.15</v>
      </c>
      <c r="L521" s="53">
        <v>757.22</v>
      </c>
      <c r="M521" s="19">
        <v>0</v>
      </c>
      <c r="N521" s="20">
        <v>0</v>
      </c>
      <c r="O521" s="52">
        <f t="shared" si="44"/>
        <v>0</v>
      </c>
      <c r="P521" s="52">
        <f t="shared" si="45"/>
        <v>0</v>
      </c>
      <c r="Q521" s="55">
        <f t="shared" si="46"/>
        <v>11.964</v>
      </c>
    </row>
    <row r="522" s="2" customFormat="1" spans="1:17">
      <c r="A522" s="17">
        <v>45169</v>
      </c>
      <c r="B522" s="53">
        <v>54.85</v>
      </c>
      <c r="C522" s="19">
        <v>75</v>
      </c>
      <c r="D522" s="19">
        <v>16</v>
      </c>
      <c r="E522" s="19">
        <v>1</v>
      </c>
      <c r="F522" s="53">
        <v>1</v>
      </c>
      <c r="G522" s="19">
        <v>4</v>
      </c>
      <c r="H522" s="19">
        <v>3</v>
      </c>
      <c r="I522" s="19">
        <v>1</v>
      </c>
      <c r="J522" s="20">
        <v>0.2133</v>
      </c>
      <c r="K522" s="53">
        <v>3.43</v>
      </c>
      <c r="L522" s="53">
        <v>731.33</v>
      </c>
      <c r="M522" s="19">
        <v>0.02</v>
      </c>
      <c r="N522" s="20">
        <v>0.0133</v>
      </c>
      <c r="O522" s="52">
        <f t="shared" si="44"/>
        <v>1</v>
      </c>
      <c r="P522" s="52">
        <f t="shared" si="45"/>
        <v>54.85</v>
      </c>
      <c r="Q522" s="55">
        <f t="shared" si="46"/>
        <v>13.7125</v>
      </c>
    </row>
    <row r="523" s="2" customFormat="1" spans="1:17">
      <c r="A523" s="17">
        <v>45170</v>
      </c>
      <c r="B523" s="49">
        <v>43.29</v>
      </c>
      <c r="C523" s="57">
        <v>57</v>
      </c>
      <c r="D523" s="57">
        <v>14</v>
      </c>
      <c r="E523" s="19">
        <v>0</v>
      </c>
      <c r="F523" s="53">
        <v>0</v>
      </c>
      <c r="G523" s="19">
        <v>0</v>
      </c>
      <c r="H523" s="19">
        <v>0</v>
      </c>
      <c r="I523" s="19">
        <v>0</v>
      </c>
      <c r="J523" s="20">
        <v>0.2456</v>
      </c>
      <c r="K523" s="53">
        <v>3.09</v>
      </c>
      <c r="L523" s="53">
        <v>759.47</v>
      </c>
      <c r="M523" s="19">
        <v>0</v>
      </c>
      <c r="N523" s="20">
        <v>0</v>
      </c>
      <c r="O523" s="52">
        <f t="shared" si="44"/>
        <v>0</v>
      </c>
      <c r="P523" s="52">
        <f t="shared" si="45"/>
        <v>0</v>
      </c>
      <c r="Q523" s="55" t="e">
        <f t="shared" si="46"/>
        <v>#DIV/0!</v>
      </c>
    </row>
    <row r="524" s="2" customFormat="1" spans="1:17">
      <c r="A524" s="17">
        <v>45171</v>
      </c>
      <c r="B524" s="49">
        <v>35.08</v>
      </c>
      <c r="C524" s="57">
        <v>47</v>
      </c>
      <c r="D524" s="57">
        <v>10</v>
      </c>
      <c r="E524" s="19">
        <v>0</v>
      </c>
      <c r="F524" s="53">
        <v>0</v>
      </c>
      <c r="G524" s="19">
        <v>1</v>
      </c>
      <c r="H524" s="19">
        <v>0</v>
      </c>
      <c r="I524" s="19">
        <v>0</v>
      </c>
      <c r="J524" s="20">
        <v>0.2128</v>
      </c>
      <c r="K524" s="53">
        <v>3.51</v>
      </c>
      <c r="L524" s="53">
        <v>746.38</v>
      </c>
      <c r="M524" s="19">
        <v>0</v>
      </c>
      <c r="N524" s="20">
        <v>0</v>
      </c>
      <c r="O524" s="52">
        <f t="shared" si="44"/>
        <v>0</v>
      </c>
      <c r="P524" s="52">
        <f t="shared" si="45"/>
        <v>0</v>
      </c>
      <c r="Q524" s="55">
        <f t="shared" si="46"/>
        <v>35.08</v>
      </c>
    </row>
    <row r="525" s="2" customFormat="1" spans="1:17">
      <c r="A525" s="17">
        <v>45172</v>
      </c>
      <c r="B525" s="49">
        <v>32.48</v>
      </c>
      <c r="C525" s="57">
        <v>46</v>
      </c>
      <c r="D525" s="57">
        <v>13</v>
      </c>
      <c r="E525" s="19">
        <v>0</v>
      </c>
      <c r="F525" s="53">
        <v>0</v>
      </c>
      <c r="G525" s="19">
        <v>2</v>
      </c>
      <c r="H525" s="19">
        <v>1</v>
      </c>
      <c r="I525" s="19">
        <v>1</v>
      </c>
      <c r="J525" s="20">
        <v>0.2826</v>
      </c>
      <c r="K525" s="53">
        <v>2.5</v>
      </c>
      <c r="L525" s="53">
        <v>706.69</v>
      </c>
      <c r="M525" s="19">
        <v>0</v>
      </c>
      <c r="N525" s="20">
        <v>0</v>
      </c>
      <c r="O525" s="52">
        <f t="shared" si="44"/>
        <v>0</v>
      </c>
      <c r="P525" s="52">
        <f t="shared" si="45"/>
        <v>0</v>
      </c>
      <c r="Q525" s="55">
        <f t="shared" si="46"/>
        <v>16.24</v>
      </c>
    </row>
    <row r="526" s="2" customFormat="1" spans="1:17">
      <c r="A526" s="17">
        <v>45173</v>
      </c>
      <c r="B526" s="49">
        <v>59.41</v>
      </c>
      <c r="C526" s="57">
        <v>78</v>
      </c>
      <c r="D526" s="57">
        <v>14</v>
      </c>
      <c r="E526" s="19">
        <v>0</v>
      </c>
      <c r="F526" s="53">
        <v>0</v>
      </c>
      <c r="G526" s="19">
        <v>10</v>
      </c>
      <c r="H526" s="19">
        <v>0</v>
      </c>
      <c r="I526" s="19">
        <v>0</v>
      </c>
      <c r="J526" s="20">
        <v>0.1795</v>
      </c>
      <c r="K526" s="53">
        <v>4.24</v>
      </c>
      <c r="L526" s="53">
        <v>761.67</v>
      </c>
      <c r="M526" s="19">
        <v>0</v>
      </c>
      <c r="N526" s="20">
        <v>0</v>
      </c>
      <c r="O526" s="52">
        <f t="shared" si="44"/>
        <v>0</v>
      </c>
      <c r="P526" s="52">
        <f t="shared" si="45"/>
        <v>0</v>
      </c>
      <c r="Q526" s="55">
        <f t="shared" si="46"/>
        <v>5.941</v>
      </c>
    </row>
    <row r="527" s="2" customFormat="1" spans="1:17">
      <c r="A527" s="17">
        <v>45174</v>
      </c>
      <c r="B527" s="53">
        <v>54</v>
      </c>
      <c r="C527" s="57">
        <v>80</v>
      </c>
      <c r="D527" s="57">
        <v>24</v>
      </c>
      <c r="E527" s="19">
        <v>0</v>
      </c>
      <c r="F527" s="53">
        <v>0</v>
      </c>
      <c r="G527" s="19">
        <v>6</v>
      </c>
      <c r="H527" s="19">
        <v>1</v>
      </c>
      <c r="I527" s="19">
        <v>1</v>
      </c>
      <c r="J527" s="20">
        <v>0.3</v>
      </c>
      <c r="K527" s="53">
        <v>2.24</v>
      </c>
      <c r="L527" s="53">
        <v>673</v>
      </c>
      <c r="M527" s="19">
        <v>0</v>
      </c>
      <c r="N527" s="20">
        <v>0</v>
      </c>
      <c r="O527" s="52">
        <f t="shared" si="44"/>
        <v>0</v>
      </c>
      <c r="P527" s="52">
        <f t="shared" si="45"/>
        <v>0</v>
      </c>
      <c r="Q527" s="55">
        <f t="shared" si="46"/>
        <v>9</v>
      </c>
    </row>
    <row r="528" s="2" customFormat="1" spans="1:17">
      <c r="A528" s="17">
        <v>45175</v>
      </c>
      <c r="B528" s="53">
        <v>42</v>
      </c>
      <c r="C528" s="57">
        <v>56</v>
      </c>
      <c r="D528" s="57">
        <v>18</v>
      </c>
      <c r="E528" s="19">
        <v>0</v>
      </c>
      <c r="F528" s="53">
        <v>0</v>
      </c>
      <c r="G528" s="19">
        <v>1</v>
      </c>
      <c r="H528" s="19">
        <v>2</v>
      </c>
      <c r="I528" s="19">
        <v>0</v>
      </c>
      <c r="J528" s="20">
        <v>0.3214</v>
      </c>
      <c r="K528" s="53">
        <v>2.36</v>
      </c>
      <c r="L528" s="53">
        <v>758.04</v>
      </c>
      <c r="M528" s="19">
        <v>0</v>
      </c>
      <c r="N528" s="20">
        <v>0</v>
      </c>
      <c r="O528" s="52">
        <f t="shared" si="44"/>
        <v>0</v>
      </c>
      <c r="P528" s="52">
        <f t="shared" si="45"/>
        <v>0</v>
      </c>
      <c r="Q528" s="55">
        <f t="shared" si="46"/>
        <v>42</v>
      </c>
    </row>
    <row r="529" s="2" customFormat="1" spans="1:17">
      <c r="A529" s="17">
        <v>45176</v>
      </c>
      <c r="B529" s="49">
        <v>33.75</v>
      </c>
      <c r="C529" s="57">
        <v>43</v>
      </c>
      <c r="D529" s="57">
        <v>15</v>
      </c>
      <c r="E529" s="56">
        <v>0</v>
      </c>
      <c r="F529" s="53">
        <v>0</v>
      </c>
      <c r="G529" s="19">
        <v>2</v>
      </c>
      <c r="H529" s="19">
        <v>0</v>
      </c>
      <c r="I529" s="19">
        <v>1</v>
      </c>
      <c r="J529" s="20">
        <v>0.3488</v>
      </c>
      <c r="K529" s="53">
        <v>2.25</v>
      </c>
      <c r="L529" s="53">
        <v>784.88</v>
      </c>
      <c r="M529" s="19">
        <v>0</v>
      </c>
      <c r="N529" s="20">
        <v>0</v>
      </c>
      <c r="O529" s="52">
        <f t="shared" si="44"/>
        <v>0</v>
      </c>
      <c r="P529" s="52">
        <f t="shared" si="45"/>
        <v>0</v>
      </c>
      <c r="Q529" s="55">
        <f t="shared" si="46"/>
        <v>16.875</v>
      </c>
    </row>
    <row r="530" s="2" customFormat="1" spans="1:17">
      <c r="A530" s="17">
        <v>45177</v>
      </c>
      <c r="B530" s="58">
        <v>55</v>
      </c>
      <c r="C530" s="57">
        <v>77</v>
      </c>
      <c r="D530" s="57">
        <v>22</v>
      </c>
      <c r="E530" s="19">
        <v>0</v>
      </c>
      <c r="F530" s="53">
        <v>0</v>
      </c>
      <c r="G530" s="19">
        <v>4</v>
      </c>
      <c r="H530" s="19">
        <v>3</v>
      </c>
      <c r="I530" s="19">
        <v>2</v>
      </c>
      <c r="J530" s="20">
        <v>0.2857</v>
      </c>
      <c r="K530" s="53">
        <v>2.51</v>
      </c>
      <c r="L530" s="53">
        <v>717.4</v>
      </c>
      <c r="M530" s="19">
        <v>0</v>
      </c>
      <c r="N530" s="20">
        <v>0</v>
      </c>
      <c r="O530" s="52">
        <f t="shared" si="44"/>
        <v>0</v>
      </c>
      <c r="P530" s="52">
        <f t="shared" si="45"/>
        <v>0</v>
      </c>
      <c r="Q530" s="55">
        <f t="shared" si="46"/>
        <v>13.75</v>
      </c>
    </row>
    <row r="531" s="2" customFormat="1" spans="1:17">
      <c r="A531" s="17">
        <v>45178</v>
      </c>
      <c r="B531" s="58">
        <v>31</v>
      </c>
      <c r="C531" s="57">
        <v>43</v>
      </c>
      <c r="D531" s="57">
        <v>11</v>
      </c>
      <c r="E531" s="19">
        <v>0</v>
      </c>
      <c r="F531" s="53">
        <v>0</v>
      </c>
      <c r="G531" s="19">
        <v>3</v>
      </c>
      <c r="H531" s="19">
        <v>1</v>
      </c>
      <c r="I531" s="19">
        <v>1</v>
      </c>
      <c r="J531" s="20">
        <v>0.2558</v>
      </c>
      <c r="K531" s="53">
        <v>2.79</v>
      </c>
      <c r="L531" s="53">
        <v>713.26</v>
      </c>
      <c r="M531" s="19">
        <v>0</v>
      </c>
      <c r="N531" s="20">
        <v>0</v>
      </c>
      <c r="O531" s="52">
        <f t="shared" si="44"/>
        <v>0</v>
      </c>
      <c r="P531" s="52">
        <f t="shared" si="45"/>
        <v>0</v>
      </c>
      <c r="Q531" s="55">
        <f t="shared" si="46"/>
        <v>10.3333333333333</v>
      </c>
    </row>
    <row r="532" s="2" customFormat="1" spans="1:17">
      <c r="A532" s="17">
        <v>45179</v>
      </c>
      <c r="B532" s="58">
        <v>39</v>
      </c>
      <c r="C532" s="57">
        <v>50</v>
      </c>
      <c r="D532" s="57">
        <v>23</v>
      </c>
      <c r="E532" s="19">
        <v>0</v>
      </c>
      <c r="F532" s="53">
        <v>0</v>
      </c>
      <c r="G532" s="19">
        <v>1</v>
      </c>
      <c r="H532" s="19">
        <v>1</v>
      </c>
      <c r="I532" s="19">
        <v>1</v>
      </c>
      <c r="J532" s="20" t="s">
        <v>21</v>
      </c>
      <c r="K532" s="53">
        <v>1.68</v>
      </c>
      <c r="L532" s="53">
        <v>772.6</v>
      </c>
      <c r="M532" s="19">
        <v>0</v>
      </c>
      <c r="N532" s="20">
        <v>0</v>
      </c>
      <c r="O532" s="52">
        <f t="shared" si="44"/>
        <v>0</v>
      </c>
      <c r="P532" s="52">
        <f t="shared" si="45"/>
        <v>0</v>
      </c>
      <c r="Q532" s="55">
        <f t="shared" si="46"/>
        <v>39</v>
      </c>
    </row>
    <row r="533" s="2" customFormat="1" spans="1:17">
      <c r="A533" s="17">
        <v>45180</v>
      </c>
      <c r="B533" s="58">
        <v>42</v>
      </c>
      <c r="C533" s="57">
        <v>60</v>
      </c>
      <c r="D533" s="59">
        <v>17</v>
      </c>
      <c r="E533" s="19">
        <v>0</v>
      </c>
      <c r="F533" s="53">
        <v>0</v>
      </c>
      <c r="G533" s="19">
        <v>6</v>
      </c>
      <c r="H533" s="19">
        <v>0</v>
      </c>
      <c r="I533" s="19">
        <v>0</v>
      </c>
      <c r="J533" s="20">
        <v>0.2833</v>
      </c>
      <c r="K533" s="53">
        <v>2.45</v>
      </c>
      <c r="L533" s="53">
        <v>695.33</v>
      </c>
      <c r="M533" s="19">
        <v>0</v>
      </c>
      <c r="N533" s="20">
        <v>0</v>
      </c>
      <c r="O533" s="52">
        <f t="shared" si="44"/>
        <v>0</v>
      </c>
      <c r="P533" s="52">
        <f t="shared" si="45"/>
        <v>0</v>
      </c>
      <c r="Q533" s="55">
        <f t="shared" si="46"/>
        <v>7</v>
      </c>
    </row>
    <row r="534" s="2" customFormat="1" spans="1:17">
      <c r="A534" s="17">
        <v>45181</v>
      </c>
      <c r="B534" s="58">
        <v>42</v>
      </c>
      <c r="C534" s="57">
        <v>64</v>
      </c>
      <c r="D534" s="57">
        <v>41</v>
      </c>
      <c r="E534" s="19">
        <v>1</v>
      </c>
      <c r="F534" s="53">
        <v>2</v>
      </c>
      <c r="G534" s="19">
        <v>5</v>
      </c>
      <c r="H534" s="19">
        <v>2</v>
      </c>
      <c r="I534" s="19">
        <v>3</v>
      </c>
      <c r="J534" s="20">
        <v>0.6406</v>
      </c>
      <c r="K534" s="53">
        <v>1.04</v>
      </c>
      <c r="L534" s="53">
        <v>663.75</v>
      </c>
      <c r="M534" s="19">
        <v>0.05</v>
      </c>
      <c r="N534" s="20">
        <f>E534/D534</f>
        <v>0.024390243902439</v>
      </c>
      <c r="O534" s="52">
        <f t="shared" si="44"/>
        <v>2</v>
      </c>
      <c r="P534" s="52">
        <f t="shared" si="45"/>
        <v>42</v>
      </c>
      <c r="Q534" s="55">
        <f t="shared" si="46"/>
        <v>8.4</v>
      </c>
    </row>
    <row r="535" s="2" customFormat="1" spans="1:17">
      <c r="A535" s="17">
        <v>45182</v>
      </c>
      <c r="B535" s="53">
        <v>62</v>
      </c>
      <c r="C535" s="57">
        <v>79</v>
      </c>
      <c r="D535" s="57">
        <v>35</v>
      </c>
      <c r="E535" s="19">
        <v>0</v>
      </c>
      <c r="F535" s="53">
        <v>0</v>
      </c>
      <c r="G535" s="19">
        <v>2</v>
      </c>
      <c r="H535" s="19">
        <v>1</v>
      </c>
      <c r="I535" s="19">
        <v>2</v>
      </c>
      <c r="J535" s="20">
        <v>0.443</v>
      </c>
      <c r="K535" s="53">
        <v>1.76</v>
      </c>
      <c r="L535" s="53">
        <v>779.62</v>
      </c>
      <c r="M535" s="19">
        <v>0</v>
      </c>
      <c r="N535" s="20">
        <f>E535/D535</f>
        <v>0</v>
      </c>
      <c r="O535" s="52">
        <f t="shared" si="44"/>
        <v>0</v>
      </c>
      <c r="P535" s="52">
        <f t="shared" si="45"/>
        <v>0</v>
      </c>
      <c r="Q535" s="55">
        <f t="shared" si="46"/>
        <v>31</v>
      </c>
    </row>
    <row r="536" s="2" customFormat="1" spans="1:17">
      <c r="A536" s="17">
        <v>45183</v>
      </c>
      <c r="B536" s="53">
        <v>67</v>
      </c>
      <c r="C536" s="57">
        <v>97</v>
      </c>
      <c r="D536" s="57">
        <v>37</v>
      </c>
      <c r="E536" s="19">
        <v>0</v>
      </c>
      <c r="F536" s="60">
        <v>0</v>
      </c>
      <c r="G536" s="19">
        <v>11</v>
      </c>
      <c r="H536" s="19">
        <v>0</v>
      </c>
      <c r="I536" s="19">
        <v>3</v>
      </c>
      <c r="J536" s="20">
        <v>0.3814</v>
      </c>
      <c r="K536" s="53">
        <v>1.8</v>
      </c>
      <c r="L536" s="53">
        <v>688.04</v>
      </c>
      <c r="M536" s="19">
        <v>0</v>
      </c>
      <c r="N536" s="20">
        <v>0</v>
      </c>
      <c r="O536" s="52">
        <f t="shared" si="44"/>
        <v>0</v>
      </c>
      <c r="P536" s="52">
        <f t="shared" si="45"/>
        <v>0</v>
      </c>
      <c r="Q536" s="55">
        <f t="shared" si="46"/>
        <v>6.09090909090909</v>
      </c>
    </row>
    <row r="537" s="2" customFormat="1" spans="1:17">
      <c r="A537" s="17">
        <v>45184</v>
      </c>
      <c r="B537" s="53">
        <v>34</v>
      </c>
      <c r="C537" s="57">
        <v>48</v>
      </c>
      <c r="D537" s="57">
        <v>17</v>
      </c>
      <c r="E537" s="19">
        <v>0</v>
      </c>
      <c r="F537" s="53">
        <v>0</v>
      </c>
      <c r="G537" s="19">
        <v>2</v>
      </c>
      <c r="H537" s="19">
        <v>0</v>
      </c>
      <c r="I537" s="19">
        <v>1</v>
      </c>
      <c r="J537" s="20">
        <v>0.3542</v>
      </c>
      <c r="K537" s="53">
        <v>2.01</v>
      </c>
      <c r="L537" s="53">
        <v>712.71</v>
      </c>
      <c r="M537" s="19">
        <v>0</v>
      </c>
      <c r="N537" s="20">
        <v>0</v>
      </c>
      <c r="O537" s="52">
        <f t="shared" si="44"/>
        <v>0</v>
      </c>
      <c r="P537" s="52">
        <f t="shared" si="45"/>
        <v>0</v>
      </c>
      <c r="Q537" s="55">
        <f t="shared" si="46"/>
        <v>17</v>
      </c>
    </row>
    <row r="538" s="2" customFormat="1" spans="1:17">
      <c r="A538" s="17">
        <v>45185</v>
      </c>
      <c r="B538" s="53">
        <v>39</v>
      </c>
      <c r="C538" s="57">
        <v>62</v>
      </c>
      <c r="D538" s="57">
        <v>23</v>
      </c>
      <c r="E538" s="19">
        <v>0</v>
      </c>
      <c r="F538" s="60">
        <v>0</v>
      </c>
      <c r="G538" s="19">
        <v>1</v>
      </c>
      <c r="H538" s="19">
        <v>3</v>
      </c>
      <c r="I538" s="19">
        <v>1</v>
      </c>
      <c r="J538" s="20">
        <v>0.371</v>
      </c>
      <c r="K538" s="53">
        <v>1.68</v>
      </c>
      <c r="L538" s="53">
        <v>624.84</v>
      </c>
      <c r="M538" s="19">
        <v>0</v>
      </c>
      <c r="N538" s="20">
        <v>0</v>
      </c>
      <c r="O538" s="52">
        <f t="shared" si="44"/>
        <v>0</v>
      </c>
      <c r="P538" s="52">
        <f t="shared" si="45"/>
        <v>0</v>
      </c>
      <c r="Q538" s="55">
        <f t="shared" si="46"/>
        <v>39</v>
      </c>
    </row>
    <row r="539" s="2" customFormat="1" spans="1:17">
      <c r="A539" s="17">
        <v>45186</v>
      </c>
      <c r="B539" s="53">
        <v>25</v>
      </c>
      <c r="C539" s="57">
        <v>34</v>
      </c>
      <c r="D539" s="57">
        <v>7</v>
      </c>
      <c r="E539" s="19">
        <v>0</v>
      </c>
      <c r="F539" s="53">
        <v>0</v>
      </c>
      <c r="G539" s="19">
        <v>2</v>
      </c>
      <c r="H539" s="19">
        <v>0</v>
      </c>
      <c r="I539" s="19">
        <v>0</v>
      </c>
      <c r="J539" s="20">
        <v>0.2059</v>
      </c>
      <c r="K539" s="53">
        <v>3.51</v>
      </c>
      <c r="L539" s="53">
        <v>721.76</v>
      </c>
      <c r="M539" s="19">
        <v>0</v>
      </c>
      <c r="N539" s="20">
        <v>0</v>
      </c>
      <c r="O539" s="52">
        <f t="shared" si="44"/>
        <v>0</v>
      </c>
      <c r="P539" s="52">
        <f t="shared" si="45"/>
        <v>0</v>
      </c>
      <c r="Q539" s="55">
        <f t="shared" si="46"/>
        <v>12.5</v>
      </c>
    </row>
    <row r="540" s="2" customFormat="1" spans="1:17">
      <c r="A540" s="17">
        <v>45187</v>
      </c>
      <c r="B540" s="49">
        <v>45.44</v>
      </c>
      <c r="C540" s="57">
        <v>58</v>
      </c>
      <c r="D540" s="57">
        <v>25</v>
      </c>
      <c r="E540" s="19">
        <v>0</v>
      </c>
      <c r="F540" s="60">
        <v>0</v>
      </c>
      <c r="G540" s="19">
        <v>7</v>
      </c>
      <c r="H540" s="19">
        <v>0</v>
      </c>
      <c r="I540" s="19">
        <v>2</v>
      </c>
      <c r="J540" s="20">
        <v>0.431</v>
      </c>
      <c r="K540" s="53">
        <v>1.82</v>
      </c>
      <c r="L540" s="24">
        <v>783.45</v>
      </c>
      <c r="M540" s="19">
        <v>0</v>
      </c>
      <c r="N540" s="20">
        <v>0</v>
      </c>
      <c r="O540" s="52">
        <f t="shared" si="44"/>
        <v>0</v>
      </c>
      <c r="P540" s="52">
        <f t="shared" si="45"/>
        <v>0</v>
      </c>
      <c r="Q540" s="55">
        <f t="shared" si="46"/>
        <v>6.49142857142857</v>
      </c>
    </row>
    <row r="541" s="2" customFormat="1" spans="1:17">
      <c r="A541" s="17">
        <v>45188</v>
      </c>
      <c r="B541" s="58">
        <v>53.95</v>
      </c>
      <c r="C541" s="57">
        <v>70</v>
      </c>
      <c r="D541" s="57">
        <v>26</v>
      </c>
      <c r="E541" s="19">
        <v>0</v>
      </c>
      <c r="F541" s="60">
        <v>0</v>
      </c>
      <c r="G541" s="19">
        <v>1</v>
      </c>
      <c r="H541" s="19">
        <v>0</v>
      </c>
      <c r="I541" s="19">
        <v>0</v>
      </c>
      <c r="J541" s="20">
        <v>0.3714</v>
      </c>
      <c r="K541" s="53">
        <v>2.08</v>
      </c>
      <c r="L541" s="24">
        <v>770.71</v>
      </c>
      <c r="M541" s="19">
        <v>0</v>
      </c>
      <c r="N541" s="20">
        <v>0</v>
      </c>
      <c r="O541" s="52">
        <f t="shared" si="44"/>
        <v>0</v>
      </c>
      <c r="P541" s="52">
        <f t="shared" si="45"/>
        <v>0</v>
      </c>
      <c r="Q541" s="55">
        <f t="shared" si="46"/>
        <v>53.95</v>
      </c>
    </row>
    <row r="542" s="2" customFormat="1" spans="1:17">
      <c r="A542" s="17">
        <v>45189</v>
      </c>
      <c r="B542" s="58">
        <v>48.63</v>
      </c>
      <c r="C542" s="57">
        <v>64</v>
      </c>
      <c r="D542" s="57">
        <v>37</v>
      </c>
      <c r="E542" s="19">
        <v>0</v>
      </c>
      <c r="F542" s="60">
        <v>0</v>
      </c>
      <c r="G542" s="19">
        <v>2</v>
      </c>
      <c r="H542" s="19">
        <v>1</v>
      </c>
      <c r="I542" s="19">
        <v>1</v>
      </c>
      <c r="J542" s="20">
        <v>0.5781</v>
      </c>
      <c r="K542" s="53">
        <v>1.31</v>
      </c>
      <c r="L542" s="24">
        <v>759.84</v>
      </c>
      <c r="M542" s="19">
        <v>0</v>
      </c>
      <c r="N542" s="20">
        <v>0</v>
      </c>
      <c r="O542" s="52">
        <f t="shared" si="44"/>
        <v>0</v>
      </c>
      <c r="P542" s="52">
        <f t="shared" si="45"/>
        <v>0</v>
      </c>
      <c r="Q542" s="55">
        <f t="shared" si="46"/>
        <v>24.315</v>
      </c>
    </row>
    <row r="543" s="2" customFormat="1" spans="1:17">
      <c r="A543" s="61">
        <v>45190</v>
      </c>
      <c r="B543" s="62">
        <v>62.29</v>
      </c>
      <c r="C543" s="63">
        <v>79</v>
      </c>
      <c r="D543" s="63">
        <v>55</v>
      </c>
      <c r="E543" s="64">
        <v>1</v>
      </c>
      <c r="F543" s="65">
        <v>1</v>
      </c>
      <c r="G543" s="64">
        <v>1</v>
      </c>
      <c r="H543" s="64">
        <v>0</v>
      </c>
      <c r="I543" s="64">
        <v>4</v>
      </c>
      <c r="J543" s="66">
        <v>0.6926</v>
      </c>
      <c r="K543" s="65">
        <v>1.13</v>
      </c>
      <c r="L543" s="67">
        <v>788.48</v>
      </c>
      <c r="M543" s="64">
        <v>0</v>
      </c>
      <c r="N543" s="66">
        <v>0</v>
      </c>
      <c r="O543" s="52">
        <f t="shared" si="44"/>
        <v>1</v>
      </c>
      <c r="P543" s="52">
        <f t="shared" si="45"/>
        <v>62.29</v>
      </c>
      <c r="Q543" s="68">
        <f t="shared" si="46"/>
        <v>62.29</v>
      </c>
    </row>
    <row r="544" s="2" customFormat="1" spans="1:17">
      <c r="A544" s="61">
        <v>45191</v>
      </c>
      <c r="B544" s="69">
        <v>23.37</v>
      </c>
      <c r="C544" s="70">
        <v>25</v>
      </c>
      <c r="D544" s="70">
        <v>17</v>
      </c>
      <c r="E544" s="64">
        <v>0</v>
      </c>
      <c r="F544" s="65">
        <v>0</v>
      </c>
      <c r="G544" s="64">
        <v>2</v>
      </c>
      <c r="H544" s="64">
        <v>0</v>
      </c>
      <c r="I544" s="64">
        <v>0</v>
      </c>
      <c r="J544" s="66">
        <v>0.68</v>
      </c>
      <c r="K544" s="65">
        <v>1.37</v>
      </c>
      <c r="L544" s="67">
        <v>934.8</v>
      </c>
      <c r="M544" s="64">
        <v>0</v>
      </c>
      <c r="N544" s="66">
        <v>0</v>
      </c>
      <c r="O544" s="52">
        <f t="shared" si="44"/>
        <v>0</v>
      </c>
      <c r="P544" s="52">
        <f t="shared" si="45"/>
        <v>0</v>
      </c>
      <c r="Q544" s="68">
        <f t="shared" si="46"/>
        <v>11.685</v>
      </c>
    </row>
    <row r="545" s="2" customFormat="1" spans="1:17">
      <c r="A545" s="61">
        <v>45192</v>
      </c>
      <c r="B545" s="69">
        <v>15.43</v>
      </c>
      <c r="C545" s="70">
        <v>15</v>
      </c>
      <c r="D545" s="70">
        <v>8</v>
      </c>
      <c r="E545" s="64">
        <v>0</v>
      </c>
      <c r="F545" s="65">
        <v>0</v>
      </c>
      <c r="G545" s="64">
        <v>1</v>
      </c>
      <c r="H545" s="64">
        <v>0</v>
      </c>
      <c r="I545" s="64">
        <v>0</v>
      </c>
      <c r="J545" s="66">
        <v>0.5333</v>
      </c>
      <c r="K545" s="65">
        <v>1.93</v>
      </c>
      <c r="L545" s="67">
        <v>1028.67</v>
      </c>
      <c r="M545" s="64">
        <v>0</v>
      </c>
      <c r="N545" s="66">
        <v>0</v>
      </c>
      <c r="O545" s="52">
        <f t="shared" si="44"/>
        <v>0</v>
      </c>
      <c r="P545" s="52">
        <f t="shared" si="45"/>
        <v>0</v>
      </c>
      <c r="Q545" s="68">
        <f t="shared" si="46"/>
        <v>15.43</v>
      </c>
    </row>
    <row r="546" s="2" customFormat="1" spans="1:17">
      <c r="A546" s="61">
        <v>45193</v>
      </c>
      <c r="B546" s="69">
        <v>22.53</v>
      </c>
      <c r="C546" s="70">
        <v>27</v>
      </c>
      <c r="D546" s="70">
        <v>12</v>
      </c>
      <c r="E546" s="64">
        <v>0</v>
      </c>
      <c r="F546" s="65">
        <v>0</v>
      </c>
      <c r="G546" s="64">
        <v>4</v>
      </c>
      <c r="H546" s="64">
        <v>0</v>
      </c>
      <c r="I546" s="64">
        <v>1</v>
      </c>
      <c r="J546" s="66">
        <v>0.4444</v>
      </c>
      <c r="K546" s="65">
        <v>1.88</v>
      </c>
      <c r="L546" s="67">
        <v>834.44</v>
      </c>
      <c r="M546" s="64">
        <v>0</v>
      </c>
      <c r="N546" s="66">
        <v>0</v>
      </c>
      <c r="O546" s="52">
        <f t="shared" si="44"/>
        <v>0</v>
      </c>
      <c r="P546" s="52">
        <f t="shared" si="45"/>
        <v>0</v>
      </c>
      <c r="Q546" s="68">
        <f t="shared" si="46"/>
        <v>5.6325</v>
      </c>
    </row>
    <row r="547" s="2" customFormat="1" spans="1:17">
      <c r="A547" s="61">
        <v>45194</v>
      </c>
      <c r="B547" s="62">
        <v>28.01</v>
      </c>
      <c r="C547" s="63">
        <v>39</v>
      </c>
      <c r="D547" s="63">
        <v>21</v>
      </c>
      <c r="E547" s="64">
        <v>0</v>
      </c>
      <c r="F547" s="65">
        <v>0</v>
      </c>
      <c r="G547" s="64">
        <v>2</v>
      </c>
      <c r="H547" s="64">
        <v>0</v>
      </c>
      <c r="I547" s="64">
        <v>1</v>
      </c>
      <c r="J547" s="66">
        <v>0.5385</v>
      </c>
      <c r="K547" s="67">
        <v>1.33</v>
      </c>
      <c r="L547" s="67">
        <v>718.21</v>
      </c>
      <c r="M547" s="64">
        <v>0</v>
      </c>
      <c r="N547" s="66">
        <v>0</v>
      </c>
      <c r="O547" s="52">
        <f t="shared" si="44"/>
        <v>0</v>
      </c>
      <c r="P547" s="52">
        <f t="shared" si="45"/>
        <v>0</v>
      </c>
      <c r="Q547" s="68">
        <f t="shared" si="46"/>
        <v>14.005</v>
      </c>
    </row>
    <row r="548" s="2" customFormat="1" spans="1:17">
      <c r="A548" s="61">
        <v>45195</v>
      </c>
      <c r="B548" s="69">
        <v>8.9</v>
      </c>
      <c r="C548" s="70">
        <v>14</v>
      </c>
      <c r="D548" s="70">
        <v>6</v>
      </c>
      <c r="E548" s="64">
        <v>0</v>
      </c>
      <c r="F548" s="65">
        <v>0</v>
      </c>
      <c r="G548" s="64">
        <v>0</v>
      </c>
      <c r="H548" s="64">
        <v>0</v>
      </c>
      <c r="I548" s="64">
        <v>0</v>
      </c>
      <c r="J548" s="66">
        <v>0.4286</v>
      </c>
      <c r="K548" s="67">
        <v>1.48</v>
      </c>
      <c r="L548" s="67">
        <v>635.71</v>
      </c>
      <c r="M548" s="64">
        <v>0</v>
      </c>
      <c r="N548" s="66">
        <v>0</v>
      </c>
      <c r="O548" s="52">
        <f t="shared" si="44"/>
        <v>0</v>
      </c>
      <c r="P548" s="52">
        <f t="shared" si="45"/>
        <v>0</v>
      </c>
      <c r="Q548" s="68" t="e">
        <f t="shared" si="46"/>
        <v>#DIV/0!</v>
      </c>
    </row>
    <row r="549" s="2" customFormat="1" spans="1:17">
      <c r="A549" s="61">
        <v>45196</v>
      </c>
      <c r="B549" s="71">
        <v>20.3</v>
      </c>
      <c r="C549" s="72">
        <v>26</v>
      </c>
      <c r="D549" s="72">
        <v>5</v>
      </c>
      <c r="E549" s="64">
        <v>1</v>
      </c>
      <c r="F549" s="65">
        <v>9.9</v>
      </c>
      <c r="G549" s="64">
        <v>1</v>
      </c>
      <c r="H549" s="64">
        <v>0</v>
      </c>
      <c r="I549" s="64">
        <v>0</v>
      </c>
      <c r="J549" s="66">
        <f t="shared" ref="J549:J561" si="47">F549/B549</f>
        <v>0.487684729064039</v>
      </c>
      <c r="K549" s="67">
        <f t="shared" ref="K549:K561" si="48">B549/D549</f>
        <v>4.06</v>
      </c>
      <c r="L549" s="67">
        <f t="shared" ref="L549:L574" si="49">B550/C550*1000</f>
        <v>963.636363636364</v>
      </c>
      <c r="M549" s="73">
        <f t="shared" ref="M549:M612" si="50">F549/B549</f>
        <v>0.487684729064039</v>
      </c>
      <c r="N549" s="66">
        <f t="shared" ref="N549:N612" si="51">E549/D549</f>
        <v>0.2</v>
      </c>
      <c r="O549" s="52">
        <f t="shared" si="44"/>
        <v>9.9</v>
      </c>
      <c r="P549" s="52">
        <f t="shared" si="45"/>
        <v>20.3</v>
      </c>
      <c r="Q549" s="68">
        <f t="shared" si="46"/>
        <v>20.3</v>
      </c>
    </row>
    <row r="550" s="2" customFormat="1" spans="1:17">
      <c r="A550" s="61">
        <v>45197</v>
      </c>
      <c r="B550" s="71">
        <v>42.4</v>
      </c>
      <c r="C550" s="72">
        <v>44</v>
      </c>
      <c r="D550" s="72">
        <v>24</v>
      </c>
      <c r="E550" s="64">
        <v>1</v>
      </c>
      <c r="F550" s="65">
        <v>7260</v>
      </c>
      <c r="G550" s="64">
        <v>1</v>
      </c>
      <c r="H550" s="64">
        <v>0</v>
      </c>
      <c r="I550" s="64">
        <v>0</v>
      </c>
      <c r="J550" s="66">
        <f t="shared" si="47"/>
        <v>171.22641509434</v>
      </c>
      <c r="K550" s="67">
        <f t="shared" si="48"/>
        <v>1.76666666666667</v>
      </c>
      <c r="L550" s="67">
        <f t="shared" si="49"/>
        <v>968.75</v>
      </c>
      <c r="M550" s="73">
        <f t="shared" si="50"/>
        <v>171.22641509434</v>
      </c>
      <c r="N550" s="66">
        <f t="shared" si="51"/>
        <v>0.0416666666666667</v>
      </c>
      <c r="O550" s="52">
        <f t="shared" si="44"/>
        <v>7260</v>
      </c>
      <c r="P550" s="52">
        <f t="shared" si="45"/>
        <v>42.4</v>
      </c>
      <c r="Q550" s="68">
        <f t="shared" si="46"/>
        <v>42.4</v>
      </c>
    </row>
    <row r="551" s="2" customFormat="1" spans="1:17">
      <c r="A551" s="61">
        <v>45198</v>
      </c>
      <c r="B551" s="74">
        <v>15.5</v>
      </c>
      <c r="C551" s="64">
        <v>16</v>
      </c>
      <c r="D551" s="75">
        <v>5</v>
      </c>
      <c r="E551" s="64">
        <v>1</v>
      </c>
      <c r="F551" s="65">
        <v>9.9</v>
      </c>
      <c r="G551" s="64">
        <v>1</v>
      </c>
      <c r="H551" s="64">
        <v>1</v>
      </c>
      <c r="I551" s="64">
        <v>0</v>
      </c>
      <c r="J551" s="66">
        <f t="shared" si="47"/>
        <v>0.638709677419355</v>
      </c>
      <c r="K551" s="67">
        <f t="shared" si="48"/>
        <v>3.1</v>
      </c>
      <c r="L551" s="67">
        <f t="shared" si="49"/>
        <v>773.333333333333</v>
      </c>
      <c r="M551" s="73">
        <f t="shared" si="50"/>
        <v>0.638709677419355</v>
      </c>
      <c r="N551" s="66">
        <f t="shared" si="51"/>
        <v>0.2</v>
      </c>
      <c r="O551" s="52">
        <f t="shared" si="44"/>
        <v>9.9</v>
      </c>
      <c r="P551" s="52">
        <f t="shared" si="45"/>
        <v>15.5</v>
      </c>
      <c r="Q551" s="68">
        <f t="shared" si="46"/>
        <v>15.5</v>
      </c>
    </row>
    <row r="552" s="2" customFormat="1" spans="1:17">
      <c r="A552" s="61">
        <v>45199</v>
      </c>
      <c r="B552" s="71">
        <v>6.96</v>
      </c>
      <c r="C552" s="72">
        <v>9</v>
      </c>
      <c r="D552" s="72">
        <v>4</v>
      </c>
      <c r="E552" s="64">
        <v>0</v>
      </c>
      <c r="F552" s="65">
        <v>0</v>
      </c>
      <c r="G552" s="64">
        <v>2</v>
      </c>
      <c r="H552" s="64">
        <v>0</v>
      </c>
      <c r="I552" s="64">
        <v>0</v>
      </c>
      <c r="J552" s="66">
        <f t="shared" si="47"/>
        <v>0</v>
      </c>
      <c r="K552" s="67">
        <f t="shared" si="48"/>
        <v>1.74</v>
      </c>
      <c r="L552" s="67">
        <f t="shared" si="49"/>
        <v>709.787234042553</v>
      </c>
      <c r="M552" s="73">
        <f t="shared" si="50"/>
        <v>0</v>
      </c>
      <c r="N552" s="66">
        <f t="shared" si="51"/>
        <v>0</v>
      </c>
      <c r="O552" s="52">
        <f t="shared" si="44"/>
        <v>0</v>
      </c>
      <c r="P552" s="52">
        <f t="shared" si="45"/>
        <v>0</v>
      </c>
      <c r="Q552" s="68">
        <f t="shared" si="46"/>
        <v>3.48</v>
      </c>
    </row>
    <row r="553" s="2" customFormat="1" spans="1:17">
      <c r="A553" s="61">
        <v>45200</v>
      </c>
      <c r="B553" s="74">
        <v>33.36</v>
      </c>
      <c r="C553" s="64">
        <v>47</v>
      </c>
      <c r="D553" s="75">
        <v>13</v>
      </c>
      <c r="E553" s="64">
        <v>1</v>
      </c>
      <c r="F553" s="65">
        <v>9.9</v>
      </c>
      <c r="G553" s="64">
        <v>5</v>
      </c>
      <c r="H553" s="64">
        <v>0</v>
      </c>
      <c r="I553" s="64">
        <v>1</v>
      </c>
      <c r="J553" s="66">
        <f t="shared" si="47"/>
        <v>0.296762589928058</v>
      </c>
      <c r="K553" s="67">
        <f t="shared" si="48"/>
        <v>2.56615384615385</v>
      </c>
      <c r="L553" s="67">
        <f t="shared" si="49"/>
        <v>936.301369863014</v>
      </c>
      <c r="M553" s="73">
        <f t="shared" si="50"/>
        <v>0.296762589928058</v>
      </c>
      <c r="N553" s="66">
        <f t="shared" si="51"/>
        <v>0.0769230769230769</v>
      </c>
      <c r="O553" s="52">
        <f t="shared" si="44"/>
        <v>9.9</v>
      </c>
      <c r="P553" s="52">
        <f t="shared" si="45"/>
        <v>33.36</v>
      </c>
      <c r="Q553" s="68">
        <f t="shared" si="46"/>
        <v>6.672</v>
      </c>
    </row>
    <row r="554" s="2" customFormat="1" spans="1:17">
      <c r="A554" s="61">
        <v>45201</v>
      </c>
      <c r="B554" s="71">
        <v>68.35</v>
      </c>
      <c r="C554" s="72">
        <v>73</v>
      </c>
      <c r="D554" s="72">
        <v>26</v>
      </c>
      <c r="E554" s="64">
        <v>1</v>
      </c>
      <c r="F554" s="65">
        <v>9.9</v>
      </c>
      <c r="G554" s="64">
        <v>5</v>
      </c>
      <c r="H554" s="64">
        <v>1</v>
      </c>
      <c r="I554" s="64">
        <v>3</v>
      </c>
      <c r="J554" s="66">
        <f t="shared" si="47"/>
        <v>0.144842721287491</v>
      </c>
      <c r="K554" s="67">
        <f t="shared" si="48"/>
        <v>2.62884615384615</v>
      </c>
      <c r="L554" s="67">
        <f t="shared" si="49"/>
        <v>863.783783783784</v>
      </c>
      <c r="M554" s="73">
        <f t="shared" si="50"/>
        <v>0.144842721287491</v>
      </c>
      <c r="N554" s="66">
        <f t="shared" si="51"/>
        <v>0.0384615384615385</v>
      </c>
      <c r="O554" s="52">
        <f t="shared" si="44"/>
        <v>9.9</v>
      </c>
      <c r="P554" s="52">
        <f t="shared" si="45"/>
        <v>68.35</v>
      </c>
      <c r="Q554" s="68">
        <f t="shared" si="46"/>
        <v>13.67</v>
      </c>
    </row>
    <row r="555" s="2" customFormat="1" spans="1:17">
      <c r="A555" s="61">
        <v>45202</v>
      </c>
      <c r="B555" s="71">
        <v>63.92</v>
      </c>
      <c r="C555" s="72">
        <v>74</v>
      </c>
      <c r="D555" s="76">
        <v>25</v>
      </c>
      <c r="E555" s="64">
        <v>0</v>
      </c>
      <c r="F555" s="65">
        <v>0</v>
      </c>
      <c r="G555" s="64">
        <v>7</v>
      </c>
      <c r="H555" s="64">
        <v>4</v>
      </c>
      <c r="I555" s="64">
        <v>2</v>
      </c>
      <c r="J555" s="66">
        <f t="shared" si="47"/>
        <v>0</v>
      </c>
      <c r="K555" s="67">
        <f t="shared" si="48"/>
        <v>2.5568</v>
      </c>
      <c r="L555" s="67">
        <f t="shared" si="49"/>
        <v>848</v>
      </c>
      <c r="M555" s="73">
        <f t="shared" si="50"/>
        <v>0</v>
      </c>
      <c r="N555" s="66">
        <f t="shared" si="51"/>
        <v>0</v>
      </c>
      <c r="O555" s="52">
        <f t="shared" si="44"/>
        <v>0</v>
      </c>
      <c r="P555" s="52">
        <f t="shared" si="45"/>
        <v>0</v>
      </c>
      <c r="Q555" s="68">
        <f t="shared" si="46"/>
        <v>9.13142857142857</v>
      </c>
    </row>
    <row r="556" s="2" customFormat="1" spans="1:17">
      <c r="A556" s="61">
        <v>45203</v>
      </c>
      <c r="B556" s="71">
        <v>80.56</v>
      </c>
      <c r="C556" s="72">
        <v>95</v>
      </c>
      <c r="D556" s="72">
        <v>43</v>
      </c>
      <c r="E556" s="64">
        <v>0</v>
      </c>
      <c r="F556" s="65">
        <v>0</v>
      </c>
      <c r="G556" s="64">
        <v>13</v>
      </c>
      <c r="H556" s="64">
        <v>4</v>
      </c>
      <c r="I556" s="64">
        <v>0</v>
      </c>
      <c r="J556" s="66">
        <f t="shared" si="47"/>
        <v>0</v>
      </c>
      <c r="K556" s="67">
        <f t="shared" si="48"/>
        <v>1.87348837209302</v>
      </c>
      <c r="L556" s="67">
        <f t="shared" si="49"/>
        <v>840.752688172043</v>
      </c>
      <c r="M556" s="73">
        <f t="shared" si="50"/>
        <v>0</v>
      </c>
      <c r="N556" s="66">
        <f t="shared" si="51"/>
        <v>0</v>
      </c>
      <c r="O556" s="52">
        <f t="shared" si="44"/>
        <v>0</v>
      </c>
      <c r="P556" s="52">
        <f t="shared" si="45"/>
        <v>0</v>
      </c>
      <c r="Q556" s="68">
        <f t="shared" si="46"/>
        <v>6.19692307692308</v>
      </c>
    </row>
    <row r="557" s="2" customFormat="1" spans="1:17">
      <c r="A557" s="61">
        <v>45204</v>
      </c>
      <c r="B557" s="71">
        <v>78.19</v>
      </c>
      <c r="C557" s="72">
        <v>93</v>
      </c>
      <c r="D557" s="72">
        <v>35</v>
      </c>
      <c r="E557" s="64">
        <v>0</v>
      </c>
      <c r="F557" s="65">
        <v>0</v>
      </c>
      <c r="G557" s="64">
        <v>8</v>
      </c>
      <c r="H557" s="64">
        <v>0</v>
      </c>
      <c r="I557" s="64">
        <v>5</v>
      </c>
      <c r="J557" s="66">
        <f t="shared" si="47"/>
        <v>0</v>
      </c>
      <c r="K557" s="67">
        <f t="shared" si="48"/>
        <v>2.234</v>
      </c>
      <c r="L557" s="67">
        <f t="shared" si="49"/>
        <v>783.230769230769</v>
      </c>
      <c r="M557" s="73">
        <f t="shared" si="50"/>
        <v>0</v>
      </c>
      <c r="N557" s="66">
        <f t="shared" si="51"/>
        <v>0</v>
      </c>
      <c r="O557" s="52">
        <f t="shared" si="44"/>
        <v>0</v>
      </c>
      <c r="P557" s="52">
        <f t="shared" si="45"/>
        <v>0</v>
      </c>
      <c r="Q557" s="68">
        <f t="shared" si="46"/>
        <v>9.77375</v>
      </c>
    </row>
    <row r="558" s="2" customFormat="1" spans="1:17">
      <c r="A558" s="61">
        <v>45205</v>
      </c>
      <c r="B558" s="71">
        <v>101.82</v>
      </c>
      <c r="C558" s="72">
        <v>130</v>
      </c>
      <c r="D558" s="76">
        <v>47</v>
      </c>
      <c r="E558" s="64">
        <v>0</v>
      </c>
      <c r="F558" s="65">
        <v>0</v>
      </c>
      <c r="G558" s="64">
        <v>10</v>
      </c>
      <c r="H558" s="64">
        <v>2</v>
      </c>
      <c r="I558" s="64">
        <v>2</v>
      </c>
      <c r="J558" s="66">
        <f t="shared" si="47"/>
        <v>0</v>
      </c>
      <c r="K558" s="67">
        <f t="shared" si="48"/>
        <v>2.1663829787234</v>
      </c>
      <c r="L558" s="67">
        <f t="shared" si="49"/>
        <v>870.967741935484</v>
      </c>
      <c r="M558" s="73">
        <f t="shared" si="50"/>
        <v>0</v>
      </c>
      <c r="N558" s="66">
        <f t="shared" si="51"/>
        <v>0</v>
      </c>
      <c r="O558" s="52">
        <f t="shared" si="44"/>
        <v>0</v>
      </c>
      <c r="P558" s="52">
        <f t="shared" si="45"/>
        <v>0</v>
      </c>
      <c r="Q558" s="68">
        <f t="shared" si="46"/>
        <v>10.182</v>
      </c>
    </row>
    <row r="559" s="2" customFormat="1" spans="1:17">
      <c r="A559" s="61">
        <v>45206</v>
      </c>
      <c r="B559" s="71">
        <v>135</v>
      </c>
      <c r="C559" s="72">
        <v>155</v>
      </c>
      <c r="D559" s="76">
        <v>65</v>
      </c>
      <c r="E559" s="64">
        <v>1</v>
      </c>
      <c r="F559" s="65">
        <v>9.9</v>
      </c>
      <c r="G559" s="64">
        <v>15</v>
      </c>
      <c r="H559" s="64">
        <v>2</v>
      </c>
      <c r="I559" s="64">
        <v>7</v>
      </c>
      <c r="J559" s="66">
        <f t="shared" si="47"/>
        <v>0.0733333333333333</v>
      </c>
      <c r="K559" s="67">
        <f t="shared" si="48"/>
        <v>2.07692307692308</v>
      </c>
      <c r="L559" s="67">
        <f t="shared" si="49"/>
        <v>788.588235294118</v>
      </c>
      <c r="M559" s="73">
        <f t="shared" si="50"/>
        <v>0.0733333333333333</v>
      </c>
      <c r="N559" s="66">
        <f t="shared" si="51"/>
        <v>0.0153846153846154</v>
      </c>
      <c r="O559" s="52">
        <f t="shared" si="44"/>
        <v>9.9</v>
      </c>
      <c r="P559" s="52">
        <f t="shared" si="45"/>
        <v>135</v>
      </c>
      <c r="Q559" s="68">
        <f t="shared" si="46"/>
        <v>9</v>
      </c>
    </row>
    <row r="560" s="2" customFormat="1" spans="1:17">
      <c r="A560" s="61">
        <v>45207</v>
      </c>
      <c r="B560" s="71">
        <v>134.06</v>
      </c>
      <c r="C560" s="72">
        <v>170</v>
      </c>
      <c r="D560" s="76">
        <v>64</v>
      </c>
      <c r="E560" s="64">
        <v>0</v>
      </c>
      <c r="F560" s="65">
        <v>0</v>
      </c>
      <c r="G560" s="64">
        <v>17</v>
      </c>
      <c r="H560" s="64">
        <v>2</v>
      </c>
      <c r="I560" s="64">
        <v>4</v>
      </c>
      <c r="J560" s="66">
        <f t="shared" si="47"/>
        <v>0</v>
      </c>
      <c r="K560" s="67">
        <f t="shared" si="48"/>
        <v>2.0946875</v>
      </c>
      <c r="L560" s="67">
        <f t="shared" si="49"/>
        <v>765.590551181102</v>
      </c>
      <c r="M560" s="73">
        <f t="shared" si="50"/>
        <v>0</v>
      </c>
      <c r="N560" s="66">
        <f t="shared" si="51"/>
        <v>0</v>
      </c>
      <c r="O560" s="52">
        <f t="shared" si="44"/>
        <v>0</v>
      </c>
      <c r="P560" s="52">
        <f t="shared" si="45"/>
        <v>0</v>
      </c>
      <c r="Q560" s="68">
        <f t="shared" si="46"/>
        <v>7.88588235294118</v>
      </c>
    </row>
    <row r="561" s="2" customFormat="1" spans="1:17">
      <c r="A561" s="61">
        <v>45208</v>
      </c>
      <c r="B561" s="71">
        <v>97.23</v>
      </c>
      <c r="C561" s="72">
        <v>127</v>
      </c>
      <c r="D561" s="76">
        <v>51</v>
      </c>
      <c r="E561" s="64">
        <v>0</v>
      </c>
      <c r="F561" s="65">
        <v>0</v>
      </c>
      <c r="G561" s="64">
        <v>14</v>
      </c>
      <c r="H561" s="64">
        <v>7</v>
      </c>
      <c r="I561" s="64">
        <v>1</v>
      </c>
      <c r="J561" s="66">
        <f t="shared" si="47"/>
        <v>0</v>
      </c>
      <c r="K561" s="67">
        <f t="shared" si="48"/>
        <v>1.90647058823529</v>
      </c>
      <c r="L561" s="67">
        <f t="shared" si="49"/>
        <v>734.065934065934</v>
      </c>
      <c r="M561" s="73">
        <f t="shared" si="50"/>
        <v>0</v>
      </c>
      <c r="N561" s="66">
        <f t="shared" si="51"/>
        <v>0</v>
      </c>
      <c r="O561" s="52">
        <f t="shared" si="44"/>
        <v>0</v>
      </c>
      <c r="P561" s="52">
        <f t="shared" si="45"/>
        <v>0</v>
      </c>
      <c r="Q561" s="68">
        <f t="shared" si="46"/>
        <v>6.945</v>
      </c>
    </row>
    <row r="562" s="2" customFormat="1" spans="1:17">
      <c r="A562" s="61">
        <v>45209</v>
      </c>
      <c r="B562" s="62">
        <v>133.6</v>
      </c>
      <c r="C562" s="63">
        <v>182</v>
      </c>
      <c r="D562" s="63">
        <v>75</v>
      </c>
      <c r="E562" s="64">
        <v>4</v>
      </c>
      <c r="F562" s="65">
        <v>4819.8</v>
      </c>
      <c r="G562" s="64">
        <v>12</v>
      </c>
      <c r="H562" s="64">
        <v>10</v>
      </c>
      <c r="I562" s="64">
        <v>6</v>
      </c>
      <c r="J562" s="66">
        <v>0.4121</v>
      </c>
      <c r="K562" s="67">
        <v>1.78</v>
      </c>
      <c r="L562" s="67">
        <f t="shared" si="49"/>
        <v>832.608695652174</v>
      </c>
      <c r="M562" s="73">
        <f t="shared" si="50"/>
        <v>36.0763473053892</v>
      </c>
      <c r="N562" s="66">
        <f t="shared" si="51"/>
        <v>0.0533333333333333</v>
      </c>
      <c r="O562" s="52">
        <f t="shared" si="44"/>
        <v>1204.95</v>
      </c>
      <c r="P562" s="52">
        <f t="shared" si="45"/>
        <v>33.4</v>
      </c>
      <c r="Q562" s="68">
        <f t="shared" si="46"/>
        <v>11.1333333333333</v>
      </c>
    </row>
    <row r="563" s="2" customFormat="1" spans="1:17">
      <c r="A563" s="61">
        <v>45210</v>
      </c>
      <c r="B563" s="62">
        <v>114.9</v>
      </c>
      <c r="C563" s="63">
        <v>138</v>
      </c>
      <c r="D563" s="63">
        <v>44</v>
      </c>
      <c r="E563" s="64">
        <v>2</v>
      </c>
      <c r="F563" s="65">
        <v>19.8</v>
      </c>
      <c r="G563" s="64">
        <v>9</v>
      </c>
      <c r="H563" s="64">
        <v>7</v>
      </c>
      <c r="I563" s="64">
        <v>7</v>
      </c>
      <c r="J563" s="66">
        <v>0.3188</v>
      </c>
      <c r="K563" s="67">
        <v>2.61</v>
      </c>
      <c r="L563" s="67">
        <f t="shared" si="49"/>
        <v>830.044247787611</v>
      </c>
      <c r="M563" s="73">
        <f t="shared" si="50"/>
        <v>0.172323759791123</v>
      </c>
      <c r="N563" s="66">
        <f t="shared" si="51"/>
        <v>0.0454545454545455</v>
      </c>
      <c r="O563" s="52">
        <f t="shared" si="44"/>
        <v>9.9</v>
      </c>
      <c r="P563" s="52">
        <f t="shared" si="45"/>
        <v>57.45</v>
      </c>
      <c r="Q563" s="68">
        <f t="shared" si="46"/>
        <v>12.7666666666667</v>
      </c>
    </row>
    <row r="564" s="2" customFormat="1" spans="1:17">
      <c r="A564" s="61">
        <v>45211</v>
      </c>
      <c r="B564" s="62">
        <v>187.59</v>
      </c>
      <c r="C564" s="63">
        <v>226</v>
      </c>
      <c r="D564" s="63">
        <v>91</v>
      </c>
      <c r="E564" s="64">
        <v>3</v>
      </c>
      <c r="F564" s="65">
        <v>34.9</v>
      </c>
      <c r="G564" s="64">
        <v>29</v>
      </c>
      <c r="H564" s="64">
        <v>7</v>
      </c>
      <c r="I564" s="64">
        <v>7</v>
      </c>
      <c r="J564" s="66">
        <v>0.4027</v>
      </c>
      <c r="K564" s="67">
        <v>2.06</v>
      </c>
      <c r="L564" s="67">
        <f t="shared" si="49"/>
        <v>802.721088435374</v>
      </c>
      <c r="M564" s="73">
        <f t="shared" si="50"/>
        <v>0.186044032197878</v>
      </c>
      <c r="N564" s="66">
        <f t="shared" si="51"/>
        <v>0.032967032967033</v>
      </c>
      <c r="O564" s="52">
        <f t="shared" si="44"/>
        <v>11.6333333333333</v>
      </c>
      <c r="P564" s="52">
        <f t="shared" si="45"/>
        <v>62.53</v>
      </c>
      <c r="Q564" s="68">
        <f t="shared" si="46"/>
        <v>6.46862068965517</v>
      </c>
    </row>
    <row r="565" s="2" customFormat="1" spans="1:17">
      <c r="A565" s="61">
        <v>45212</v>
      </c>
      <c r="B565" s="65">
        <v>118</v>
      </c>
      <c r="C565" s="63">
        <v>147</v>
      </c>
      <c r="D565" s="63">
        <v>55</v>
      </c>
      <c r="E565" s="64">
        <v>6</v>
      </c>
      <c r="F565" s="65">
        <v>125</v>
      </c>
      <c r="G565" s="64">
        <v>11</v>
      </c>
      <c r="H565" s="64">
        <v>4</v>
      </c>
      <c r="I565" s="64">
        <v>2</v>
      </c>
      <c r="J565" s="66">
        <v>0.3174</v>
      </c>
      <c r="K565" s="67">
        <v>2.14</v>
      </c>
      <c r="L565" s="67">
        <f t="shared" si="49"/>
        <v>928.571428571429</v>
      </c>
      <c r="M565" s="73">
        <f t="shared" si="50"/>
        <v>1.05932203389831</v>
      </c>
      <c r="N565" s="66">
        <f t="shared" si="51"/>
        <v>0.109090909090909</v>
      </c>
      <c r="O565" s="52">
        <f t="shared" si="44"/>
        <v>20.8333333333333</v>
      </c>
      <c r="P565" s="52">
        <f t="shared" si="45"/>
        <v>19.6666666666667</v>
      </c>
      <c r="Q565" s="68">
        <f t="shared" si="46"/>
        <v>10.7272727272727</v>
      </c>
    </row>
    <row r="566" s="2" customFormat="1" spans="1:17">
      <c r="A566" s="61">
        <v>45213</v>
      </c>
      <c r="B566" s="65">
        <v>130</v>
      </c>
      <c r="C566" s="63">
        <v>140</v>
      </c>
      <c r="D566" s="63">
        <v>63</v>
      </c>
      <c r="E566" s="64">
        <v>1</v>
      </c>
      <c r="F566" s="65">
        <v>25614</v>
      </c>
      <c r="G566" s="64">
        <v>8</v>
      </c>
      <c r="H566" s="64">
        <v>1</v>
      </c>
      <c r="I566" s="64">
        <v>6</v>
      </c>
      <c r="J566" s="66">
        <v>0.45</v>
      </c>
      <c r="K566" s="67">
        <v>2.07</v>
      </c>
      <c r="L566" s="67">
        <f t="shared" si="49"/>
        <v>892.215568862276</v>
      </c>
      <c r="M566" s="73">
        <f t="shared" si="50"/>
        <v>197.030769230769</v>
      </c>
      <c r="N566" s="66">
        <f t="shared" si="51"/>
        <v>0.0158730158730159</v>
      </c>
      <c r="O566" s="52">
        <f t="shared" si="44"/>
        <v>25614</v>
      </c>
      <c r="P566" s="52">
        <f t="shared" si="45"/>
        <v>130</v>
      </c>
      <c r="Q566" s="68">
        <f t="shared" si="46"/>
        <v>16.25</v>
      </c>
    </row>
    <row r="567" s="2" customFormat="1" spans="1:17">
      <c r="A567" s="61">
        <v>45214</v>
      </c>
      <c r="B567" s="65">
        <v>149</v>
      </c>
      <c r="C567" s="63">
        <v>167</v>
      </c>
      <c r="D567" s="63">
        <v>83</v>
      </c>
      <c r="E567" s="64">
        <v>0</v>
      </c>
      <c r="F567" s="65">
        <v>0</v>
      </c>
      <c r="G567" s="64">
        <v>12</v>
      </c>
      <c r="H567" s="64">
        <v>1</v>
      </c>
      <c r="I567" s="64">
        <v>10</v>
      </c>
      <c r="J567" s="66">
        <v>0.497</v>
      </c>
      <c r="K567" s="67">
        <v>1.79</v>
      </c>
      <c r="L567" s="67">
        <f t="shared" si="49"/>
        <v>849.673202614379</v>
      </c>
      <c r="M567" s="73">
        <f t="shared" si="50"/>
        <v>0</v>
      </c>
      <c r="N567" s="66">
        <f t="shared" si="51"/>
        <v>0</v>
      </c>
      <c r="O567" s="52">
        <f t="shared" si="44"/>
        <v>0</v>
      </c>
      <c r="P567" s="52">
        <f t="shared" si="45"/>
        <v>0</v>
      </c>
      <c r="Q567" s="68">
        <f t="shared" si="46"/>
        <v>12.4166666666667</v>
      </c>
    </row>
    <row r="568" s="2" customFormat="1" spans="1:17">
      <c r="A568" s="61">
        <v>45215</v>
      </c>
      <c r="B568" s="65">
        <v>260</v>
      </c>
      <c r="C568" s="63">
        <v>306</v>
      </c>
      <c r="D568" s="63">
        <v>142</v>
      </c>
      <c r="E568" s="64">
        <v>0</v>
      </c>
      <c r="F568" s="65">
        <v>0</v>
      </c>
      <c r="G568" s="64">
        <v>21</v>
      </c>
      <c r="H568" s="64">
        <v>13</v>
      </c>
      <c r="I568" s="64">
        <v>7</v>
      </c>
      <c r="J568" s="66">
        <v>0.4641</v>
      </c>
      <c r="K568" s="67">
        <v>1.83</v>
      </c>
      <c r="L568" s="67">
        <f t="shared" si="49"/>
        <v>742.158808933002</v>
      </c>
      <c r="M568" s="73">
        <f t="shared" si="50"/>
        <v>0</v>
      </c>
      <c r="N568" s="66">
        <f t="shared" si="51"/>
        <v>0</v>
      </c>
      <c r="O568" s="52">
        <f t="shared" si="44"/>
        <v>0</v>
      </c>
      <c r="P568" s="52">
        <f t="shared" si="45"/>
        <v>0</v>
      </c>
      <c r="Q568" s="68">
        <f t="shared" si="46"/>
        <v>12.3809523809524</v>
      </c>
    </row>
    <row r="569" s="2" customFormat="1" spans="1:17">
      <c r="A569" s="61">
        <v>45216</v>
      </c>
      <c r="B569" s="69">
        <v>299.09</v>
      </c>
      <c r="C569" s="70">
        <v>403</v>
      </c>
      <c r="D569" s="70">
        <v>174</v>
      </c>
      <c r="E569" s="70">
        <v>0</v>
      </c>
      <c r="F569" s="65">
        <v>0</v>
      </c>
      <c r="G569" s="64">
        <v>30</v>
      </c>
      <c r="H569" s="64">
        <v>6</v>
      </c>
      <c r="I569" s="64">
        <v>10</v>
      </c>
      <c r="J569" s="66">
        <v>0.4318</v>
      </c>
      <c r="K569" s="67">
        <v>1.72</v>
      </c>
      <c r="L569" s="67">
        <f t="shared" si="49"/>
        <v>724.281767955801</v>
      </c>
      <c r="M569" s="73">
        <f t="shared" si="50"/>
        <v>0</v>
      </c>
      <c r="N569" s="66">
        <f t="shared" si="51"/>
        <v>0</v>
      </c>
      <c r="O569" s="52">
        <f t="shared" si="44"/>
        <v>0</v>
      </c>
      <c r="P569" s="52">
        <f t="shared" si="45"/>
        <v>0</v>
      </c>
      <c r="Q569" s="68">
        <f t="shared" si="46"/>
        <v>9.96966666666667</v>
      </c>
    </row>
    <row r="570" s="2" customFormat="1" spans="1:17">
      <c r="A570" s="61">
        <v>45217</v>
      </c>
      <c r="B570" s="49">
        <v>524.38</v>
      </c>
      <c r="C570" s="57">
        <v>724</v>
      </c>
      <c r="D570" s="57">
        <v>273</v>
      </c>
      <c r="E570" s="64">
        <v>0</v>
      </c>
      <c r="F570" s="65">
        <v>0</v>
      </c>
      <c r="G570" s="64">
        <v>54</v>
      </c>
      <c r="H570" s="64">
        <v>10</v>
      </c>
      <c r="I570" s="64">
        <v>22</v>
      </c>
      <c r="J570" s="66" t="s">
        <v>22</v>
      </c>
      <c r="K570" s="67">
        <v>1.92</v>
      </c>
      <c r="L570" s="67">
        <f t="shared" si="49"/>
        <v>776.079136690647</v>
      </c>
      <c r="M570" s="73">
        <f t="shared" si="50"/>
        <v>0</v>
      </c>
      <c r="N570" s="66">
        <f t="shared" si="51"/>
        <v>0</v>
      </c>
      <c r="O570" s="52">
        <f t="shared" si="44"/>
        <v>0</v>
      </c>
      <c r="P570" s="52">
        <f t="shared" si="45"/>
        <v>0</v>
      </c>
      <c r="Q570" s="68">
        <f t="shared" si="46"/>
        <v>9.71074074074074</v>
      </c>
    </row>
    <row r="571" s="2" customFormat="1" spans="1:17">
      <c r="A571" s="61">
        <v>45218</v>
      </c>
      <c r="B571" s="49">
        <v>431.5</v>
      </c>
      <c r="C571" s="57">
        <v>556</v>
      </c>
      <c r="D571" s="57">
        <v>189</v>
      </c>
      <c r="E571" s="64">
        <v>0</v>
      </c>
      <c r="F571" s="65">
        <v>0</v>
      </c>
      <c r="G571" s="64">
        <v>41</v>
      </c>
      <c r="H571" s="64">
        <v>8</v>
      </c>
      <c r="I571" s="64">
        <v>14</v>
      </c>
      <c r="J571" s="66">
        <v>0.3399</v>
      </c>
      <c r="K571" s="67">
        <v>2.28</v>
      </c>
      <c r="L571" s="67">
        <f t="shared" si="49"/>
        <v>811.388888888889</v>
      </c>
      <c r="M571" s="73">
        <f t="shared" si="50"/>
        <v>0</v>
      </c>
      <c r="N571" s="66">
        <f t="shared" si="51"/>
        <v>0</v>
      </c>
      <c r="O571" s="52">
        <f t="shared" si="44"/>
        <v>0</v>
      </c>
      <c r="P571" s="52">
        <f t="shared" si="45"/>
        <v>0</v>
      </c>
      <c r="Q571" s="68">
        <f t="shared" si="46"/>
        <v>10.5243902439024</v>
      </c>
    </row>
    <row r="572" s="2" customFormat="1" spans="1:17">
      <c r="A572" s="17">
        <v>45219</v>
      </c>
      <c r="B572" s="49">
        <v>262.89</v>
      </c>
      <c r="C572" s="57">
        <v>324</v>
      </c>
      <c r="D572" s="57">
        <v>117</v>
      </c>
      <c r="E572" s="19">
        <v>0</v>
      </c>
      <c r="F572" s="53">
        <v>0</v>
      </c>
      <c r="G572" s="19">
        <v>32</v>
      </c>
      <c r="H572" s="19">
        <v>8</v>
      </c>
      <c r="I572" s="19">
        <v>6</v>
      </c>
      <c r="J572" s="77">
        <v>0.3611</v>
      </c>
      <c r="K572" s="60">
        <v>2.25</v>
      </c>
      <c r="L572" s="67">
        <f t="shared" si="49"/>
        <v>673.838383838384</v>
      </c>
      <c r="M572" s="73">
        <f t="shared" si="50"/>
        <v>0</v>
      </c>
      <c r="N572" s="66">
        <f t="shared" si="51"/>
        <v>0</v>
      </c>
      <c r="O572" s="52">
        <f t="shared" si="44"/>
        <v>0</v>
      </c>
      <c r="P572" s="52">
        <f t="shared" si="45"/>
        <v>0</v>
      </c>
      <c r="Q572" s="68">
        <f t="shared" si="46"/>
        <v>8.2153125</v>
      </c>
    </row>
    <row r="573" s="2" customFormat="1" spans="1:17">
      <c r="A573" s="17">
        <v>45220</v>
      </c>
      <c r="B573" s="49">
        <v>266.84</v>
      </c>
      <c r="C573" s="57">
        <v>396</v>
      </c>
      <c r="D573" s="57">
        <v>165</v>
      </c>
      <c r="E573" s="19">
        <v>0</v>
      </c>
      <c r="F573" s="53">
        <v>0</v>
      </c>
      <c r="G573" s="19">
        <v>32</v>
      </c>
      <c r="H573" s="19">
        <v>6</v>
      </c>
      <c r="I573" s="19">
        <v>15</v>
      </c>
      <c r="J573" s="77">
        <v>0.4167</v>
      </c>
      <c r="K573" s="60">
        <v>1.62</v>
      </c>
      <c r="L573" s="67">
        <f t="shared" si="49"/>
        <v>868.269720101781</v>
      </c>
      <c r="M573" s="73">
        <f t="shared" si="50"/>
        <v>0</v>
      </c>
      <c r="N573" s="66">
        <f t="shared" si="51"/>
        <v>0</v>
      </c>
      <c r="O573" s="52">
        <f t="shared" si="44"/>
        <v>0</v>
      </c>
      <c r="P573" s="52">
        <f t="shared" si="45"/>
        <v>0</v>
      </c>
      <c r="Q573" s="68">
        <f t="shared" si="46"/>
        <v>8.33875</v>
      </c>
    </row>
    <row r="574" s="2" customFormat="1" spans="1:17">
      <c r="A574" s="17">
        <v>45221</v>
      </c>
      <c r="B574" s="49">
        <v>341.23</v>
      </c>
      <c r="C574" s="57">
        <v>393</v>
      </c>
      <c r="D574" s="57">
        <v>184</v>
      </c>
      <c r="E574" s="19">
        <v>0</v>
      </c>
      <c r="F574" s="53">
        <v>0</v>
      </c>
      <c r="G574" s="19">
        <v>36</v>
      </c>
      <c r="H574" s="19">
        <v>5</v>
      </c>
      <c r="I574" s="19">
        <v>14</v>
      </c>
      <c r="J574" s="77">
        <v>0.4682</v>
      </c>
      <c r="K574" s="60">
        <v>1.85</v>
      </c>
      <c r="L574" s="67">
        <f t="shared" si="49"/>
        <v>951.021126760563</v>
      </c>
      <c r="M574" s="73">
        <f t="shared" si="50"/>
        <v>0</v>
      </c>
      <c r="N574" s="66">
        <f t="shared" si="51"/>
        <v>0</v>
      </c>
      <c r="O574" s="52">
        <f t="shared" si="44"/>
        <v>0</v>
      </c>
      <c r="P574" s="52">
        <f t="shared" si="45"/>
        <v>0</v>
      </c>
      <c r="Q574" s="68">
        <f t="shared" si="46"/>
        <v>9.47861111111111</v>
      </c>
    </row>
    <row r="575" s="2" customFormat="1" spans="1:17">
      <c r="A575" s="61">
        <v>45222</v>
      </c>
      <c r="B575" s="62">
        <v>270.09</v>
      </c>
      <c r="C575" s="63">
        <v>284</v>
      </c>
      <c r="D575" s="63">
        <v>127</v>
      </c>
      <c r="E575" s="64">
        <v>1</v>
      </c>
      <c r="F575" s="65">
        <v>25962</v>
      </c>
      <c r="G575" s="64">
        <v>23</v>
      </c>
      <c r="H575" s="64">
        <v>4</v>
      </c>
      <c r="I575" s="64">
        <v>5</v>
      </c>
      <c r="J575" s="66">
        <v>0.4472</v>
      </c>
      <c r="K575" s="67">
        <v>2.13</v>
      </c>
      <c r="L575" s="67">
        <v>951.02</v>
      </c>
      <c r="M575" s="73">
        <f t="shared" si="50"/>
        <v>96.1235143840942</v>
      </c>
      <c r="N575" s="66">
        <f t="shared" si="51"/>
        <v>0.0078740157480315</v>
      </c>
      <c r="O575" s="52">
        <f t="shared" si="44"/>
        <v>25962</v>
      </c>
      <c r="P575" s="52">
        <f t="shared" si="45"/>
        <v>270.09</v>
      </c>
      <c r="Q575" s="68">
        <f t="shared" si="46"/>
        <v>11.7430434782609</v>
      </c>
    </row>
    <row r="576" s="2" customFormat="1" spans="1:17">
      <c r="A576" s="61">
        <v>45223</v>
      </c>
      <c r="B576" s="65">
        <v>533.46</v>
      </c>
      <c r="C576" s="72">
        <v>565</v>
      </c>
      <c r="D576" s="64">
        <v>257</v>
      </c>
      <c r="E576" s="64">
        <v>9</v>
      </c>
      <c r="F576" s="65">
        <f>62085+31192</f>
        <v>93277</v>
      </c>
      <c r="G576" s="64">
        <v>38</v>
      </c>
      <c r="H576" s="64">
        <v>19</v>
      </c>
      <c r="I576" s="64">
        <v>33</v>
      </c>
      <c r="J576" s="66">
        <f t="shared" ref="J576:J639" si="52">D576/C576</f>
        <v>0.454867256637168</v>
      </c>
      <c r="K576" s="67">
        <f t="shared" ref="K576:K639" si="53">B576/D576</f>
        <v>2.07571984435798</v>
      </c>
      <c r="L576" s="67">
        <f t="shared" ref="L576:L639" si="54">B576/C576*1000</f>
        <v>944.176991150443</v>
      </c>
      <c r="M576" s="73">
        <f t="shared" si="50"/>
        <v>174.852847448731</v>
      </c>
      <c r="N576" s="66">
        <f t="shared" si="51"/>
        <v>0.0350194552529183</v>
      </c>
      <c r="O576" s="52">
        <f t="shared" si="44"/>
        <v>10364.1111111111</v>
      </c>
      <c r="P576" s="52">
        <f t="shared" si="45"/>
        <v>59.2733333333333</v>
      </c>
      <c r="Q576" s="68">
        <f t="shared" si="46"/>
        <v>14.0384210526316</v>
      </c>
    </row>
    <row r="577" s="2" customFormat="1" spans="1:17">
      <c r="A577" s="61">
        <v>45224</v>
      </c>
      <c r="B577" s="65">
        <v>581.49</v>
      </c>
      <c r="C577" s="72">
        <v>616</v>
      </c>
      <c r="D577" s="64">
        <v>339</v>
      </c>
      <c r="E577" s="64">
        <f>17+14</f>
        <v>31</v>
      </c>
      <c r="F577" s="65">
        <f>179171+154259</f>
        <v>333430</v>
      </c>
      <c r="G577" s="64">
        <v>49</v>
      </c>
      <c r="H577" s="64">
        <v>16</v>
      </c>
      <c r="I577" s="64">
        <v>59</v>
      </c>
      <c r="J577" s="66">
        <f t="shared" si="52"/>
        <v>0.550324675324675</v>
      </c>
      <c r="K577" s="67">
        <f t="shared" si="53"/>
        <v>1.71530973451327</v>
      </c>
      <c r="L577" s="67">
        <f t="shared" si="54"/>
        <v>943.977272727273</v>
      </c>
      <c r="M577" s="73">
        <f t="shared" si="50"/>
        <v>573.406249462587</v>
      </c>
      <c r="N577" s="66">
        <f t="shared" si="51"/>
        <v>0.0914454277286136</v>
      </c>
      <c r="O577" s="52">
        <f t="shared" si="44"/>
        <v>10755.8064516129</v>
      </c>
      <c r="P577" s="52">
        <f t="shared" si="45"/>
        <v>18.7577419354839</v>
      </c>
      <c r="Q577" s="68">
        <f t="shared" si="46"/>
        <v>11.8671428571429</v>
      </c>
    </row>
    <row r="578" s="2" customFormat="1" spans="1:17">
      <c r="A578" s="61">
        <v>45225</v>
      </c>
      <c r="B578" s="65">
        <v>442.8</v>
      </c>
      <c r="C578" s="72">
        <v>502</v>
      </c>
      <c r="D578" s="64">
        <v>213</v>
      </c>
      <c r="E578" s="64">
        <f>7+7</f>
        <v>14</v>
      </c>
      <c r="F578" s="65">
        <f>110774+111147</f>
        <v>221921</v>
      </c>
      <c r="G578" s="64">
        <v>20</v>
      </c>
      <c r="H578" s="64">
        <v>19</v>
      </c>
      <c r="I578" s="64">
        <v>37</v>
      </c>
      <c r="J578" s="66">
        <f t="shared" si="52"/>
        <v>0.424302788844622</v>
      </c>
      <c r="K578" s="67">
        <f t="shared" si="53"/>
        <v>2.07887323943662</v>
      </c>
      <c r="L578" s="67">
        <f t="shared" si="54"/>
        <v>882.07171314741</v>
      </c>
      <c r="M578" s="73">
        <f t="shared" si="50"/>
        <v>501.176603432701</v>
      </c>
      <c r="N578" s="66">
        <f t="shared" si="51"/>
        <v>0.0657276995305164</v>
      </c>
      <c r="O578" s="52">
        <f t="shared" ref="O578:O641" si="55">IF(E578=0,0,F578/E578)</f>
        <v>15851.5</v>
      </c>
      <c r="P578" s="52">
        <f t="shared" ref="P578:P641" si="56">IF(E578=0,0,B578/E578)</f>
        <v>31.6285714285714</v>
      </c>
      <c r="Q578" s="68">
        <f t="shared" si="46"/>
        <v>22.14</v>
      </c>
    </row>
    <row r="579" s="2" customFormat="1" spans="1:17">
      <c r="A579" s="61">
        <v>45226</v>
      </c>
      <c r="B579" s="65">
        <v>464.24</v>
      </c>
      <c r="C579" s="72">
        <v>549</v>
      </c>
      <c r="D579" s="64">
        <v>198</v>
      </c>
      <c r="E579" s="64">
        <v>3</v>
      </c>
      <c r="F579" s="65">
        <f>33891+11097</f>
        <v>44988</v>
      </c>
      <c r="G579" s="64">
        <v>44</v>
      </c>
      <c r="H579" s="64">
        <v>22</v>
      </c>
      <c r="I579" s="64">
        <v>39</v>
      </c>
      <c r="J579" s="66">
        <f t="shared" si="52"/>
        <v>0.360655737704918</v>
      </c>
      <c r="K579" s="67">
        <f t="shared" si="53"/>
        <v>2.34464646464646</v>
      </c>
      <c r="L579" s="67">
        <f t="shared" si="54"/>
        <v>845.610200364299</v>
      </c>
      <c r="M579" s="73">
        <f t="shared" si="50"/>
        <v>96.9067723591246</v>
      </c>
      <c r="N579" s="66">
        <f t="shared" si="51"/>
        <v>0.0151515151515152</v>
      </c>
      <c r="O579" s="52">
        <f t="shared" si="55"/>
        <v>14996</v>
      </c>
      <c r="P579" s="52">
        <f t="shared" si="56"/>
        <v>154.746666666667</v>
      </c>
      <c r="Q579" s="68">
        <f t="shared" ref="Q579:Q642" si="57">B579/G579</f>
        <v>10.5509090909091</v>
      </c>
    </row>
    <row r="580" s="2" customFormat="1" spans="1:17">
      <c r="A580" s="61">
        <v>45227</v>
      </c>
      <c r="B580" s="65">
        <v>397.79</v>
      </c>
      <c r="C580" s="72">
        <v>479</v>
      </c>
      <c r="D580" s="64">
        <v>192</v>
      </c>
      <c r="E580" s="64">
        <v>4</v>
      </c>
      <c r="F580" s="65">
        <f>31093+31093</f>
        <v>62186</v>
      </c>
      <c r="G580" s="64">
        <v>30</v>
      </c>
      <c r="H580" s="64">
        <v>11</v>
      </c>
      <c r="I580" s="64">
        <v>38</v>
      </c>
      <c r="J580" s="66">
        <f t="shared" si="52"/>
        <v>0.400835073068894</v>
      </c>
      <c r="K580" s="67">
        <f t="shared" si="53"/>
        <v>2.07182291666667</v>
      </c>
      <c r="L580" s="67">
        <f t="shared" si="54"/>
        <v>830.459290187891</v>
      </c>
      <c r="M580" s="73">
        <f t="shared" si="50"/>
        <v>156.328716156766</v>
      </c>
      <c r="N580" s="66">
        <f t="shared" si="51"/>
        <v>0.0208333333333333</v>
      </c>
      <c r="O580" s="52">
        <f t="shared" si="55"/>
        <v>15546.5</v>
      </c>
      <c r="P580" s="52">
        <f t="shared" si="56"/>
        <v>99.4475</v>
      </c>
      <c r="Q580" s="68">
        <f t="shared" si="57"/>
        <v>13.2596666666667</v>
      </c>
    </row>
    <row r="581" s="2" customFormat="1" spans="1:17">
      <c r="A581" s="61">
        <v>45228</v>
      </c>
      <c r="B581" s="65">
        <v>498.83</v>
      </c>
      <c r="C581" s="78">
        <v>464</v>
      </c>
      <c r="D581" s="64">
        <v>213</v>
      </c>
      <c r="E581" s="64">
        <v>20</v>
      </c>
      <c r="F581" s="65">
        <f>161645+110376</f>
        <v>272021</v>
      </c>
      <c r="G581" s="64">
        <v>67</v>
      </c>
      <c r="H581" s="64">
        <v>18</v>
      </c>
      <c r="I581" s="64">
        <v>39</v>
      </c>
      <c r="J581" s="66">
        <f t="shared" si="52"/>
        <v>0.459051724137931</v>
      </c>
      <c r="K581" s="67">
        <f t="shared" si="53"/>
        <v>2.34192488262911</v>
      </c>
      <c r="L581" s="67">
        <f t="shared" si="54"/>
        <v>1075.06465517241</v>
      </c>
      <c r="M581" s="73">
        <f t="shared" si="50"/>
        <v>545.318044223483</v>
      </c>
      <c r="N581" s="66">
        <f t="shared" si="51"/>
        <v>0.0938967136150235</v>
      </c>
      <c r="O581" s="52">
        <f t="shared" si="55"/>
        <v>13601.05</v>
      </c>
      <c r="P581" s="52">
        <f t="shared" si="56"/>
        <v>24.9415</v>
      </c>
      <c r="Q581" s="68">
        <f t="shared" si="57"/>
        <v>7.44522388059701</v>
      </c>
    </row>
    <row r="582" s="2" customFormat="1" spans="1:17">
      <c r="A582" s="61">
        <v>45229</v>
      </c>
      <c r="B582" s="65">
        <v>359.4</v>
      </c>
      <c r="C582" s="78">
        <v>332</v>
      </c>
      <c r="D582" s="64">
        <v>133</v>
      </c>
      <c r="E582" s="64">
        <v>4</v>
      </c>
      <c r="F582" s="65">
        <f>19769+19869</f>
        <v>39638</v>
      </c>
      <c r="G582" s="64">
        <v>13</v>
      </c>
      <c r="H582" s="64">
        <v>3</v>
      </c>
      <c r="I582" s="64">
        <v>16</v>
      </c>
      <c r="J582" s="66">
        <f t="shared" si="52"/>
        <v>0.400602409638554</v>
      </c>
      <c r="K582" s="67">
        <f t="shared" si="53"/>
        <v>2.70225563909774</v>
      </c>
      <c r="L582" s="67">
        <f t="shared" si="54"/>
        <v>1082.53012048193</v>
      </c>
      <c r="M582" s="73">
        <f t="shared" si="50"/>
        <v>110.289371174179</v>
      </c>
      <c r="N582" s="66">
        <f t="shared" si="51"/>
        <v>0.0300751879699248</v>
      </c>
      <c r="O582" s="52">
        <f t="shared" si="55"/>
        <v>9909.5</v>
      </c>
      <c r="P582" s="52">
        <f t="shared" si="56"/>
        <v>89.85</v>
      </c>
      <c r="Q582" s="68">
        <f t="shared" si="57"/>
        <v>27.6461538461538</v>
      </c>
    </row>
    <row r="583" s="2" customFormat="1" spans="1:17">
      <c r="A583" s="61">
        <v>45230</v>
      </c>
      <c r="B583" s="65">
        <v>445.63</v>
      </c>
      <c r="C583" s="78">
        <v>391</v>
      </c>
      <c r="D583" s="64">
        <v>160</v>
      </c>
      <c r="E583" s="64">
        <f>16+8</f>
        <v>24</v>
      </c>
      <c r="F583" s="65">
        <f>191243+86178</f>
        <v>277421</v>
      </c>
      <c r="G583" s="64">
        <v>42</v>
      </c>
      <c r="H583" s="64">
        <v>12</v>
      </c>
      <c r="I583" s="64">
        <v>25</v>
      </c>
      <c r="J583" s="66">
        <f t="shared" si="52"/>
        <v>0.40920716112532</v>
      </c>
      <c r="K583" s="67">
        <f t="shared" si="53"/>
        <v>2.7851875</v>
      </c>
      <c r="L583" s="67">
        <f t="shared" si="54"/>
        <v>1139.71867007673</v>
      </c>
      <c r="M583" s="73">
        <f t="shared" si="50"/>
        <v>622.536633530059</v>
      </c>
      <c r="N583" s="66">
        <f t="shared" si="51"/>
        <v>0.15</v>
      </c>
      <c r="O583" s="52">
        <f t="shared" si="55"/>
        <v>11559.2083333333</v>
      </c>
      <c r="P583" s="52">
        <f t="shared" si="56"/>
        <v>18.5679166666667</v>
      </c>
      <c r="Q583" s="68">
        <f t="shared" si="57"/>
        <v>10.6102380952381</v>
      </c>
    </row>
    <row r="584" s="2" customFormat="1" spans="1:17">
      <c r="A584" s="61">
        <v>45231</v>
      </c>
      <c r="B584" s="65">
        <v>446.27</v>
      </c>
      <c r="C584" s="78">
        <v>407</v>
      </c>
      <c r="D584" s="64">
        <v>192</v>
      </c>
      <c r="E584" s="64">
        <v>5</v>
      </c>
      <c r="F584" s="65">
        <v>54509</v>
      </c>
      <c r="G584" s="64">
        <v>74</v>
      </c>
      <c r="H584" s="64">
        <v>8</v>
      </c>
      <c r="I584" s="64">
        <v>22</v>
      </c>
      <c r="J584" s="66">
        <f t="shared" si="52"/>
        <v>0.471744471744472</v>
      </c>
      <c r="K584" s="67">
        <f t="shared" si="53"/>
        <v>2.32432291666667</v>
      </c>
      <c r="L584" s="67">
        <f t="shared" si="54"/>
        <v>1096.48648648649</v>
      </c>
      <c r="M584" s="73">
        <f t="shared" si="50"/>
        <v>122.143545387322</v>
      </c>
      <c r="N584" s="66">
        <f t="shared" si="51"/>
        <v>0.0260416666666667</v>
      </c>
      <c r="O584" s="52">
        <f t="shared" si="55"/>
        <v>10901.8</v>
      </c>
      <c r="P584" s="52">
        <f t="shared" si="56"/>
        <v>89.254</v>
      </c>
      <c r="Q584" s="68">
        <f t="shared" si="57"/>
        <v>6.03067567567568</v>
      </c>
    </row>
    <row r="585" s="2" customFormat="1" spans="1:17">
      <c r="A585" s="61">
        <v>45232</v>
      </c>
      <c r="B585" s="65">
        <v>412.61</v>
      </c>
      <c r="C585" s="78">
        <v>352</v>
      </c>
      <c r="D585" s="64">
        <v>157</v>
      </c>
      <c r="E585" s="64">
        <v>1</v>
      </c>
      <c r="F585" s="65">
        <v>11097</v>
      </c>
      <c r="G585" s="64">
        <v>62</v>
      </c>
      <c r="H585" s="64">
        <v>14</v>
      </c>
      <c r="I585" s="64">
        <v>34</v>
      </c>
      <c r="J585" s="66">
        <f t="shared" si="52"/>
        <v>0.446022727272727</v>
      </c>
      <c r="K585" s="67">
        <f t="shared" si="53"/>
        <v>2.62808917197452</v>
      </c>
      <c r="L585" s="67">
        <f t="shared" si="54"/>
        <v>1172.1875</v>
      </c>
      <c r="M585" s="73">
        <f t="shared" si="50"/>
        <v>26.8946462761445</v>
      </c>
      <c r="N585" s="66">
        <f t="shared" si="51"/>
        <v>0.00636942675159236</v>
      </c>
      <c r="O585" s="52">
        <f t="shared" si="55"/>
        <v>11097</v>
      </c>
      <c r="P585" s="52">
        <f t="shared" si="56"/>
        <v>412.61</v>
      </c>
      <c r="Q585" s="68">
        <f t="shared" si="57"/>
        <v>6.655</v>
      </c>
    </row>
    <row r="586" s="2" customFormat="1" spans="1:17">
      <c r="A586" s="61">
        <v>45233</v>
      </c>
      <c r="B586" s="65">
        <v>364.25</v>
      </c>
      <c r="C586" s="78">
        <v>353</v>
      </c>
      <c r="D586" s="64">
        <v>128</v>
      </c>
      <c r="E586" s="64">
        <v>2</v>
      </c>
      <c r="F586" s="65">
        <v>19360</v>
      </c>
      <c r="G586" s="64">
        <v>52</v>
      </c>
      <c r="H586" s="64">
        <v>8</v>
      </c>
      <c r="I586" s="64">
        <v>18</v>
      </c>
      <c r="J586" s="66">
        <f t="shared" si="52"/>
        <v>0.362606232294618</v>
      </c>
      <c r="K586" s="67">
        <f t="shared" si="53"/>
        <v>2.845703125</v>
      </c>
      <c r="L586" s="67">
        <f t="shared" si="54"/>
        <v>1031.86968838527</v>
      </c>
      <c r="M586" s="73">
        <f t="shared" si="50"/>
        <v>53.1503088538092</v>
      </c>
      <c r="N586" s="66">
        <f t="shared" si="51"/>
        <v>0.015625</v>
      </c>
      <c r="O586" s="52">
        <f t="shared" si="55"/>
        <v>9680</v>
      </c>
      <c r="P586" s="52">
        <f t="shared" si="56"/>
        <v>182.125</v>
      </c>
      <c r="Q586" s="68">
        <f t="shared" si="57"/>
        <v>7.00480769230769</v>
      </c>
    </row>
    <row r="587" s="2" customFormat="1" spans="1:17">
      <c r="A587" s="61">
        <v>45234</v>
      </c>
      <c r="B587" s="65">
        <v>306.63</v>
      </c>
      <c r="C587" s="78">
        <v>287</v>
      </c>
      <c r="D587" s="64">
        <v>129</v>
      </c>
      <c r="E587" s="64">
        <v>4</v>
      </c>
      <c r="F587" s="65">
        <v>48783</v>
      </c>
      <c r="G587" s="64">
        <v>51</v>
      </c>
      <c r="H587" s="64">
        <v>2</v>
      </c>
      <c r="I587" s="64">
        <v>20</v>
      </c>
      <c r="J587" s="66">
        <f t="shared" si="52"/>
        <v>0.449477351916376</v>
      </c>
      <c r="K587" s="67">
        <f t="shared" si="53"/>
        <v>2.37697674418605</v>
      </c>
      <c r="L587" s="67">
        <f t="shared" si="54"/>
        <v>1068.39721254355</v>
      </c>
      <c r="M587" s="73">
        <f t="shared" si="50"/>
        <v>159.094022111339</v>
      </c>
      <c r="N587" s="66">
        <f t="shared" si="51"/>
        <v>0.0310077519379845</v>
      </c>
      <c r="O587" s="52">
        <f t="shared" si="55"/>
        <v>12195.75</v>
      </c>
      <c r="P587" s="52">
        <f t="shared" si="56"/>
        <v>76.6575</v>
      </c>
      <c r="Q587" s="68">
        <f t="shared" si="57"/>
        <v>6.01235294117647</v>
      </c>
    </row>
    <row r="588" s="2" customFormat="1" spans="1:17">
      <c r="A588" s="61">
        <v>45235</v>
      </c>
      <c r="B588" s="65">
        <v>383.78</v>
      </c>
      <c r="C588" s="78">
        <v>426</v>
      </c>
      <c r="D588" s="64">
        <v>219</v>
      </c>
      <c r="E588" s="64">
        <v>13</v>
      </c>
      <c r="F588" s="65">
        <v>170627</v>
      </c>
      <c r="G588" s="64">
        <v>81</v>
      </c>
      <c r="H588" s="64">
        <v>8</v>
      </c>
      <c r="I588" s="64">
        <v>28</v>
      </c>
      <c r="J588" s="66">
        <f t="shared" si="52"/>
        <v>0.514084507042254</v>
      </c>
      <c r="K588" s="67">
        <f t="shared" si="53"/>
        <v>1.7524200913242</v>
      </c>
      <c r="L588" s="67">
        <f t="shared" si="54"/>
        <v>900.892018779343</v>
      </c>
      <c r="M588" s="73">
        <f t="shared" si="50"/>
        <v>444.595862212726</v>
      </c>
      <c r="N588" s="66">
        <f t="shared" si="51"/>
        <v>0.0593607305936073</v>
      </c>
      <c r="O588" s="52">
        <f t="shared" si="55"/>
        <v>13125.1538461538</v>
      </c>
      <c r="P588" s="52">
        <f t="shared" si="56"/>
        <v>29.5215384615385</v>
      </c>
      <c r="Q588" s="68">
        <f t="shared" si="57"/>
        <v>4.73802469135802</v>
      </c>
    </row>
    <row r="589" s="2" customFormat="1" spans="1:17">
      <c r="A589" s="61">
        <v>45236</v>
      </c>
      <c r="B589" s="65">
        <v>350.08</v>
      </c>
      <c r="C589" s="79">
        <v>381</v>
      </c>
      <c r="D589" s="64">
        <v>169</v>
      </c>
      <c r="E589" s="64">
        <v>1</v>
      </c>
      <c r="F589" s="65">
        <v>7898</v>
      </c>
      <c r="G589" s="64">
        <v>44</v>
      </c>
      <c r="H589" s="64">
        <v>8</v>
      </c>
      <c r="I589" s="64">
        <v>21</v>
      </c>
      <c r="J589" s="66">
        <f t="shared" si="52"/>
        <v>0.443569553805774</v>
      </c>
      <c r="K589" s="67">
        <f t="shared" si="53"/>
        <v>2.07147928994083</v>
      </c>
      <c r="L589" s="67">
        <f t="shared" si="54"/>
        <v>918.845144356955</v>
      </c>
      <c r="M589" s="73">
        <f t="shared" si="50"/>
        <v>22.5605575868373</v>
      </c>
      <c r="N589" s="66">
        <f t="shared" si="51"/>
        <v>0.00591715976331361</v>
      </c>
      <c r="O589" s="52">
        <f t="shared" si="55"/>
        <v>7898</v>
      </c>
      <c r="P589" s="52">
        <f t="shared" si="56"/>
        <v>350.08</v>
      </c>
      <c r="Q589" s="68">
        <f t="shared" si="57"/>
        <v>7.95636363636364</v>
      </c>
    </row>
    <row r="590" s="2" customFormat="1" spans="1:17">
      <c r="A590" s="61">
        <v>45237</v>
      </c>
      <c r="B590" s="74">
        <v>287.43</v>
      </c>
      <c r="C590" s="79">
        <v>308</v>
      </c>
      <c r="D590" s="79">
        <v>149</v>
      </c>
      <c r="E590" s="64">
        <v>4</v>
      </c>
      <c r="F590" s="74">
        <v>35793.01</v>
      </c>
      <c r="G590" s="72">
        <v>29</v>
      </c>
      <c r="H590" s="72">
        <v>7</v>
      </c>
      <c r="I590" s="72">
        <v>19</v>
      </c>
      <c r="J590" s="66">
        <f t="shared" si="52"/>
        <v>0.483766233766234</v>
      </c>
      <c r="K590" s="67">
        <f t="shared" si="53"/>
        <v>1.92906040268456</v>
      </c>
      <c r="L590" s="67">
        <f t="shared" si="54"/>
        <v>933.214285714286</v>
      </c>
      <c r="M590" s="73">
        <f t="shared" si="50"/>
        <v>124.527745885955</v>
      </c>
      <c r="N590" s="66">
        <f t="shared" si="51"/>
        <v>0.0268456375838926</v>
      </c>
      <c r="O590" s="52">
        <f t="shared" si="55"/>
        <v>8948.2525</v>
      </c>
      <c r="P590" s="52">
        <f t="shared" si="56"/>
        <v>71.8575</v>
      </c>
      <c r="Q590" s="68">
        <f t="shared" si="57"/>
        <v>9.91137931034483</v>
      </c>
    </row>
    <row r="591" s="2" customFormat="1" spans="1:17">
      <c r="A591" s="61">
        <v>45238</v>
      </c>
      <c r="B591" s="65">
        <v>308.15</v>
      </c>
      <c r="C591" s="64">
        <v>303</v>
      </c>
      <c r="D591" s="64">
        <v>138</v>
      </c>
      <c r="E591" s="64">
        <v>8</v>
      </c>
      <c r="F591" s="65">
        <v>24696.06</v>
      </c>
      <c r="G591" s="19">
        <v>32</v>
      </c>
      <c r="H591" s="19">
        <v>7</v>
      </c>
      <c r="I591" s="19">
        <v>16</v>
      </c>
      <c r="J591" s="66">
        <f t="shared" si="52"/>
        <v>0.455445544554455</v>
      </c>
      <c r="K591" s="67">
        <f t="shared" si="53"/>
        <v>2.23297101449275</v>
      </c>
      <c r="L591" s="67">
        <f t="shared" si="54"/>
        <v>1016.99669966997</v>
      </c>
      <c r="M591" s="73">
        <f t="shared" si="50"/>
        <v>80.1429823138082</v>
      </c>
      <c r="N591" s="66">
        <f t="shared" si="51"/>
        <v>0.0579710144927536</v>
      </c>
      <c r="O591" s="52">
        <f t="shared" si="55"/>
        <v>3087.0075</v>
      </c>
      <c r="P591" s="52">
        <f t="shared" si="56"/>
        <v>38.51875</v>
      </c>
      <c r="Q591" s="68">
        <f t="shared" si="57"/>
        <v>9.6296875</v>
      </c>
    </row>
    <row r="592" s="2" customFormat="1" spans="1:17">
      <c r="A592" s="61">
        <v>45239</v>
      </c>
      <c r="B592" s="65">
        <v>335.75</v>
      </c>
      <c r="C592" s="64">
        <v>302</v>
      </c>
      <c r="D592" s="64">
        <v>133</v>
      </c>
      <c r="E592" s="64">
        <v>8</v>
      </c>
      <c r="F592" s="65">
        <v>13549.07</v>
      </c>
      <c r="G592" s="19">
        <v>26</v>
      </c>
      <c r="H592" s="19">
        <v>9</v>
      </c>
      <c r="I592" s="19">
        <v>17</v>
      </c>
      <c r="J592" s="66">
        <f t="shared" si="52"/>
        <v>0.440397350993377</v>
      </c>
      <c r="K592" s="67">
        <f t="shared" si="53"/>
        <v>2.52443609022556</v>
      </c>
      <c r="L592" s="67">
        <f t="shared" si="54"/>
        <v>1111.75496688742</v>
      </c>
      <c r="M592" s="73">
        <f t="shared" si="50"/>
        <v>40.3546388682055</v>
      </c>
      <c r="N592" s="66">
        <f t="shared" si="51"/>
        <v>0.0601503759398496</v>
      </c>
      <c r="O592" s="52">
        <f t="shared" si="55"/>
        <v>1693.63375</v>
      </c>
      <c r="P592" s="52">
        <f t="shared" si="56"/>
        <v>41.96875</v>
      </c>
      <c r="Q592" s="68">
        <f t="shared" si="57"/>
        <v>12.9134615384615</v>
      </c>
    </row>
    <row r="593" s="2" customFormat="1" spans="1:17">
      <c r="A593" s="61">
        <v>45240</v>
      </c>
      <c r="B593" s="74">
        <v>183.99</v>
      </c>
      <c r="C593" s="64">
        <v>162</v>
      </c>
      <c r="D593" s="79">
        <v>62</v>
      </c>
      <c r="E593" s="64">
        <v>8</v>
      </c>
      <c r="F593" s="53">
        <v>33414.05</v>
      </c>
      <c r="G593" s="19">
        <v>33</v>
      </c>
      <c r="H593" s="19">
        <v>3</v>
      </c>
      <c r="I593" s="19">
        <v>6</v>
      </c>
      <c r="J593" s="66">
        <f t="shared" si="52"/>
        <v>0.382716049382716</v>
      </c>
      <c r="K593" s="67">
        <f t="shared" si="53"/>
        <v>2.96758064516129</v>
      </c>
      <c r="L593" s="67">
        <f t="shared" si="54"/>
        <v>1135.74074074074</v>
      </c>
      <c r="M593" s="73">
        <f t="shared" si="50"/>
        <v>181.607967824338</v>
      </c>
      <c r="N593" s="66">
        <f t="shared" si="51"/>
        <v>0.129032258064516</v>
      </c>
      <c r="O593" s="52">
        <f t="shared" si="55"/>
        <v>4176.75625</v>
      </c>
      <c r="P593" s="52">
        <f t="shared" si="56"/>
        <v>22.99875</v>
      </c>
      <c r="Q593" s="68">
        <f t="shared" si="57"/>
        <v>5.57545454545455</v>
      </c>
    </row>
    <row r="594" s="2" customFormat="1" spans="1:17">
      <c r="A594" s="61">
        <v>45241</v>
      </c>
      <c r="B594" s="71">
        <v>115.77</v>
      </c>
      <c r="C594" s="72">
        <v>96</v>
      </c>
      <c r="D594" s="78">
        <v>30</v>
      </c>
      <c r="E594" s="72">
        <v>2</v>
      </c>
      <c r="F594" s="53">
        <v>13096.01</v>
      </c>
      <c r="G594" s="64">
        <v>6</v>
      </c>
      <c r="H594" s="64">
        <v>0</v>
      </c>
      <c r="I594" s="64">
        <v>3</v>
      </c>
      <c r="J594" s="66">
        <f t="shared" si="52"/>
        <v>0.3125</v>
      </c>
      <c r="K594" s="67">
        <f t="shared" si="53"/>
        <v>3.859</v>
      </c>
      <c r="L594" s="67">
        <f t="shared" si="54"/>
        <v>1205.9375</v>
      </c>
      <c r="M594" s="73">
        <f t="shared" si="50"/>
        <v>113.12092942904</v>
      </c>
      <c r="N594" s="66">
        <f t="shared" si="51"/>
        <v>0.0666666666666667</v>
      </c>
      <c r="O594" s="52">
        <f t="shared" si="55"/>
        <v>6548.005</v>
      </c>
      <c r="P594" s="52">
        <f t="shared" si="56"/>
        <v>57.885</v>
      </c>
      <c r="Q594" s="68">
        <f t="shared" si="57"/>
        <v>19.295</v>
      </c>
    </row>
    <row r="595" s="2" customFormat="1" spans="1:17">
      <c r="A595" s="61">
        <v>45242</v>
      </c>
      <c r="B595" s="71">
        <v>300.85</v>
      </c>
      <c r="C595" s="72">
        <v>266</v>
      </c>
      <c r="D595" s="78">
        <v>115</v>
      </c>
      <c r="E595" s="72">
        <v>3</v>
      </c>
      <c r="F595" s="53">
        <v>14231.02</v>
      </c>
      <c r="G595" s="64">
        <v>20</v>
      </c>
      <c r="H595" s="64">
        <v>4</v>
      </c>
      <c r="I595" s="64">
        <v>9</v>
      </c>
      <c r="J595" s="66">
        <f t="shared" si="52"/>
        <v>0.432330827067669</v>
      </c>
      <c r="K595" s="67">
        <f t="shared" si="53"/>
        <v>2.61608695652174</v>
      </c>
      <c r="L595" s="67">
        <f t="shared" si="54"/>
        <v>1131.01503759399</v>
      </c>
      <c r="M595" s="73">
        <f t="shared" si="50"/>
        <v>47.3027089911916</v>
      </c>
      <c r="N595" s="66">
        <f t="shared" si="51"/>
        <v>0.0260869565217391</v>
      </c>
      <c r="O595" s="52">
        <f t="shared" si="55"/>
        <v>4743.67333333333</v>
      </c>
      <c r="P595" s="52">
        <f t="shared" si="56"/>
        <v>100.283333333333</v>
      </c>
      <c r="Q595" s="68">
        <f t="shared" si="57"/>
        <v>15.0425</v>
      </c>
    </row>
    <row r="596" s="2" customFormat="1" spans="1:17">
      <c r="A596" s="61">
        <v>45243</v>
      </c>
      <c r="B596" s="53">
        <v>206.85</v>
      </c>
      <c r="C596" s="19">
        <v>219</v>
      </c>
      <c r="D596" s="19">
        <v>93</v>
      </c>
      <c r="E596" s="19">
        <v>3</v>
      </c>
      <c r="F596" s="53">
        <v>12014</v>
      </c>
      <c r="G596" s="19">
        <v>23</v>
      </c>
      <c r="H596" s="19">
        <v>3</v>
      </c>
      <c r="I596" s="19">
        <v>5</v>
      </c>
      <c r="J596" s="66">
        <f t="shared" si="52"/>
        <v>0.424657534246575</v>
      </c>
      <c r="K596" s="67">
        <f t="shared" si="53"/>
        <v>2.2241935483871</v>
      </c>
      <c r="L596" s="67">
        <f t="shared" si="54"/>
        <v>944.520547945205</v>
      </c>
      <c r="M596" s="73">
        <f t="shared" si="50"/>
        <v>58.0807348320039</v>
      </c>
      <c r="N596" s="66">
        <f t="shared" si="51"/>
        <v>0.032258064516129</v>
      </c>
      <c r="O596" s="52">
        <f t="shared" si="55"/>
        <v>4004.66666666667</v>
      </c>
      <c r="P596" s="52">
        <f t="shared" si="56"/>
        <v>68.95</v>
      </c>
      <c r="Q596" s="68">
        <f t="shared" si="57"/>
        <v>8.99347826086957</v>
      </c>
    </row>
    <row r="597" s="2" customFormat="1" spans="1:17">
      <c r="A597" s="61">
        <v>45244</v>
      </c>
      <c r="B597" s="65">
        <v>191.78</v>
      </c>
      <c r="C597" s="63">
        <v>219</v>
      </c>
      <c r="D597" s="63">
        <v>73</v>
      </c>
      <c r="E597" s="19">
        <v>0</v>
      </c>
      <c r="F597" s="53">
        <v>0</v>
      </c>
      <c r="G597" s="19">
        <v>1</v>
      </c>
      <c r="H597" s="19">
        <v>4</v>
      </c>
      <c r="I597" s="19">
        <v>5</v>
      </c>
      <c r="J597" s="66">
        <f t="shared" si="52"/>
        <v>0.333333333333333</v>
      </c>
      <c r="K597" s="67">
        <f t="shared" si="53"/>
        <v>2.62712328767123</v>
      </c>
      <c r="L597" s="67">
        <f t="shared" si="54"/>
        <v>875.707762557078</v>
      </c>
      <c r="M597" s="73">
        <f t="shared" si="50"/>
        <v>0</v>
      </c>
      <c r="N597" s="66">
        <f t="shared" si="51"/>
        <v>0</v>
      </c>
      <c r="O597" s="52">
        <f t="shared" si="55"/>
        <v>0</v>
      </c>
      <c r="P597" s="52">
        <f t="shared" si="56"/>
        <v>0</v>
      </c>
      <c r="Q597" s="68">
        <f t="shared" si="57"/>
        <v>191.78</v>
      </c>
    </row>
    <row r="598" s="2" customFormat="1" spans="1:17">
      <c r="A598" s="61">
        <v>45245</v>
      </c>
      <c r="B598" s="62">
        <v>142.03</v>
      </c>
      <c r="C598" s="63">
        <v>160</v>
      </c>
      <c r="D598" s="57">
        <v>57</v>
      </c>
      <c r="E598" s="19">
        <v>0</v>
      </c>
      <c r="F598" s="53">
        <v>0</v>
      </c>
      <c r="G598" s="19">
        <v>11</v>
      </c>
      <c r="H598" s="19">
        <v>0</v>
      </c>
      <c r="I598" s="19">
        <v>5</v>
      </c>
      <c r="J598" s="66">
        <f t="shared" si="52"/>
        <v>0.35625</v>
      </c>
      <c r="K598" s="67">
        <f t="shared" si="53"/>
        <v>2.49175438596491</v>
      </c>
      <c r="L598" s="67">
        <f t="shared" si="54"/>
        <v>887.6875</v>
      </c>
      <c r="M598" s="73">
        <f t="shared" si="50"/>
        <v>0</v>
      </c>
      <c r="N598" s="66">
        <f t="shared" si="51"/>
        <v>0</v>
      </c>
      <c r="O598" s="52">
        <f t="shared" si="55"/>
        <v>0</v>
      </c>
      <c r="P598" s="52">
        <f t="shared" si="56"/>
        <v>0</v>
      </c>
      <c r="Q598" s="68">
        <f t="shared" si="57"/>
        <v>12.9118181818182</v>
      </c>
    </row>
    <row r="599" s="2" customFormat="1" spans="1:17">
      <c r="A599" s="61">
        <v>45246</v>
      </c>
      <c r="B599" s="62">
        <v>155.54</v>
      </c>
      <c r="C599" s="80">
        <v>169</v>
      </c>
      <c r="D599" s="81">
        <v>67</v>
      </c>
      <c r="E599" s="19">
        <v>0</v>
      </c>
      <c r="F599" s="53">
        <v>0</v>
      </c>
      <c r="G599" s="19">
        <v>14</v>
      </c>
      <c r="H599" s="19">
        <v>2</v>
      </c>
      <c r="I599" s="19">
        <v>7</v>
      </c>
      <c r="J599" s="66">
        <f t="shared" si="52"/>
        <v>0.396449704142012</v>
      </c>
      <c r="K599" s="67">
        <f t="shared" si="53"/>
        <v>2.32149253731343</v>
      </c>
      <c r="L599" s="67">
        <f t="shared" si="54"/>
        <v>920.355029585799</v>
      </c>
      <c r="M599" s="73">
        <f t="shared" si="50"/>
        <v>0</v>
      </c>
      <c r="N599" s="66">
        <f t="shared" si="51"/>
        <v>0</v>
      </c>
      <c r="O599" s="52">
        <f t="shared" si="55"/>
        <v>0</v>
      </c>
      <c r="P599" s="52">
        <f t="shared" si="56"/>
        <v>0</v>
      </c>
      <c r="Q599" s="68">
        <f t="shared" si="57"/>
        <v>11.11</v>
      </c>
    </row>
    <row r="600" s="2" customFormat="1" spans="1:17">
      <c r="A600" s="61">
        <v>45247</v>
      </c>
      <c r="B600" s="62">
        <v>153.19</v>
      </c>
      <c r="C600" s="63">
        <v>180</v>
      </c>
      <c r="D600" s="57">
        <v>58</v>
      </c>
      <c r="E600" s="19">
        <v>0</v>
      </c>
      <c r="F600" s="53">
        <v>0</v>
      </c>
      <c r="G600" s="19">
        <v>7</v>
      </c>
      <c r="H600" s="19">
        <v>2</v>
      </c>
      <c r="I600" s="19">
        <v>4</v>
      </c>
      <c r="J600" s="66">
        <f t="shared" si="52"/>
        <v>0.322222222222222</v>
      </c>
      <c r="K600" s="67">
        <f t="shared" si="53"/>
        <v>2.64120689655172</v>
      </c>
      <c r="L600" s="67">
        <f t="shared" si="54"/>
        <v>851.055555555556</v>
      </c>
      <c r="M600" s="73">
        <f t="shared" si="50"/>
        <v>0</v>
      </c>
      <c r="N600" s="66">
        <f t="shared" si="51"/>
        <v>0</v>
      </c>
      <c r="O600" s="52">
        <f t="shared" si="55"/>
        <v>0</v>
      </c>
      <c r="P600" s="52">
        <f t="shared" si="56"/>
        <v>0</v>
      </c>
      <c r="Q600" s="68">
        <f t="shared" si="57"/>
        <v>21.8842857142857</v>
      </c>
    </row>
    <row r="601" s="2" customFormat="1" spans="1:17">
      <c r="A601" s="61">
        <v>45248</v>
      </c>
      <c r="B601" s="62">
        <v>118.25</v>
      </c>
      <c r="C601" s="63">
        <v>135</v>
      </c>
      <c r="D601" s="57">
        <v>61</v>
      </c>
      <c r="E601" s="19">
        <v>0</v>
      </c>
      <c r="F601" s="53">
        <v>0</v>
      </c>
      <c r="G601" s="19">
        <v>5</v>
      </c>
      <c r="H601" s="19">
        <v>4</v>
      </c>
      <c r="I601" s="19">
        <v>4</v>
      </c>
      <c r="J601" s="66">
        <f t="shared" si="52"/>
        <v>0.451851851851852</v>
      </c>
      <c r="K601" s="67">
        <f t="shared" si="53"/>
        <v>1.93852459016393</v>
      </c>
      <c r="L601" s="67">
        <f t="shared" si="54"/>
        <v>875.925925925926</v>
      </c>
      <c r="M601" s="73">
        <f t="shared" si="50"/>
        <v>0</v>
      </c>
      <c r="N601" s="66">
        <f t="shared" si="51"/>
        <v>0</v>
      </c>
      <c r="O601" s="52">
        <f t="shared" si="55"/>
        <v>0</v>
      </c>
      <c r="P601" s="52">
        <f t="shared" si="56"/>
        <v>0</v>
      </c>
      <c r="Q601" s="68">
        <f t="shared" si="57"/>
        <v>23.65</v>
      </c>
    </row>
    <row r="602" s="2" customFormat="1" spans="1:17">
      <c r="A602" s="61">
        <v>45249</v>
      </c>
      <c r="B602" s="62">
        <v>119.68</v>
      </c>
      <c r="C602" s="63">
        <v>141</v>
      </c>
      <c r="D602" s="57">
        <v>31</v>
      </c>
      <c r="E602" s="19">
        <v>0</v>
      </c>
      <c r="F602" s="53">
        <v>0</v>
      </c>
      <c r="G602" s="19">
        <v>4</v>
      </c>
      <c r="H602" s="19">
        <v>0</v>
      </c>
      <c r="I602" s="19">
        <v>4</v>
      </c>
      <c r="J602" s="66">
        <f t="shared" si="52"/>
        <v>0.219858156028369</v>
      </c>
      <c r="K602" s="67">
        <f t="shared" si="53"/>
        <v>3.86064516129032</v>
      </c>
      <c r="L602" s="67">
        <f t="shared" si="54"/>
        <v>848.794326241135</v>
      </c>
      <c r="M602" s="73">
        <f t="shared" si="50"/>
        <v>0</v>
      </c>
      <c r="N602" s="66">
        <f t="shared" si="51"/>
        <v>0</v>
      </c>
      <c r="O602" s="52">
        <f t="shared" si="55"/>
        <v>0</v>
      </c>
      <c r="P602" s="52">
        <f t="shared" si="56"/>
        <v>0</v>
      </c>
      <c r="Q602" s="68">
        <f t="shared" si="57"/>
        <v>29.92</v>
      </c>
    </row>
    <row r="603" s="2" customFormat="1" spans="1:17">
      <c r="A603" s="61">
        <v>45250</v>
      </c>
      <c r="B603" s="62">
        <v>131.84</v>
      </c>
      <c r="C603" s="63">
        <v>148</v>
      </c>
      <c r="D603" s="57">
        <v>62</v>
      </c>
      <c r="E603" s="19">
        <v>0</v>
      </c>
      <c r="F603" s="53">
        <v>0</v>
      </c>
      <c r="G603" s="19">
        <v>10</v>
      </c>
      <c r="H603" s="19">
        <v>4</v>
      </c>
      <c r="I603" s="19">
        <v>1</v>
      </c>
      <c r="J603" s="66">
        <f t="shared" si="52"/>
        <v>0.418918918918919</v>
      </c>
      <c r="K603" s="67">
        <f t="shared" si="53"/>
        <v>2.12645161290323</v>
      </c>
      <c r="L603" s="67">
        <f t="shared" si="54"/>
        <v>890.810810810811</v>
      </c>
      <c r="M603" s="73">
        <f t="shared" si="50"/>
        <v>0</v>
      </c>
      <c r="N603" s="66">
        <f t="shared" si="51"/>
        <v>0</v>
      </c>
      <c r="O603" s="52">
        <f t="shared" si="55"/>
        <v>0</v>
      </c>
      <c r="P603" s="52">
        <f t="shared" si="56"/>
        <v>0</v>
      </c>
      <c r="Q603" s="68">
        <f t="shared" si="57"/>
        <v>13.184</v>
      </c>
    </row>
    <row r="604" s="2" customFormat="1" spans="1:17">
      <c r="A604" s="61">
        <v>45251</v>
      </c>
      <c r="B604" s="53">
        <v>177.2</v>
      </c>
      <c r="C604" s="19">
        <v>209</v>
      </c>
      <c r="D604" s="19">
        <v>70</v>
      </c>
      <c r="E604" s="19">
        <v>0</v>
      </c>
      <c r="F604" s="53">
        <v>0</v>
      </c>
      <c r="G604" s="19">
        <v>10</v>
      </c>
      <c r="H604" s="19">
        <v>4</v>
      </c>
      <c r="I604" s="19">
        <v>3</v>
      </c>
      <c r="J604" s="66">
        <f t="shared" si="52"/>
        <v>0.334928229665072</v>
      </c>
      <c r="K604" s="67">
        <f t="shared" si="53"/>
        <v>2.53142857142857</v>
      </c>
      <c r="L604" s="67">
        <f t="shared" si="54"/>
        <v>847.846889952153</v>
      </c>
      <c r="M604" s="73">
        <f t="shared" si="50"/>
        <v>0</v>
      </c>
      <c r="N604" s="66">
        <f t="shared" si="51"/>
        <v>0</v>
      </c>
      <c r="O604" s="52">
        <f t="shared" si="55"/>
        <v>0</v>
      </c>
      <c r="P604" s="52">
        <f t="shared" si="56"/>
        <v>0</v>
      </c>
      <c r="Q604" s="68">
        <f t="shared" si="57"/>
        <v>17.72</v>
      </c>
    </row>
    <row r="605" s="2" customFormat="1" spans="1:17">
      <c r="A605" s="61">
        <v>45252</v>
      </c>
      <c r="B605" s="62">
        <v>172.16</v>
      </c>
      <c r="C605" s="63">
        <v>177</v>
      </c>
      <c r="D605" s="57">
        <v>57</v>
      </c>
      <c r="E605" s="19">
        <v>0</v>
      </c>
      <c r="F605" s="53">
        <v>0</v>
      </c>
      <c r="G605" s="19">
        <v>12</v>
      </c>
      <c r="H605" s="19">
        <v>2</v>
      </c>
      <c r="I605" s="19">
        <v>2</v>
      </c>
      <c r="J605" s="66">
        <f t="shared" si="52"/>
        <v>0.322033898305085</v>
      </c>
      <c r="K605" s="67">
        <f t="shared" si="53"/>
        <v>3.02035087719298</v>
      </c>
      <c r="L605" s="67">
        <f t="shared" si="54"/>
        <v>972.655367231638</v>
      </c>
      <c r="M605" s="73">
        <f t="shared" si="50"/>
        <v>0</v>
      </c>
      <c r="N605" s="66">
        <f t="shared" si="51"/>
        <v>0</v>
      </c>
      <c r="O605" s="52">
        <f t="shared" si="55"/>
        <v>0</v>
      </c>
      <c r="P605" s="52">
        <f t="shared" si="56"/>
        <v>0</v>
      </c>
      <c r="Q605" s="68">
        <f t="shared" si="57"/>
        <v>14.3466666666667</v>
      </c>
    </row>
    <row r="606" s="2" customFormat="1" spans="1:17">
      <c r="A606" s="61">
        <v>45253</v>
      </c>
      <c r="B606" s="62">
        <v>127.15</v>
      </c>
      <c r="C606" s="63">
        <v>138</v>
      </c>
      <c r="D606" s="57">
        <v>50</v>
      </c>
      <c r="E606" s="19">
        <v>0</v>
      </c>
      <c r="F606" s="53">
        <v>0</v>
      </c>
      <c r="G606" s="19">
        <v>12</v>
      </c>
      <c r="H606" s="19">
        <v>5</v>
      </c>
      <c r="I606" s="19">
        <v>5</v>
      </c>
      <c r="J606" s="66">
        <f t="shared" si="52"/>
        <v>0.36231884057971</v>
      </c>
      <c r="K606" s="67">
        <f t="shared" si="53"/>
        <v>2.543</v>
      </c>
      <c r="L606" s="67">
        <f t="shared" si="54"/>
        <v>921.376811594203</v>
      </c>
      <c r="M606" s="73">
        <f t="shared" si="50"/>
        <v>0</v>
      </c>
      <c r="N606" s="66">
        <f t="shared" si="51"/>
        <v>0</v>
      </c>
      <c r="O606" s="52">
        <f t="shared" si="55"/>
        <v>0</v>
      </c>
      <c r="P606" s="52">
        <f t="shared" si="56"/>
        <v>0</v>
      </c>
      <c r="Q606" s="68">
        <f t="shared" si="57"/>
        <v>10.5958333333333</v>
      </c>
    </row>
    <row r="607" s="2" customFormat="1" spans="1:17">
      <c r="A607" s="61">
        <v>45254</v>
      </c>
      <c r="B607" s="62">
        <v>123.9</v>
      </c>
      <c r="C607" s="63">
        <v>141</v>
      </c>
      <c r="D607" s="57">
        <v>33</v>
      </c>
      <c r="E607" s="19">
        <v>0</v>
      </c>
      <c r="F607" s="53">
        <v>0</v>
      </c>
      <c r="G607" s="19">
        <v>5</v>
      </c>
      <c r="H607" s="19">
        <v>3</v>
      </c>
      <c r="I607" s="19">
        <v>3</v>
      </c>
      <c r="J607" s="66">
        <f t="shared" si="52"/>
        <v>0.234042553191489</v>
      </c>
      <c r="K607" s="67">
        <f t="shared" si="53"/>
        <v>3.75454545454545</v>
      </c>
      <c r="L607" s="67">
        <f t="shared" si="54"/>
        <v>878.723404255319</v>
      </c>
      <c r="M607" s="73">
        <f t="shared" si="50"/>
        <v>0</v>
      </c>
      <c r="N607" s="66">
        <f t="shared" si="51"/>
        <v>0</v>
      </c>
      <c r="O607" s="52">
        <f t="shared" si="55"/>
        <v>0</v>
      </c>
      <c r="P607" s="52">
        <f t="shared" si="56"/>
        <v>0</v>
      </c>
      <c r="Q607" s="68">
        <f t="shared" si="57"/>
        <v>24.78</v>
      </c>
    </row>
    <row r="608" s="2" customFormat="1" spans="1:17">
      <c r="A608" s="61">
        <v>45255</v>
      </c>
      <c r="B608" s="62">
        <v>121.4</v>
      </c>
      <c r="C608" s="63">
        <v>143</v>
      </c>
      <c r="D608" s="57">
        <v>41</v>
      </c>
      <c r="E608" s="19">
        <v>0</v>
      </c>
      <c r="F608" s="53">
        <v>0</v>
      </c>
      <c r="G608" s="19">
        <v>7</v>
      </c>
      <c r="H608" s="19">
        <v>2</v>
      </c>
      <c r="I608" s="19">
        <v>3</v>
      </c>
      <c r="J608" s="66">
        <f t="shared" si="52"/>
        <v>0.286713286713287</v>
      </c>
      <c r="K608" s="67">
        <f t="shared" si="53"/>
        <v>2.9609756097561</v>
      </c>
      <c r="L608" s="67">
        <f t="shared" si="54"/>
        <v>848.951048951049</v>
      </c>
      <c r="M608" s="73">
        <f t="shared" si="50"/>
        <v>0</v>
      </c>
      <c r="N608" s="66">
        <f t="shared" si="51"/>
        <v>0</v>
      </c>
      <c r="O608" s="52">
        <f t="shared" si="55"/>
        <v>0</v>
      </c>
      <c r="P608" s="52">
        <f t="shared" si="56"/>
        <v>0</v>
      </c>
      <c r="Q608" s="68">
        <f t="shared" si="57"/>
        <v>17.3428571428571</v>
      </c>
    </row>
    <row r="609" s="2" customFormat="1" spans="1:17">
      <c r="A609" s="61">
        <v>45256</v>
      </c>
      <c r="B609" s="62">
        <v>155.02</v>
      </c>
      <c r="C609" s="63">
        <v>161</v>
      </c>
      <c r="D609" s="57">
        <v>54</v>
      </c>
      <c r="E609" s="19">
        <v>0</v>
      </c>
      <c r="F609" s="53">
        <v>0</v>
      </c>
      <c r="G609" s="19">
        <v>7</v>
      </c>
      <c r="H609" s="19">
        <v>2</v>
      </c>
      <c r="I609" s="19">
        <v>3</v>
      </c>
      <c r="J609" s="66">
        <f t="shared" si="52"/>
        <v>0.335403726708075</v>
      </c>
      <c r="K609" s="67">
        <f t="shared" si="53"/>
        <v>2.87074074074074</v>
      </c>
      <c r="L609" s="67">
        <f t="shared" si="54"/>
        <v>962.857142857143</v>
      </c>
      <c r="M609" s="73">
        <f t="shared" si="50"/>
        <v>0</v>
      </c>
      <c r="N609" s="66">
        <f t="shared" si="51"/>
        <v>0</v>
      </c>
      <c r="O609" s="52">
        <f t="shared" si="55"/>
        <v>0</v>
      </c>
      <c r="P609" s="52">
        <f t="shared" si="56"/>
        <v>0</v>
      </c>
      <c r="Q609" s="68">
        <f t="shared" si="57"/>
        <v>22.1457142857143</v>
      </c>
    </row>
    <row r="610" s="2" customFormat="1" spans="1:17">
      <c r="A610" s="61">
        <v>45257</v>
      </c>
      <c r="B610" s="53">
        <v>128.73</v>
      </c>
      <c r="C610" s="19">
        <v>153</v>
      </c>
      <c r="D610" s="19">
        <v>52</v>
      </c>
      <c r="E610" s="19">
        <v>0</v>
      </c>
      <c r="F610" s="53">
        <v>0</v>
      </c>
      <c r="G610" s="19">
        <v>0</v>
      </c>
      <c r="H610" s="19">
        <v>1</v>
      </c>
      <c r="I610" s="19">
        <v>4</v>
      </c>
      <c r="J610" s="66">
        <f t="shared" si="52"/>
        <v>0.339869281045752</v>
      </c>
      <c r="K610" s="67">
        <f t="shared" si="53"/>
        <v>2.47557692307692</v>
      </c>
      <c r="L610" s="67">
        <f t="shared" si="54"/>
        <v>841.372549019608</v>
      </c>
      <c r="M610" s="73">
        <f t="shared" si="50"/>
        <v>0</v>
      </c>
      <c r="N610" s="66">
        <f t="shared" si="51"/>
        <v>0</v>
      </c>
      <c r="O610" s="52">
        <f t="shared" si="55"/>
        <v>0</v>
      </c>
      <c r="P610" s="52">
        <f t="shared" si="56"/>
        <v>0</v>
      </c>
      <c r="Q610" s="68" t="e">
        <f t="shared" si="57"/>
        <v>#DIV/0!</v>
      </c>
    </row>
    <row r="611" s="2" customFormat="1" spans="1:17">
      <c r="A611" s="61">
        <v>45258</v>
      </c>
      <c r="B611" s="53">
        <v>122.79</v>
      </c>
      <c r="C611" s="19">
        <v>144</v>
      </c>
      <c r="D611" s="19">
        <v>57</v>
      </c>
      <c r="E611" s="19">
        <v>0</v>
      </c>
      <c r="F611" s="53">
        <v>0</v>
      </c>
      <c r="G611" s="19">
        <v>7</v>
      </c>
      <c r="H611" s="19">
        <v>0</v>
      </c>
      <c r="I611" s="19">
        <v>2</v>
      </c>
      <c r="J611" s="66">
        <f t="shared" si="52"/>
        <v>0.395833333333333</v>
      </c>
      <c r="K611" s="67">
        <f t="shared" si="53"/>
        <v>2.15421052631579</v>
      </c>
      <c r="L611" s="67">
        <f t="shared" si="54"/>
        <v>852.708333333333</v>
      </c>
      <c r="M611" s="73">
        <f t="shared" si="50"/>
        <v>0</v>
      </c>
      <c r="N611" s="66">
        <f t="shared" si="51"/>
        <v>0</v>
      </c>
      <c r="O611" s="52">
        <f t="shared" si="55"/>
        <v>0</v>
      </c>
      <c r="P611" s="52">
        <f t="shared" si="56"/>
        <v>0</v>
      </c>
      <c r="Q611" s="68">
        <f t="shared" si="57"/>
        <v>17.5414285714286</v>
      </c>
    </row>
    <row r="612" s="2" customFormat="1" spans="1:17">
      <c r="A612" s="61">
        <v>45259</v>
      </c>
      <c r="B612" s="62">
        <v>134.5</v>
      </c>
      <c r="C612" s="63">
        <v>180</v>
      </c>
      <c r="D612" s="57">
        <v>66</v>
      </c>
      <c r="E612" s="19">
        <v>0</v>
      </c>
      <c r="F612" s="53">
        <v>0</v>
      </c>
      <c r="G612" s="19">
        <v>8</v>
      </c>
      <c r="H612" s="19">
        <v>1</v>
      </c>
      <c r="I612" s="19">
        <v>1</v>
      </c>
      <c r="J612" s="66">
        <f t="shared" si="52"/>
        <v>0.366666666666667</v>
      </c>
      <c r="K612" s="67">
        <f t="shared" si="53"/>
        <v>2.03787878787879</v>
      </c>
      <c r="L612" s="67">
        <f t="shared" si="54"/>
        <v>747.222222222222</v>
      </c>
      <c r="M612" s="73">
        <f t="shared" si="50"/>
        <v>0</v>
      </c>
      <c r="N612" s="66">
        <f t="shared" si="51"/>
        <v>0</v>
      </c>
      <c r="O612" s="52">
        <f t="shared" si="55"/>
        <v>0</v>
      </c>
      <c r="P612" s="52">
        <f t="shared" si="56"/>
        <v>0</v>
      </c>
      <c r="Q612" s="68">
        <f t="shared" si="57"/>
        <v>16.8125</v>
      </c>
    </row>
    <row r="613" s="2" customFormat="1" spans="1:17">
      <c r="A613" s="61">
        <v>45260</v>
      </c>
      <c r="B613" s="53">
        <v>108.49</v>
      </c>
      <c r="C613" s="19">
        <v>136</v>
      </c>
      <c r="D613" s="19">
        <v>47</v>
      </c>
      <c r="E613" s="19">
        <v>1</v>
      </c>
      <c r="F613" s="53">
        <v>18210</v>
      </c>
      <c r="G613" s="19">
        <v>8</v>
      </c>
      <c r="H613" s="19">
        <v>4</v>
      </c>
      <c r="I613" s="19">
        <v>6</v>
      </c>
      <c r="J613" s="66">
        <f t="shared" si="52"/>
        <v>0.345588235294118</v>
      </c>
      <c r="K613" s="67">
        <f t="shared" si="53"/>
        <v>2.30829787234043</v>
      </c>
      <c r="L613" s="67">
        <f t="shared" si="54"/>
        <v>797.720588235294</v>
      </c>
      <c r="M613" s="73">
        <f t="shared" ref="M613:M676" si="58">F613/B613</f>
        <v>167.849571389068</v>
      </c>
      <c r="N613" s="66">
        <f t="shared" ref="N613:N676" si="59">E613/D613</f>
        <v>0.0212765957446809</v>
      </c>
      <c r="O613" s="52">
        <f t="shared" si="55"/>
        <v>18210</v>
      </c>
      <c r="P613" s="52">
        <f t="shared" si="56"/>
        <v>108.49</v>
      </c>
      <c r="Q613" s="68">
        <f t="shared" si="57"/>
        <v>13.56125</v>
      </c>
    </row>
    <row r="614" s="2" customFormat="1" spans="1:17">
      <c r="A614" s="61">
        <v>45261</v>
      </c>
      <c r="B614" s="18">
        <v>112.26</v>
      </c>
      <c r="C614" s="19">
        <v>127</v>
      </c>
      <c r="D614" s="19">
        <v>40</v>
      </c>
      <c r="E614" s="19">
        <v>0</v>
      </c>
      <c r="F614" s="18">
        <v>0</v>
      </c>
      <c r="G614" s="19">
        <v>9</v>
      </c>
      <c r="H614" s="19">
        <v>0</v>
      </c>
      <c r="I614" s="19">
        <v>2</v>
      </c>
      <c r="J614" s="66">
        <f t="shared" si="52"/>
        <v>0.31496062992126</v>
      </c>
      <c r="K614" s="67">
        <f t="shared" si="53"/>
        <v>2.8065</v>
      </c>
      <c r="L614" s="67">
        <f t="shared" si="54"/>
        <v>883.937007874016</v>
      </c>
      <c r="M614" s="73">
        <f t="shared" si="58"/>
        <v>0</v>
      </c>
      <c r="N614" s="66">
        <f t="shared" si="59"/>
        <v>0</v>
      </c>
      <c r="O614" s="52">
        <f t="shared" si="55"/>
        <v>0</v>
      </c>
      <c r="P614" s="52">
        <f t="shared" si="56"/>
        <v>0</v>
      </c>
      <c r="Q614" s="68">
        <f t="shared" si="57"/>
        <v>12.4733333333333</v>
      </c>
    </row>
    <row r="615" s="2" customFormat="1" spans="1:17">
      <c r="A615" s="61">
        <v>45262</v>
      </c>
      <c r="B615" s="18">
        <v>79.17</v>
      </c>
      <c r="C615" s="19">
        <v>101</v>
      </c>
      <c r="D615" s="19">
        <v>39</v>
      </c>
      <c r="E615" s="19">
        <v>1</v>
      </c>
      <c r="F615" s="18">
        <v>14092</v>
      </c>
      <c r="G615" s="19">
        <v>4</v>
      </c>
      <c r="H615" s="19">
        <v>3</v>
      </c>
      <c r="I615" s="19">
        <v>3</v>
      </c>
      <c r="J615" s="66">
        <f t="shared" si="52"/>
        <v>0.386138613861386</v>
      </c>
      <c r="K615" s="67">
        <f t="shared" si="53"/>
        <v>2.03</v>
      </c>
      <c r="L615" s="67">
        <f t="shared" si="54"/>
        <v>783.861386138614</v>
      </c>
      <c r="M615" s="73">
        <f t="shared" si="58"/>
        <v>177.99671592775</v>
      </c>
      <c r="N615" s="66">
        <f t="shared" si="59"/>
        <v>0.0256410256410256</v>
      </c>
      <c r="O615" s="52">
        <f t="shared" si="55"/>
        <v>14092</v>
      </c>
      <c r="P615" s="52">
        <f t="shared" si="56"/>
        <v>79.17</v>
      </c>
      <c r="Q615" s="68">
        <f t="shared" si="57"/>
        <v>19.7925</v>
      </c>
    </row>
    <row r="616" s="2" customFormat="1" spans="1:17">
      <c r="A616" s="61">
        <v>45263</v>
      </c>
      <c r="B616" s="18">
        <v>103.21</v>
      </c>
      <c r="C616" s="19">
        <v>116</v>
      </c>
      <c r="D616" s="19">
        <v>53</v>
      </c>
      <c r="E616" s="19">
        <v>2</v>
      </c>
      <c r="F616" s="18">
        <v>33596</v>
      </c>
      <c r="G616" s="19">
        <v>7</v>
      </c>
      <c r="H616" s="19">
        <v>4</v>
      </c>
      <c r="I616" s="19">
        <v>9</v>
      </c>
      <c r="J616" s="66">
        <f t="shared" si="52"/>
        <v>0.456896551724138</v>
      </c>
      <c r="K616" s="67">
        <f t="shared" si="53"/>
        <v>1.94735849056604</v>
      </c>
      <c r="L616" s="67">
        <f t="shared" si="54"/>
        <v>889.741379310345</v>
      </c>
      <c r="M616" s="73">
        <f t="shared" si="58"/>
        <v>325.511093886251</v>
      </c>
      <c r="N616" s="66">
        <f t="shared" si="59"/>
        <v>0.0377358490566038</v>
      </c>
      <c r="O616" s="52">
        <f t="shared" si="55"/>
        <v>16798</v>
      </c>
      <c r="P616" s="52">
        <f t="shared" si="56"/>
        <v>51.605</v>
      </c>
      <c r="Q616" s="68">
        <f t="shared" si="57"/>
        <v>14.7442857142857</v>
      </c>
    </row>
    <row r="617" s="2" customFormat="1" spans="1:17">
      <c r="A617" s="61">
        <v>45264</v>
      </c>
      <c r="B617" s="18">
        <v>128.94</v>
      </c>
      <c r="C617" s="19">
        <v>137</v>
      </c>
      <c r="D617" s="19">
        <v>63</v>
      </c>
      <c r="E617" s="19">
        <v>0</v>
      </c>
      <c r="F617" s="18">
        <v>0</v>
      </c>
      <c r="G617" s="19">
        <v>10</v>
      </c>
      <c r="H617" s="19">
        <v>2</v>
      </c>
      <c r="I617" s="19">
        <v>2</v>
      </c>
      <c r="J617" s="66">
        <f t="shared" si="52"/>
        <v>0.45985401459854</v>
      </c>
      <c r="K617" s="67">
        <f t="shared" si="53"/>
        <v>2.04666666666667</v>
      </c>
      <c r="L617" s="67">
        <f t="shared" si="54"/>
        <v>941.167883211679</v>
      </c>
      <c r="M617" s="73">
        <f t="shared" si="58"/>
        <v>0</v>
      </c>
      <c r="N617" s="66">
        <f t="shared" si="59"/>
        <v>0</v>
      </c>
      <c r="O617" s="52">
        <f t="shared" si="55"/>
        <v>0</v>
      </c>
      <c r="P617" s="52">
        <f t="shared" si="56"/>
        <v>0</v>
      </c>
      <c r="Q617" s="68">
        <f t="shared" si="57"/>
        <v>12.894</v>
      </c>
    </row>
    <row r="618" s="2" customFormat="1" spans="1:17">
      <c r="A618" s="61">
        <v>45265</v>
      </c>
      <c r="B618" s="18">
        <v>132</v>
      </c>
      <c r="C618" s="19">
        <v>142</v>
      </c>
      <c r="D618" s="19">
        <v>60</v>
      </c>
      <c r="E618" s="19">
        <v>1</v>
      </c>
      <c r="F618" s="18">
        <v>30155</v>
      </c>
      <c r="G618" s="19">
        <v>20</v>
      </c>
      <c r="H618" s="19">
        <v>3</v>
      </c>
      <c r="I618" s="19">
        <v>5</v>
      </c>
      <c r="J618" s="66">
        <f t="shared" si="52"/>
        <v>0.422535211267606</v>
      </c>
      <c r="K618" s="67">
        <f t="shared" si="53"/>
        <v>2.2</v>
      </c>
      <c r="L618" s="67">
        <f t="shared" si="54"/>
        <v>929.577464788732</v>
      </c>
      <c r="M618" s="73">
        <f t="shared" si="58"/>
        <v>228.44696969697</v>
      </c>
      <c r="N618" s="66">
        <f t="shared" si="59"/>
        <v>0.0166666666666667</v>
      </c>
      <c r="O618" s="52">
        <f t="shared" si="55"/>
        <v>30155</v>
      </c>
      <c r="P618" s="52">
        <f t="shared" si="56"/>
        <v>132</v>
      </c>
      <c r="Q618" s="68">
        <f t="shared" si="57"/>
        <v>6.6</v>
      </c>
    </row>
    <row r="619" s="2" customFormat="1" spans="1:17">
      <c r="A619" s="61">
        <v>45266</v>
      </c>
      <c r="B619" s="18">
        <v>125.49</v>
      </c>
      <c r="C619" s="19">
        <v>147</v>
      </c>
      <c r="D619" s="19">
        <v>50</v>
      </c>
      <c r="E619" s="19">
        <v>0</v>
      </c>
      <c r="F619" s="18">
        <v>0</v>
      </c>
      <c r="G619" s="19">
        <v>10</v>
      </c>
      <c r="H619" s="19">
        <v>1</v>
      </c>
      <c r="I619" s="19">
        <v>4</v>
      </c>
      <c r="J619" s="66">
        <f t="shared" si="52"/>
        <v>0.340136054421769</v>
      </c>
      <c r="K619" s="67">
        <f t="shared" si="53"/>
        <v>2.5098</v>
      </c>
      <c r="L619" s="67">
        <f t="shared" si="54"/>
        <v>853.673469387755</v>
      </c>
      <c r="M619" s="73">
        <f t="shared" si="58"/>
        <v>0</v>
      </c>
      <c r="N619" s="66">
        <f t="shared" si="59"/>
        <v>0</v>
      </c>
      <c r="O619" s="52">
        <f t="shared" si="55"/>
        <v>0</v>
      </c>
      <c r="P619" s="52">
        <f t="shared" si="56"/>
        <v>0</v>
      </c>
      <c r="Q619" s="68">
        <f t="shared" si="57"/>
        <v>12.549</v>
      </c>
    </row>
    <row r="620" s="2" customFormat="1" spans="1:17">
      <c r="A620" s="61">
        <v>45267</v>
      </c>
      <c r="B620" s="18">
        <v>131.58</v>
      </c>
      <c r="C620" s="19">
        <v>146</v>
      </c>
      <c r="D620" s="19">
        <v>66</v>
      </c>
      <c r="E620" s="19">
        <v>0</v>
      </c>
      <c r="F620" s="18">
        <v>0</v>
      </c>
      <c r="G620" s="19">
        <v>7</v>
      </c>
      <c r="H620" s="19">
        <v>4</v>
      </c>
      <c r="I620" s="19">
        <v>6</v>
      </c>
      <c r="J620" s="66">
        <f t="shared" si="52"/>
        <v>0.452054794520548</v>
      </c>
      <c r="K620" s="67">
        <f t="shared" si="53"/>
        <v>1.99363636363636</v>
      </c>
      <c r="L620" s="67">
        <f t="shared" si="54"/>
        <v>901.232876712329</v>
      </c>
      <c r="M620" s="73">
        <f t="shared" si="58"/>
        <v>0</v>
      </c>
      <c r="N620" s="66">
        <f t="shared" si="59"/>
        <v>0</v>
      </c>
      <c r="O620" s="52">
        <f t="shared" si="55"/>
        <v>0</v>
      </c>
      <c r="P620" s="52">
        <f t="shared" si="56"/>
        <v>0</v>
      </c>
      <c r="Q620" s="68">
        <f t="shared" si="57"/>
        <v>18.7971428571429</v>
      </c>
    </row>
    <row r="621" s="2" customFormat="1" spans="1:17">
      <c r="A621" s="61">
        <v>45268</v>
      </c>
      <c r="B621" s="18">
        <v>131.9</v>
      </c>
      <c r="C621" s="19">
        <v>143</v>
      </c>
      <c r="D621" s="19">
        <v>60</v>
      </c>
      <c r="E621" s="19">
        <v>0</v>
      </c>
      <c r="F621" s="18">
        <v>0</v>
      </c>
      <c r="G621" s="19">
        <v>12</v>
      </c>
      <c r="H621" s="19">
        <v>6</v>
      </c>
      <c r="I621" s="19">
        <v>0</v>
      </c>
      <c r="J621" s="66">
        <f t="shared" si="52"/>
        <v>0.41958041958042</v>
      </c>
      <c r="K621" s="67">
        <f t="shared" si="53"/>
        <v>2.19833333333333</v>
      </c>
      <c r="L621" s="67">
        <f t="shared" si="54"/>
        <v>922.377622377622</v>
      </c>
      <c r="M621" s="73">
        <f t="shared" si="58"/>
        <v>0</v>
      </c>
      <c r="N621" s="66">
        <f t="shared" si="59"/>
        <v>0</v>
      </c>
      <c r="O621" s="52">
        <f t="shared" si="55"/>
        <v>0</v>
      </c>
      <c r="P621" s="52">
        <f t="shared" si="56"/>
        <v>0</v>
      </c>
      <c r="Q621" s="68">
        <f t="shared" si="57"/>
        <v>10.9916666666667</v>
      </c>
    </row>
    <row r="622" s="2" customFormat="1" spans="1:17">
      <c r="A622" s="61">
        <v>45269</v>
      </c>
      <c r="B622" s="18">
        <v>141.79</v>
      </c>
      <c r="C622" s="19">
        <v>190</v>
      </c>
      <c r="D622" s="19">
        <v>75</v>
      </c>
      <c r="E622" s="19">
        <v>0</v>
      </c>
      <c r="F622" s="18">
        <v>0</v>
      </c>
      <c r="G622" s="19">
        <v>18</v>
      </c>
      <c r="H622" s="19">
        <v>2</v>
      </c>
      <c r="I622" s="19">
        <v>10</v>
      </c>
      <c r="J622" s="66">
        <f t="shared" si="52"/>
        <v>0.394736842105263</v>
      </c>
      <c r="K622" s="67">
        <f t="shared" si="53"/>
        <v>1.89053333333333</v>
      </c>
      <c r="L622" s="67">
        <f t="shared" si="54"/>
        <v>746.263157894737</v>
      </c>
      <c r="M622" s="73">
        <f t="shared" si="58"/>
        <v>0</v>
      </c>
      <c r="N622" s="66">
        <f t="shared" si="59"/>
        <v>0</v>
      </c>
      <c r="O622" s="52">
        <f t="shared" si="55"/>
        <v>0</v>
      </c>
      <c r="P622" s="52">
        <f t="shared" si="56"/>
        <v>0</v>
      </c>
      <c r="Q622" s="68">
        <f t="shared" si="57"/>
        <v>7.87722222222222</v>
      </c>
    </row>
    <row r="623" s="2" customFormat="1" spans="1:17">
      <c r="A623" s="61">
        <v>45270</v>
      </c>
      <c r="B623" s="18">
        <v>177.22</v>
      </c>
      <c r="C623" s="19">
        <v>216</v>
      </c>
      <c r="D623" s="19">
        <v>64</v>
      </c>
      <c r="E623" s="19">
        <v>0</v>
      </c>
      <c r="F623" s="18">
        <v>0</v>
      </c>
      <c r="G623" s="19">
        <v>25</v>
      </c>
      <c r="H623" s="19">
        <v>4</v>
      </c>
      <c r="I623" s="19">
        <v>6</v>
      </c>
      <c r="J623" s="66">
        <f t="shared" si="52"/>
        <v>0.296296296296296</v>
      </c>
      <c r="K623" s="67">
        <f t="shared" si="53"/>
        <v>2.7690625</v>
      </c>
      <c r="L623" s="67">
        <f t="shared" si="54"/>
        <v>820.462962962963</v>
      </c>
      <c r="M623" s="73">
        <f t="shared" si="58"/>
        <v>0</v>
      </c>
      <c r="N623" s="66">
        <f t="shared" si="59"/>
        <v>0</v>
      </c>
      <c r="O623" s="52">
        <f t="shared" si="55"/>
        <v>0</v>
      </c>
      <c r="P623" s="52">
        <f t="shared" si="56"/>
        <v>0</v>
      </c>
      <c r="Q623" s="68">
        <f t="shared" si="57"/>
        <v>7.0888</v>
      </c>
    </row>
    <row r="624" s="2" customFormat="1" spans="1:17">
      <c r="A624" s="61">
        <v>45271</v>
      </c>
      <c r="B624" s="18">
        <v>40.61</v>
      </c>
      <c r="C624" s="19">
        <v>41</v>
      </c>
      <c r="D624" s="19">
        <v>18</v>
      </c>
      <c r="E624" s="19">
        <v>0</v>
      </c>
      <c r="F624" s="18">
        <v>0</v>
      </c>
      <c r="G624" s="19">
        <v>3</v>
      </c>
      <c r="H624" s="19">
        <v>0</v>
      </c>
      <c r="I624" s="19">
        <v>2</v>
      </c>
      <c r="J624" s="66">
        <f t="shared" si="52"/>
        <v>0.439024390243902</v>
      </c>
      <c r="K624" s="67">
        <f t="shared" si="53"/>
        <v>2.25611111111111</v>
      </c>
      <c r="L624" s="67">
        <f t="shared" si="54"/>
        <v>990.487804878049</v>
      </c>
      <c r="M624" s="73">
        <f t="shared" si="58"/>
        <v>0</v>
      </c>
      <c r="N624" s="66">
        <f t="shared" si="59"/>
        <v>0</v>
      </c>
      <c r="O624" s="52">
        <f t="shared" si="55"/>
        <v>0</v>
      </c>
      <c r="P624" s="52">
        <f t="shared" si="56"/>
        <v>0</v>
      </c>
      <c r="Q624" s="68">
        <f t="shared" si="57"/>
        <v>13.5366666666667</v>
      </c>
    </row>
    <row r="625" s="2" customFormat="1" spans="1:17">
      <c r="A625" s="61">
        <v>45272</v>
      </c>
      <c r="B625" s="18">
        <v>158.54</v>
      </c>
      <c r="C625" s="19">
        <v>173</v>
      </c>
      <c r="D625" s="19">
        <v>64</v>
      </c>
      <c r="E625" s="19">
        <v>2</v>
      </c>
      <c r="F625" s="18">
        <v>26716</v>
      </c>
      <c r="G625" s="19">
        <v>19</v>
      </c>
      <c r="H625" s="19">
        <v>7</v>
      </c>
      <c r="I625" s="19">
        <v>10</v>
      </c>
      <c r="J625" s="66">
        <f t="shared" si="52"/>
        <v>0.369942196531792</v>
      </c>
      <c r="K625" s="67">
        <f t="shared" si="53"/>
        <v>2.4771875</v>
      </c>
      <c r="L625" s="67">
        <f t="shared" si="54"/>
        <v>916.416184971098</v>
      </c>
      <c r="M625" s="73">
        <f t="shared" si="58"/>
        <v>168.51267818847</v>
      </c>
      <c r="N625" s="66">
        <f t="shared" si="59"/>
        <v>0.03125</v>
      </c>
      <c r="O625" s="52">
        <f t="shared" si="55"/>
        <v>13358</v>
      </c>
      <c r="P625" s="52">
        <f t="shared" si="56"/>
        <v>79.27</v>
      </c>
      <c r="Q625" s="68">
        <f t="shared" si="57"/>
        <v>8.34421052631579</v>
      </c>
    </row>
    <row r="626" s="2" customFormat="1" spans="1:17">
      <c r="A626" s="61">
        <v>45273</v>
      </c>
      <c r="B626" s="18">
        <v>146.99</v>
      </c>
      <c r="C626" s="19">
        <v>152</v>
      </c>
      <c r="D626" s="19">
        <v>40</v>
      </c>
      <c r="E626" s="19">
        <v>1</v>
      </c>
      <c r="F626" s="18">
        <v>15891</v>
      </c>
      <c r="G626" s="19">
        <v>9</v>
      </c>
      <c r="H626" s="19">
        <v>4</v>
      </c>
      <c r="I626" s="19">
        <v>4</v>
      </c>
      <c r="J626" s="66">
        <f t="shared" si="52"/>
        <v>0.263157894736842</v>
      </c>
      <c r="K626" s="67">
        <f t="shared" si="53"/>
        <v>3.67475</v>
      </c>
      <c r="L626" s="67">
        <f t="shared" si="54"/>
        <v>967.039473684211</v>
      </c>
      <c r="M626" s="73">
        <f t="shared" si="58"/>
        <v>108.109395196952</v>
      </c>
      <c r="N626" s="66">
        <f t="shared" si="59"/>
        <v>0.025</v>
      </c>
      <c r="O626" s="52">
        <f t="shared" si="55"/>
        <v>15891</v>
      </c>
      <c r="P626" s="52">
        <f t="shared" si="56"/>
        <v>146.99</v>
      </c>
      <c r="Q626" s="68">
        <f t="shared" si="57"/>
        <v>16.3322222222222</v>
      </c>
    </row>
    <row r="627" s="2" customFormat="1" spans="1:17">
      <c r="A627" s="61">
        <v>45274</v>
      </c>
      <c r="B627" s="82">
        <v>122.55</v>
      </c>
      <c r="C627" s="83">
        <v>131</v>
      </c>
      <c r="D627" s="83">
        <v>41</v>
      </c>
      <c r="E627" s="19">
        <v>0</v>
      </c>
      <c r="F627" s="18">
        <v>0</v>
      </c>
      <c r="G627" s="19">
        <v>5</v>
      </c>
      <c r="H627" s="19">
        <v>0</v>
      </c>
      <c r="I627" s="19">
        <v>2</v>
      </c>
      <c r="J627" s="66">
        <f t="shared" si="52"/>
        <v>0.312977099236641</v>
      </c>
      <c r="K627" s="67">
        <f t="shared" si="53"/>
        <v>2.9890243902439</v>
      </c>
      <c r="L627" s="67">
        <f t="shared" si="54"/>
        <v>935.496183206107</v>
      </c>
      <c r="M627" s="73">
        <f t="shared" si="58"/>
        <v>0</v>
      </c>
      <c r="N627" s="66">
        <f t="shared" si="59"/>
        <v>0</v>
      </c>
      <c r="O627" s="52">
        <f t="shared" si="55"/>
        <v>0</v>
      </c>
      <c r="P627" s="52">
        <f t="shared" si="56"/>
        <v>0</v>
      </c>
      <c r="Q627" s="68">
        <f t="shared" si="57"/>
        <v>24.51</v>
      </c>
    </row>
    <row r="628" s="2" customFormat="1" spans="1:17">
      <c r="A628" s="61">
        <v>45275</v>
      </c>
      <c r="B628" s="82">
        <v>89.38</v>
      </c>
      <c r="C628" s="83">
        <v>106</v>
      </c>
      <c r="D628" s="83">
        <v>34</v>
      </c>
      <c r="E628" s="19">
        <v>0</v>
      </c>
      <c r="F628" s="18">
        <v>0</v>
      </c>
      <c r="G628" s="19">
        <v>4</v>
      </c>
      <c r="H628" s="19">
        <v>5</v>
      </c>
      <c r="I628" s="19">
        <v>0</v>
      </c>
      <c r="J628" s="66">
        <f t="shared" si="52"/>
        <v>0.320754716981132</v>
      </c>
      <c r="K628" s="67">
        <f t="shared" si="53"/>
        <v>2.62882352941176</v>
      </c>
      <c r="L628" s="67">
        <f t="shared" si="54"/>
        <v>843.207547169811</v>
      </c>
      <c r="M628" s="73">
        <f t="shared" si="58"/>
        <v>0</v>
      </c>
      <c r="N628" s="66">
        <f t="shared" si="59"/>
        <v>0</v>
      </c>
      <c r="O628" s="52">
        <f t="shared" si="55"/>
        <v>0</v>
      </c>
      <c r="P628" s="52">
        <f t="shared" si="56"/>
        <v>0</v>
      </c>
      <c r="Q628" s="68">
        <f t="shared" si="57"/>
        <v>22.345</v>
      </c>
    </row>
    <row r="629" s="2" customFormat="1" spans="1:17">
      <c r="A629" s="61">
        <v>45276</v>
      </c>
      <c r="B629" s="82">
        <v>78.2</v>
      </c>
      <c r="C629" s="83">
        <v>84</v>
      </c>
      <c r="D629" s="83">
        <v>44</v>
      </c>
      <c r="E629" s="19">
        <v>0</v>
      </c>
      <c r="F629" s="18">
        <v>0</v>
      </c>
      <c r="G629" s="19">
        <v>10</v>
      </c>
      <c r="H629" s="19">
        <v>1</v>
      </c>
      <c r="I629" s="19">
        <v>4</v>
      </c>
      <c r="J629" s="66">
        <f t="shared" si="52"/>
        <v>0.523809523809524</v>
      </c>
      <c r="K629" s="67">
        <f t="shared" si="53"/>
        <v>1.77727272727273</v>
      </c>
      <c r="L629" s="67">
        <f t="shared" si="54"/>
        <v>930.952380952381</v>
      </c>
      <c r="M629" s="73">
        <f t="shared" si="58"/>
        <v>0</v>
      </c>
      <c r="N629" s="66">
        <f t="shared" si="59"/>
        <v>0</v>
      </c>
      <c r="O629" s="52">
        <f t="shared" si="55"/>
        <v>0</v>
      </c>
      <c r="P629" s="52">
        <f t="shared" si="56"/>
        <v>0</v>
      </c>
      <c r="Q629" s="68">
        <f t="shared" si="57"/>
        <v>7.82</v>
      </c>
    </row>
    <row r="630" s="2" customFormat="1" spans="1:17">
      <c r="A630" s="61">
        <v>45277</v>
      </c>
      <c r="B630" s="82">
        <v>88.08</v>
      </c>
      <c r="C630" s="83">
        <v>104</v>
      </c>
      <c r="D630" s="83">
        <v>46</v>
      </c>
      <c r="E630" s="19">
        <v>0</v>
      </c>
      <c r="F630" s="18">
        <v>0</v>
      </c>
      <c r="G630" s="19">
        <v>8</v>
      </c>
      <c r="H630" s="19">
        <v>1</v>
      </c>
      <c r="I630" s="19">
        <v>4</v>
      </c>
      <c r="J630" s="66">
        <f t="shared" si="52"/>
        <v>0.442307692307692</v>
      </c>
      <c r="K630" s="67">
        <f t="shared" si="53"/>
        <v>1.91478260869565</v>
      </c>
      <c r="L630" s="67">
        <f t="shared" si="54"/>
        <v>846.923076923077</v>
      </c>
      <c r="M630" s="73">
        <f t="shared" si="58"/>
        <v>0</v>
      </c>
      <c r="N630" s="66">
        <f t="shared" si="59"/>
        <v>0</v>
      </c>
      <c r="O630" s="52">
        <f t="shared" si="55"/>
        <v>0</v>
      </c>
      <c r="P630" s="52">
        <f t="shared" si="56"/>
        <v>0</v>
      </c>
      <c r="Q630" s="68">
        <f t="shared" si="57"/>
        <v>11.01</v>
      </c>
    </row>
    <row r="631" s="2" customFormat="1" spans="1:17">
      <c r="A631" s="61">
        <v>45278</v>
      </c>
      <c r="B631" s="18">
        <v>116.59</v>
      </c>
      <c r="C631" s="19">
        <v>125</v>
      </c>
      <c r="D631" s="19">
        <v>50</v>
      </c>
      <c r="E631" s="19">
        <v>0</v>
      </c>
      <c r="F631" s="18">
        <v>0</v>
      </c>
      <c r="G631" s="19">
        <v>9</v>
      </c>
      <c r="H631" s="19">
        <v>5</v>
      </c>
      <c r="I631" s="19">
        <v>3</v>
      </c>
      <c r="J631" s="66">
        <f t="shared" si="52"/>
        <v>0.4</v>
      </c>
      <c r="K631" s="67">
        <f t="shared" si="53"/>
        <v>2.3318</v>
      </c>
      <c r="L631" s="67">
        <f t="shared" si="54"/>
        <v>932.72</v>
      </c>
      <c r="M631" s="73">
        <f t="shared" si="58"/>
        <v>0</v>
      </c>
      <c r="N631" s="66">
        <f t="shared" si="59"/>
        <v>0</v>
      </c>
      <c r="O631" s="52">
        <f t="shared" si="55"/>
        <v>0</v>
      </c>
      <c r="P631" s="52">
        <f t="shared" si="56"/>
        <v>0</v>
      </c>
      <c r="Q631" s="68">
        <f t="shared" si="57"/>
        <v>12.9544444444444</v>
      </c>
    </row>
    <row r="632" s="2" customFormat="1" spans="1:17">
      <c r="A632" s="61">
        <v>45279</v>
      </c>
      <c r="B632" s="18">
        <v>115.13</v>
      </c>
      <c r="C632" s="83">
        <v>110</v>
      </c>
      <c r="D632" s="83">
        <v>44</v>
      </c>
      <c r="E632" s="19">
        <v>0</v>
      </c>
      <c r="F632" s="18">
        <v>0</v>
      </c>
      <c r="G632" s="19">
        <v>11</v>
      </c>
      <c r="H632" s="19">
        <v>0</v>
      </c>
      <c r="I632" s="19">
        <v>2</v>
      </c>
      <c r="J632" s="66">
        <f t="shared" si="52"/>
        <v>0.4</v>
      </c>
      <c r="K632" s="67">
        <f t="shared" si="53"/>
        <v>2.61659090909091</v>
      </c>
      <c r="L632" s="67">
        <f t="shared" si="54"/>
        <v>1046.63636363636</v>
      </c>
      <c r="M632" s="73">
        <f t="shared" si="58"/>
        <v>0</v>
      </c>
      <c r="N632" s="66">
        <f t="shared" si="59"/>
        <v>0</v>
      </c>
      <c r="O632" s="52">
        <f t="shared" si="55"/>
        <v>0</v>
      </c>
      <c r="P632" s="52">
        <f t="shared" si="56"/>
        <v>0</v>
      </c>
      <c r="Q632" s="68">
        <f t="shared" si="57"/>
        <v>10.4663636363636</v>
      </c>
    </row>
    <row r="633" s="2" customFormat="1" spans="1:17">
      <c r="A633" s="61">
        <v>45280</v>
      </c>
      <c r="B633" s="18">
        <v>109.62</v>
      </c>
      <c r="C633" s="19">
        <v>116</v>
      </c>
      <c r="D633" s="19">
        <v>42</v>
      </c>
      <c r="E633" s="19">
        <v>0</v>
      </c>
      <c r="F633" s="18">
        <v>0</v>
      </c>
      <c r="G633" s="19">
        <v>6</v>
      </c>
      <c r="H633" s="19">
        <v>0</v>
      </c>
      <c r="I633" s="19">
        <v>4</v>
      </c>
      <c r="J633" s="66">
        <f t="shared" si="52"/>
        <v>0.362068965517241</v>
      </c>
      <c r="K633" s="67">
        <f t="shared" si="53"/>
        <v>2.61</v>
      </c>
      <c r="L633" s="67">
        <f t="shared" si="54"/>
        <v>945</v>
      </c>
      <c r="M633" s="73">
        <f t="shared" si="58"/>
        <v>0</v>
      </c>
      <c r="N633" s="66">
        <f t="shared" si="59"/>
        <v>0</v>
      </c>
      <c r="O633" s="52">
        <f t="shared" si="55"/>
        <v>0</v>
      </c>
      <c r="P633" s="52">
        <f t="shared" si="56"/>
        <v>0</v>
      </c>
      <c r="Q633" s="68">
        <f t="shared" si="57"/>
        <v>18.27</v>
      </c>
    </row>
    <row r="634" s="2" customFormat="1" spans="1:17">
      <c r="A634" s="61">
        <v>45281</v>
      </c>
      <c r="B634" s="18">
        <v>150.81</v>
      </c>
      <c r="C634" s="19">
        <v>159</v>
      </c>
      <c r="D634" s="19">
        <v>43</v>
      </c>
      <c r="E634" s="19">
        <v>0</v>
      </c>
      <c r="F634" s="18">
        <v>0</v>
      </c>
      <c r="G634" s="19">
        <v>21</v>
      </c>
      <c r="H634" s="19">
        <v>3</v>
      </c>
      <c r="I634" s="19">
        <v>1</v>
      </c>
      <c r="J634" s="66">
        <f t="shared" si="52"/>
        <v>0.270440251572327</v>
      </c>
      <c r="K634" s="67">
        <f t="shared" si="53"/>
        <v>3.50720930232558</v>
      </c>
      <c r="L634" s="67">
        <f t="shared" si="54"/>
        <v>948.490566037736</v>
      </c>
      <c r="M634" s="73">
        <f t="shared" si="58"/>
        <v>0</v>
      </c>
      <c r="N634" s="66">
        <f t="shared" si="59"/>
        <v>0</v>
      </c>
      <c r="O634" s="52">
        <f t="shared" si="55"/>
        <v>0</v>
      </c>
      <c r="P634" s="52">
        <f t="shared" si="56"/>
        <v>0</v>
      </c>
      <c r="Q634" s="68">
        <f t="shared" si="57"/>
        <v>7.18142857142857</v>
      </c>
    </row>
    <row r="635" s="2" customFormat="1" spans="1:17">
      <c r="A635" s="61">
        <v>45282</v>
      </c>
      <c r="B635" s="18">
        <v>137.58</v>
      </c>
      <c r="C635" s="19">
        <v>153</v>
      </c>
      <c r="D635" s="19">
        <v>41</v>
      </c>
      <c r="E635" s="19">
        <v>0</v>
      </c>
      <c r="F635" s="18">
        <v>0</v>
      </c>
      <c r="G635" s="19">
        <v>9</v>
      </c>
      <c r="H635" s="19">
        <v>0</v>
      </c>
      <c r="I635" s="19">
        <v>3</v>
      </c>
      <c r="J635" s="66">
        <f t="shared" si="52"/>
        <v>0.26797385620915</v>
      </c>
      <c r="K635" s="67">
        <f t="shared" si="53"/>
        <v>3.35560975609756</v>
      </c>
      <c r="L635" s="67">
        <f t="shared" si="54"/>
        <v>899.21568627451</v>
      </c>
      <c r="M635" s="73">
        <f t="shared" si="58"/>
        <v>0</v>
      </c>
      <c r="N635" s="66">
        <f t="shared" si="59"/>
        <v>0</v>
      </c>
      <c r="O635" s="52">
        <f t="shared" si="55"/>
        <v>0</v>
      </c>
      <c r="P635" s="52">
        <f t="shared" si="56"/>
        <v>0</v>
      </c>
      <c r="Q635" s="68">
        <f t="shared" si="57"/>
        <v>15.2866666666667</v>
      </c>
    </row>
    <row r="636" s="2" customFormat="1" spans="1:17">
      <c r="A636" s="61">
        <v>45283</v>
      </c>
      <c r="B636" s="18">
        <v>93.45</v>
      </c>
      <c r="C636" s="19">
        <v>100</v>
      </c>
      <c r="D636" s="19">
        <v>41</v>
      </c>
      <c r="E636" s="19">
        <v>0</v>
      </c>
      <c r="F636" s="18">
        <v>0</v>
      </c>
      <c r="G636" s="19">
        <v>7</v>
      </c>
      <c r="H636" s="19">
        <v>1</v>
      </c>
      <c r="I636" s="19">
        <v>2</v>
      </c>
      <c r="J636" s="66">
        <f t="shared" si="52"/>
        <v>0.41</v>
      </c>
      <c r="K636" s="67">
        <f t="shared" si="53"/>
        <v>2.27926829268293</v>
      </c>
      <c r="L636" s="67">
        <f t="shared" si="54"/>
        <v>934.5</v>
      </c>
      <c r="M636" s="73">
        <f t="shared" si="58"/>
        <v>0</v>
      </c>
      <c r="N636" s="66">
        <f t="shared" si="59"/>
        <v>0</v>
      </c>
      <c r="O636" s="52">
        <f t="shared" si="55"/>
        <v>0</v>
      </c>
      <c r="P636" s="52">
        <f t="shared" si="56"/>
        <v>0</v>
      </c>
      <c r="Q636" s="68">
        <f t="shared" si="57"/>
        <v>13.35</v>
      </c>
    </row>
    <row r="637" s="2" customFormat="1" spans="1:17">
      <c r="A637" s="61">
        <v>45284</v>
      </c>
      <c r="B637" s="18">
        <v>107.48</v>
      </c>
      <c r="C637" s="19">
        <v>111</v>
      </c>
      <c r="D637" s="19">
        <v>38</v>
      </c>
      <c r="E637" s="19">
        <v>0</v>
      </c>
      <c r="F637" s="18">
        <v>0</v>
      </c>
      <c r="G637" s="19">
        <v>12</v>
      </c>
      <c r="H637" s="19">
        <v>1</v>
      </c>
      <c r="I637" s="19">
        <v>4</v>
      </c>
      <c r="J637" s="66">
        <f t="shared" si="52"/>
        <v>0.342342342342342</v>
      </c>
      <c r="K637" s="67">
        <f t="shared" si="53"/>
        <v>2.82842105263158</v>
      </c>
      <c r="L637" s="67">
        <f t="shared" si="54"/>
        <v>968.288288288288</v>
      </c>
      <c r="M637" s="73">
        <f t="shared" si="58"/>
        <v>0</v>
      </c>
      <c r="N637" s="66">
        <f t="shared" si="59"/>
        <v>0</v>
      </c>
      <c r="O637" s="52">
        <f t="shared" si="55"/>
        <v>0</v>
      </c>
      <c r="P637" s="52">
        <f t="shared" si="56"/>
        <v>0</v>
      </c>
      <c r="Q637" s="68">
        <f t="shared" si="57"/>
        <v>8.95666666666667</v>
      </c>
    </row>
    <row r="638" s="2" customFormat="1" spans="1:17">
      <c r="A638" s="61">
        <v>45285</v>
      </c>
      <c r="B638" s="18">
        <v>159.62</v>
      </c>
      <c r="C638" s="19">
        <v>182</v>
      </c>
      <c r="D638" s="19">
        <v>42</v>
      </c>
      <c r="E638" s="19">
        <v>1</v>
      </c>
      <c r="F638" s="18">
        <v>14478</v>
      </c>
      <c r="G638" s="19">
        <v>12</v>
      </c>
      <c r="H638" s="19">
        <v>0</v>
      </c>
      <c r="I638" s="19">
        <v>5</v>
      </c>
      <c r="J638" s="66">
        <f t="shared" si="52"/>
        <v>0.230769230769231</v>
      </c>
      <c r="K638" s="67">
        <f t="shared" si="53"/>
        <v>3.80047619047619</v>
      </c>
      <c r="L638" s="67">
        <f t="shared" si="54"/>
        <v>877.032967032967</v>
      </c>
      <c r="M638" s="73">
        <f t="shared" si="58"/>
        <v>90.7029194336549</v>
      </c>
      <c r="N638" s="66">
        <f t="shared" si="59"/>
        <v>0.0238095238095238</v>
      </c>
      <c r="O638" s="52">
        <f t="shared" si="55"/>
        <v>14478</v>
      </c>
      <c r="P638" s="52">
        <f t="shared" si="56"/>
        <v>159.62</v>
      </c>
      <c r="Q638" s="68">
        <f t="shared" si="57"/>
        <v>13.3016666666667</v>
      </c>
    </row>
    <row r="639" s="2" customFormat="1" spans="1:17">
      <c r="A639" s="61">
        <v>45286</v>
      </c>
      <c r="B639" s="84">
        <v>127.95</v>
      </c>
      <c r="C639" s="85">
        <v>139</v>
      </c>
      <c r="D639" s="85">
        <v>45</v>
      </c>
      <c r="E639" s="19">
        <v>0</v>
      </c>
      <c r="F639" s="18">
        <v>0</v>
      </c>
      <c r="G639" s="19">
        <v>5</v>
      </c>
      <c r="H639" s="19">
        <v>1</v>
      </c>
      <c r="I639" s="19">
        <v>0</v>
      </c>
      <c r="J639" s="66">
        <f t="shared" si="52"/>
        <v>0.323741007194245</v>
      </c>
      <c r="K639" s="67">
        <f t="shared" si="53"/>
        <v>2.84333333333333</v>
      </c>
      <c r="L639" s="67">
        <f t="shared" si="54"/>
        <v>920.503597122302</v>
      </c>
      <c r="M639" s="73">
        <f t="shared" si="58"/>
        <v>0</v>
      </c>
      <c r="N639" s="66">
        <f t="shared" si="59"/>
        <v>0</v>
      </c>
      <c r="O639" s="52">
        <f t="shared" si="55"/>
        <v>0</v>
      </c>
      <c r="P639" s="52">
        <f t="shared" si="56"/>
        <v>0</v>
      </c>
      <c r="Q639" s="68">
        <f t="shared" si="57"/>
        <v>25.59</v>
      </c>
    </row>
    <row r="640" s="2" customFormat="1" spans="1:17">
      <c r="A640" s="61">
        <v>45287</v>
      </c>
      <c r="B640" s="84">
        <v>130.27</v>
      </c>
      <c r="C640" s="85">
        <v>132</v>
      </c>
      <c r="D640" s="85">
        <v>41</v>
      </c>
      <c r="E640" s="19">
        <v>0</v>
      </c>
      <c r="F640" s="18">
        <v>0</v>
      </c>
      <c r="G640" s="19">
        <v>14</v>
      </c>
      <c r="H640" s="19">
        <v>0</v>
      </c>
      <c r="I640" s="19">
        <v>0</v>
      </c>
      <c r="J640" s="66">
        <f t="shared" ref="J640:J703" si="60">D640/C640</f>
        <v>0.310606060606061</v>
      </c>
      <c r="K640" s="67">
        <f t="shared" ref="K640:K703" si="61">B640/D640</f>
        <v>3.17731707317073</v>
      </c>
      <c r="L640" s="67">
        <f t="shared" ref="L640:L703" si="62">B640/C640*1000</f>
        <v>986.893939393939</v>
      </c>
      <c r="M640" s="73">
        <f t="shared" si="58"/>
        <v>0</v>
      </c>
      <c r="N640" s="66">
        <f t="shared" si="59"/>
        <v>0</v>
      </c>
      <c r="O640" s="52">
        <f t="shared" si="55"/>
        <v>0</v>
      </c>
      <c r="P640" s="52">
        <f t="shared" si="56"/>
        <v>0</v>
      </c>
      <c r="Q640" s="68">
        <f t="shared" si="57"/>
        <v>9.305</v>
      </c>
    </row>
    <row r="641" s="2" customFormat="1" spans="1:17">
      <c r="A641" s="61">
        <v>45288</v>
      </c>
      <c r="B641" s="18">
        <v>126.21</v>
      </c>
      <c r="C641" s="19">
        <v>133</v>
      </c>
      <c r="D641" s="19">
        <v>45</v>
      </c>
      <c r="E641" s="19">
        <v>0</v>
      </c>
      <c r="F641" s="18">
        <v>0</v>
      </c>
      <c r="G641" s="19">
        <v>5</v>
      </c>
      <c r="H641" s="19">
        <v>2</v>
      </c>
      <c r="I641" s="19">
        <v>4</v>
      </c>
      <c r="J641" s="66">
        <f t="shared" si="60"/>
        <v>0.338345864661654</v>
      </c>
      <c r="K641" s="67">
        <f t="shared" si="61"/>
        <v>2.80466666666667</v>
      </c>
      <c r="L641" s="67">
        <f t="shared" si="62"/>
        <v>948.947368421052</v>
      </c>
      <c r="M641" s="73">
        <f t="shared" si="58"/>
        <v>0</v>
      </c>
      <c r="N641" s="66">
        <f t="shared" si="59"/>
        <v>0</v>
      </c>
      <c r="O641" s="52">
        <f t="shared" si="55"/>
        <v>0</v>
      </c>
      <c r="P641" s="52">
        <f t="shared" si="56"/>
        <v>0</v>
      </c>
      <c r="Q641" s="68">
        <f t="shared" si="57"/>
        <v>25.242</v>
      </c>
    </row>
    <row r="642" s="2" customFormat="1" spans="1:17">
      <c r="A642" s="61">
        <v>45289</v>
      </c>
      <c r="B642" s="18">
        <v>130.87</v>
      </c>
      <c r="C642" s="19">
        <v>164</v>
      </c>
      <c r="D642" s="19">
        <v>54</v>
      </c>
      <c r="E642" s="19">
        <v>0</v>
      </c>
      <c r="F642" s="18">
        <v>0</v>
      </c>
      <c r="G642" s="19">
        <v>15</v>
      </c>
      <c r="H642" s="19">
        <v>3</v>
      </c>
      <c r="I642" s="19">
        <v>3</v>
      </c>
      <c r="J642" s="66">
        <f t="shared" si="60"/>
        <v>0.329268292682927</v>
      </c>
      <c r="K642" s="67">
        <f t="shared" si="61"/>
        <v>2.42351851851852</v>
      </c>
      <c r="L642" s="67">
        <f t="shared" si="62"/>
        <v>797.987804878049</v>
      </c>
      <c r="M642" s="73">
        <f t="shared" si="58"/>
        <v>0</v>
      </c>
      <c r="N642" s="66">
        <f t="shared" si="59"/>
        <v>0</v>
      </c>
      <c r="O642" s="52">
        <f t="shared" ref="O642:O705" si="63">IF(E642=0,0,F642/E642)</f>
        <v>0</v>
      </c>
      <c r="P642" s="52">
        <f t="shared" ref="P642:P705" si="64">IF(E642=0,0,B642/E642)</f>
        <v>0</v>
      </c>
      <c r="Q642" s="68">
        <f t="shared" si="57"/>
        <v>8.72466666666667</v>
      </c>
    </row>
    <row r="643" s="2" customFormat="1" spans="1:17">
      <c r="A643" s="61">
        <v>45290</v>
      </c>
      <c r="B643" s="18">
        <v>188.73</v>
      </c>
      <c r="C643" s="19">
        <v>243</v>
      </c>
      <c r="D643" s="19">
        <v>82</v>
      </c>
      <c r="E643" s="19">
        <v>0</v>
      </c>
      <c r="F643" s="18">
        <v>0</v>
      </c>
      <c r="G643" s="19">
        <v>18</v>
      </c>
      <c r="H643" s="19">
        <v>3</v>
      </c>
      <c r="I643" s="19">
        <v>5</v>
      </c>
      <c r="J643" s="66">
        <f t="shared" si="60"/>
        <v>0.337448559670782</v>
      </c>
      <c r="K643" s="67">
        <f t="shared" si="61"/>
        <v>2.30158536585366</v>
      </c>
      <c r="L643" s="67">
        <f t="shared" si="62"/>
        <v>776.666666666667</v>
      </c>
      <c r="M643" s="73">
        <f t="shared" si="58"/>
        <v>0</v>
      </c>
      <c r="N643" s="66">
        <f t="shared" si="59"/>
        <v>0</v>
      </c>
      <c r="O643" s="52">
        <f t="shared" si="63"/>
        <v>0</v>
      </c>
      <c r="P643" s="52">
        <f t="shared" si="64"/>
        <v>0</v>
      </c>
      <c r="Q643" s="68">
        <f t="shared" ref="Q643:Q706" si="65">B643/G643</f>
        <v>10.485</v>
      </c>
    </row>
    <row r="644" s="2" customFormat="1" spans="1:17">
      <c r="A644" s="61">
        <v>45291</v>
      </c>
      <c r="B644" s="18">
        <v>159.16</v>
      </c>
      <c r="C644" s="19">
        <v>205</v>
      </c>
      <c r="D644" s="19">
        <v>59</v>
      </c>
      <c r="E644" s="19">
        <v>0</v>
      </c>
      <c r="F644" s="18">
        <v>0</v>
      </c>
      <c r="G644" s="19">
        <v>16</v>
      </c>
      <c r="H644" s="19">
        <v>1</v>
      </c>
      <c r="I644" s="19">
        <v>4</v>
      </c>
      <c r="J644" s="66">
        <f t="shared" si="60"/>
        <v>0.28780487804878</v>
      </c>
      <c r="K644" s="67">
        <f t="shared" si="61"/>
        <v>2.69762711864407</v>
      </c>
      <c r="L644" s="67">
        <f t="shared" si="62"/>
        <v>776.390243902439</v>
      </c>
      <c r="M644" s="73">
        <f t="shared" si="58"/>
        <v>0</v>
      </c>
      <c r="N644" s="66">
        <f t="shared" si="59"/>
        <v>0</v>
      </c>
      <c r="O644" s="52">
        <f t="shared" si="63"/>
        <v>0</v>
      </c>
      <c r="P644" s="52">
        <f t="shared" si="64"/>
        <v>0</v>
      </c>
      <c r="Q644" s="68">
        <f t="shared" si="65"/>
        <v>9.9475</v>
      </c>
    </row>
    <row r="645" s="2" customFormat="1" spans="1:17">
      <c r="A645" s="61">
        <v>45292</v>
      </c>
      <c r="B645" s="18">
        <v>132.83</v>
      </c>
      <c r="C645" s="19">
        <v>141</v>
      </c>
      <c r="D645" s="19">
        <v>33</v>
      </c>
      <c r="E645" s="19">
        <v>3</v>
      </c>
      <c r="F645" s="18">
        <v>50251</v>
      </c>
      <c r="G645" s="19">
        <v>11</v>
      </c>
      <c r="H645" s="19">
        <v>1</v>
      </c>
      <c r="I645" s="19">
        <v>3</v>
      </c>
      <c r="J645" s="66">
        <f t="shared" si="60"/>
        <v>0.234042553191489</v>
      </c>
      <c r="K645" s="67">
        <f t="shared" si="61"/>
        <v>4.02515151515152</v>
      </c>
      <c r="L645" s="67">
        <f t="shared" si="62"/>
        <v>942.056737588653</v>
      </c>
      <c r="M645" s="73">
        <f t="shared" si="58"/>
        <v>378.310622600316</v>
      </c>
      <c r="N645" s="66">
        <f t="shared" si="59"/>
        <v>0.0909090909090909</v>
      </c>
      <c r="O645" s="52">
        <f t="shared" si="63"/>
        <v>16750.3333333333</v>
      </c>
      <c r="P645" s="52">
        <f t="shared" si="64"/>
        <v>44.2766666666667</v>
      </c>
      <c r="Q645" s="68">
        <f t="shared" si="65"/>
        <v>12.0754545454545</v>
      </c>
    </row>
    <row r="646" s="2" customFormat="1" spans="1:17">
      <c r="A646" s="61">
        <v>45293</v>
      </c>
      <c r="B646" s="18">
        <v>222.18</v>
      </c>
      <c r="C646" s="19">
        <v>261</v>
      </c>
      <c r="D646" s="19">
        <v>111</v>
      </c>
      <c r="E646" s="19">
        <v>0</v>
      </c>
      <c r="F646" s="18">
        <v>0</v>
      </c>
      <c r="G646" s="19">
        <v>21</v>
      </c>
      <c r="H646" s="19">
        <v>4</v>
      </c>
      <c r="I646" s="19">
        <v>10</v>
      </c>
      <c r="J646" s="66">
        <f t="shared" si="60"/>
        <v>0.425287356321839</v>
      </c>
      <c r="K646" s="67">
        <f t="shared" si="61"/>
        <v>2.00162162162162</v>
      </c>
      <c r="L646" s="67">
        <f t="shared" si="62"/>
        <v>851.264367816092</v>
      </c>
      <c r="M646" s="73">
        <f t="shared" si="58"/>
        <v>0</v>
      </c>
      <c r="N646" s="66">
        <f t="shared" si="59"/>
        <v>0</v>
      </c>
      <c r="O646" s="52">
        <f t="shared" si="63"/>
        <v>0</v>
      </c>
      <c r="P646" s="52">
        <f t="shared" si="64"/>
        <v>0</v>
      </c>
      <c r="Q646" s="68">
        <f t="shared" si="65"/>
        <v>10.58</v>
      </c>
    </row>
    <row r="647" s="2" customFormat="1" spans="1:17">
      <c r="A647" s="61">
        <v>45294</v>
      </c>
      <c r="B647" s="18">
        <v>273.52</v>
      </c>
      <c r="C647" s="19">
        <v>287</v>
      </c>
      <c r="D647" s="19">
        <v>112</v>
      </c>
      <c r="E647" s="19">
        <v>0</v>
      </c>
      <c r="F647" s="18">
        <v>0</v>
      </c>
      <c r="G647" s="19">
        <v>38</v>
      </c>
      <c r="H647" s="19">
        <v>3</v>
      </c>
      <c r="I647" s="19">
        <v>16</v>
      </c>
      <c r="J647" s="66">
        <f t="shared" si="60"/>
        <v>0.390243902439024</v>
      </c>
      <c r="K647" s="67">
        <f t="shared" si="61"/>
        <v>2.44214285714286</v>
      </c>
      <c r="L647" s="67">
        <f t="shared" si="62"/>
        <v>953.031358885017</v>
      </c>
      <c r="M647" s="73">
        <f t="shared" si="58"/>
        <v>0</v>
      </c>
      <c r="N647" s="66">
        <f t="shared" si="59"/>
        <v>0</v>
      </c>
      <c r="O647" s="52">
        <f t="shared" si="63"/>
        <v>0</v>
      </c>
      <c r="P647" s="52">
        <f t="shared" si="64"/>
        <v>0</v>
      </c>
      <c r="Q647" s="68">
        <f t="shared" si="65"/>
        <v>7.1978947368421</v>
      </c>
    </row>
    <row r="648" s="2" customFormat="1" spans="1:17">
      <c r="A648" s="61">
        <v>45295</v>
      </c>
      <c r="B648" s="18">
        <v>210.89</v>
      </c>
      <c r="C648" s="19">
        <v>211</v>
      </c>
      <c r="D648" s="19">
        <v>76</v>
      </c>
      <c r="E648" s="19">
        <v>0</v>
      </c>
      <c r="F648" s="18">
        <v>0</v>
      </c>
      <c r="G648" s="19">
        <v>19</v>
      </c>
      <c r="H648" s="19">
        <v>0</v>
      </c>
      <c r="I648" s="19">
        <v>9</v>
      </c>
      <c r="J648" s="66">
        <f t="shared" si="60"/>
        <v>0.360189573459716</v>
      </c>
      <c r="K648" s="67">
        <f t="shared" si="61"/>
        <v>2.77486842105263</v>
      </c>
      <c r="L648" s="67">
        <f t="shared" si="62"/>
        <v>999.478672985782</v>
      </c>
      <c r="M648" s="73">
        <f t="shared" si="58"/>
        <v>0</v>
      </c>
      <c r="N648" s="66">
        <f t="shared" si="59"/>
        <v>0</v>
      </c>
      <c r="O648" s="52">
        <f t="shared" si="63"/>
        <v>0</v>
      </c>
      <c r="P648" s="52">
        <f t="shared" si="64"/>
        <v>0</v>
      </c>
      <c r="Q648" s="68">
        <f t="shared" si="65"/>
        <v>11.0994736842105</v>
      </c>
    </row>
    <row r="649" s="2" customFormat="1" spans="1:17">
      <c r="A649" s="61">
        <v>45296</v>
      </c>
      <c r="B649" s="18">
        <v>158.59</v>
      </c>
      <c r="C649" s="19">
        <v>175</v>
      </c>
      <c r="D649" s="19">
        <v>60</v>
      </c>
      <c r="E649" s="19">
        <v>0</v>
      </c>
      <c r="F649" s="18">
        <v>0</v>
      </c>
      <c r="G649" s="19">
        <v>20</v>
      </c>
      <c r="H649" s="19">
        <v>4</v>
      </c>
      <c r="I649" s="19">
        <v>5</v>
      </c>
      <c r="J649" s="66">
        <f t="shared" si="60"/>
        <v>0.342857142857143</v>
      </c>
      <c r="K649" s="67">
        <f t="shared" si="61"/>
        <v>2.64316666666667</v>
      </c>
      <c r="L649" s="67">
        <f t="shared" si="62"/>
        <v>906.228571428572</v>
      </c>
      <c r="M649" s="73">
        <f t="shared" si="58"/>
        <v>0</v>
      </c>
      <c r="N649" s="66">
        <f t="shared" si="59"/>
        <v>0</v>
      </c>
      <c r="O649" s="52">
        <f t="shared" si="63"/>
        <v>0</v>
      </c>
      <c r="P649" s="52">
        <f t="shared" si="64"/>
        <v>0</v>
      </c>
      <c r="Q649" s="68">
        <f t="shared" si="65"/>
        <v>7.9295</v>
      </c>
    </row>
    <row r="650" s="2" customFormat="1" spans="1:17">
      <c r="A650" s="61">
        <v>45297</v>
      </c>
      <c r="B650" s="18">
        <v>156.88</v>
      </c>
      <c r="C650" s="19">
        <v>162</v>
      </c>
      <c r="D650" s="19">
        <v>48</v>
      </c>
      <c r="E650" s="19">
        <v>0</v>
      </c>
      <c r="F650" s="18">
        <v>0</v>
      </c>
      <c r="G650" s="19">
        <v>8</v>
      </c>
      <c r="H650" s="19">
        <v>1</v>
      </c>
      <c r="I650" s="19">
        <v>1</v>
      </c>
      <c r="J650" s="66">
        <f t="shared" si="60"/>
        <v>0.296296296296296</v>
      </c>
      <c r="K650" s="67">
        <f t="shared" si="61"/>
        <v>3.26833333333333</v>
      </c>
      <c r="L650" s="67">
        <f t="shared" si="62"/>
        <v>968.395061728395</v>
      </c>
      <c r="M650" s="73">
        <f t="shared" si="58"/>
        <v>0</v>
      </c>
      <c r="N650" s="66">
        <f t="shared" si="59"/>
        <v>0</v>
      </c>
      <c r="O650" s="52">
        <f t="shared" si="63"/>
        <v>0</v>
      </c>
      <c r="P650" s="52">
        <f t="shared" si="64"/>
        <v>0</v>
      </c>
      <c r="Q650" s="68">
        <f t="shared" si="65"/>
        <v>19.61</v>
      </c>
    </row>
    <row r="651" s="2" customFormat="1" spans="1:17">
      <c r="A651" s="61">
        <v>45298</v>
      </c>
      <c r="B651" s="18">
        <v>176.11</v>
      </c>
      <c r="C651" s="19">
        <v>191</v>
      </c>
      <c r="D651" s="19">
        <v>52</v>
      </c>
      <c r="E651" s="19">
        <v>0</v>
      </c>
      <c r="F651" s="18">
        <v>0</v>
      </c>
      <c r="G651" s="19">
        <v>20</v>
      </c>
      <c r="H651" s="19">
        <v>2</v>
      </c>
      <c r="I651" s="19">
        <v>4</v>
      </c>
      <c r="J651" s="66">
        <f t="shared" si="60"/>
        <v>0.272251308900524</v>
      </c>
      <c r="K651" s="67">
        <f t="shared" si="61"/>
        <v>3.38673076923077</v>
      </c>
      <c r="L651" s="67">
        <f t="shared" si="62"/>
        <v>922.041884816754</v>
      </c>
      <c r="M651" s="73">
        <f t="shared" si="58"/>
        <v>0</v>
      </c>
      <c r="N651" s="66">
        <f t="shared" si="59"/>
        <v>0</v>
      </c>
      <c r="O651" s="52">
        <f t="shared" si="63"/>
        <v>0</v>
      </c>
      <c r="P651" s="52">
        <f t="shared" si="64"/>
        <v>0</v>
      </c>
      <c r="Q651" s="68">
        <f t="shared" si="65"/>
        <v>8.8055</v>
      </c>
    </row>
    <row r="652" s="2" customFormat="1" spans="1:17">
      <c r="A652" s="61">
        <v>45299</v>
      </c>
      <c r="B652" s="18">
        <v>219.91</v>
      </c>
      <c r="C652" s="19">
        <v>235</v>
      </c>
      <c r="D652" s="19">
        <v>71</v>
      </c>
      <c r="E652" s="19">
        <v>0</v>
      </c>
      <c r="F652" s="18">
        <v>0</v>
      </c>
      <c r="G652" s="19">
        <v>17</v>
      </c>
      <c r="H652" s="19">
        <v>1</v>
      </c>
      <c r="I652" s="19">
        <v>2</v>
      </c>
      <c r="J652" s="66">
        <f t="shared" si="60"/>
        <v>0.302127659574468</v>
      </c>
      <c r="K652" s="67">
        <f t="shared" si="61"/>
        <v>3.09732394366197</v>
      </c>
      <c r="L652" s="67">
        <f t="shared" si="62"/>
        <v>935.787234042553</v>
      </c>
      <c r="M652" s="73">
        <f t="shared" si="58"/>
        <v>0</v>
      </c>
      <c r="N652" s="66">
        <f t="shared" si="59"/>
        <v>0</v>
      </c>
      <c r="O652" s="52">
        <f t="shared" si="63"/>
        <v>0</v>
      </c>
      <c r="P652" s="52">
        <f t="shared" si="64"/>
        <v>0</v>
      </c>
      <c r="Q652" s="68">
        <f t="shared" si="65"/>
        <v>12.9358823529412</v>
      </c>
    </row>
    <row r="653" s="2" customFormat="1" spans="1:17">
      <c r="A653" s="61">
        <v>45300</v>
      </c>
      <c r="B653" s="18">
        <v>117.54</v>
      </c>
      <c r="C653" s="19">
        <v>135</v>
      </c>
      <c r="D653" s="19">
        <v>30</v>
      </c>
      <c r="E653" s="19">
        <v>0</v>
      </c>
      <c r="F653" s="18">
        <v>0</v>
      </c>
      <c r="G653" s="19">
        <v>14</v>
      </c>
      <c r="H653" s="19">
        <v>1</v>
      </c>
      <c r="I653" s="19">
        <v>3</v>
      </c>
      <c r="J653" s="66">
        <f t="shared" si="60"/>
        <v>0.222222222222222</v>
      </c>
      <c r="K653" s="67">
        <f t="shared" si="61"/>
        <v>3.918</v>
      </c>
      <c r="L653" s="67">
        <f t="shared" si="62"/>
        <v>870.666666666667</v>
      </c>
      <c r="M653" s="73">
        <f t="shared" si="58"/>
        <v>0</v>
      </c>
      <c r="N653" s="66">
        <f t="shared" si="59"/>
        <v>0</v>
      </c>
      <c r="O653" s="52">
        <f t="shared" si="63"/>
        <v>0</v>
      </c>
      <c r="P653" s="52">
        <f t="shared" si="64"/>
        <v>0</v>
      </c>
      <c r="Q653" s="68">
        <f t="shared" si="65"/>
        <v>8.39571428571429</v>
      </c>
    </row>
    <row r="654" s="2" customFormat="1" spans="1:17">
      <c r="A654" s="61">
        <v>45301</v>
      </c>
      <c r="B654" s="18">
        <v>156.85</v>
      </c>
      <c r="C654" s="19">
        <v>155</v>
      </c>
      <c r="D654" s="19">
        <v>39</v>
      </c>
      <c r="E654" s="19">
        <v>2</v>
      </c>
      <c r="F654" s="18">
        <v>28288</v>
      </c>
      <c r="G654" s="19">
        <v>21</v>
      </c>
      <c r="H654" s="19">
        <v>1</v>
      </c>
      <c r="I654" s="19">
        <v>4</v>
      </c>
      <c r="J654" s="66">
        <f t="shared" si="60"/>
        <v>0.251612903225806</v>
      </c>
      <c r="K654" s="67">
        <f t="shared" si="61"/>
        <v>4.02179487179487</v>
      </c>
      <c r="L654" s="67">
        <f t="shared" si="62"/>
        <v>1011.93548387097</v>
      </c>
      <c r="M654" s="73">
        <f t="shared" si="58"/>
        <v>180.350653490596</v>
      </c>
      <c r="N654" s="66">
        <f t="shared" si="59"/>
        <v>0.0512820512820513</v>
      </c>
      <c r="O654" s="52">
        <f t="shared" si="63"/>
        <v>14144</v>
      </c>
      <c r="P654" s="52">
        <f t="shared" si="64"/>
        <v>78.425</v>
      </c>
      <c r="Q654" s="68">
        <f t="shared" si="65"/>
        <v>7.46904761904762</v>
      </c>
    </row>
    <row r="655" s="2" customFormat="1" spans="1:17">
      <c r="A655" s="61">
        <v>45302</v>
      </c>
      <c r="B655" s="18">
        <v>120.46</v>
      </c>
      <c r="C655" s="19">
        <v>132</v>
      </c>
      <c r="D655" s="19">
        <v>47</v>
      </c>
      <c r="E655" s="19">
        <v>0</v>
      </c>
      <c r="F655" s="18">
        <v>0</v>
      </c>
      <c r="G655" s="19">
        <v>6</v>
      </c>
      <c r="H655" s="19">
        <v>0</v>
      </c>
      <c r="I655" s="19">
        <v>3</v>
      </c>
      <c r="J655" s="66">
        <f t="shared" si="60"/>
        <v>0.356060606060606</v>
      </c>
      <c r="K655" s="67">
        <f t="shared" si="61"/>
        <v>2.56297872340426</v>
      </c>
      <c r="L655" s="67">
        <f t="shared" si="62"/>
        <v>912.575757575758</v>
      </c>
      <c r="M655" s="73">
        <f t="shared" si="58"/>
        <v>0</v>
      </c>
      <c r="N655" s="66">
        <f t="shared" si="59"/>
        <v>0</v>
      </c>
      <c r="O655" s="52">
        <f t="shared" si="63"/>
        <v>0</v>
      </c>
      <c r="P655" s="52">
        <f t="shared" si="64"/>
        <v>0</v>
      </c>
      <c r="Q655" s="68">
        <f t="shared" si="65"/>
        <v>20.0766666666667</v>
      </c>
    </row>
    <row r="656" s="2" customFormat="1" spans="1:17">
      <c r="A656" s="61">
        <v>45303</v>
      </c>
      <c r="B656" s="18">
        <v>157.43</v>
      </c>
      <c r="C656" s="19">
        <v>181</v>
      </c>
      <c r="D656" s="19">
        <v>40</v>
      </c>
      <c r="E656" s="19">
        <v>0</v>
      </c>
      <c r="F656" s="18">
        <v>0</v>
      </c>
      <c r="G656" s="19">
        <v>11</v>
      </c>
      <c r="H656" s="19">
        <v>1</v>
      </c>
      <c r="I656" s="19">
        <v>5</v>
      </c>
      <c r="J656" s="66">
        <f t="shared" si="60"/>
        <v>0.220994475138122</v>
      </c>
      <c r="K656" s="67">
        <f t="shared" si="61"/>
        <v>3.93575</v>
      </c>
      <c r="L656" s="67">
        <f t="shared" si="62"/>
        <v>869.779005524862</v>
      </c>
      <c r="M656" s="73">
        <f t="shared" si="58"/>
        <v>0</v>
      </c>
      <c r="N656" s="66">
        <f t="shared" si="59"/>
        <v>0</v>
      </c>
      <c r="O656" s="52">
        <f t="shared" si="63"/>
        <v>0</v>
      </c>
      <c r="P656" s="52">
        <f t="shared" si="64"/>
        <v>0</v>
      </c>
      <c r="Q656" s="68">
        <f t="shared" si="65"/>
        <v>14.3118181818182</v>
      </c>
    </row>
    <row r="657" s="2" customFormat="1" spans="1:17">
      <c r="A657" s="61">
        <v>45304</v>
      </c>
      <c r="B657" s="18">
        <v>100.59</v>
      </c>
      <c r="C657" s="19">
        <v>128</v>
      </c>
      <c r="D657" s="19">
        <v>44</v>
      </c>
      <c r="E657" s="19">
        <v>0</v>
      </c>
      <c r="F657" s="18">
        <v>0</v>
      </c>
      <c r="G657" s="19">
        <v>10</v>
      </c>
      <c r="H657" s="19">
        <v>1</v>
      </c>
      <c r="I657" s="19">
        <v>4</v>
      </c>
      <c r="J657" s="66">
        <f t="shared" si="60"/>
        <v>0.34375</v>
      </c>
      <c r="K657" s="67">
        <f t="shared" si="61"/>
        <v>2.28613636363636</v>
      </c>
      <c r="L657" s="67">
        <f t="shared" si="62"/>
        <v>785.859375</v>
      </c>
      <c r="M657" s="73">
        <f t="shared" si="58"/>
        <v>0</v>
      </c>
      <c r="N657" s="66">
        <f t="shared" si="59"/>
        <v>0</v>
      </c>
      <c r="O657" s="52">
        <f t="shared" si="63"/>
        <v>0</v>
      </c>
      <c r="P657" s="52">
        <f t="shared" si="64"/>
        <v>0</v>
      </c>
      <c r="Q657" s="68">
        <f t="shared" si="65"/>
        <v>10.059</v>
      </c>
    </row>
    <row r="658" s="2" customFormat="1" spans="1:17">
      <c r="A658" s="61">
        <v>45305</v>
      </c>
      <c r="B658" s="18">
        <v>123.85</v>
      </c>
      <c r="C658" s="19">
        <v>183</v>
      </c>
      <c r="D658" s="19">
        <v>57</v>
      </c>
      <c r="E658" s="19">
        <v>0</v>
      </c>
      <c r="F658" s="18">
        <v>0</v>
      </c>
      <c r="G658" s="19">
        <v>10</v>
      </c>
      <c r="H658" s="19">
        <v>1</v>
      </c>
      <c r="I658" s="19">
        <v>3</v>
      </c>
      <c r="J658" s="66">
        <f t="shared" si="60"/>
        <v>0.311475409836066</v>
      </c>
      <c r="K658" s="67">
        <f t="shared" si="61"/>
        <v>2.17280701754386</v>
      </c>
      <c r="L658" s="67">
        <f t="shared" si="62"/>
        <v>676.775956284153</v>
      </c>
      <c r="M658" s="73">
        <f t="shared" si="58"/>
        <v>0</v>
      </c>
      <c r="N658" s="66">
        <f t="shared" si="59"/>
        <v>0</v>
      </c>
      <c r="O658" s="52">
        <f t="shared" si="63"/>
        <v>0</v>
      </c>
      <c r="P658" s="52">
        <f t="shared" si="64"/>
        <v>0</v>
      </c>
      <c r="Q658" s="68">
        <f t="shared" si="65"/>
        <v>12.385</v>
      </c>
    </row>
    <row r="659" s="2" customFormat="1" spans="1:17">
      <c r="A659" s="61">
        <v>45306</v>
      </c>
      <c r="B659" s="18">
        <v>113.45</v>
      </c>
      <c r="C659" s="19">
        <v>149</v>
      </c>
      <c r="D659" s="19">
        <v>55</v>
      </c>
      <c r="E659" s="19">
        <v>0</v>
      </c>
      <c r="F659" s="18">
        <v>0</v>
      </c>
      <c r="G659" s="19">
        <v>8</v>
      </c>
      <c r="H659" s="19">
        <v>1</v>
      </c>
      <c r="I659" s="19">
        <v>3</v>
      </c>
      <c r="J659" s="66">
        <f t="shared" si="60"/>
        <v>0.369127516778524</v>
      </c>
      <c r="K659" s="67">
        <f t="shared" si="61"/>
        <v>2.06272727272727</v>
      </c>
      <c r="L659" s="67">
        <f t="shared" si="62"/>
        <v>761.409395973154</v>
      </c>
      <c r="M659" s="73">
        <f t="shared" si="58"/>
        <v>0</v>
      </c>
      <c r="N659" s="66">
        <f t="shared" si="59"/>
        <v>0</v>
      </c>
      <c r="O659" s="52">
        <f t="shared" si="63"/>
        <v>0</v>
      </c>
      <c r="P659" s="52">
        <f t="shared" si="64"/>
        <v>0</v>
      </c>
      <c r="Q659" s="68">
        <f t="shared" si="65"/>
        <v>14.18125</v>
      </c>
    </row>
    <row r="660" s="2" customFormat="1" spans="1:17">
      <c r="A660" s="61">
        <v>45307</v>
      </c>
      <c r="B660" s="18">
        <v>152.18</v>
      </c>
      <c r="C660" s="19">
        <v>201</v>
      </c>
      <c r="D660" s="19">
        <v>75</v>
      </c>
      <c r="E660" s="19">
        <v>1</v>
      </c>
      <c r="F660" s="18">
        <v>3000</v>
      </c>
      <c r="G660" s="19">
        <v>17</v>
      </c>
      <c r="H660" s="19">
        <v>1</v>
      </c>
      <c r="I660" s="19">
        <v>2</v>
      </c>
      <c r="J660" s="66">
        <f t="shared" si="60"/>
        <v>0.373134328358209</v>
      </c>
      <c r="K660" s="67">
        <f t="shared" si="61"/>
        <v>2.02906666666667</v>
      </c>
      <c r="L660" s="67">
        <f t="shared" si="62"/>
        <v>757.114427860697</v>
      </c>
      <c r="M660" s="73">
        <f t="shared" si="58"/>
        <v>19.7134971743987</v>
      </c>
      <c r="N660" s="66">
        <f t="shared" si="59"/>
        <v>0.0133333333333333</v>
      </c>
      <c r="O660" s="52">
        <f t="shared" si="63"/>
        <v>3000</v>
      </c>
      <c r="P660" s="52">
        <f t="shared" si="64"/>
        <v>152.18</v>
      </c>
      <c r="Q660" s="68">
        <f t="shared" si="65"/>
        <v>8.95176470588235</v>
      </c>
    </row>
    <row r="661" s="2" customFormat="1" spans="1:17">
      <c r="A661" s="61">
        <v>45308</v>
      </c>
      <c r="B661" s="18">
        <v>134.51</v>
      </c>
      <c r="C661" s="19">
        <v>175</v>
      </c>
      <c r="D661" s="19">
        <v>64</v>
      </c>
      <c r="E661" s="19">
        <v>1</v>
      </c>
      <c r="F661" s="18">
        <v>19851</v>
      </c>
      <c r="G661" s="19">
        <v>17</v>
      </c>
      <c r="H661" s="19">
        <v>1</v>
      </c>
      <c r="I661" s="19">
        <v>2</v>
      </c>
      <c r="J661" s="66">
        <f t="shared" si="60"/>
        <v>0.365714285714286</v>
      </c>
      <c r="K661" s="67">
        <f t="shared" si="61"/>
        <v>2.10171875</v>
      </c>
      <c r="L661" s="67">
        <f t="shared" si="62"/>
        <v>768.628571428571</v>
      </c>
      <c r="M661" s="73">
        <f t="shared" si="58"/>
        <v>147.580105568359</v>
      </c>
      <c r="N661" s="66">
        <f t="shared" si="59"/>
        <v>0.015625</v>
      </c>
      <c r="O661" s="52">
        <f t="shared" si="63"/>
        <v>19851</v>
      </c>
      <c r="P661" s="52">
        <f t="shared" si="64"/>
        <v>134.51</v>
      </c>
      <c r="Q661" s="68">
        <f t="shared" si="65"/>
        <v>7.91235294117647</v>
      </c>
    </row>
    <row r="662" s="2" customFormat="1" spans="1:17">
      <c r="A662" s="61">
        <v>45309</v>
      </c>
      <c r="B662" s="18">
        <v>73.44</v>
      </c>
      <c r="C662" s="19">
        <v>90</v>
      </c>
      <c r="D662" s="19">
        <v>39</v>
      </c>
      <c r="E662" s="19">
        <v>0</v>
      </c>
      <c r="F662" s="18">
        <v>0</v>
      </c>
      <c r="G662" s="19">
        <v>8</v>
      </c>
      <c r="H662" s="19">
        <v>1</v>
      </c>
      <c r="I662" s="19">
        <v>3</v>
      </c>
      <c r="J662" s="66">
        <f t="shared" si="60"/>
        <v>0.433333333333333</v>
      </c>
      <c r="K662" s="67">
        <f t="shared" si="61"/>
        <v>1.88307692307692</v>
      </c>
      <c r="L662" s="67">
        <f t="shared" si="62"/>
        <v>816</v>
      </c>
      <c r="M662" s="73">
        <f t="shared" si="58"/>
        <v>0</v>
      </c>
      <c r="N662" s="66">
        <f t="shared" si="59"/>
        <v>0</v>
      </c>
      <c r="O662" s="52">
        <f t="shared" si="63"/>
        <v>0</v>
      </c>
      <c r="P662" s="52">
        <f t="shared" si="64"/>
        <v>0</v>
      </c>
      <c r="Q662" s="68">
        <f t="shared" si="65"/>
        <v>9.18</v>
      </c>
    </row>
    <row r="663" s="2" customFormat="1" spans="1:17">
      <c r="A663" s="61">
        <v>45310</v>
      </c>
      <c r="B663" s="18">
        <v>124.2</v>
      </c>
      <c r="C663" s="19">
        <v>152</v>
      </c>
      <c r="D663" s="19">
        <v>59</v>
      </c>
      <c r="E663" s="19">
        <v>0</v>
      </c>
      <c r="F663" s="18">
        <v>0</v>
      </c>
      <c r="G663" s="19">
        <v>13</v>
      </c>
      <c r="H663" s="19">
        <v>1</v>
      </c>
      <c r="I663" s="19">
        <v>1</v>
      </c>
      <c r="J663" s="66">
        <f t="shared" si="60"/>
        <v>0.388157894736842</v>
      </c>
      <c r="K663" s="67">
        <f t="shared" si="61"/>
        <v>2.10508474576271</v>
      </c>
      <c r="L663" s="67">
        <f t="shared" si="62"/>
        <v>817.105263157895</v>
      </c>
      <c r="M663" s="73">
        <f t="shared" si="58"/>
        <v>0</v>
      </c>
      <c r="N663" s="66">
        <f t="shared" si="59"/>
        <v>0</v>
      </c>
      <c r="O663" s="52">
        <f t="shared" si="63"/>
        <v>0</v>
      </c>
      <c r="P663" s="52">
        <f t="shared" si="64"/>
        <v>0</v>
      </c>
      <c r="Q663" s="68">
        <f t="shared" si="65"/>
        <v>9.55384615384615</v>
      </c>
    </row>
    <row r="664" s="2" customFormat="1" spans="1:17">
      <c r="A664" s="61">
        <v>45311</v>
      </c>
      <c r="B664" s="18">
        <v>105.27</v>
      </c>
      <c r="C664" s="19">
        <v>129</v>
      </c>
      <c r="D664" s="19">
        <v>62</v>
      </c>
      <c r="E664" s="19">
        <v>0</v>
      </c>
      <c r="F664" s="18">
        <v>0</v>
      </c>
      <c r="G664" s="19">
        <v>17</v>
      </c>
      <c r="H664" s="19">
        <v>2</v>
      </c>
      <c r="I664" s="19">
        <v>3</v>
      </c>
      <c r="J664" s="66">
        <f t="shared" si="60"/>
        <v>0.48062015503876</v>
      </c>
      <c r="K664" s="67">
        <f t="shared" si="61"/>
        <v>1.69790322580645</v>
      </c>
      <c r="L664" s="67">
        <f t="shared" si="62"/>
        <v>816.046511627907</v>
      </c>
      <c r="M664" s="73">
        <f t="shared" si="58"/>
        <v>0</v>
      </c>
      <c r="N664" s="66">
        <f t="shared" si="59"/>
        <v>0</v>
      </c>
      <c r="O664" s="52">
        <f t="shared" si="63"/>
        <v>0</v>
      </c>
      <c r="P664" s="52">
        <f t="shared" si="64"/>
        <v>0</v>
      </c>
      <c r="Q664" s="68">
        <f t="shared" si="65"/>
        <v>6.19235294117647</v>
      </c>
    </row>
    <row r="665" s="2" customFormat="1" spans="1:17">
      <c r="A665" s="61">
        <v>45312</v>
      </c>
      <c r="B665" s="18">
        <v>139.6</v>
      </c>
      <c r="C665" s="19">
        <v>169</v>
      </c>
      <c r="D665" s="19">
        <v>70</v>
      </c>
      <c r="E665" s="19">
        <v>0</v>
      </c>
      <c r="F665" s="18">
        <v>0</v>
      </c>
      <c r="G665" s="19">
        <v>17</v>
      </c>
      <c r="H665" s="19">
        <v>2</v>
      </c>
      <c r="I665" s="19">
        <v>4</v>
      </c>
      <c r="J665" s="66">
        <f t="shared" si="60"/>
        <v>0.414201183431953</v>
      </c>
      <c r="K665" s="67">
        <f t="shared" si="61"/>
        <v>1.99428571428571</v>
      </c>
      <c r="L665" s="67">
        <f t="shared" si="62"/>
        <v>826.03550295858</v>
      </c>
      <c r="M665" s="73">
        <f t="shared" si="58"/>
        <v>0</v>
      </c>
      <c r="N665" s="66">
        <f t="shared" si="59"/>
        <v>0</v>
      </c>
      <c r="O665" s="52">
        <f t="shared" si="63"/>
        <v>0</v>
      </c>
      <c r="P665" s="52">
        <f t="shared" si="64"/>
        <v>0</v>
      </c>
      <c r="Q665" s="68">
        <f t="shared" si="65"/>
        <v>8.21176470588235</v>
      </c>
    </row>
    <row r="666" s="2" customFormat="1" spans="1:17">
      <c r="A666" s="61">
        <v>45313</v>
      </c>
      <c r="B666" s="18">
        <v>121.86</v>
      </c>
      <c r="C666" s="19">
        <v>156</v>
      </c>
      <c r="D666" s="19">
        <v>54</v>
      </c>
      <c r="E666" s="19">
        <v>0</v>
      </c>
      <c r="F666" s="18">
        <v>0</v>
      </c>
      <c r="G666" s="19">
        <v>6</v>
      </c>
      <c r="H666" s="19">
        <v>3</v>
      </c>
      <c r="I666" s="19">
        <v>3</v>
      </c>
      <c r="J666" s="66">
        <f t="shared" si="60"/>
        <v>0.346153846153846</v>
      </c>
      <c r="K666" s="67">
        <f t="shared" si="61"/>
        <v>2.25666666666667</v>
      </c>
      <c r="L666" s="67">
        <f t="shared" si="62"/>
        <v>781.153846153846</v>
      </c>
      <c r="M666" s="73">
        <f t="shared" si="58"/>
        <v>0</v>
      </c>
      <c r="N666" s="66">
        <f t="shared" si="59"/>
        <v>0</v>
      </c>
      <c r="O666" s="52">
        <f t="shared" si="63"/>
        <v>0</v>
      </c>
      <c r="P666" s="52">
        <f t="shared" si="64"/>
        <v>0</v>
      </c>
      <c r="Q666" s="68">
        <f t="shared" si="65"/>
        <v>20.31</v>
      </c>
    </row>
    <row r="667" s="2" customFormat="1" spans="1:17">
      <c r="A667" s="61">
        <v>45314</v>
      </c>
      <c r="B667" s="18">
        <v>120.02</v>
      </c>
      <c r="C667" s="19">
        <v>156</v>
      </c>
      <c r="D667" s="19">
        <v>64</v>
      </c>
      <c r="E667" s="19">
        <v>1</v>
      </c>
      <c r="F667" s="18">
        <v>17414</v>
      </c>
      <c r="G667" s="19">
        <v>14</v>
      </c>
      <c r="H667" s="19">
        <v>0</v>
      </c>
      <c r="I667" s="19">
        <v>2</v>
      </c>
      <c r="J667" s="66">
        <f t="shared" si="60"/>
        <v>0.41025641025641</v>
      </c>
      <c r="K667" s="67">
        <f t="shared" si="61"/>
        <v>1.8753125</v>
      </c>
      <c r="L667" s="67">
        <f t="shared" si="62"/>
        <v>769.358974358974</v>
      </c>
      <c r="M667" s="73">
        <f t="shared" si="58"/>
        <v>145.092484585902</v>
      </c>
      <c r="N667" s="66">
        <f t="shared" si="59"/>
        <v>0.015625</v>
      </c>
      <c r="O667" s="52">
        <f t="shared" si="63"/>
        <v>17414</v>
      </c>
      <c r="P667" s="52">
        <f t="shared" si="64"/>
        <v>120.02</v>
      </c>
      <c r="Q667" s="68">
        <f t="shared" si="65"/>
        <v>8.57285714285714</v>
      </c>
    </row>
    <row r="668" s="2" customFormat="1" spans="1:17">
      <c r="A668" s="61">
        <v>45315</v>
      </c>
      <c r="B668" s="18">
        <v>143.67</v>
      </c>
      <c r="C668" s="19">
        <v>195</v>
      </c>
      <c r="D668" s="19">
        <v>69</v>
      </c>
      <c r="E668" s="19">
        <v>0</v>
      </c>
      <c r="F668" s="18">
        <v>0</v>
      </c>
      <c r="G668" s="19">
        <v>9</v>
      </c>
      <c r="H668" s="19">
        <v>0</v>
      </c>
      <c r="I668" s="19">
        <v>2</v>
      </c>
      <c r="J668" s="66">
        <f t="shared" si="60"/>
        <v>0.353846153846154</v>
      </c>
      <c r="K668" s="67">
        <f t="shared" si="61"/>
        <v>2.08217391304348</v>
      </c>
      <c r="L668" s="67">
        <f t="shared" si="62"/>
        <v>736.769230769231</v>
      </c>
      <c r="M668" s="73">
        <f t="shared" si="58"/>
        <v>0</v>
      </c>
      <c r="N668" s="66">
        <f t="shared" si="59"/>
        <v>0</v>
      </c>
      <c r="O668" s="52">
        <f t="shared" si="63"/>
        <v>0</v>
      </c>
      <c r="P668" s="52">
        <f t="shared" si="64"/>
        <v>0</v>
      </c>
      <c r="Q668" s="68">
        <f t="shared" si="65"/>
        <v>15.9633333333333</v>
      </c>
    </row>
    <row r="669" s="2" customFormat="1" spans="1:17">
      <c r="A669" s="61">
        <v>45316</v>
      </c>
      <c r="B669" s="18">
        <v>128.75</v>
      </c>
      <c r="C669" s="19">
        <v>151</v>
      </c>
      <c r="D669" s="19">
        <v>54</v>
      </c>
      <c r="E669" s="19">
        <v>0</v>
      </c>
      <c r="F669" s="18">
        <v>0</v>
      </c>
      <c r="G669" s="19">
        <v>18</v>
      </c>
      <c r="H669" s="19">
        <v>2</v>
      </c>
      <c r="I669" s="19">
        <v>1</v>
      </c>
      <c r="J669" s="66">
        <f t="shared" si="60"/>
        <v>0.357615894039735</v>
      </c>
      <c r="K669" s="67">
        <f t="shared" si="61"/>
        <v>2.38425925925926</v>
      </c>
      <c r="L669" s="67">
        <f t="shared" si="62"/>
        <v>852.649006622516</v>
      </c>
      <c r="M669" s="73">
        <f t="shared" si="58"/>
        <v>0</v>
      </c>
      <c r="N669" s="66">
        <f t="shared" si="59"/>
        <v>0</v>
      </c>
      <c r="O669" s="52">
        <f t="shared" si="63"/>
        <v>0</v>
      </c>
      <c r="P669" s="52">
        <f t="shared" si="64"/>
        <v>0</v>
      </c>
      <c r="Q669" s="68">
        <f t="shared" si="65"/>
        <v>7.15277777777778</v>
      </c>
    </row>
    <row r="670" s="2" customFormat="1" spans="1:17">
      <c r="A670" s="61">
        <v>45317</v>
      </c>
      <c r="B670" s="18">
        <v>94.77</v>
      </c>
      <c r="C670" s="19">
        <v>120</v>
      </c>
      <c r="D670" s="19">
        <v>48</v>
      </c>
      <c r="E670" s="19">
        <v>0</v>
      </c>
      <c r="F670" s="18">
        <v>0</v>
      </c>
      <c r="G670" s="19">
        <v>11</v>
      </c>
      <c r="H670" s="19">
        <v>2</v>
      </c>
      <c r="I670" s="19">
        <v>4</v>
      </c>
      <c r="J670" s="66">
        <f t="shared" si="60"/>
        <v>0.4</v>
      </c>
      <c r="K670" s="67">
        <f t="shared" si="61"/>
        <v>1.974375</v>
      </c>
      <c r="L670" s="67">
        <f t="shared" si="62"/>
        <v>789.75</v>
      </c>
      <c r="M670" s="73">
        <f t="shared" si="58"/>
        <v>0</v>
      </c>
      <c r="N670" s="66">
        <f t="shared" si="59"/>
        <v>0</v>
      </c>
      <c r="O670" s="52">
        <f t="shared" si="63"/>
        <v>0</v>
      </c>
      <c r="P670" s="52">
        <f t="shared" si="64"/>
        <v>0</v>
      </c>
      <c r="Q670" s="68">
        <f t="shared" si="65"/>
        <v>8.61545454545455</v>
      </c>
    </row>
    <row r="671" s="2" customFormat="1" spans="1:17">
      <c r="A671" s="61">
        <v>45318</v>
      </c>
      <c r="B671" s="18">
        <v>94.77</v>
      </c>
      <c r="C671" s="19">
        <v>123</v>
      </c>
      <c r="D671" s="19">
        <v>37</v>
      </c>
      <c r="E671" s="19">
        <v>0</v>
      </c>
      <c r="F671" s="18">
        <v>0</v>
      </c>
      <c r="G671" s="19">
        <v>15</v>
      </c>
      <c r="H671" s="19">
        <v>0</v>
      </c>
      <c r="I671" s="19">
        <v>2</v>
      </c>
      <c r="J671" s="66">
        <f t="shared" si="60"/>
        <v>0.300813008130081</v>
      </c>
      <c r="K671" s="67">
        <f t="shared" si="61"/>
        <v>2.56135135135135</v>
      </c>
      <c r="L671" s="67">
        <f t="shared" si="62"/>
        <v>770.487804878049</v>
      </c>
      <c r="M671" s="73">
        <f t="shared" si="58"/>
        <v>0</v>
      </c>
      <c r="N671" s="66">
        <f t="shared" si="59"/>
        <v>0</v>
      </c>
      <c r="O671" s="52">
        <f t="shared" si="63"/>
        <v>0</v>
      </c>
      <c r="P671" s="52">
        <f t="shared" si="64"/>
        <v>0</v>
      </c>
      <c r="Q671" s="68">
        <f t="shared" si="65"/>
        <v>6.318</v>
      </c>
    </row>
    <row r="672" s="2" customFormat="1" spans="1:17">
      <c r="A672" s="61">
        <v>45319</v>
      </c>
      <c r="B672" s="18">
        <v>104.71</v>
      </c>
      <c r="C672" s="19">
        <v>141</v>
      </c>
      <c r="D672" s="19">
        <v>62</v>
      </c>
      <c r="E672" s="19">
        <v>0</v>
      </c>
      <c r="F672" s="18">
        <v>0</v>
      </c>
      <c r="G672" s="19">
        <v>10</v>
      </c>
      <c r="H672" s="19">
        <v>3</v>
      </c>
      <c r="I672" s="19">
        <v>2</v>
      </c>
      <c r="J672" s="66">
        <f t="shared" si="60"/>
        <v>0.439716312056738</v>
      </c>
      <c r="K672" s="67">
        <f t="shared" si="61"/>
        <v>1.68887096774194</v>
      </c>
      <c r="L672" s="67">
        <f t="shared" si="62"/>
        <v>742.624113475177</v>
      </c>
      <c r="M672" s="73">
        <f t="shared" si="58"/>
        <v>0</v>
      </c>
      <c r="N672" s="66">
        <f t="shared" si="59"/>
        <v>0</v>
      </c>
      <c r="O672" s="52">
        <f t="shared" si="63"/>
        <v>0</v>
      </c>
      <c r="P672" s="52">
        <f t="shared" si="64"/>
        <v>0</v>
      </c>
      <c r="Q672" s="68">
        <f t="shared" si="65"/>
        <v>10.471</v>
      </c>
    </row>
    <row r="673" s="2" customFormat="1" spans="1:17">
      <c r="A673" s="61">
        <v>45320</v>
      </c>
      <c r="B673" s="18">
        <v>116.78</v>
      </c>
      <c r="C673" s="19">
        <v>140</v>
      </c>
      <c r="D673" s="19">
        <v>57</v>
      </c>
      <c r="E673" s="19">
        <v>0</v>
      </c>
      <c r="F673" s="18">
        <v>0</v>
      </c>
      <c r="G673" s="19">
        <v>9</v>
      </c>
      <c r="H673" s="19">
        <v>2</v>
      </c>
      <c r="I673" s="19">
        <v>5</v>
      </c>
      <c r="J673" s="66">
        <f t="shared" si="60"/>
        <v>0.407142857142857</v>
      </c>
      <c r="K673" s="67">
        <f t="shared" si="61"/>
        <v>2.04877192982456</v>
      </c>
      <c r="L673" s="67">
        <f t="shared" si="62"/>
        <v>834.142857142857</v>
      </c>
      <c r="M673" s="73">
        <f t="shared" si="58"/>
        <v>0</v>
      </c>
      <c r="N673" s="66">
        <f t="shared" si="59"/>
        <v>0</v>
      </c>
      <c r="O673" s="52">
        <f t="shared" si="63"/>
        <v>0</v>
      </c>
      <c r="P673" s="52">
        <f t="shared" si="64"/>
        <v>0</v>
      </c>
      <c r="Q673" s="68">
        <f t="shared" si="65"/>
        <v>12.9755555555556</v>
      </c>
    </row>
    <row r="674" s="2" customFormat="1" spans="1:17">
      <c r="A674" s="61">
        <v>45321</v>
      </c>
      <c r="B674" s="18">
        <v>158.85</v>
      </c>
      <c r="C674" s="19">
        <v>188</v>
      </c>
      <c r="D674" s="19">
        <v>65</v>
      </c>
      <c r="E674" s="19">
        <v>0</v>
      </c>
      <c r="F674" s="18">
        <v>0</v>
      </c>
      <c r="G674" s="19">
        <v>11</v>
      </c>
      <c r="H674" s="19">
        <v>0</v>
      </c>
      <c r="I674" s="19">
        <v>2</v>
      </c>
      <c r="J674" s="66">
        <f t="shared" si="60"/>
        <v>0.345744680851064</v>
      </c>
      <c r="K674" s="67">
        <f t="shared" si="61"/>
        <v>2.44384615384615</v>
      </c>
      <c r="L674" s="67">
        <f t="shared" si="62"/>
        <v>844.946808510638</v>
      </c>
      <c r="M674" s="73">
        <f t="shared" si="58"/>
        <v>0</v>
      </c>
      <c r="N674" s="66">
        <f t="shared" si="59"/>
        <v>0</v>
      </c>
      <c r="O674" s="52">
        <f t="shared" si="63"/>
        <v>0</v>
      </c>
      <c r="P674" s="52">
        <f t="shared" si="64"/>
        <v>0</v>
      </c>
      <c r="Q674" s="68">
        <f t="shared" si="65"/>
        <v>14.4409090909091</v>
      </c>
    </row>
    <row r="675" s="2" customFormat="1" spans="1:17">
      <c r="A675" s="61">
        <v>45322</v>
      </c>
      <c r="B675" s="18">
        <v>159.16</v>
      </c>
      <c r="C675" s="19">
        <v>205</v>
      </c>
      <c r="D675" s="19">
        <v>59</v>
      </c>
      <c r="E675" s="19">
        <v>0</v>
      </c>
      <c r="F675" s="18">
        <v>0</v>
      </c>
      <c r="G675" s="19">
        <v>16</v>
      </c>
      <c r="H675" s="19">
        <v>1</v>
      </c>
      <c r="I675" s="19">
        <v>4</v>
      </c>
      <c r="J675" s="66">
        <f t="shared" si="60"/>
        <v>0.28780487804878</v>
      </c>
      <c r="K675" s="67">
        <f t="shared" si="61"/>
        <v>2.69762711864407</v>
      </c>
      <c r="L675" s="67">
        <f t="shared" si="62"/>
        <v>776.390243902439</v>
      </c>
      <c r="M675" s="73">
        <f t="shared" si="58"/>
        <v>0</v>
      </c>
      <c r="N675" s="66">
        <f t="shared" si="59"/>
        <v>0</v>
      </c>
      <c r="O675" s="52">
        <f t="shared" si="63"/>
        <v>0</v>
      </c>
      <c r="P675" s="52">
        <f t="shared" si="64"/>
        <v>0</v>
      </c>
      <c r="Q675" s="68">
        <f t="shared" si="65"/>
        <v>9.9475</v>
      </c>
    </row>
    <row r="676" s="2" customFormat="1" spans="1:17">
      <c r="A676" s="61">
        <v>45323</v>
      </c>
      <c r="B676" s="18">
        <v>115.94</v>
      </c>
      <c r="C676" s="19">
        <v>125</v>
      </c>
      <c r="D676" s="19">
        <v>49</v>
      </c>
      <c r="E676" s="19">
        <v>0</v>
      </c>
      <c r="F676" s="18">
        <v>0</v>
      </c>
      <c r="G676" s="19">
        <v>11</v>
      </c>
      <c r="H676" s="19">
        <v>0</v>
      </c>
      <c r="I676" s="19">
        <v>8</v>
      </c>
      <c r="J676" s="66">
        <f t="shared" si="60"/>
        <v>0.392</v>
      </c>
      <c r="K676" s="67">
        <f t="shared" si="61"/>
        <v>2.36612244897959</v>
      </c>
      <c r="L676" s="67">
        <f t="shared" si="62"/>
        <v>927.52</v>
      </c>
      <c r="M676" s="73">
        <f t="shared" si="58"/>
        <v>0</v>
      </c>
      <c r="N676" s="66">
        <f t="shared" si="59"/>
        <v>0</v>
      </c>
      <c r="O676" s="52">
        <f t="shared" si="63"/>
        <v>0</v>
      </c>
      <c r="P676" s="52">
        <f t="shared" si="64"/>
        <v>0</v>
      </c>
      <c r="Q676" s="68">
        <f t="shared" si="65"/>
        <v>10.54</v>
      </c>
    </row>
    <row r="677" s="2" customFormat="1" spans="1:17">
      <c r="A677" s="61">
        <v>45324</v>
      </c>
      <c r="B677" s="18">
        <v>81.82</v>
      </c>
      <c r="C677" s="19">
        <v>111</v>
      </c>
      <c r="D677" s="19">
        <v>53</v>
      </c>
      <c r="E677" s="19">
        <v>1</v>
      </c>
      <c r="F677" s="18">
        <v>10442</v>
      </c>
      <c r="G677" s="19">
        <v>11</v>
      </c>
      <c r="H677" s="19">
        <v>2</v>
      </c>
      <c r="I677" s="19">
        <v>9</v>
      </c>
      <c r="J677" s="66">
        <f t="shared" si="60"/>
        <v>0.477477477477477</v>
      </c>
      <c r="K677" s="67">
        <f t="shared" si="61"/>
        <v>1.54377358490566</v>
      </c>
      <c r="L677" s="67">
        <f t="shared" si="62"/>
        <v>737.117117117117</v>
      </c>
      <c r="M677" s="73">
        <f t="shared" ref="M677:M740" si="66">F677/B677</f>
        <v>127.621608408702</v>
      </c>
      <c r="N677" s="66">
        <f t="shared" ref="N677:N740" si="67">E677/D677</f>
        <v>0.0188679245283019</v>
      </c>
      <c r="O677" s="52">
        <f t="shared" si="63"/>
        <v>10442</v>
      </c>
      <c r="P677" s="52">
        <f t="shared" si="64"/>
        <v>81.82</v>
      </c>
      <c r="Q677" s="68">
        <f t="shared" si="65"/>
        <v>7.43818181818182</v>
      </c>
    </row>
    <row r="678" s="2" customFormat="1" spans="1:17">
      <c r="A678" s="61">
        <v>45325</v>
      </c>
      <c r="B678" s="18">
        <v>129.15</v>
      </c>
      <c r="C678" s="19">
        <v>140</v>
      </c>
      <c r="D678" s="19">
        <v>58</v>
      </c>
      <c r="E678" s="19">
        <v>0</v>
      </c>
      <c r="F678" s="18">
        <v>0</v>
      </c>
      <c r="G678" s="19">
        <v>12</v>
      </c>
      <c r="H678" s="19">
        <v>0</v>
      </c>
      <c r="I678" s="19">
        <v>4</v>
      </c>
      <c r="J678" s="66">
        <f t="shared" si="60"/>
        <v>0.414285714285714</v>
      </c>
      <c r="K678" s="67">
        <f t="shared" si="61"/>
        <v>2.22672413793103</v>
      </c>
      <c r="L678" s="67">
        <f t="shared" si="62"/>
        <v>922.5</v>
      </c>
      <c r="M678" s="73">
        <f t="shared" si="66"/>
        <v>0</v>
      </c>
      <c r="N678" s="66">
        <f t="shared" si="67"/>
        <v>0</v>
      </c>
      <c r="O678" s="52">
        <f t="shared" si="63"/>
        <v>0</v>
      </c>
      <c r="P678" s="52">
        <f t="shared" si="64"/>
        <v>0</v>
      </c>
      <c r="Q678" s="68">
        <f t="shared" si="65"/>
        <v>10.7625</v>
      </c>
    </row>
    <row r="679" s="2" customFormat="1" spans="1:17">
      <c r="A679" s="61">
        <v>45326</v>
      </c>
      <c r="B679" s="18">
        <v>117.11</v>
      </c>
      <c r="C679" s="19">
        <v>171</v>
      </c>
      <c r="D679" s="19">
        <v>66</v>
      </c>
      <c r="E679" s="19">
        <v>0</v>
      </c>
      <c r="F679" s="18">
        <v>0</v>
      </c>
      <c r="G679" s="19">
        <v>28</v>
      </c>
      <c r="H679" s="19">
        <v>0</v>
      </c>
      <c r="I679" s="19">
        <v>8</v>
      </c>
      <c r="J679" s="66">
        <f t="shared" si="60"/>
        <v>0.385964912280702</v>
      </c>
      <c r="K679" s="67">
        <f t="shared" si="61"/>
        <v>1.77439393939394</v>
      </c>
      <c r="L679" s="67">
        <f t="shared" si="62"/>
        <v>684.853801169591</v>
      </c>
      <c r="M679" s="73">
        <f t="shared" si="66"/>
        <v>0</v>
      </c>
      <c r="N679" s="66">
        <f t="shared" si="67"/>
        <v>0</v>
      </c>
      <c r="O679" s="52">
        <f t="shared" si="63"/>
        <v>0</v>
      </c>
      <c r="P679" s="52">
        <f t="shared" si="64"/>
        <v>0</v>
      </c>
      <c r="Q679" s="68">
        <f t="shared" si="65"/>
        <v>4.1825</v>
      </c>
    </row>
    <row r="680" s="2" customFormat="1" spans="1:17">
      <c r="A680" s="61">
        <v>45327</v>
      </c>
      <c r="B680" s="18">
        <v>97.98</v>
      </c>
      <c r="C680" s="19">
        <v>116</v>
      </c>
      <c r="D680" s="19">
        <v>59</v>
      </c>
      <c r="E680" s="19">
        <v>1</v>
      </c>
      <c r="F680" s="18">
        <v>7854</v>
      </c>
      <c r="G680" s="19">
        <v>5</v>
      </c>
      <c r="H680" s="19">
        <v>1</v>
      </c>
      <c r="I680" s="19">
        <v>5</v>
      </c>
      <c r="J680" s="66">
        <f t="shared" si="60"/>
        <v>0.508620689655172</v>
      </c>
      <c r="K680" s="67">
        <f t="shared" si="61"/>
        <v>1.6606779661017</v>
      </c>
      <c r="L680" s="67">
        <f t="shared" si="62"/>
        <v>844.655172413793</v>
      </c>
      <c r="M680" s="73">
        <f t="shared" si="66"/>
        <v>80.1592161665646</v>
      </c>
      <c r="N680" s="66">
        <f t="shared" si="67"/>
        <v>0.0169491525423729</v>
      </c>
      <c r="O680" s="52">
        <f t="shared" si="63"/>
        <v>7854</v>
      </c>
      <c r="P680" s="52">
        <f t="shared" si="64"/>
        <v>97.98</v>
      </c>
      <c r="Q680" s="68">
        <f t="shared" si="65"/>
        <v>19.596</v>
      </c>
    </row>
    <row r="681" s="2" customFormat="1" spans="1:17">
      <c r="A681" s="61">
        <v>45328</v>
      </c>
      <c r="B681" s="18">
        <v>111.08</v>
      </c>
      <c r="C681" s="19">
        <v>150</v>
      </c>
      <c r="D681" s="19">
        <v>70</v>
      </c>
      <c r="E681" s="19">
        <v>5</v>
      </c>
      <c r="F681" s="18">
        <v>43352</v>
      </c>
      <c r="G681" s="19">
        <v>13</v>
      </c>
      <c r="H681" s="19">
        <v>1</v>
      </c>
      <c r="I681" s="19">
        <v>4</v>
      </c>
      <c r="J681" s="66">
        <f t="shared" si="60"/>
        <v>0.466666666666667</v>
      </c>
      <c r="K681" s="67">
        <f t="shared" si="61"/>
        <v>1.58685714285714</v>
      </c>
      <c r="L681" s="67">
        <f t="shared" si="62"/>
        <v>740.533333333333</v>
      </c>
      <c r="M681" s="73">
        <f t="shared" si="66"/>
        <v>390.277277637739</v>
      </c>
      <c r="N681" s="66">
        <f t="shared" si="67"/>
        <v>0.0714285714285714</v>
      </c>
      <c r="O681" s="52">
        <f t="shared" si="63"/>
        <v>8670.4</v>
      </c>
      <c r="P681" s="52">
        <f t="shared" si="64"/>
        <v>22.216</v>
      </c>
      <c r="Q681" s="68">
        <f t="shared" si="65"/>
        <v>8.54461538461539</v>
      </c>
    </row>
    <row r="682" s="2" customFormat="1" spans="1:17">
      <c r="A682" s="61">
        <v>45329</v>
      </c>
      <c r="B682" s="18">
        <v>95.72</v>
      </c>
      <c r="C682" s="19">
        <v>141</v>
      </c>
      <c r="D682" s="19">
        <v>40</v>
      </c>
      <c r="E682" s="19">
        <v>0</v>
      </c>
      <c r="F682" s="18">
        <v>0</v>
      </c>
      <c r="G682" s="19">
        <v>6</v>
      </c>
      <c r="H682" s="19">
        <v>1</v>
      </c>
      <c r="I682" s="19">
        <v>6</v>
      </c>
      <c r="J682" s="66">
        <f t="shared" si="60"/>
        <v>0.283687943262411</v>
      </c>
      <c r="K682" s="67">
        <f t="shared" si="61"/>
        <v>2.393</v>
      </c>
      <c r="L682" s="67">
        <f t="shared" si="62"/>
        <v>678.86524822695</v>
      </c>
      <c r="M682" s="73">
        <f t="shared" si="66"/>
        <v>0</v>
      </c>
      <c r="N682" s="66">
        <f t="shared" si="67"/>
        <v>0</v>
      </c>
      <c r="O682" s="52">
        <f t="shared" si="63"/>
        <v>0</v>
      </c>
      <c r="P682" s="52">
        <f t="shared" si="64"/>
        <v>0</v>
      </c>
      <c r="Q682" s="68">
        <f t="shared" si="65"/>
        <v>15.9533333333333</v>
      </c>
    </row>
    <row r="683" s="2" customFormat="1" spans="1:17">
      <c r="A683" s="61">
        <v>45330</v>
      </c>
      <c r="B683" s="18">
        <v>102.55</v>
      </c>
      <c r="C683" s="19">
        <v>130</v>
      </c>
      <c r="D683" s="19">
        <v>66</v>
      </c>
      <c r="E683" s="19">
        <v>3</v>
      </c>
      <c r="F683" s="18">
        <v>28115</v>
      </c>
      <c r="G683" s="19">
        <v>23</v>
      </c>
      <c r="H683" s="19">
        <v>1</v>
      </c>
      <c r="I683" s="19">
        <v>23</v>
      </c>
      <c r="J683" s="66">
        <f t="shared" si="60"/>
        <v>0.507692307692308</v>
      </c>
      <c r="K683" s="67">
        <f t="shared" si="61"/>
        <v>1.55378787878788</v>
      </c>
      <c r="L683" s="67">
        <f t="shared" si="62"/>
        <v>788.846153846154</v>
      </c>
      <c r="M683" s="73">
        <f t="shared" si="66"/>
        <v>274.158946855193</v>
      </c>
      <c r="N683" s="66">
        <f t="shared" si="67"/>
        <v>0.0454545454545455</v>
      </c>
      <c r="O683" s="52">
        <f t="shared" si="63"/>
        <v>9371.66666666667</v>
      </c>
      <c r="P683" s="52">
        <f t="shared" si="64"/>
        <v>34.1833333333333</v>
      </c>
      <c r="Q683" s="68">
        <f t="shared" si="65"/>
        <v>4.45869565217391</v>
      </c>
    </row>
    <row r="684" s="2" customFormat="1" spans="1:17">
      <c r="A684" s="61">
        <v>45331</v>
      </c>
      <c r="B684" s="18">
        <v>63.91</v>
      </c>
      <c r="C684" s="19">
        <v>87</v>
      </c>
      <c r="D684" s="19">
        <v>40</v>
      </c>
      <c r="E684" s="19">
        <v>0</v>
      </c>
      <c r="F684" s="18">
        <v>0</v>
      </c>
      <c r="G684" s="19">
        <v>11</v>
      </c>
      <c r="H684" s="19">
        <v>0</v>
      </c>
      <c r="I684" s="19">
        <v>6</v>
      </c>
      <c r="J684" s="66">
        <f t="shared" si="60"/>
        <v>0.459770114942529</v>
      </c>
      <c r="K684" s="67">
        <f t="shared" si="61"/>
        <v>1.59775</v>
      </c>
      <c r="L684" s="67">
        <f t="shared" si="62"/>
        <v>734.597701149425</v>
      </c>
      <c r="M684" s="73">
        <f t="shared" si="66"/>
        <v>0</v>
      </c>
      <c r="N684" s="66">
        <f t="shared" si="67"/>
        <v>0</v>
      </c>
      <c r="O684" s="52">
        <f t="shared" si="63"/>
        <v>0</v>
      </c>
      <c r="P684" s="52">
        <f t="shared" si="64"/>
        <v>0</v>
      </c>
      <c r="Q684" s="68">
        <f t="shared" si="65"/>
        <v>5.81</v>
      </c>
    </row>
    <row r="685" s="2" customFormat="1" spans="1:17">
      <c r="A685" s="61">
        <v>45332</v>
      </c>
      <c r="B685" s="18">
        <v>86.42</v>
      </c>
      <c r="C685" s="19">
        <v>89</v>
      </c>
      <c r="D685" s="19">
        <v>41</v>
      </c>
      <c r="E685" s="19">
        <v>0</v>
      </c>
      <c r="F685" s="18">
        <v>0</v>
      </c>
      <c r="G685" s="19">
        <v>12</v>
      </c>
      <c r="H685" s="19">
        <v>1</v>
      </c>
      <c r="I685" s="19">
        <v>1</v>
      </c>
      <c r="J685" s="66">
        <f t="shared" si="60"/>
        <v>0.460674157303371</v>
      </c>
      <c r="K685" s="67">
        <f t="shared" si="61"/>
        <v>2.10780487804878</v>
      </c>
      <c r="L685" s="67">
        <f t="shared" si="62"/>
        <v>971.011235955056</v>
      </c>
      <c r="M685" s="73">
        <f t="shared" si="66"/>
        <v>0</v>
      </c>
      <c r="N685" s="66">
        <f t="shared" si="67"/>
        <v>0</v>
      </c>
      <c r="O685" s="52">
        <f t="shared" si="63"/>
        <v>0</v>
      </c>
      <c r="P685" s="52">
        <f t="shared" si="64"/>
        <v>0</v>
      </c>
      <c r="Q685" s="68">
        <f t="shared" si="65"/>
        <v>7.20166666666667</v>
      </c>
    </row>
    <row r="686" s="2" customFormat="1" spans="1:17">
      <c r="A686" s="61">
        <v>45333</v>
      </c>
      <c r="B686" s="18">
        <v>95.03</v>
      </c>
      <c r="C686" s="19">
        <v>119</v>
      </c>
      <c r="D686" s="19">
        <v>47</v>
      </c>
      <c r="E686" s="19">
        <v>0</v>
      </c>
      <c r="F686" s="18">
        <v>0</v>
      </c>
      <c r="G686" s="19">
        <v>9</v>
      </c>
      <c r="H686" s="19">
        <v>2</v>
      </c>
      <c r="I686" s="19">
        <v>3</v>
      </c>
      <c r="J686" s="66">
        <f t="shared" si="60"/>
        <v>0.394957983193277</v>
      </c>
      <c r="K686" s="67">
        <f t="shared" si="61"/>
        <v>2.02191489361702</v>
      </c>
      <c r="L686" s="67">
        <f t="shared" si="62"/>
        <v>798.571428571429</v>
      </c>
      <c r="M686" s="73">
        <f t="shared" si="66"/>
        <v>0</v>
      </c>
      <c r="N686" s="66">
        <f t="shared" si="67"/>
        <v>0</v>
      </c>
      <c r="O686" s="52">
        <f t="shared" si="63"/>
        <v>0</v>
      </c>
      <c r="P686" s="52">
        <f t="shared" si="64"/>
        <v>0</v>
      </c>
      <c r="Q686" s="68">
        <f t="shared" si="65"/>
        <v>10.5588888888889</v>
      </c>
    </row>
    <row r="687" s="2" customFormat="1" spans="1:17">
      <c r="A687" s="61">
        <v>45334</v>
      </c>
      <c r="B687" s="18">
        <v>128.92</v>
      </c>
      <c r="C687" s="19">
        <v>299</v>
      </c>
      <c r="D687" s="19">
        <v>89</v>
      </c>
      <c r="E687" s="19">
        <v>0</v>
      </c>
      <c r="F687" s="18">
        <v>0</v>
      </c>
      <c r="G687" s="19">
        <v>9</v>
      </c>
      <c r="H687" s="19">
        <v>2</v>
      </c>
      <c r="I687" s="19">
        <v>5</v>
      </c>
      <c r="J687" s="66">
        <f t="shared" si="60"/>
        <v>0.297658862876254</v>
      </c>
      <c r="K687" s="67">
        <f t="shared" si="61"/>
        <v>1.4485393258427</v>
      </c>
      <c r="L687" s="67">
        <f t="shared" si="62"/>
        <v>431.170568561873</v>
      </c>
      <c r="M687" s="73">
        <f t="shared" si="66"/>
        <v>0</v>
      </c>
      <c r="N687" s="66">
        <f t="shared" si="67"/>
        <v>0</v>
      </c>
      <c r="O687" s="52">
        <f t="shared" si="63"/>
        <v>0</v>
      </c>
      <c r="P687" s="52">
        <f t="shared" si="64"/>
        <v>0</v>
      </c>
      <c r="Q687" s="68">
        <f t="shared" si="65"/>
        <v>14.3244444444444</v>
      </c>
    </row>
    <row r="688" s="2" customFormat="1" spans="1:17">
      <c r="A688" s="61">
        <v>45335</v>
      </c>
      <c r="B688" s="18">
        <v>136.07</v>
      </c>
      <c r="C688" s="19">
        <v>323</v>
      </c>
      <c r="D688" s="19">
        <v>78</v>
      </c>
      <c r="E688" s="19">
        <v>0</v>
      </c>
      <c r="F688" s="18">
        <v>0</v>
      </c>
      <c r="G688" s="19">
        <v>22</v>
      </c>
      <c r="H688" s="19">
        <v>2</v>
      </c>
      <c r="I688" s="19">
        <v>8</v>
      </c>
      <c r="J688" s="66">
        <f t="shared" si="60"/>
        <v>0.241486068111455</v>
      </c>
      <c r="K688" s="67">
        <f t="shared" si="61"/>
        <v>1.74448717948718</v>
      </c>
      <c r="L688" s="67">
        <f t="shared" si="62"/>
        <v>421.269349845201</v>
      </c>
      <c r="M688" s="73">
        <f t="shared" si="66"/>
        <v>0</v>
      </c>
      <c r="N688" s="66">
        <f t="shared" si="67"/>
        <v>0</v>
      </c>
      <c r="O688" s="52">
        <f t="shared" si="63"/>
        <v>0</v>
      </c>
      <c r="P688" s="52">
        <f t="shared" si="64"/>
        <v>0</v>
      </c>
      <c r="Q688" s="68">
        <f t="shared" si="65"/>
        <v>6.185</v>
      </c>
    </row>
    <row r="689" s="2" customFormat="1" spans="1:17">
      <c r="A689" s="61">
        <v>45336</v>
      </c>
      <c r="B689" s="18">
        <v>175.93</v>
      </c>
      <c r="C689" s="19">
        <v>362</v>
      </c>
      <c r="D689" s="19">
        <v>102</v>
      </c>
      <c r="E689" s="19">
        <v>0</v>
      </c>
      <c r="F689" s="18">
        <v>0</v>
      </c>
      <c r="G689" s="19">
        <v>12</v>
      </c>
      <c r="H689" s="19">
        <v>1</v>
      </c>
      <c r="I689" s="19">
        <v>11</v>
      </c>
      <c r="J689" s="66">
        <f t="shared" si="60"/>
        <v>0.281767955801105</v>
      </c>
      <c r="K689" s="67">
        <f t="shared" si="61"/>
        <v>1.72480392156863</v>
      </c>
      <c r="L689" s="67">
        <f t="shared" si="62"/>
        <v>485.994475138122</v>
      </c>
      <c r="M689" s="73">
        <f t="shared" si="66"/>
        <v>0</v>
      </c>
      <c r="N689" s="66">
        <f t="shared" si="67"/>
        <v>0</v>
      </c>
      <c r="O689" s="52">
        <f t="shared" si="63"/>
        <v>0</v>
      </c>
      <c r="P689" s="52">
        <f t="shared" si="64"/>
        <v>0</v>
      </c>
      <c r="Q689" s="68">
        <f t="shared" si="65"/>
        <v>14.6608333333333</v>
      </c>
    </row>
    <row r="690" s="2" customFormat="1" spans="1:17">
      <c r="A690" s="61">
        <v>45337</v>
      </c>
      <c r="B690" s="18">
        <v>181.77</v>
      </c>
      <c r="C690" s="19">
        <v>286</v>
      </c>
      <c r="D690" s="19">
        <v>118</v>
      </c>
      <c r="E690" s="19">
        <v>0</v>
      </c>
      <c r="F690" s="18">
        <v>0</v>
      </c>
      <c r="G690" s="19">
        <v>26</v>
      </c>
      <c r="H690" s="19">
        <v>3</v>
      </c>
      <c r="I690" s="19">
        <v>12</v>
      </c>
      <c r="J690" s="66">
        <f t="shared" si="60"/>
        <v>0.412587412587413</v>
      </c>
      <c r="K690" s="67">
        <f t="shared" si="61"/>
        <v>1.54042372881356</v>
      </c>
      <c r="L690" s="67">
        <f t="shared" si="62"/>
        <v>635.559440559441</v>
      </c>
      <c r="M690" s="73">
        <f t="shared" si="66"/>
        <v>0</v>
      </c>
      <c r="N690" s="66">
        <f t="shared" si="67"/>
        <v>0</v>
      </c>
      <c r="O690" s="52">
        <f t="shared" si="63"/>
        <v>0</v>
      </c>
      <c r="P690" s="52">
        <f t="shared" si="64"/>
        <v>0</v>
      </c>
      <c r="Q690" s="68">
        <f t="shared" si="65"/>
        <v>6.99115384615385</v>
      </c>
    </row>
    <row r="691" s="2" customFormat="1" spans="1:17">
      <c r="A691" s="61">
        <v>45338</v>
      </c>
      <c r="B691" s="18">
        <v>160.34</v>
      </c>
      <c r="C691" s="19">
        <v>258</v>
      </c>
      <c r="D691" s="19">
        <v>86</v>
      </c>
      <c r="E691" s="19">
        <v>1</v>
      </c>
      <c r="F691" s="18">
        <v>12754</v>
      </c>
      <c r="G691" s="19">
        <v>21</v>
      </c>
      <c r="H691" s="19">
        <v>3</v>
      </c>
      <c r="I691" s="19">
        <v>9</v>
      </c>
      <c r="J691" s="66">
        <f t="shared" si="60"/>
        <v>0.333333333333333</v>
      </c>
      <c r="K691" s="67">
        <f t="shared" si="61"/>
        <v>1.86441860465116</v>
      </c>
      <c r="L691" s="67">
        <f t="shared" si="62"/>
        <v>621.472868217054</v>
      </c>
      <c r="M691" s="73">
        <f t="shared" si="66"/>
        <v>79.5434701259823</v>
      </c>
      <c r="N691" s="66">
        <f t="shared" si="67"/>
        <v>0.0116279069767442</v>
      </c>
      <c r="O691" s="52">
        <f t="shared" si="63"/>
        <v>12754</v>
      </c>
      <c r="P691" s="52">
        <f t="shared" si="64"/>
        <v>160.34</v>
      </c>
      <c r="Q691" s="68">
        <f t="shared" si="65"/>
        <v>7.6352380952381</v>
      </c>
    </row>
    <row r="692" s="2" customFormat="1" spans="1:17">
      <c r="A692" s="61">
        <v>45339</v>
      </c>
      <c r="B692" s="18">
        <v>210.85</v>
      </c>
      <c r="C692" s="19">
        <v>276</v>
      </c>
      <c r="D692" s="19">
        <v>131</v>
      </c>
      <c r="E692" s="19">
        <v>2</v>
      </c>
      <c r="F692" s="18">
        <v>39122</v>
      </c>
      <c r="G692" s="19">
        <v>60</v>
      </c>
      <c r="H692" s="19">
        <v>1</v>
      </c>
      <c r="I692" s="19">
        <v>9</v>
      </c>
      <c r="J692" s="66">
        <f t="shared" si="60"/>
        <v>0.47463768115942</v>
      </c>
      <c r="K692" s="67">
        <f t="shared" si="61"/>
        <v>1.60954198473282</v>
      </c>
      <c r="L692" s="67">
        <f t="shared" si="62"/>
        <v>763.949275362319</v>
      </c>
      <c r="M692" s="73">
        <f t="shared" si="66"/>
        <v>185.544225752905</v>
      </c>
      <c r="N692" s="66">
        <f t="shared" si="67"/>
        <v>0.0152671755725191</v>
      </c>
      <c r="O692" s="52">
        <f t="shared" si="63"/>
        <v>19561</v>
      </c>
      <c r="P692" s="52">
        <f t="shared" si="64"/>
        <v>105.425</v>
      </c>
      <c r="Q692" s="68">
        <f t="shared" si="65"/>
        <v>3.51416666666667</v>
      </c>
    </row>
    <row r="693" s="2" customFormat="1" spans="1:17">
      <c r="A693" s="61">
        <v>45340</v>
      </c>
      <c r="B693" s="18">
        <v>279.39</v>
      </c>
      <c r="C693" s="19">
        <v>391</v>
      </c>
      <c r="D693" s="19">
        <v>179</v>
      </c>
      <c r="E693" s="19">
        <v>0</v>
      </c>
      <c r="F693" s="18">
        <v>0</v>
      </c>
      <c r="G693" s="19">
        <v>24</v>
      </c>
      <c r="H693" s="19">
        <v>2</v>
      </c>
      <c r="I693" s="19">
        <v>12</v>
      </c>
      <c r="J693" s="66">
        <f t="shared" si="60"/>
        <v>0.457800511508951</v>
      </c>
      <c r="K693" s="67">
        <f t="shared" si="61"/>
        <v>1.56083798882682</v>
      </c>
      <c r="L693" s="67">
        <f t="shared" si="62"/>
        <v>714.552429667519</v>
      </c>
      <c r="M693" s="73">
        <f t="shared" si="66"/>
        <v>0</v>
      </c>
      <c r="N693" s="66">
        <f t="shared" si="67"/>
        <v>0</v>
      </c>
      <c r="O693" s="52">
        <f t="shared" si="63"/>
        <v>0</v>
      </c>
      <c r="P693" s="52">
        <f t="shared" si="64"/>
        <v>0</v>
      </c>
      <c r="Q693" s="68">
        <f t="shared" si="65"/>
        <v>11.64125</v>
      </c>
    </row>
    <row r="694" s="2" customFormat="1" spans="1:17">
      <c r="A694" s="61">
        <v>45341</v>
      </c>
      <c r="B694" s="18">
        <v>359.35</v>
      </c>
      <c r="C694" s="19">
        <v>461</v>
      </c>
      <c r="D694" s="19">
        <v>202</v>
      </c>
      <c r="E694" s="19">
        <v>2</v>
      </c>
      <c r="F694" s="18">
        <v>13520</v>
      </c>
      <c r="G694" s="19">
        <v>62</v>
      </c>
      <c r="H694" s="19">
        <v>3</v>
      </c>
      <c r="I694" s="19">
        <v>15</v>
      </c>
      <c r="J694" s="66">
        <f t="shared" si="60"/>
        <v>0.438177874186551</v>
      </c>
      <c r="K694" s="67">
        <f t="shared" si="61"/>
        <v>1.7789603960396</v>
      </c>
      <c r="L694" s="67">
        <f t="shared" si="62"/>
        <v>779.501084598699</v>
      </c>
      <c r="M694" s="73">
        <f t="shared" si="66"/>
        <v>37.6234868512592</v>
      </c>
      <c r="N694" s="66">
        <f t="shared" si="67"/>
        <v>0.0099009900990099</v>
      </c>
      <c r="O694" s="52">
        <f t="shared" si="63"/>
        <v>6760</v>
      </c>
      <c r="P694" s="52">
        <f t="shared" si="64"/>
        <v>179.675</v>
      </c>
      <c r="Q694" s="68">
        <f t="shared" si="65"/>
        <v>5.79596774193548</v>
      </c>
    </row>
    <row r="695" s="2" customFormat="1" spans="1:17">
      <c r="A695" s="61">
        <v>45342</v>
      </c>
      <c r="B695" s="18">
        <v>278.25</v>
      </c>
      <c r="C695" s="19">
        <v>361</v>
      </c>
      <c r="D695" s="19">
        <v>173</v>
      </c>
      <c r="E695" s="19">
        <v>0</v>
      </c>
      <c r="F695" s="18">
        <v>0</v>
      </c>
      <c r="G695" s="19">
        <v>54</v>
      </c>
      <c r="H695" s="19">
        <v>6</v>
      </c>
      <c r="I695" s="19">
        <v>8</v>
      </c>
      <c r="J695" s="66">
        <f t="shared" si="60"/>
        <v>0.479224376731302</v>
      </c>
      <c r="K695" s="67">
        <f t="shared" si="61"/>
        <v>1.60838150289017</v>
      </c>
      <c r="L695" s="67">
        <f t="shared" si="62"/>
        <v>770.775623268698</v>
      </c>
      <c r="M695" s="73">
        <f t="shared" si="66"/>
        <v>0</v>
      </c>
      <c r="N695" s="66">
        <f t="shared" si="67"/>
        <v>0</v>
      </c>
      <c r="O695" s="52">
        <f t="shared" si="63"/>
        <v>0</v>
      </c>
      <c r="P695" s="52">
        <f t="shared" si="64"/>
        <v>0</v>
      </c>
      <c r="Q695" s="68">
        <f t="shared" si="65"/>
        <v>5.15277777777778</v>
      </c>
    </row>
    <row r="696" s="2" customFormat="1" spans="1:17">
      <c r="A696" s="61">
        <v>45343</v>
      </c>
      <c r="B696" s="18">
        <v>311.83</v>
      </c>
      <c r="C696" s="19">
        <v>446</v>
      </c>
      <c r="D696" s="19">
        <v>196</v>
      </c>
      <c r="E696" s="19">
        <v>0</v>
      </c>
      <c r="F696" s="18">
        <v>0</v>
      </c>
      <c r="G696" s="19">
        <v>57</v>
      </c>
      <c r="H696" s="19">
        <v>3</v>
      </c>
      <c r="I696" s="19">
        <v>12</v>
      </c>
      <c r="J696" s="66">
        <f t="shared" si="60"/>
        <v>0.439461883408072</v>
      </c>
      <c r="K696" s="67">
        <f t="shared" si="61"/>
        <v>1.5909693877551</v>
      </c>
      <c r="L696" s="67">
        <f t="shared" si="62"/>
        <v>699.170403587444</v>
      </c>
      <c r="M696" s="73">
        <f t="shared" si="66"/>
        <v>0</v>
      </c>
      <c r="N696" s="66">
        <f t="shared" si="67"/>
        <v>0</v>
      </c>
      <c r="O696" s="52">
        <f t="shared" si="63"/>
        <v>0</v>
      </c>
      <c r="P696" s="52">
        <f t="shared" si="64"/>
        <v>0</v>
      </c>
      <c r="Q696" s="68">
        <f t="shared" si="65"/>
        <v>5.47070175438596</v>
      </c>
    </row>
    <row r="697" s="2" customFormat="1" spans="1:17">
      <c r="A697" s="61">
        <v>45344</v>
      </c>
      <c r="B697" s="18">
        <v>280.62</v>
      </c>
      <c r="C697" s="19">
        <v>447</v>
      </c>
      <c r="D697" s="19">
        <v>176</v>
      </c>
      <c r="E697" s="19">
        <v>0</v>
      </c>
      <c r="F697" s="18">
        <v>0</v>
      </c>
      <c r="G697" s="19">
        <v>41</v>
      </c>
      <c r="H697" s="19">
        <v>5</v>
      </c>
      <c r="I697" s="19">
        <v>11</v>
      </c>
      <c r="J697" s="66">
        <f t="shared" si="60"/>
        <v>0.393736017897092</v>
      </c>
      <c r="K697" s="67">
        <f t="shared" si="61"/>
        <v>1.59443181818182</v>
      </c>
      <c r="L697" s="67">
        <f t="shared" si="62"/>
        <v>627.785234899329</v>
      </c>
      <c r="M697" s="73">
        <f t="shared" si="66"/>
        <v>0</v>
      </c>
      <c r="N697" s="66">
        <f t="shared" si="67"/>
        <v>0</v>
      </c>
      <c r="O697" s="52">
        <f t="shared" si="63"/>
        <v>0</v>
      </c>
      <c r="P697" s="52">
        <f t="shared" si="64"/>
        <v>0</v>
      </c>
      <c r="Q697" s="68">
        <f t="shared" si="65"/>
        <v>6.84439024390244</v>
      </c>
    </row>
    <row r="698" s="2" customFormat="1" spans="1:17">
      <c r="A698" s="61">
        <v>45345</v>
      </c>
      <c r="B698" s="18">
        <v>280.37</v>
      </c>
      <c r="C698" s="19">
        <v>426</v>
      </c>
      <c r="D698" s="19">
        <v>162</v>
      </c>
      <c r="E698" s="19">
        <v>0</v>
      </c>
      <c r="F698" s="18">
        <v>0</v>
      </c>
      <c r="G698" s="19">
        <v>71</v>
      </c>
      <c r="H698" s="19">
        <v>4</v>
      </c>
      <c r="I698" s="19">
        <v>16</v>
      </c>
      <c r="J698" s="66">
        <f t="shared" si="60"/>
        <v>0.380281690140845</v>
      </c>
      <c r="K698" s="67">
        <f t="shared" si="61"/>
        <v>1.73067901234568</v>
      </c>
      <c r="L698" s="67">
        <f t="shared" si="62"/>
        <v>658.145539906103</v>
      </c>
      <c r="M698" s="73">
        <f t="shared" si="66"/>
        <v>0</v>
      </c>
      <c r="N698" s="66">
        <f t="shared" si="67"/>
        <v>0</v>
      </c>
      <c r="O698" s="52">
        <f t="shared" si="63"/>
        <v>0</v>
      </c>
      <c r="P698" s="52">
        <f t="shared" si="64"/>
        <v>0</v>
      </c>
      <c r="Q698" s="68">
        <f t="shared" si="65"/>
        <v>3.94887323943662</v>
      </c>
    </row>
    <row r="699" s="2" customFormat="1" spans="1:17">
      <c r="A699" s="61">
        <v>45346</v>
      </c>
      <c r="B699" s="18">
        <v>237.47</v>
      </c>
      <c r="C699" s="19">
        <v>344</v>
      </c>
      <c r="D699" s="19">
        <v>157</v>
      </c>
      <c r="E699" s="19">
        <v>1</v>
      </c>
      <c r="F699" s="18">
        <v>39694</v>
      </c>
      <c r="G699" s="19">
        <v>34</v>
      </c>
      <c r="H699" s="19">
        <v>2</v>
      </c>
      <c r="I699" s="19">
        <v>11</v>
      </c>
      <c r="J699" s="66">
        <f t="shared" si="60"/>
        <v>0.456395348837209</v>
      </c>
      <c r="K699" s="67">
        <f t="shared" si="61"/>
        <v>1.51254777070064</v>
      </c>
      <c r="L699" s="67">
        <f t="shared" si="62"/>
        <v>690.31976744186</v>
      </c>
      <c r="M699" s="73">
        <f t="shared" si="66"/>
        <v>167.153745736304</v>
      </c>
      <c r="N699" s="66">
        <f t="shared" si="67"/>
        <v>0.00636942675159236</v>
      </c>
      <c r="O699" s="52">
        <f t="shared" si="63"/>
        <v>39694</v>
      </c>
      <c r="P699" s="52">
        <f t="shared" si="64"/>
        <v>237.47</v>
      </c>
      <c r="Q699" s="68">
        <f t="shared" si="65"/>
        <v>6.98441176470588</v>
      </c>
    </row>
    <row r="700" s="2" customFormat="1" spans="1:17">
      <c r="A700" s="61">
        <v>45347</v>
      </c>
      <c r="B700" s="18">
        <v>259.28</v>
      </c>
      <c r="C700" s="19">
        <v>355</v>
      </c>
      <c r="D700" s="19">
        <v>160</v>
      </c>
      <c r="E700" s="19">
        <v>0</v>
      </c>
      <c r="F700" s="18">
        <v>0</v>
      </c>
      <c r="G700" s="19">
        <v>20</v>
      </c>
      <c r="H700" s="19">
        <v>1</v>
      </c>
      <c r="I700" s="19">
        <v>6</v>
      </c>
      <c r="J700" s="66">
        <f t="shared" si="60"/>
        <v>0.450704225352113</v>
      </c>
      <c r="K700" s="67">
        <f t="shared" si="61"/>
        <v>1.6205</v>
      </c>
      <c r="L700" s="67">
        <f t="shared" si="62"/>
        <v>730.366197183099</v>
      </c>
      <c r="M700" s="73">
        <f t="shared" si="66"/>
        <v>0</v>
      </c>
      <c r="N700" s="66">
        <f t="shared" si="67"/>
        <v>0</v>
      </c>
      <c r="O700" s="52">
        <f t="shared" si="63"/>
        <v>0</v>
      </c>
      <c r="P700" s="52">
        <f t="shared" si="64"/>
        <v>0</v>
      </c>
      <c r="Q700" s="68">
        <f t="shared" si="65"/>
        <v>12.964</v>
      </c>
    </row>
    <row r="701" s="2" customFormat="1" spans="1:17">
      <c r="A701" s="61">
        <v>45348</v>
      </c>
      <c r="B701" s="18">
        <v>214.58</v>
      </c>
      <c r="C701" s="19">
        <v>334</v>
      </c>
      <c r="D701" s="19">
        <v>145</v>
      </c>
      <c r="E701" s="19">
        <v>0</v>
      </c>
      <c r="F701" s="18">
        <v>0</v>
      </c>
      <c r="G701" s="19">
        <v>26</v>
      </c>
      <c r="H701" s="19">
        <v>1</v>
      </c>
      <c r="I701" s="19">
        <v>5</v>
      </c>
      <c r="J701" s="66">
        <f t="shared" si="60"/>
        <v>0.434131736526946</v>
      </c>
      <c r="K701" s="67">
        <f t="shared" si="61"/>
        <v>1.47986206896552</v>
      </c>
      <c r="L701" s="67">
        <f t="shared" si="62"/>
        <v>642.455089820359</v>
      </c>
      <c r="M701" s="73">
        <f t="shared" si="66"/>
        <v>0</v>
      </c>
      <c r="N701" s="66">
        <f t="shared" si="67"/>
        <v>0</v>
      </c>
      <c r="O701" s="52">
        <f t="shared" si="63"/>
        <v>0</v>
      </c>
      <c r="P701" s="52">
        <f t="shared" si="64"/>
        <v>0</v>
      </c>
      <c r="Q701" s="68">
        <f t="shared" si="65"/>
        <v>8.25307692307692</v>
      </c>
    </row>
    <row r="702" s="2" customFormat="1" spans="1:17">
      <c r="A702" s="61">
        <v>45349</v>
      </c>
      <c r="B702" s="18">
        <v>215.79</v>
      </c>
      <c r="C702" s="19">
        <v>303</v>
      </c>
      <c r="D702" s="19">
        <v>130</v>
      </c>
      <c r="E702" s="19">
        <v>0</v>
      </c>
      <c r="F702" s="18">
        <v>0</v>
      </c>
      <c r="G702" s="19">
        <v>35</v>
      </c>
      <c r="H702" s="19">
        <v>1</v>
      </c>
      <c r="I702" s="19">
        <v>5</v>
      </c>
      <c r="J702" s="66">
        <f t="shared" si="60"/>
        <v>0.429042904290429</v>
      </c>
      <c r="K702" s="67">
        <f t="shared" si="61"/>
        <v>1.65992307692308</v>
      </c>
      <c r="L702" s="67">
        <f t="shared" si="62"/>
        <v>712.178217821782</v>
      </c>
      <c r="M702" s="73">
        <f t="shared" si="66"/>
        <v>0</v>
      </c>
      <c r="N702" s="66">
        <f t="shared" si="67"/>
        <v>0</v>
      </c>
      <c r="O702" s="52">
        <f t="shared" si="63"/>
        <v>0</v>
      </c>
      <c r="P702" s="52">
        <f t="shared" si="64"/>
        <v>0</v>
      </c>
      <c r="Q702" s="68">
        <f t="shared" si="65"/>
        <v>6.16542857142857</v>
      </c>
    </row>
    <row r="703" s="2" customFormat="1" spans="1:17">
      <c r="A703" s="61">
        <v>45350</v>
      </c>
      <c r="B703" s="18">
        <v>273.83</v>
      </c>
      <c r="C703" s="19">
        <v>345</v>
      </c>
      <c r="D703" s="19">
        <v>137</v>
      </c>
      <c r="E703" s="19">
        <v>3</v>
      </c>
      <c r="F703" s="18">
        <v>99370</v>
      </c>
      <c r="G703" s="19">
        <v>53</v>
      </c>
      <c r="H703" s="19">
        <v>2</v>
      </c>
      <c r="I703" s="19">
        <v>9</v>
      </c>
      <c r="J703" s="66">
        <f t="shared" si="60"/>
        <v>0.397101449275362</v>
      </c>
      <c r="K703" s="67">
        <f t="shared" si="61"/>
        <v>1.99875912408759</v>
      </c>
      <c r="L703" s="67">
        <f t="shared" si="62"/>
        <v>793.710144927536</v>
      </c>
      <c r="M703" s="73">
        <f t="shared" si="66"/>
        <v>362.889383924333</v>
      </c>
      <c r="N703" s="66">
        <f t="shared" si="67"/>
        <v>0.0218978102189781</v>
      </c>
      <c r="O703" s="52">
        <f t="shared" si="63"/>
        <v>33123.3333333333</v>
      </c>
      <c r="P703" s="52">
        <f t="shared" si="64"/>
        <v>91.2766666666667</v>
      </c>
      <c r="Q703" s="68">
        <f t="shared" si="65"/>
        <v>5.16660377358491</v>
      </c>
    </row>
    <row r="704" s="2" customFormat="1" spans="1:17">
      <c r="A704" s="61">
        <v>45351</v>
      </c>
      <c r="B704" s="18">
        <v>260.44</v>
      </c>
      <c r="C704" s="19">
        <v>384</v>
      </c>
      <c r="D704" s="19">
        <v>150</v>
      </c>
      <c r="E704" s="19">
        <v>3</v>
      </c>
      <c r="F704" s="18">
        <v>41833</v>
      </c>
      <c r="G704" s="19">
        <v>44</v>
      </c>
      <c r="H704" s="19">
        <v>5</v>
      </c>
      <c r="I704" s="19">
        <v>11</v>
      </c>
      <c r="J704" s="66">
        <f t="shared" ref="J704:J767" si="68">D704/C704</f>
        <v>0.390625</v>
      </c>
      <c r="K704" s="67">
        <f t="shared" ref="K704:K767" si="69">B704/D704</f>
        <v>1.73626666666667</v>
      </c>
      <c r="L704" s="67">
        <f t="shared" ref="L704:L767" si="70">B704/C704*1000</f>
        <v>678.229166666667</v>
      </c>
      <c r="M704" s="73">
        <f t="shared" si="66"/>
        <v>160.624328060206</v>
      </c>
      <c r="N704" s="66">
        <f t="shared" si="67"/>
        <v>0.02</v>
      </c>
      <c r="O704" s="52">
        <f t="shared" si="63"/>
        <v>13944.3333333333</v>
      </c>
      <c r="P704" s="52">
        <f t="shared" si="64"/>
        <v>86.8133333333333</v>
      </c>
      <c r="Q704" s="68">
        <f t="shared" si="65"/>
        <v>5.91909090909091</v>
      </c>
    </row>
    <row r="705" s="2" customFormat="1" spans="1:17">
      <c r="A705" s="61">
        <v>45352</v>
      </c>
      <c r="B705" s="18">
        <v>243.11</v>
      </c>
      <c r="C705" s="19">
        <v>356</v>
      </c>
      <c r="D705" s="19">
        <v>142</v>
      </c>
      <c r="E705" s="19">
        <v>0</v>
      </c>
      <c r="F705" s="18">
        <v>0</v>
      </c>
      <c r="G705" s="19">
        <v>16</v>
      </c>
      <c r="H705" s="19">
        <v>1</v>
      </c>
      <c r="I705" s="19">
        <v>3</v>
      </c>
      <c r="J705" s="66">
        <f t="shared" si="68"/>
        <v>0.398876404494382</v>
      </c>
      <c r="K705" s="67">
        <f t="shared" si="69"/>
        <v>1.71204225352113</v>
      </c>
      <c r="L705" s="67">
        <f t="shared" si="70"/>
        <v>682.893258426966</v>
      </c>
      <c r="M705" s="73">
        <f t="shared" si="66"/>
        <v>0</v>
      </c>
      <c r="N705" s="66">
        <f t="shared" si="67"/>
        <v>0</v>
      </c>
      <c r="O705" s="52">
        <f t="shared" si="63"/>
        <v>0</v>
      </c>
      <c r="P705" s="52">
        <f t="shared" si="64"/>
        <v>0</v>
      </c>
      <c r="Q705" s="68">
        <f t="shared" si="65"/>
        <v>15.194375</v>
      </c>
    </row>
    <row r="706" s="2" customFormat="1" spans="1:17">
      <c r="A706" s="61">
        <v>45353</v>
      </c>
      <c r="B706" s="18">
        <v>244.84</v>
      </c>
      <c r="C706" s="19">
        <v>332</v>
      </c>
      <c r="D706" s="19">
        <v>143</v>
      </c>
      <c r="E706" s="19">
        <v>1</v>
      </c>
      <c r="F706" s="18">
        <v>10274</v>
      </c>
      <c r="G706" s="19">
        <v>46</v>
      </c>
      <c r="H706" s="19">
        <v>0</v>
      </c>
      <c r="I706" s="19">
        <v>6</v>
      </c>
      <c r="J706" s="66">
        <f t="shared" si="68"/>
        <v>0.430722891566265</v>
      </c>
      <c r="K706" s="67">
        <f t="shared" si="69"/>
        <v>1.71216783216783</v>
      </c>
      <c r="L706" s="67">
        <f t="shared" si="70"/>
        <v>737.469879518072</v>
      </c>
      <c r="M706" s="73">
        <f t="shared" si="66"/>
        <v>41.9620976964548</v>
      </c>
      <c r="N706" s="66">
        <f t="shared" si="67"/>
        <v>0.00699300699300699</v>
      </c>
      <c r="O706" s="52">
        <f t="shared" ref="O706:O769" si="71">IF(E706=0,0,F706/E706)</f>
        <v>10274</v>
      </c>
      <c r="P706" s="52">
        <f t="shared" ref="P706:P769" si="72">IF(E706=0,0,B706/E706)</f>
        <v>244.84</v>
      </c>
      <c r="Q706" s="68">
        <f t="shared" si="65"/>
        <v>5.32260869565217</v>
      </c>
    </row>
    <row r="707" s="2" customFormat="1" spans="1:17">
      <c r="A707" s="61">
        <v>45354</v>
      </c>
      <c r="B707" s="25">
        <v>215.83</v>
      </c>
      <c r="C707" s="28">
        <v>296</v>
      </c>
      <c r="D707" s="28">
        <v>148</v>
      </c>
      <c r="E707" s="19">
        <v>0</v>
      </c>
      <c r="F707" s="18">
        <v>0</v>
      </c>
      <c r="G707" s="19">
        <v>25</v>
      </c>
      <c r="H707" s="19">
        <v>5</v>
      </c>
      <c r="I707" s="19">
        <v>7</v>
      </c>
      <c r="J707" s="66">
        <f t="shared" si="68"/>
        <v>0.5</v>
      </c>
      <c r="K707" s="67">
        <f t="shared" si="69"/>
        <v>1.45831081081081</v>
      </c>
      <c r="L707" s="67">
        <f t="shared" si="70"/>
        <v>729.155405405405</v>
      </c>
      <c r="M707" s="73">
        <f t="shared" si="66"/>
        <v>0</v>
      </c>
      <c r="N707" s="66">
        <f t="shared" si="67"/>
        <v>0</v>
      </c>
      <c r="O707" s="52">
        <f t="shared" si="71"/>
        <v>0</v>
      </c>
      <c r="P707" s="52">
        <f t="shared" si="72"/>
        <v>0</v>
      </c>
      <c r="Q707" s="68">
        <f t="shared" ref="Q707:Q770" si="73">B707/G707</f>
        <v>8.6332</v>
      </c>
    </row>
    <row r="708" s="2" customFormat="1" spans="1:17">
      <c r="A708" s="61">
        <v>45355</v>
      </c>
      <c r="B708" s="18">
        <v>321</v>
      </c>
      <c r="C708" s="19">
        <v>321</v>
      </c>
      <c r="D708" s="19">
        <v>152</v>
      </c>
      <c r="E708" s="19">
        <v>1</v>
      </c>
      <c r="F708" s="18">
        <v>32997</v>
      </c>
      <c r="G708" s="19">
        <v>30</v>
      </c>
      <c r="H708" s="19">
        <v>6</v>
      </c>
      <c r="I708" s="19">
        <v>1</v>
      </c>
      <c r="J708" s="66">
        <f t="shared" si="68"/>
        <v>0.473520249221184</v>
      </c>
      <c r="K708" s="67">
        <f t="shared" si="69"/>
        <v>2.11184210526316</v>
      </c>
      <c r="L708" s="67">
        <f t="shared" si="70"/>
        <v>1000</v>
      </c>
      <c r="M708" s="73">
        <f t="shared" si="66"/>
        <v>102.794392523364</v>
      </c>
      <c r="N708" s="66">
        <f t="shared" si="67"/>
        <v>0.00657894736842105</v>
      </c>
      <c r="O708" s="52">
        <f t="shared" si="71"/>
        <v>32997</v>
      </c>
      <c r="P708" s="52">
        <f t="shared" si="72"/>
        <v>321</v>
      </c>
      <c r="Q708" s="68">
        <f t="shared" si="73"/>
        <v>10.7</v>
      </c>
    </row>
    <row r="709" s="2" customFormat="1" spans="1:17">
      <c r="A709" s="61">
        <v>45356</v>
      </c>
      <c r="B709" s="18">
        <v>210.66</v>
      </c>
      <c r="C709" s="19">
        <v>277</v>
      </c>
      <c r="D709" s="19">
        <v>129</v>
      </c>
      <c r="E709" s="19">
        <v>0</v>
      </c>
      <c r="F709" s="18">
        <v>0</v>
      </c>
      <c r="G709" s="19">
        <v>25</v>
      </c>
      <c r="H709" s="19">
        <v>3</v>
      </c>
      <c r="I709" s="19">
        <v>2</v>
      </c>
      <c r="J709" s="66">
        <f t="shared" si="68"/>
        <v>0.465703971119134</v>
      </c>
      <c r="K709" s="67">
        <f t="shared" si="69"/>
        <v>1.63302325581395</v>
      </c>
      <c r="L709" s="67">
        <f t="shared" si="70"/>
        <v>760.505415162455</v>
      </c>
      <c r="M709" s="73">
        <f t="shared" si="66"/>
        <v>0</v>
      </c>
      <c r="N709" s="66">
        <f t="shared" si="67"/>
        <v>0</v>
      </c>
      <c r="O709" s="52">
        <f t="shared" si="71"/>
        <v>0</v>
      </c>
      <c r="P709" s="52">
        <f t="shared" si="72"/>
        <v>0</v>
      </c>
      <c r="Q709" s="68">
        <f t="shared" si="73"/>
        <v>8.4264</v>
      </c>
    </row>
    <row r="710" s="2" customFormat="1" spans="1:17">
      <c r="A710" s="61">
        <v>45357</v>
      </c>
      <c r="B710" s="18">
        <v>295.97</v>
      </c>
      <c r="C710" s="19">
        <v>334</v>
      </c>
      <c r="D710" s="19">
        <v>165</v>
      </c>
      <c r="E710" s="19">
        <v>2</v>
      </c>
      <c r="F710" s="18">
        <v>31040</v>
      </c>
      <c r="G710" s="19">
        <v>39</v>
      </c>
      <c r="H710" s="19">
        <v>3</v>
      </c>
      <c r="I710" s="19">
        <v>7</v>
      </c>
      <c r="J710" s="66">
        <f t="shared" si="68"/>
        <v>0.494011976047904</v>
      </c>
      <c r="K710" s="67">
        <f t="shared" si="69"/>
        <v>1.79375757575758</v>
      </c>
      <c r="L710" s="67">
        <f t="shared" si="70"/>
        <v>886.137724550898</v>
      </c>
      <c r="M710" s="73">
        <f t="shared" si="66"/>
        <v>104.875494137919</v>
      </c>
      <c r="N710" s="66">
        <f t="shared" si="67"/>
        <v>0.0121212121212121</v>
      </c>
      <c r="O710" s="52">
        <f t="shared" si="71"/>
        <v>15520</v>
      </c>
      <c r="P710" s="52">
        <f t="shared" si="72"/>
        <v>147.985</v>
      </c>
      <c r="Q710" s="68">
        <f t="shared" si="73"/>
        <v>7.58897435897436</v>
      </c>
    </row>
    <row r="711" s="2" customFormat="1" spans="1:17">
      <c r="A711" s="61">
        <v>45358</v>
      </c>
      <c r="B711" s="18">
        <v>306.2</v>
      </c>
      <c r="C711" s="19">
        <v>356</v>
      </c>
      <c r="D711" s="19">
        <v>181</v>
      </c>
      <c r="E711" s="19">
        <v>6</v>
      </c>
      <c r="F711" s="18">
        <v>102080</v>
      </c>
      <c r="G711" s="19">
        <v>44</v>
      </c>
      <c r="H711" s="19">
        <v>2</v>
      </c>
      <c r="I711" s="19">
        <v>13</v>
      </c>
      <c r="J711" s="66">
        <f t="shared" si="68"/>
        <v>0.508426966292135</v>
      </c>
      <c r="K711" s="67">
        <f t="shared" si="69"/>
        <v>1.69171270718232</v>
      </c>
      <c r="L711" s="67">
        <f t="shared" si="70"/>
        <v>860.112359550562</v>
      </c>
      <c r="M711" s="73">
        <f t="shared" si="66"/>
        <v>333.376877857609</v>
      </c>
      <c r="N711" s="66">
        <f t="shared" si="67"/>
        <v>0.0331491712707182</v>
      </c>
      <c r="O711" s="52">
        <f t="shared" si="71"/>
        <v>17013.3333333333</v>
      </c>
      <c r="P711" s="52">
        <f t="shared" si="72"/>
        <v>51.0333333333333</v>
      </c>
      <c r="Q711" s="68">
        <f t="shared" si="73"/>
        <v>6.95909090909091</v>
      </c>
    </row>
    <row r="712" s="2" customFormat="1" spans="1:17">
      <c r="A712" s="61">
        <v>45359</v>
      </c>
      <c r="B712" s="18">
        <v>214.06</v>
      </c>
      <c r="C712" s="19">
        <v>245</v>
      </c>
      <c r="D712" s="19">
        <v>121</v>
      </c>
      <c r="E712" s="19">
        <v>1</v>
      </c>
      <c r="F712" s="18">
        <v>2800</v>
      </c>
      <c r="G712" s="19">
        <v>25</v>
      </c>
      <c r="H712" s="19">
        <v>3</v>
      </c>
      <c r="I712" s="19">
        <v>11</v>
      </c>
      <c r="J712" s="66">
        <f t="shared" si="68"/>
        <v>0.493877551020408</v>
      </c>
      <c r="K712" s="67">
        <f t="shared" si="69"/>
        <v>1.76909090909091</v>
      </c>
      <c r="L712" s="67">
        <f t="shared" si="70"/>
        <v>873.714285714286</v>
      </c>
      <c r="M712" s="73">
        <f t="shared" si="66"/>
        <v>13.080444735121</v>
      </c>
      <c r="N712" s="66">
        <f t="shared" si="67"/>
        <v>0.00826446280991736</v>
      </c>
      <c r="O712" s="52">
        <f t="shared" si="71"/>
        <v>2800</v>
      </c>
      <c r="P712" s="52">
        <f t="shared" si="72"/>
        <v>214.06</v>
      </c>
      <c r="Q712" s="68">
        <f t="shared" si="73"/>
        <v>8.5624</v>
      </c>
    </row>
    <row r="713" s="2" customFormat="1" spans="1:17">
      <c r="A713" s="61">
        <v>45360</v>
      </c>
      <c r="B713" s="18">
        <v>247.58</v>
      </c>
      <c r="C713" s="19">
        <v>286</v>
      </c>
      <c r="D713" s="19">
        <v>132</v>
      </c>
      <c r="E713" s="19">
        <v>5</v>
      </c>
      <c r="F713" s="18">
        <v>91628</v>
      </c>
      <c r="G713" s="19">
        <v>28</v>
      </c>
      <c r="H713" s="19">
        <v>0</v>
      </c>
      <c r="I713" s="19">
        <v>12</v>
      </c>
      <c r="J713" s="66">
        <f t="shared" si="68"/>
        <v>0.461538461538462</v>
      </c>
      <c r="K713" s="67">
        <f t="shared" si="69"/>
        <v>1.87560606060606</v>
      </c>
      <c r="L713" s="67">
        <f t="shared" si="70"/>
        <v>865.664335664336</v>
      </c>
      <c r="M713" s="73">
        <f t="shared" si="66"/>
        <v>370.094514904273</v>
      </c>
      <c r="N713" s="66">
        <f t="shared" si="67"/>
        <v>0.0378787878787879</v>
      </c>
      <c r="O713" s="52">
        <f t="shared" si="71"/>
        <v>18325.6</v>
      </c>
      <c r="P713" s="52">
        <f t="shared" si="72"/>
        <v>49.516</v>
      </c>
      <c r="Q713" s="68">
        <f t="shared" si="73"/>
        <v>8.84214285714286</v>
      </c>
    </row>
    <row r="714" s="2" customFormat="1" spans="1:17">
      <c r="A714" s="61">
        <v>45361</v>
      </c>
      <c r="B714" s="18">
        <v>202.75</v>
      </c>
      <c r="C714" s="19">
        <v>254</v>
      </c>
      <c r="D714" s="19">
        <v>119</v>
      </c>
      <c r="E714" s="19">
        <v>1</v>
      </c>
      <c r="F714" s="18">
        <v>13376</v>
      </c>
      <c r="G714" s="19">
        <v>42</v>
      </c>
      <c r="H714" s="19">
        <v>2</v>
      </c>
      <c r="I714" s="19">
        <v>8</v>
      </c>
      <c r="J714" s="66">
        <f t="shared" si="68"/>
        <v>0.468503937007874</v>
      </c>
      <c r="K714" s="67">
        <f t="shared" si="69"/>
        <v>1.70378151260504</v>
      </c>
      <c r="L714" s="67">
        <f t="shared" si="70"/>
        <v>798.228346456693</v>
      </c>
      <c r="M714" s="73">
        <f t="shared" si="66"/>
        <v>65.9728729963009</v>
      </c>
      <c r="N714" s="66">
        <f t="shared" si="67"/>
        <v>0.00840336134453781</v>
      </c>
      <c r="O714" s="52">
        <f t="shared" si="71"/>
        <v>13376</v>
      </c>
      <c r="P714" s="52">
        <f t="shared" si="72"/>
        <v>202.75</v>
      </c>
      <c r="Q714" s="68">
        <f t="shared" si="73"/>
        <v>4.82738095238095</v>
      </c>
    </row>
    <row r="715" s="2" customFormat="1" spans="1:17">
      <c r="A715" s="61">
        <v>45362</v>
      </c>
      <c r="B715" s="18">
        <v>271.89</v>
      </c>
      <c r="C715" s="19">
        <v>307</v>
      </c>
      <c r="D715" s="19">
        <v>140</v>
      </c>
      <c r="E715" s="19">
        <v>3</v>
      </c>
      <c r="F715" s="18">
        <v>32383</v>
      </c>
      <c r="G715" s="19">
        <v>21</v>
      </c>
      <c r="H715" s="19">
        <v>3</v>
      </c>
      <c r="I715" s="19">
        <v>5</v>
      </c>
      <c r="J715" s="66">
        <f t="shared" si="68"/>
        <v>0.456026058631922</v>
      </c>
      <c r="K715" s="67">
        <f t="shared" si="69"/>
        <v>1.94207142857143</v>
      </c>
      <c r="L715" s="67">
        <f t="shared" si="70"/>
        <v>885.635179153094</v>
      </c>
      <c r="M715" s="73">
        <f t="shared" si="66"/>
        <v>119.103313840156</v>
      </c>
      <c r="N715" s="66">
        <f t="shared" si="67"/>
        <v>0.0214285714285714</v>
      </c>
      <c r="O715" s="52">
        <f t="shared" si="71"/>
        <v>10794.3333333333</v>
      </c>
      <c r="P715" s="52">
        <f t="shared" si="72"/>
        <v>90.63</v>
      </c>
      <c r="Q715" s="68">
        <f t="shared" si="73"/>
        <v>12.9471428571429</v>
      </c>
    </row>
    <row r="716" s="2" customFormat="1" spans="1:17">
      <c r="A716" s="61">
        <v>45363</v>
      </c>
      <c r="B716" s="18">
        <v>334.57</v>
      </c>
      <c r="C716" s="19">
        <v>367</v>
      </c>
      <c r="D716" s="19">
        <v>163</v>
      </c>
      <c r="E716" s="19">
        <v>1</v>
      </c>
      <c r="F716" s="18">
        <v>13376</v>
      </c>
      <c r="G716" s="19">
        <v>60</v>
      </c>
      <c r="H716" s="19">
        <v>3</v>
      </c>
      <c r="I716" s="19">
        <v>6</v>
      </c>
      <c r="J716" s="66">
        <f t="shared" si="68"/>
        <v>0.444141689373297</v>
      </c>
      <c r="K716" s="67">
        <f t="shared" si="69"/>
        <v>2.05257668711656</v>
      </c>
      <c r="L716" s="67">
        <f t="shared" si="70"/>
        <v>911.634877384196</v>
      </c>
      <c r="M716" s="73">
        <f t="shared" si="66"/>
        <v>39.9796754042502</v>
      </c>
      <c r="N716" s="66">
        <f t="shared" si="67"/>
        <v>0.00613496932515337</v>
      </c>
      <c r="O716" s="52">
        <f t="shared" si="71"/>
        <v>13376</v>
      </c>
      <c r="P716" s="52">
        <f t="shared" si="72"/>
        <v>334.57</v>
      </c>
      <c r="Q716" s="68">
        <f t="shared" si="73"/>
        <v>5.57616666666667</v>
      </c>
    </row>
    <row r="717" s="2" customFormat="1" spans="1:17">
      <c r="A717" s="61">
        <v>45364</v>
      </c>
      <c r="B717" s="18">
        <v>298.41</v>
      </c>
      <c r="C717" s="19">
        <v>367</v>
      </c>
      <c r="D717" s="19">
        <v>156</v>
      </c>
      <c r="E717" s="19">
        <v>1</v>
      </c>
      <c r="F717" s="18">
        <v>13376</v>
      </c>
      <c r="G717" s="19">
        <v>38</v>
      </c>
      <c r="H717" s="19">
        <v>2</v>
      </c>
      <c r="I717" s="19">
        <v>7</v>
      </c>
      <c r="J717" s="66">
        <f t="shared" si="68"/>
        <v>0.425068119891008</v>
      </c>
      <c r="K717" s="67">
        <f t="shared" si="69"/>
        <v>1.91288461538462</v>
      </c>
      <c r="L717" s="67">
        <f t="shared" si="70"/>
        <v>813.106267029973</v>
      </c>
      <c r="M717" s="73">
        <f t="shared" si="66"/>
        <v>44.8242351127643</v>
      </c>
      <c r="N717" s="66">
        <f t="shared" si="67"/>
        <v>0.00641025641025641</v>
      </c>
      <c r="O717" s="52">
        <f t="shared" si="71"/>
        <v>13376</v>
      </c>
      <c r="P717" s="52">
        <f t="shared" si="72"/>
        <v>298.41</v>
      </c>
      <c r="Q717" s="68">
        <f t="shared" si="73"/>
        <v>7.85289473684211</v>
      </c>
    </row>
    <row r="718" s="2" customFormat="1" spans="1:17">
      <c r="A718" s="61">
        <v>45365</v>
      </c>
      <c r="B718" s="18">
        <v>311.14</v>
      </c>
      <c r="C718" s="19">
        <v>372</v>
      </c>
      <c r="D718" s="19">
        <v>145</v>
      </c>
      <c r="E718" s="19">
        <v>0</v>
      </c>
      <c r="F718" s="18">
        <v>0</v>
      </c>
      <c r="G718" s="19">
        <v>36</v>
      </c>
      <c r="H718" s="19">
        <v>5</v>
      </c>
      <c r="I718" s="19">
        <v>5</v>
      </c>
      <c r="J718" s="66">
        <f t="shared" si="68"/>
        <v>0.389784946236559</v>
      </c>
      <c r="K718" s="67">
        <f t="shared" si="69"/>
        <v>2.14579310344828</v>
      </c>
      <c r="L718" s="67">
        <f t="shared" si="70"/>
        <v>836.397849462365</v>
      </c>
      <c r="M718" s="73">
        <f t="shared" si="66"/>
        <v>0</v>
      </c>
      <c r="N718" s="66">
        <f t="shared" si="67"/>
        <v>0</v>
      </c>
      <c r="O718" s="52">
        <f t="shared" si="71"/>
        <v>0</v>
      </c>
      <c r="P718" s="52">
        <f t="shared" si="72"/>
        <v>0</v>
      </c>
      <c r="Q718" s="68">
        <f t="shared" si="73"/>
        <v>8.64277777777778</v>
      </c>
    </row>
    <row r="719" s="2" customFormat="1" spans="1:17">
      <c r="A719" s="61">
        <v>45366</v>
      </c>
      <c r="B719" s="18">
        <v>243.93</v>
      </c>
      <c r="C719" s="19">
        <v>295</v>
      </c>
      <c r="D719" s="19">
        <v>127</v>
      </c>
      <c r="E719" s="19">
        <v>0</v>
      </c>
      <c r="F719" s="18">
        <v>21830</v>
      </c>
      <c r="G719" s="19">
        <v>25</v>
      </c>
      <c r="H719" s="19">
        <v>3</v>
      </c>
      <c r="I719" s="19">
        <v>7</v>
      </c>
      <c r="J719" s="66">
        <f t="shared" si="68"/>
        <v>0.430508474576271</v>
      </c>
      <c r="K719" s="67">
        <f t="shared" si="69"/>
        <v>1.92070866141732</v>
      </c>
      <c r="L719" s="67">
        <f t="shared" si="70"/>
        <v>826.881355932204</v>
      </c>
      <c r="M719" s="73">
        <f t="shared" si="66"/>
        <v>89.4928873037347</v>
      </c>
      <c r="N719" s="66">
        <f t="shared" si="67"/>
        <v>0</v>
      </c>
      <c r="O719" s="52">
        <f t="shared" si="71"/>
        <v>0</v>
      </c>
      <c r="P719" s="52">
        <f t="shared" si="72"/>
        <v>0</v>
      </c>
      <c r="Q719" s="68">
        <f t="shared" si="73"/>
        <v>9.7572</v>
      </c>
    </row>
    <row r="720" s="2" customFormat="1" spans="1:17">
      <c r="A720" s="61">
        <v>45367</v>
      </c>
      <c r="B720" s="18">
        <v>241.88</v>
      </c>
      <c r="C720" s="19">
        <v>287</v>
      </c>
      <c r="D720" s="19">
        <v>94</v>
      </c>
      <c r="E720" s="19">
        <v>1</v>
      </c>
      <c r="F720" s="18">
        <v>11968</v>
      </c>
      <c r="G720" s="19">
        <v>34</v>
      </c>
      <c r="H720" s="19">
        <v>11</v>
      </c>
      <c r="I720" s="19">
        <v>10</v>
      </c>
      <c r="J720" s="66">
        <f t="shared" si="68"/>
        <v>0.327526132404181</v>
      </c>
      <c r="K720" s="67">
        <f t="shared" si="69"/>
        <v>2.5731914893617</v>
      </c>
      <c r="L720" s="67">
        <f t="shared" si="70"/>
        <v>842.787456445993</v>
      </c>
      <c r="M720" s="73">
        <f t="shared" si="66"/>
        <v>49.4790805358029</v>
      </c>
      <c r="N720" s="66">
        <f t="shared" si="67"/>
        <v>0.0106382978723404</v>
      </c>
      <c r="O720" s="52">
        <f t="shared" si="71"/>
        <v>11968</v>
      </c>
      <c r="P720" s="52">
        <f t="shared" si="72"/>
        <v>241.88</v>
      </c>
      <c r="Q720" s="68">
        <f t="shared" si="73"/>
        <v>7.11411764705882</v>
      </c>
    </row>
    <row r="721" s="2" customFormat="1" spans="1:17">
      <c r="A721" s="61">
        <v>45368</v>
      </c>
      <c r="B721" s="18">
        <v>265.4</v>
      </c>
      <c r="C721" s="19">
        <v>329</v>
      </c>
      <c r="D721" s="19">
        <v>118</v>
      </c>
      <c r="E721" s="19">
        <v>0</v>
      </c>
      <c r="F721" s="18">
        <v>0</v>
      </c>
      <c r="G721" s="19">
        <v>31</v>
      </c>
      <c r="H721" s="19">
        <v>3</v>
      </c>
      <c r="I721" s="19">
        <v>5</v>
      </c>
      <c r="J721" s="66">
        <f t="shared" si="68"/>
        <v>0.358662613981763</v>
      </c>
      <c r="K721" s="67">
        <f t="shared" si="69"/>
        <v>2.24915254237288</v>
      </c>
      <c r="L721" s="67">
        <f t="shared" si="70"/>
        <v>806.686930091185</v>
      </c>
      <c r="M721" s="73">
        <f t="shared" si="66"/>
        <v>0</v>
      </c>
      <c r="N721" s="66">
        <f t="shared" si="67"/>
        <v>0</v>
      </c>
      <c r="O721" s="52">
        <f t="shared" si="71"/>
        <v>0</v>
      </c>
      <c r="P721" s="52">
        <f t="shared" si="72"/>
        <v>0</v>
      </c>
      <c r="Q721" s="68">
        <f t="shared" si="73"/>
        <v>8.56129032258064</v>
      </c>
    </row>
    <row r="722" s="2" customFormat="1" spans="1:17">
      <c r="A722" s="61">
        <v>45369</v>
      </c>
      <c r="B722" s="18">
        <v>300.44</v>
      </c>
      <c r="C722" s="19">
        <v>373</v>
      </c>
      <c r="D722" s="19">
        <v>143</v>
      </c>
      <c r="E722" s="19">
        <v>2</v>
      </c>
      <c r="F722" s="18">
        <v>39212</v>
      </c>
      <c r="G722" s="19">
        <v>24</v>
      </c>
      <c r="H722" s="19">
        <v>1</v>
      </c>
      <c r="I722" s="19">
        <v>13</v>
      </c>
      <c r="J722" s="66">
        <f t="shared" si="68"/>
        <v>0.383378016085791</v>
      </c>
      <c r="K722" s="67">
        <f t="shared" si="69"/>
        <v>2.10097902097902</v>
      </c>
      <c r="L722" s="67">
        <f t="shared" si="70"/>
        <v>805.469168900804</v>
      </c>
      <c r="M722" s="73">
        <f t="shared" si="66"/>
        <v>130.515244308348</v>
      </c>
      <c r="N722" s="66">
        <f t="shared" si="67"/>
        <v>0.013986013986014</v>
      </c>
      <c r="O722" s="52">
        <f t="shared" si="71"/>
        <v>19606</v>
      </c>
      <c r="P722" s="52">
        <f t="shared" si="72"/>
        <v>150.22</v>
      </c>
      <c r="Q722" s="68">
        <f t="shared" si="73"/>
        <v>12.5183333333333</v>
      </c>
    </row>
    <row r="723" s="2" customFormat="1" spans="1:17">
      <c r="A723" s="61">
        <v>45370</v>
      </c>
      <c r="B723" s="18">
        <v>321.75</v>
      </c>
      <c r="C723" s="19">
        <v>406</v>
      </c>
      <c r="D723" s="19">
        <v>173</v>
      </c>
      <c r="E723" s="19">
        <v>0</v>
      </c>
      <c r="F723" s="18">
        <v>0</v>
      </c>
      <c r="G723" s="19">
        <v>26</v>
      </c>
      <c r="H723" s="19">
        <v>3</v>
      </c>
      <c r="I723" s="19">
        <v>10</v>
      </c>
      <c r="J723" s="66">
        <f t="shared" si="68"/>
        <v>0.426108374384236</v>
      </c>
      <c r="K723" s="67">
        <f t="shared" si="69"/>
        <v>1.85982658959538</v>
      </c>
      <c r="L723" s="67">
        <f t="shared" si="70"/>
        <v>792.487684729064</v>
      </c>
      <c r="M723" s="73">
        <f t="shared" si="66"/>
        <v>0</v>
      </c>
      <c r="N723" s="66">
        <f t="shared" si="67"/>
        <v>0</v>
      </c>
      <c r="O723" s="52">
        <f t="shared" si="71"/>
        <v>0</v>
      </c>
      <c r="P723" s="52">
        <f t="shared" si="72"/>
        <v>0</v>
      </c>
      <c r="Q723" s="68">
        <f t="shared" si="73"/>
        <v>12.375</v>
      </c>
    </row>
    <row r="724" s="2" customFormat="1" spans="1:17">
      <c r="A724" s="61">
        <v>45371</v>
      </c>
      <c r="B724" s="18">
        <v>293.05</v>
      </c>
      <c r="C724" s="19">
        <v>350</v>
      </c>
      <c r="D724" s="19">
        <v>138</v>
      </c>
      <c r="E724" s="19">
        <v>0</v>
      </c>
      <c r="F724" s="18">
        <v>0</v>
      </c>
      <c r="G724" s="19">
        <v>31</v>
      </c>
      <c r="H724" s="19">
        <v>1</v>
      </c>
      <c r="I724" s="19">
        <v>9</v>
      </c>
      <c r="J724" s="66">
        <f t="shared" si="68"/>
        <v>0.394285714285714</v>
      </c>
      <c r="K724" s="67">
        <f t="shared" si="69"/>
        <v>2.12355072463768</v>
      </c>
      <c r="L724" s="67">
        <f t="shared" si="70"/>
        <v>837.285714285714</v>
      </c>
      <c r="M724" s="73">
        <f t="shared" si="66"/>
        <v>0</v>
      </c>
      <c r="N724" s="66">
        <f t="shared" si="67"/>
        <v>0</v>
      </c>
      <c r="O724" s="52">
        <f t="shared" si="71"/>
        <v>0</v>
      </c>
      <c r="P724" s="52">
        <f t="shared" si="72"/>
        <v>0</v>
      </c>
      <c r="Q724" s="68">
        <f t="shared" si="73"/>
        <v>9.45322580645161</v>
      </c>
    </row>
    <row r="725" s="2" customFormat="1" spans="1:17">
      <c r="A725" s="61">
        <v>45372</v>
      </c>
      <c r="B725" s="18">
        <v>210.62</v>
      </c>
      <c r="C725" s="19">
        <v>267</v>
      </c>
      <c r="D725" s="19">
        <v>92</v>
      </c>
      <c r="E725" s="19">
        <v>0</v>
      </c>
      <c r="F725" s="18">
        <v>0</v>
      </c>
      <c r="G725" s="19">
        <v>32</v>
      </c>
      <c r="H725" s="19">
        <v>2</v>
      </c>
      <c r="I725" s="19">
        <v>6</v>
      </c>
      <c r="J725" s="66">
        <f t="shared" si="68"/>
        <v>0.344569288389513</v>
      </c>
      <c r="K725" s="67">
        <f t="shared" si="69"/>
        <v>2.28934782608696</v>
      </c>
      <c r="L725" s="67">
        <f t="shared" si="70"/>
        <v>788.838951310861</v>
      </c>
      <c r="M725" s="73">
        <f t="shared" si="66"/>
        <v>0</v>
      </c>
      <c r="N725" s="66">
        <f t="shared" si="67"/>
        <v>0</v>
      </c>
      <c r="O725" s="52">
        <f t="shared" si="71"/>
        <v>0</v>
      </c>
      <c r="P725" s="52">
        <f t="shared" si="72"/>
        <v>0</v>
      </c>
      <c r="Q725" s="68">
        <f t="shared" si="73"/>
        <v>6.581875</v>
      </c>
    </row>
    <row r="726" s="2" customFormat="1" spans="1:17">
      <c r="A726" s="61">
        <v>45373</v>
      </c>
      <c r="B726" s="18">
        <v>181.58</v>
      </c>
      <c r="C726" s="19">
        <v>238</v>
      </c>
      <c r="D726" s="19">
        <v>70</v>
      </c>
      <c r="E726" s="19">
        <v>1</v>
      </c>
      <c r="F726" s="18">
        <v>17810</v>
      </c>
      <c r="G726" s="19">
        <v>33</v>
      </c>
      <c r="H726" s="19">
        <v>1</v>
      </c>
      <c r="I726" s="19">
        <v>8</v>
      </c>
      <c r="J726" s="66">
        <f t="shared" si="68"/>
        <v>0.294117647058824</v>
      </c>
      <c r="K726" s="67">
        <f t="shared" si="69"/>
        <v>2.594</v>
      </c>
      <c r="L726" s="67">
        <f t="shared" si="70"/>
        <v>762.941176470588</v>
      </c>
      <c r="M726" s="73">
        <f t="shared" si="66"/>
        <v>98.0834893710761</v>
      </c>
      <c r="N726" s="66">
        <f t="shared" si="67"/>
        <v>0.0142857142857143</v>
      </c>
      <c r="O726" s="52">
        <f t="shared" si="71"/>
        <v>17810</v>
      </c>
      <c r="P726" s="52">
        <f t="shared" si="72"/>
        <v>181.58</v>
      </c>
      <c r="Q726" s="68">
        <f t="shared" si="73"/>
        <v>5.50242424242424</v>
      </c>
    </row>
    <row r="727" s="2" customFormat="1" spans="1:17">
      <c r="A727" s="61">
        <v>45374</v>
      </c>
      <c r="B727" s="18">
        <v>218.07</v>
      </c>
      <c r="C727" s="19">
        <v>295</v>
      </c>
      <c r="D727" s="19">
        <v>93</v>
      </c>
      <c r="E727" s="19">
        <v>1</v>
      </c>
      <c r="F727" s="18">
        <v>17664</v>
      </c>
      <c r="G727" s="19">
        <v>24</v>
      </c>
      <c r="H727" s="19">
        <v>2</v>
      </c>
      <c r="I727" s="19">
        <v>7</v>
      </c>
      <c r="J727" s="66">
        <f t="shared" si="68"/>
        <v>0.315254237288136</v>
      </c>
      <c r="K727" s="67">
        <f t="shared" si="69"/>
        <v>2.34483870967742</v>
      </c>
      <c r="L727" s="67">
        <f t="shared" si="70"/>
        <v>739.220338983051</v>
      </c>
      <c r="M727" s="73">
        <f t="shared" si="66"/>
        <v>81.0015132755537</v>
      </c>
      <c r="N727" s="66">
        <f t="shared" si="67"/>
        <v>0.010752688172043</v>
      </c>
      <c r="O727" s="52">
        <f t="shared" si="71"/>
        <v>17664</v>
      </c>
      <c r="P727" s="52">
        <f t="shared" si="72"/>
        <v>218.07</v>
      </c>
      <c r="Q727" s="68">
        <f t="shared" si="73"/>
        <v>9.08625</v>
      </c>
    </row>
    <row r="728" s="2" customFormat="1" spans="1:17">
      <c r="A728" s="61">
        <v>45375</v>
      </c>
      <c r="B728" s="18">
        <v>207.74</v>
      </c>
      <c r="C728" s="19">
        <v>252</v>
      </c>
      <c r="D728" s="19">
        <v>109</v>
      </c>
      <c r="E728" s="19">
        <v>0</v>
      </c>
      <c r="F728" s="18">
        <v>0</v>
      </c>
      <c r="G728" s="19">
        <v>18</v>
      </c>
      <c r="H728" s="19">
        <v>1</v>
      </c>
      <c r="I728" s="19">
        <v>5</v>
      </c>
      <c r="J728" s="66">
        <f t="shared" si="68"/>
        <v>0.432539682539683</v>
      </c>
      <c r="K728" s="67">
        <f t="shared" si="69"/>
        <v>1.90587155963303</v>
      </c>
      <c r="L728" s="67">
        <f t="shared" si="70"/>
        <v>824.365079365079</v>
      </c>
      <c r="M728" s="73">
        <f t="shared" si="66"/>
        <v>0</v>
      </c>
      <c r="N728" s="66">
        <f t="shared" si="67"/>
        <v>0</v>
      </c>
      <c r="O728" s="52">
        <f t="shared" si="71"/>
        <v>0</v>
      </c>
      <c r="P728" s="52">
        <f t="shared" si="72"/>
        <v>0</v>
      </c>
      <c r="Q728" s="68">
        <f t="shared" si="73"/>
        <v>11.5411111111111</v>
      </c>
    </row>
    <row r="729" s="2" customFormat="1" spans="1:17">
      <c r="A729" s="61">
        <v>45376</v>
      </c>
      <c r="B729" s="18">
        <v>210.49</v>
      </c>
      <c r="C729" s="19">
        <v>290</v>
      </c>
      <c r="D729" s="19">
        <v>107</v>
      </c>
      <c r="E729" s="19">
        <v>1</v>
      </c>
      <c r="F729" s="18">
        <v>21952</v>
      </c>
      <c r="G729" s="19">
        <v>20</v>
      </c>
      <c r="H729" s="19">
        <v>3</v>
      </c>
      <c r="I729" s="19">
        <v>7</v>
      </c>
      <c r="J729" s="66">
        <f t="shared" si="68"/>
        <v>0.368965517241379</v>
      </c>
      <c r="K729" s="67">
        <f t="shared" si="69"/>
        <v>1.96719626168224</v>
      </c>
      <c r="L729" s="67">
        <f t="shared" si="70"/>
        <v>725.827586206897</v>
      </c>
      <c r="M729" s="73">
        <f t="shared" si="66"/>
        <v>104.289990023279</v>
      </c>
      <c r="N729" s="66">
        <f t="shared" si="67"/>
        <v>0.00934579439252336</v>
      </c>
      <c r="O729" s="52">
        <f t="shared" si="71"/>
        <v>21952</v>
      </c>
      <c r="P729" s="52">
        <f t="shared" si="72"/>
        <v>210.49</v>
      </c>
      <c r="Q729" s="68">
        <f t="shared" si="73"/>
        <v>10.5245</v>
      </c>
    </row>
    <row r="730" s="2" customFormat="1" spans="1:17">
      <c r="A730" s="61">
        <v>45377</v>
      </c>
      <c r="B730" s="18">
        <v>205.2</v>
      </c>
      <c r="C730" s="19">
        <v>282</v>
      </c>
      <c r="D730" s="19">
        <v>101</v>
      </c>
      <c r="E730" s="19">
        <v>2</v>
      </c>
      <c r="F730" s="18">
        <v>25708</v>
      </c>
      <c r="G730" s="19">
        <v>34</v>
      </c>
      <c r="H730" s="19">
        <v>1</v>
      </c>
      <c r="I730" s="19">
        <v>4</v>
      </c>
      <c r="J730" s="66">
        <f t="shared" si="68"/>
        <v>0.358156028368794</v>
      </c>
      <c r="K730" s="67">
        <f t="shared" si="69"/>
        <v>2.03168316831683</v>
      </c>
      <c r="L730" s="67">
        <f t="shared" si="70"/>
        <v>727.659574468085</v>
      </c>
      <c r="M730" s="73">
        <f t="shared" si="66"/>
        <v>125.282651072125</v>
      </c>
      <c r="N730" s="66">
        <f t="shared" si="67"/>
        <v>0.0198019801980198</v>
      </c>
      <c r="O730" s="52">
        <f t="shared" si="71"/>
        <v>12854</v>
      </c>
      <c r="P730" s="52">
        <f t="shared" si="72"/>
        <v>102.6</v>
      </c>
      <c r="Q730" s="68">
        <f t="shared" si="73"/>
        <v>6.03529411764706</v>
      </c>
    </row>
    <row r="731" s="2" customFormat="1" spans="1:17">
      <c r="A731" s="61">
        <v>45378</v>
      </c>
      <c r="B731" s="18">
        <v>253.41</v>
      </c>
      <c r="C731" s="19">
        <v>317</v>
      </c>
      <c r="D731" s="19">
        <v>91</v>
      </c>
      <c r="E731" s="19">
        <v>1</v>
      </c>
      <c r="F731" s="18">
        <v>13376</v>
      </c>
      <c r="G731" s="19">
        <v>14</v>
      </c>
      <c r="H731" s="19">
        <v>2</v>
      </c>
      <c r="I731" s="19">
        <v>4</v>
      </c>
      <c r="J731" s="66">
        <f t="shared" si="68"/>
        <v>0.287066246056782</v>
      </c>
      <c r="K731" s="67">
        <f t="shared" si="69"/>
        <v>2.78472527472527</v>
      </c>
      <c r="L731" s="67">
        <f t="shared" si="70"/>
        <v>799.400630914826</v>
      </c>
      <c r="M731" s="73">
        <f t="shared" si="66"/>
        <v>52.7840258869026</v>
      </c>
      <c r="N731" s="66">
        <f t="shared" si="67"/>
        <v>0.010989010989011</v>
      </c>
      <c r="O731" s="52">
        <f t="shared" si="71"/>
        <v>13376</v>
      </c>
      <c r="P731" s="52">
        <f t="shared" si="72"/>
        <v>253.41</v>
      </c>
      <c r="Q731" s="68">
        <f t="shared" si="73"/>
        <v>18.1007142857143</v>
      </c>
    </row>
    <row r="732" s="2" customFormat="1" spans="1:17">
      <c r="A732" s="61">
        <v>45379</v>
      </c>
      <c r="B732" s="18">
        <v>223.83</v>
      </c>
      <c r="C732" s="19">
        <v>293</v>
      </c>
      <c r="D732" s="19">
        <v>99</v>
      </c>
      <c r="E732" s="19">
        <v>3</v>
      </c>
      <c r="F732" s="18">
        <v>40288</v>
      </c>
      <c r="G732" s="19">
        <v>29</v>
      </c>
      <c r="H732" s="19">
        <v>0</v>
      </c>
      <c r="I732" s="19">
        <v>5</v>
      </c>
      <c r="J732" s="66">
        <f t="shared" si="68"/>
        <v>0.337883959044369</v>
      </c>
      <c r="K732" s="67">
        <f t="shared" si="69"/>
        <v>2.26090909090909</v>
      </c>
      <c r="L732" s="67">
        <f t="shared" si="70"/>
        <v>763.924914675768</v>
      </c>
      <c r="M732" s="73">
        <f t="shared" si="66"/>
        <v>179.993745253094</v>
      </c>
      <c r="N732" s="66">
        <f t="shared" si="67"/>
        <v>0.0303030303030303</v>
      </c>
      <c r="O732" s="52">
        <f t="shared" si="71"/>
        <v>13429.3333333333</v>
      </c>
      <c r="P732" s="52">
        <f t="shared" si="72"/>
        <v>74.61</v>
      </c>
      <c r="Q732" s="68">
        <f t="shared" si="73"/>
        <v>7.71827586206897</v>
      </c>
    </row>
    <row r="733" s="2" customFormat="1" spans="1:17">
      <c r="A733" s="61">
        <v>45380</v>
      </c>
      <c r="B733" s="18">
        <v>152.18</v>
      </c>
      <c r="C733" s="19">
        <v>212</v>
      </c>
      <c r="D733" s="19">
        <v>63</v>
      </c>
      <c r="E733" s="19">
        <v>1</v>
      </c>
      <c r="F733" s="18">
        <v>2600</v>
      </c>
      <c r="G733" s="19">
        <v>8</v>
      </c>
      <c r="H733" s="19">
        <v>1</v>
      </c>
      <c r="I733" s="19">
        <v>3</v>
      </c>
      <c r="J733" s="66">
        <f t="shared" si="68"/>
        <v>0.297169811320755</v>
      </c>
      <c r="K733" s="67">
        <f t="shared" si="69"/>
        <v>2.41555555555556</v>
      </c>
      <c r="L733" s="67">
        <f t="shared" si="70"/>
        <v>717.830188679245</v>
      </c>
      <c r="M733" s="73">
        <f t="shared" si="66"/>
        <v>17.0850308844789</v>
      </c>
      <c r="N733" s="66">
        <f t="shared" si="67"/>
        <v>0.0158730158730159</v>
      </c>
      <c r="O733" s="52">
        <f t="shared" si="71"/>
        <v>2600</v>
      </c>
      <c r="P733" s="52">
        <f t="shared" si="72"/>
        <v>152.18</v>
      </c>
      <c r="Q733" s="68">
        <f t="shared" si="73"/>
        <v>19.0225</v>
      </c>
    </row>
    <row r="734" s="2" customFormat="1" spans="1:17">
      <c r="A734" s="61">
        <v>45381</v>
      </c>
      <c r="B734" s="18">
        <v>148.43</v>
      </c>
      <c r="C734" s="19">
        <v>176</v>
      </c>
      <c r="D734" s="19">
        <v>65</v>
      </c>
      <c r="E734" s="19">
        <v>1</v>
      </c>
      <c r="F734" s="18">
        <v>15034</v>
      </c>
      <c r="G734" s="19">
        <v>29</v>
      </c>
      <c r="H734" s="19">
        <v>1</v>
      </c>
      <c r="I734" s="19">
        <v>9</v>
      </c>
      <c r="J734" s="66">
        <f t="shared" si="68"/>
        <v>0.369318181818182</v>
      </c>
      <c r="K734" s="67">
        <f t="shared" si="69"/>
        <v>2.28353846153846</v>
      </c>
      <c r="L734" s="67">
        <f t="shared" si="70"/>
        <v>843.352272727273</v>
      </c>
      <c r="M734" s="73">
        <f t="shared" si="66"/>
        <v>101.286801859462</v>
      </c>
      <c r="N734" s="66">
        <f t="shared" si="67"/>
        <v>0.0153846153846154</v>
      </c>
      <c r="O734" s="52">
        <f t="shared" si="71"/>
        <v>15034</v>
      </c>
      <c r="P734" s="52">
        <f t="shared" si="72"/>
        <v>148.43</v>
      </c>
      <c r="Q734" s="68">
        <f t="shared" si="73"/>
        <v>5.11827586206897</v>
      </c>
    </row>
    <row r="735" s="2" customFormat="1" spans="1:17">
      <c r="A735" s="61">
        <v>45382</v>
      </c>
      <c r="B735" s="18">
        <v>183.37</v>
      </c>
      <c r="C735" s="19">
        <v>240</v>
      </c>
      <c r="D735" s="19">
        <v>85</v>
      </c>
      <c r="E735" s="19">
        <v>1</v>
      </c>
      <c r="F735" s="18">
        <v>8954</v>
      </c>
      <c r="G735" s="19">
        <v>19</v>
      </c>
      <c r="H735" s="19">
        <v>2</v>
      </c>
      <c r="I735" s="19">
        <v>6</v>
      </c>
      <c r="J735" s="66">
        <f t="shared" si="68"/>
        <v>0.354166666666667</v>
      </c>
      <c r="K735" s="67">
        <f t="shared" si="69"/>
        <v>2.15729411764706</v>
      </c>
      <c r="L735" s="67">
        <f t="shared" si="70"/>
        <v>764.041666666667</v>
      </c>
      <c r="M735" s="73">
        <f t="shared" si="66"/>
        <v>48.8302339532094</v>
      </c>
      <c r="N735" s="66">
        <f t="shared" si="67"/>
        <v>0.0117647058823529</v>
      </c>
      <c r="O735" s="52">
        <f t="shared" si="71"/>
        <v>8954</v>
      </c>
      <c r="P735" s="52">
        <f t="shared" si="72"/>
        <v>183.37</v>
      </c>
      <c r="Q735" s="68">
        <f t="shared" si="73"/>
        <v>9.65105263157895</v>
      </c>
    </row>
    <row r="736" s="2" customFormat="1" spans="1:17">
      <c r="A736" s="61">
        <v>45383</v>
      </c>
      <c r="B736" s="18">
        <v>180.86</v>
      </c>
      <c r="C736" s="19">
        <v>232</v>
      </c>
      <c r="D736" s="19">
        <v>107</v>
      </c>
      <c r="E736" s="19">
        <v>0</v>
      </c>
      <c r="F736" s="18">
        <v>0</v>
      </c>
      <c r="G736" s="19">
        <v>24</v>
      </c>
      <c r="H736" s="19">
        <v>1</v>
      </c>
      <c r="I736" s="19">
        <v>1</v>
      </c>
      <c r="J736" s="66">
        <f t="shared" si="68"/>
        <v>0.461206896551724</v>
      </c>
      <c r="K736" s="67">
        <f t="shared" si="69"/>
        <v>1.69028037383178</v>
      </c>
      <c r="L736" s="67">
        <f t="shared" si="70"/>
        <v>779.568965517241</v>
      </c>
      <c r="M736" s="73">
        <f t="shared" si="66"/>
        <v>0</v>
      </c>
      <c r="N736" s="66">
        <f t="shared" si="67"/>
        <v>0</v>
      </c>
      <c r="O736" s="52">
        <f t="shared" si="71"/>
        <v>0</v>
      </c>
      <c r="P736" s="52">
        <f t="shared" si="72"/>
        <v>0</v>
      </c>
      <c r="Q736" s="68">
        <f t="shared" si="73"/>
        <v>7.53583333333333</v>
      </c>
    </row>
    <row r="737" s="2" customFormat="1" spans="1:17">
      <c r="A737" s="61">
        <v>45384</v>
      </c>
      <c r="B737" s="18">
        <v>182.63</v>
      </c>
      <c r="C737" s="19">
        <v>228</v>
      </c>
      <c r="D737" s="19">
        <v>80</v>
      </c>
      <c r="E737" s="19">
        <v>0</v>
      </c>
      <c r="F737" s="18">
        <v>0</v>
      </c>
      <c r="G737" s="19">
        <v>16</v>
      </c>
      <c r="H737" s="19">
        <v>1</v>
      </c>
      <c r="I737" s="19">
        <v>5</v>
      </c>
      <c r="J737" s="66">
        <f t="shared" si="68"/>
        <v>0.350877192982456</v>
      </c>
      <c r="K737" s="67">
        <f t="shared" si="69"/>
        <v>2.282875</v>
      </c>
      <c r="L737" s="67">
        <f t="shared" si="70"/>
        <v>801.008771929825</v>
      </c>
      <c r="M737" s="73">
        <f t="shared" si="66"/>
        <v>0</v>
      </c>
      <c r="N737" s="66">
        <f t="shared" si="67"/>
        <v>0</v>
      </c>
      <c r="O737" s="52">
        <f t="shared" si="71"/>
        <v>0</v>
      </c>
      <c r="P737" s="52">
        <f t="shared" si="72"/>
        <v>0</v>
      </c>
      <c r="Q737" s="68">
        <f t="shared" si="73"/>
        <v>11.414375</v>
      </c>
    </row>
    <row r="738" s="2" customFormat="1" spans="1:17">
      <c r="A738" s="61">
        <v>45385</v>
      </c>
      <c r="B738" s="18">
        <v>143</v>
      </c>
      <c r="C738" s="19">
        <v>157</v>
      </c>
      <c r="D738" s="19">
        <v>48</v>
      </c>
      <c r="E738" s="19">
        <v>0</v>
      </c>
      <c r="F738" s="18">
        <v>0</v>
      </c>
      <c r="G738" s="19">
        <v>10</v>
      </c>
      <c r="H738" s="19">
        <v>0</v>
      </c>
      <c r="I738" s="19">
        <v>4</v>
      </c>
      <c r="J738" s="66">
        <f t="shared" si="68"/>
        <v>0.305732484076433</v>
      </c>
      <c r="K738" s="67">
        <f t="shared" si="69"/>
        <v>2.97916666666667</v>
      </c>
      <c r="L738" s="67">
        <f t="shared" si="70"/>
        <v>910.828025477707</v>
      </c>
      <c r="M738" s="73">
        <f t="shared" si="66"/>
        <v>0</v>
      </c>
      <c r="N738" s="66">
        <f t="shared" si="67"/>
        <v>0</v>
      </c>
      <c r="O738" s="52">
        <f t="shared" si="71"/>
        <v>0</v>
      </c>
      <c r="P738" s="52">
        <f t="shared" si="72"/>
        <v>0</v>
      </c>
      <c r="Q738" s="68">
        <f t="shared" si="73"/>
        <v>14.3</v>
      </c>
    </row>
    <row r="739" s="2" customFormat="1" spans="1:17">
      <c r="A739" s="61">
        <v>45386</v>
      </c>
      <c r="B739" s="18">
        <v>144</v>
      </c>
      <c r="C739" s="19">
        <v>197</v>
      </c>
      <c r="D739" s="19">
        <v>68</v>
      </c>
      <c r="E739" s="19">
        <v>0</v>
      </c>
      <c r="F739" s="18">
        <v>0</v>
      </c>
      <c r="G739" s="19">
        <v>17</v>
      </c>
      <c r="H739" s="19">
        <v>6</v>
      </c>
      <c r="I739" s="19">
        <v>1</v>
      </c>
      <c r="J739" s="66">
        <f t="shared" si="68"/>
        <v>0.345177664974619</v>
      </c>
      <c r="K739" s="67">
        <f t="shared" si="69"/>
        <v>2.11764705882353</v>
      </c>
      <c r="L739" s="67">
        <f t="shared" si="70"/>
        <v>730.964467005076</v>
      </c>
      <c r="M739" s="73">
        <f t="shared" si="66"/>
        <v>0</v>
      </c>
      <c r="N739" s="66">
        <f t="shared" si="67"/>
        <v>0</v>
      </c>
      <c r="O739" s="52">
        <f t="shared" si="71"/>
        <v>0</v>
      </c>
      <c r="P739" s="52">
        <f t="shared" si="72"/>
        <v>0</v>
      </c>
      <c r="Q739" s="68">
        <f t="shared" si="73"/>
        <v>8.47058823529412</v>
      </c>
    </row>
    <row r="740" s="2" customFormat="1" spans="1:17">
      <c r="A740" s="61">
        <v>45387</v>
      </c>
      <c r="B740" s="18">
        <v>144.73</v>
      </c>
      <c r="C740" s="19">
        <v>194</v>
      </c>
      <c r="D740" s="19">
        <v>59</v>
      </c>
      <c r="E740" s="19">
        <v>0</v>
      </c>
      <c r="F740" s="18">
        <v>0</v>
      </c>
      <c r="G740" s="19">
        <v>12</v>
      </c>
      <c r="H740" s="19">
        <v>1</v>
      </c>
      <c r="I740" s="19">
        <v>4</v>
      </c>
      <c r="J740" s="66">
        <f t="shared" si="68"/>
        <v>0.304123711340206</v>
      </c>
      <c r="K740" s="67">
        <f t="shared" si="69"/>
        <v>2.45305084745763</v>
      </c>
      <c r="L740" s="67">
        <f t="shared" si="70"/>
        <v>746.030927835052</v>
      </c>
      <c r="M740" s="73">
        <f t="shared" si="66"/>
        <v>0</v>
      </c>
      <c r="N740" s="66">
        <f t="shared" si="67"/>
        <v>0</v>
      </c>
      <c r="O740" s="52">
        <f t="shared" si="71"/>
        <v>0</v>
      </c>
      <c r="P740" s="52">
        <f t="shared" si="72"/>
        <v>0</v>
      </c>
      <c r="Q740" s="68">
        <f t="shared" si="73"/>
        <v>12.0608333333333</v>
      </c>
    </row>
    <row r="741" s="2" customFormat="1" spans="1:17">
      <c r="A741" s="61">
        <v>45388</v>
      </c>
      <c r="B741" s="18">
        <v>189.94</v>
      </c>
      <c r="C741" s="19">
        <v>252</v>
      </c>
      <c r="D741" s="19">
        <v>82</v>
      </c>
      <c r="E741" s="19">
        <v>0</v>
      </c>
      <c r="F741" s="18">
        <v>0</v>
      </c>
      <c r="G741" s="19">
        <v>21</v>
      </c>
      <c r="H741" s="19">
        <v>4</v>
      </c>
      <c r="I741" s="19">
        <v>6</v>
      </c>
      <c r="J741" s="66">
        <f t="shared" si="68"/>
        <v>0.325396825396825</v>
      </c>
      <c r="K741" s="67">
        <f t="shared" si="69"/>
        <v>2.31634146341463</v>
      </c>
      <c r="L741" s="67">
        <f t="shared" si="70"/>
        <v>753.730158730159</v>
      </c>
      <c r="M741" s="73">
        <f t="shared" ref="M741:M802" si="74">F741/B741</f>
        <v>0</v>
      </c>
      <c r="N741" s="66">
        <f t="shared" ref="N741:N802" si="75">E741/D741</f>
        <v>0</v>
      </c>
      <c r="O741" s="52">
        <f t="shared" si="71"/>
        <v>0</v>
      </c>
      <c r="P741" s="52">
        <f t="shared" si="72"/>
        <v>0</v>
      </c>
      <c r="Q741" s="68">
        <f t="shared" si="73"/>
        <v>9.0447619047619</v>
      </c>
    </row>
    <row r="742" s="2" customFormat="1" spans="1:17">
      <c r="A742" s="61">
        <v>45389</v>
      </c>
      <c r="B742" s="18">
        <v>220.52</v>
      </c>
      <c r="C742" s="19">
        <v>271</v>
      </c>
      <c r="D742" s="19">
        <v>83</v>
      </c>
      <c r="E742" s="19">
        <v>0</v>
      </c>
      <c r="F742" s="18">
        <v>0</v>
      </c>
      <c r="G742" s="19">
        <v>25</v>
      </c>
      <c r="H742" s="19">
        <v>1</v>
      </c>
      <c r="I742" s="19">
        <v>3</v>
      </c>
      <c r="J742" s="66">
        <f t="shared" si="68"/>
        <v>0.306273062730627</v>
      </c>
      <c r="K742" s="67">
        <f t="shared" si="69"/>
        <v>2.65686746987952</v>
      </c>
      <c r="L742" s="67">
        <f t="shared" si="70"/>
        <v>813.726937269373</v>
      </c>
      <c r="M742" s="73">
        <f t="shared" si="74"/>
        <v>0</v>
      </c>
      <c r="N742" s="66">
        <f t="shared" si="75"/>
        <v>0</v>
      </c>
      <c r="O742" s="52">
        <f t="shared" si="71"/>
        <v>0</v>
      </c>
      <c r="P742" s="52">
        <f t="shared" si="72"/>
        <v>0</v>
      </c>
      <c r="Q742" s="68">
        <f t="shared" si="73"/>
        <v>8.8208</v>
      </c>
    </row>
    <row r="743" s="2" customFormat="1" spans="1:17">
      <c r="A743" s="61">
        <v>45390</v>
      </c>
      <c r="B743" s="18">
        <v>250.39</v>
      </c>
      <c r="C743" s="19">
        <v>320</v>
      </c>
      <c r="D743" s="19">
        <v>97</v>
      </c>
      <c r="E743" s="19">
        <v>0</v>
      </c>
      <c r="F743" s="18">
        <v>0</v>
      </c>
      <c r="G743" s="19">
        <v>15</v>
      </c>
      <c r="H743" s="19">
        <v>3</v>
      </c>
      <c r="I743" s="19">
        <v>2</v>
      </c>
      <c r="J743" s="66">
        <f t="shared" si="68"/>
        <v>0.303125</v>
      </c>
      <c r="K743" s="67">
        <f t="shared" si="69"/>
        <v>2.58134020618557</v>
      </c>
      <c r="L743" s="67">
        <f t="shared" si="70"/>
        <v>782.46875</v>
      </c>
      <c r="M743" s="73">
        <f t="shared" si="74"/>
        <v>0</v>
      </c>
      <c r="N743" s="66">
        <f t="shared" si="75"/>
        <v>0</v>
      </c>
      <c r="O743" s="52">
        <f t="shared" si="71"/>
        <v>0</v>
      </c>
      <c r="P743" s="52">
        <f t="shared" si="72"/>
        <v>0</v>
      </c>
      <c r="Q743" s="68">
        <f t="shared" si="73"/>
        <v>16.6926666666667</v>
      </c>
    </row>
    <row r="744" s="2" customFormat="1" spans="1:17">
      <c r="A744" s="61">
        <v>45391</v>
      </c>
      <c r="B744" s="18">
        <v>219.89</v>
      </c>
      <c r="C744" s="19">
        <v>267</v>
      </c>
      <c r="D744" s="19">
        <v>103</v>
      </c>
      <c r="E744" s="19">
        <v>0</v>
      </c>
      <c r="F744" s="18">
        <v>0</v>
      </c>
      <c r="G744" s="19">
        <v>19</v>
      </c>
      <c r="H744" s="19">
        <v>4</v>
      </c>
      <c r="I744" s="19">
        <v>5</v>
      </c>
      <c r="J744" s="66">
        <f t="shared" si="68"/>
        <v>0.385767790262172</v>
      </c>
      <c r="K744" s="67">
        <f t="shared" si="69"/>
        <v>2.13485436893204</v>
      </c>
      <c r="L744" s="67">
        <f t="shared" si="70"/>
        <v>823.558052434457</v>
      </c>
      <c r="M744" s="73">
        <f t="shared" si="74"/>
        <v>0</v>
      </c>
      <c r="N744" s="66">
        <f t="shared" si="75"/>
        <v>0</v>
      </c>
      <c r="O744" s="52">
        <f t="shared" si="71"/>
        <v>0</v>
      </c>
      <c r="P744" s="52">
        <f t="shared" si="72"/>
        <v>0</v>
      </c>
      <c r="Q744" s="68">
        <f t="shared" si="73"/>
        <v>11.5731578947368</v>
      </c>
    </row>
    <row r="745" s="2" customFormat="1" spans="1:17">
      <c r="A745" s="61">
        <v>45392</v>
      </c>
      <c r="B745" s="18">
        <v>199.47</v>
      </c>
      <c r="C745" s="19">
        <v>246</v>
      </c>
      <c r="D745" s="19">
        <v>100</v>
      </c>
      <c r="E745" s="19">
        <v>0</v>
      </c>
      <c r="F745" s="18">
        <v>0</v>
      </c>
      <c r="G745" s="19">
        <v>8</v>
      </c>
      <c r="H745" s="19">
        <v>2</v>
      </c>
      <c r="I745" s="19">
        <v>5</v>
      </c>
      <c r="J745" s="66">
        <f t="shared" si="68"/>
        <v>0.40650406504065</v>
      </c>
      <c r="K745" s="67">
        <f t="shared" si="69"/>
        <v>1.9947</v>
      </c>
      <c r="L745" s="67">
        <f t="shared" si="70"/>
        <v>810.853658536585</v>
      </c>
      <c r="M745" s="73">
        <f t="shared" si="74"/>
        <v>0</v>
      </c>
      <c r="N745" s="66">
        <f t="shared" si="75"/>
        <v>0</v>
      </c>
      <c r="O745" s="52">
        <f t="shared" si="71"/>
        <v>0</v>
      </c>
      <c r="P745" s="52">
        <f t="shared" si="72"/>
        <v>0</v>
      </c>
      <c r="Q745" s="68">
        <f t="shared" si="73"/>
        <v>24.93375</v>
      </c>
    </row>
    <row r="746" s="2" customFormat="1" spans="1:17">
      <c r="A746" s="61">
        <v>45393</v>
      </c>
      <c r="B746" s="18">
        <v>222.67</v>
      </c>
      <c r="C746" s="19">
        <v>279</v>
      </c>
      <c r="D746" s="19">
        <v>107</v>
      </c>
      <c r="E746" s="19">
        <v>0</v>
      </c>
      <c r="F746" s="18">
        <v>0</v>
      </c>
      <c r="G746" s="19">
        <v>16</v>
      </c>
      <c r="H746" s="19">
        <v>0</v>
      </c>
      <c r="I746" s="19">
        <v>7</v>
      </c>
      <c r="J746" s="66">
        <f t="shared" si="68"/>
        <v>0.383512544802867</v>
      </c>
      <c r="K746" s="67">
        <f t="shared" si="69"/>
        <v>2.08102803738318</v>
      </c>
      <c r="L746" s="67">
        <f t="shared" si="70"/>
        <v>798.100358422939</v>
      </c>
      <c r="M746" s="73">
        <f t="shared" si="74"/>
        <v>0</v>
      </c>
      <c r="N746" s="66">
        <f t="shared" si="75"/>
        <v>0</v>
      </c>
      <c r="O746" s="52">
        <f t="shared" si="71"/>
        <v>0</v>
      </c>
      <c r="P746" s="52">
        <f t="shared" si="72"/>
        <v>0</v>
      </c>
      <c r="Q746" s="68">
        <f t="shared" si="73"/>
        <v>13.916875</v>
      </c>
    </row>
    <row r="747" s="2" customFormat="1" spans="1:17">
      <c r="A747" s="61">
        <v>45394</v>
      </c>
      <c r="B747" s="18">
        <v>159.12</v>
      </c>
      <c r="C747" s="19">
        <v>193</v>
      </c>
      <c r="D747" s="19">
        <v>61</v>
      </c>
      <c r="E747" s="19">
        <v>0</v>
      </c>
      <c r="F747" s="18">
        <v>0</v>
      </c>
      <c r="G747" s="19">
        <v>17</v>
      </c>
      <c r="H747" s="19">
        <v>0</v>
      </c>
      <c r="I747" s="19">
        <v>4</v>
      </c>
      <c r="J747" s="66">
        <f t="shared" si="68"/>
        <v>0.316062176165803</v>
      </c>
      <c r="K747" s="67">
        <f t="shared" si="69"/>
        <v>2.60852459016393</v>
      </c>
      <c r="L747" s="67">
        <f t="shared" si="70"/>
        <v>824.455958549223</v>
      </c>
      <c r="M747" s="73">
        <f t="shared" si="74"/>
        <v>0</v>
      </c>
      <c r="N747" s="66">
        <f t="shared" si="75"/>
        <v>0</v>
      </c>
      <c r="O747" s="52">
        <f t="shared" si="71"/>
        <v>0</v>
      </c>
      <c r="P747" s="52">
        <f t="shared" si="72"/>
        <v>0</v>
      </c>
      <c r="Q747" s="68">
        <f t="shared" si="73"/>
        <v>9.36</v>
      </c>
    </row>
    <row r="748" s="2" customFormat="1" spans="1:17">
      <c r="A748" s="61">
        <v>45395</v>
      </c>
      <c r="B748" s="18">
        <v>179.81</v>
      </c>
      <c r="C748" s="19">
        <v>214</v>
      </c>
      <c r="D748" s="19">
        <v>62</v>
      </c>
      <c r="E748" s="19">
        <v>2</v>
      </c>
      <c r="F748" s="18">
        <v>53384</v>
      </c>
      <c r="G748" s="19">
        <v>13</v>
      </c>
      <c r="H748" s="19">
        <v>0</v>
      </c>
      <c r="I748" s="19">
        <v>4</v>
      </c>
      <c r="J748" s="66">
        <f t="shared" si="68"/>
        <v>0.289719626168224</v>
      </c>
      <c r="K748" s="67">
        <f t="shared" si="69"/>
        <v>2.90016129032258</v>
      </c>
      <c r="L748" s="67">
        <f t="shared" si="70"/>
        <v>840.233644859813</v>
      </c>
      <c r="M748" s="73">
        <f t="shared" si="74"/>
        <v>296.891162894166</v>
      </c>
      <c r="N748" s="66">
        <f t="shared" si="75"/>
        <v>0.032258064516129</v>
      </c>
      <c r="O748" s="52">
        <f t="shared" si="71"/>
        <v>26692</v>
      </c>
      <c r="P748" s="52">
        <f t="shared" si="72"/>
        <v>89.905</v>
      </c>
      <c r="Q748" s="68">
        <f t="shared" si="73"/>
        <v>13.8315384615385</v>
      </c>
    </row>
    <row r="749" s="2" customFormat="1" spans="1:17">
      <c r="A749" s="61">
        <v>45396</v>
      </c>
      <c r="B749" s="18">
        <v>178.28</v>
      </c>
      <c r="C749" s="19">
        <v>221</v>
      </c>
      <c r="D749" s="19">
        <v>61</v>
      </c>
      <c r="E749" s="19">
        <v>0</v>
      </c>
      <c r="F749" s="18">
        <v>0</v>
      </c>
      <c r="G749" s="19">
        <v>16</v>
      </c>
      <c r="H749" s="19">
        <v>0</v>
      </c>
      <c r="I749" s="19">
        <v>3</v>
      </c>
      <c r="J749" s="66">
        <f t="shared" si="68"/>
        <v>0.276018099547511</v>
      </c>
      <c r="K749" s="67">
        <f t="shared" si="69"/>
        <v>2.92262295081967</v>
      </c>
      <c r="L749" s="67">
        <f t="shared" si="70"/>
        <v>806.696832579186</v>
      </c>
      <c r="M749" s="73">
        <f t="shared" si="74"/>
        <v>0</v>
      </c>
      <c r="N749" s="66">
        <f t="shared" si="75"/>
        <v>0</v>
      </c>
      <c r="O749" s="52">
        <f t="shared" si="71"/>
        <v>0</v>
      </c>
      <c r="P749" s="52">
        <f t="shared" si="72"/>
        <v>0</v>
      </c>
      <c r="Q749" s="68">
        <f t="shared" si="73"/>
        <v>11.1425</v>
      </c>
    </row>
    <row r="750" s="2" customFormat="1" spans="1:17">
      <c r="A750" s="61">
        <v>45397</v>
      </c>
      <c r="B750" s="18">
        <v>225.3</v>
      </c>
      <c r="C750" s="19">
        <v>264</v>
      </c>
      <c r="D750" s="19">
        <v>105</v>
      </c>
      <c r="E750" s="19">
        <v>0</v>
      </c>
      <c r="F750" s="18">
        <v>0</v>
      </c>
      <c r="G750" s="19">
        <v>28</v>
      </c>
      <c r="H750" s="19">
        <v>0</v>
      </c>
      <c r="I750" s="19">
        <v>3</v>
      </c>
      <c r="J750" s="66">
        <f t="shared" si="68"/>
        <v>0.397727272727273</v>
      </c>
      <c r="K750" s="67">
        <f t="shared" si="69"/>
        <v>2.14571428571429</v>
      </c>
      <c r="L750" s="67">
        <f t="shared" si="70"/>
        <v>853.409090909091</v>
      </c>
      <c r="M750" s="73">
        <f t="shared" si="74"/>
        <v>0</v>
      </c>
      <c r="N750" s="66">
        <f t="shared" si="75"/>
        <v>0</v>
      </c>
      <c r="O750" s="52">
        <f t="shared" si="71"/>
        <v>0</v>
      </c>
      <c r="P750" s="52">
        <f t="shared" si="72"/>
        <v>0</v>
      </c>
      <c r="Q750" s="68">
        <f t="shared" si="73"/>
        <v>8.04642857142857</v>
      </c>
    </row>
    <row r="751" s="2" customFormat="1" spans="1:17">
      <c r="A751" s="61">
        <v>45398</v>
      </c>
      <c r="B751" s="18">
        <v>213.97</v>
      </c>
      <c r="C751" s="19">
        <v>247</v>
      </c>
      <c r="D751" s="19">
        <v>87</v>
      </c>
      <c r="E751" s="19">
        <v>0</v>
      </c>
      <c r="F751" s="18">
        <v>0</v>
      </c>
      <c r="G751" s="19">
        <v>23</v>
      </c>
      <c r="H751" s="19">
        <v>3</v>
      </c>
      <c r="I751" s="19">
        <v>0</v>
      </c>
      <c r="J751" s="66">
        <f t="shared" si="68"/>
        <v>0.352226720647773</v>
      </c>
      <c r="K751" s="67">
        <f t="shared" si="69"/>
        <v>2.45942528735632</v>
      </c>
      <c r="L751" s="67">
        <f t="shared" si="70"/>
        <v>866.275303643725</v>
      </c>
      <c r="M751" s="73">
        <f t="shared" si="74"/>
        <v>0</v>
      </c>
      <c r="N751" s="66">
        <f t="shared" si="75"/>
        <v>0</v>
      </c>
      <c r="O751" s="52">
        <f t="shared" si="71"/>
        <v>0</v>
      </c>
      <c r="P751" s="52">
        <f t="shared" si="72"/>
        <v>0</v>
      </c>
      <c r="Q751" s="68">
        <f t="shared" si="73"/>
        <v>9.30304347826087</v>
      </c>
    </row>
    <row r="752" s="2" customFormat="1" spans="1:17">
      <c r="A752" s="61">
        <v>45399</v>
      </c>
      <c r="B752" s="18">
        <v>273.75</v>
      </c>
      <c r="C752" s="19">
        <v>316</v>
      </c>
      <c r="D752" s="19">
        <v>123</v>
      </c>
      <c r="E752" s="19">
        <v>1</v>
      </c>
      <c r="F752" s="18">
        <v>10074</v>
      </c>
      <c r="G752" s="19">
        <v>38</v>
      </c>
      <c r="H752" s="19">
        <v>4</v>
      </c>
      <c r="I752" s="19">
        <v>5</v>
      </c>
      <c r="J752" s="66">
        <f t="shared" si="68"/>
        <v>0.389240506329114</v>
      </c>
      <c r="K752" s="67">
        <f t="shared" si="69"/>
        <v>2.22560975609756</v>
      </c>
      <c r="L752" s="67">
        <f t="shared" si="70"/>
        <v>866.29746835443</v>
      </c>
      <c r="M752" s="73">
        <f t="shared" si="74"/>
        <v>36.8</v>
      </c>
      <c r="N752" s="66">
        <f t="shared" si="75"/>
        <v>0.00813008130081301</v>
      </c>
      <c r="O752" s="52">
        <f t="shared" si="71"/>
        <v>10074</v>
      </c>
      <c r="P752" s="52">
        <f t="shared" si="72"/>
        <v>273.75</v>
      </c>
      <c r="Q752" s="68">
        <f t="shared" si="73"/>
        <v>7.20394736842105</v>
      </c>
    </row>
    <row r="753" s="2" customFormat="1" spans="1:17">
      <c r="A753" s="61">
        <v>45400</v>
      </c>
      <c r="B753" s="18">
        <v>227.06</v>
      </c>
      <c r="C753" s="19">
        <v>270</v>
      </c>
      <c r="D753" s="19">
        <v>92</v>
      </c>
      <c r="E753" s="19">
        <v>0</v>
      </c>
      <c r="F753" s="18">
        <v>0</v>
      </c>
      <c r="G753" s="19">
        <v>21</v>
      </c>
      <c r="H753" s="19">
        <v>2</v>
      </c>
      <c r="I753" s="19">
        <v>6</v>
      </c>
      <c r="J753" s="66">
        <f t="shared" si="68"/>
        <v>0.340740740740741</v>
      </c>
      <c r="K753" s="67">
        <f t="shared" si="69"/>
        <v>2.46804347826087</v>
      </c>
      <c r="L753" s="67">
        <f t="shared" si="70"/>
        <v>840.962962962963</v>
      </c>
      <c r="M753" s="73">
        <f t="shared" si="74"/>
        <v>0</v>
      </c>
      <c r="N753" s="66">
        <f t="shared" si="75"/>
        <v>0</v>
      </c>
      <c r="O753" s="52">
        <f t="shared" si="71"/>
        <v>0</v>
      </c>
      <c r="P753" s="52">
        <f t="shared" si="72"/>
        <v>0</v>
      </c>
      <c r="Q753" s="68">
        <f t="shared" si="73"/>
        <v>10.812380952381</v>
      </c>
    </row>
    <row r="754" s="2" customFormat="1" spans="1:17">
      <c r="A754" s="61">
        <v>45401</v>
      </c>
      <c r="B754" s="18">
        <v>172.22</v>
      </c>
      <c r="C754" s="19">
        <v>200</v>
      </c>
      <c r="D754" s="19">
        <v>69</v>
      </c>
      <c r="E754" s="19">
        <v>2</v>
      </c>
      <c r="F754" s="18">
        <v>46417</v>
      </c>
      <c r="G754" s="19">
        <v>14</v>
      </c>
      <c r="H754" s="19">
        <v>7</v>
      </c>
      <c r="I754" s="19">
        <v>2</v>
      </c>
      <c r="J754" s="66">
        <f t="shared" si="68"/>
        <v>0.345</v>
      </c>
      <c r="K754" s="67">
        <f t="shared" si="69"/>
        <v>2.49594202898551</v>
      </c>
      <c r="L754" s="67">
        <f t="shared" si="70"/>
        <v>861.1</v>
      </c>
      <c r="M754" s="73">
        <f t="shared" si="74"/>
        <v>269.521542213448</v>
      </c>
      <c r="N754" s="66">
        <f t="shared" si="75"/>
        <v>0.0289855072463768</v>
      </c>
      <c r="O754" s="52">
        <f t="shared" si="71"/>
        <v>23208.5</v>
      </c>
      <c r="P754" s="52">
        <f t="shared" si="72"/>
        <v>86.11</v>
      </c>
      <c r="Q754" s="68">
        <f t="shared" si="73"/>
        <v>12.3014285714286</v>
      </c>
    </row>
    <row r="755" s="2" customFormat="1" spans="1:17">
      <c r="A755" s="61">
        <v>45402</v>
      </c>
      <c r="B755" s="18">
        <v>159.15</v>
      </c>
      <c r="C755" s="19">
        <v>204</v>
      </c>
      <c r="D755" s="19">
        <v>71</v>
      </c>
      <c r="E755" s="19">
        <v>0</v>
      </c>
      <c r="F755" s="18">
        <v>0</v>
      </c>
      <c r="G755" s="19">
        <v>17</v>
      </c>
      <c r="H755" s="19">
        <v>1</v>
      </c>
      <c r="I755" s="19">
        <v>2</v>
      </c>
      <c r="J755" s="66">
        <f t="shared" si="68"/>
        <v>0.348039215686274</v>
      </c>
      <c r="K755" s="67">
        <f t="shared" si="69"/>
        <v>2.24154929577465</v>
      </c>
      <c r="L755" s="67">
        <f t="shared" si="70"/>
        <v>780.147058823529</v>
      </c>
      <c r="M755" s="73">
        <f t="shared" si="74"/>
        <v>0</v>
      </c>
      <c r="N755" s="66">
        <f t="shared" si="75"/>
        <v>0</v>
      </c>
      <c r="O755" s="52">
        <f t="shared" si="71"/>
        <v>0</v>
      </c>
      <c r="P755" s="52">
        <f t="shared" si="72"/>
        <v>0</v>
      </c>
      <c r="Q755" s="68">
        <f t="shared" si="73"/>
        <v>9.36176470588235</v>
      </c>
    </row>
    <row r="756" s="2" customFormat="1" spans="1:17">
      <c r="A756" s="61">
        <v>45403</v>
      </c>
      <c r="B756" s="18">
        <v>187.17</v>
      </c>
      <c r="C756" s="19">
        <v>232</v>
      </c>
      <c r="D756" s="19">
        <v>96</v>
      </c>
      <c r="E756" s="19">
        <v>0</v>
      </c>
      <c r="F756" s="18">
        <v>0</v>
      </c>
      <c r="G756" s="19">
        <v>26</v>
      </c>
      <c r="H756" s="19">
        <v>0</v>
      </c>
      <c r="I756" s="19">
        <v>5</v>
      </c>
      <c r="J756" s="66">
        <f t="shared" si="68"/>
        <v>0.413793103448276</v>
      </c>
      <c r="K756" s="67">
        <f t="shared" si="69"/>
        <v>1.9496875</v>
      </c>
      <c r="L756" s="67">
        <f t="shared" si="70"/>
        <v>806.76724137931</v>
      </c>
      <c r="M756" s="73">
        <f t="shared" si="74"/>
        <v>0</v>
      </c>
      <c r="N756" s="66">
        <f t="shared" si="75"/>
        <v>0</v>
      </c>
      <c r="O756" s="52">
        <f t="shared" si="71"/>
        <v>0</v>
      </c>
      <c r="P756" s="52">
        <f t="shared" si="72"/>
        <v>0</v>
      </c>
      <c r="Q756" s="68">
        <f t="shared" si="73"/>
        <v>7.19884615384615</v>
      </c>
    </row>
    <row r="757" s="2" customFormat="1" spans="1:17">
      <c r="A757" s="61">
        <v>45404</v>
      </c>
      <c r="B757" s="18">
        <v>249.7</v>
      </c>
      <c r="C757" s="19">
        <v>283</v>
      </c>
      <c r="D757" s="19">
        <v>104</v>
      </c>
      <c r="E757" s="19">
        <v>0</v>
      </c>
      <c r="F757" s="18">
        <v>0</v>
      </c>
      <c r="G757" s="19">
        <v>28</v>
      </c>
      <c r="H757" s="19">
        <v>1</v>
      </c>
      <c r="I757" s="19">
        <v>3</v>
      </c>
      <c r="J757" s="66">
        <f t="shared" si="68"/>
        <v>0.367491166077739</v>
      </c>
      <c r="K757" s="67">
        <f t="shared" si="69"/>
        <v>2.40096153846154</v>
      </c>
      <c r="L757" s="67">
        <f t="shared" si="70"/>
        <v>882.332155477032</v>
      </c>
      <c r="M757" s="73">
        <f t="shared" si="74"/>
        <v>0</v>
      </c>
      <c r="N757" s="66">
        <f t="shared" si="75"/>
        <v>0</v>
      </c>
      <c r="O757" s="52">
        <f t="shared" si="71"/>
        <v>0</v>
      </c>
      <c r="P757" s="52">
        <f t="shared" si="72"/>
        <v>0</v>
      </c>
      <c r="Q757" s="68">
        <f t="shared" si="73"/>
        <v>8.91785714285714</v>
      </c>
    </row>
    <row r="758" s="2" customFormat="1" spans="1:17">
      <c r="A758" s="61">
        <v>45405</v>
      </c>
      <c r="B758" s="18">
        <v>213.94</v>
      </c>
      <c r="C758" s="19">
        <v>245</v>
      </c>
      <c r="D758" s="19">
        <v>97</v>
      </c>
      <c r="E758" s="19">
        <v>0</v>
      </c>
      <c r="F758" s="18">
        <v>0</v>
      </c>
      <c r="G758" s="19">
        <v>15</v>
      </c>
      <c r="H758" s="19">
        <v>3</v>
      </c>
      <c r="I758" s="19">
        <v>6</v>
      </c>
      <c r="J758" s="66">
        <f t="shared" si="68"/>
        <v>0.395918367346939</v>
      </c>
      <c r="K758" s="67">
        <f t="shared" si="69"/>
        <v>2.20556701030928</v>
      </c>
      <c r="L758" s="67">
        <f t="shared" si="70"/>
        <v>873.224489795918</v>
      </c>
      <c r="M758" s="73">
        <f t="shared" si="74"/>
        <v>0</v>
      </c>
      <c r="N758" s="66">
        <f t="shared" si="75"/>
        <v>0</v>
      </c>
      <c r="O758" s="52">
        <f t="shared" si="71"/>
        <v>0</v>
      </c>
      <c r="P758" s="52">
        <f t="shared" si="72"/>
        <v>0</v>
      </c>
      <c r="Q758" s="68">
        <f t="shared" si="73"/>
        <v>14.2626666666667</v>
      </c>
    </row>
    <row r="759" s="2" customFormat="1" spans="1:17">
      <c r="A759" s="61">
        <v>45406</v>
      </c>
      <c r="B759" s="18">
        <v>217.48</v>
      </c>
      <c r="C759" s="19">
        <v>260</v>
      </c>
      <c r="D759" s="19">
        <v>87</v>
      </c>
      <c r="E759" s="19">
        <v>0</v>
      </c>
      <c r="F759" s="18">
        <v>0</v>
      </c>
      <c r="G759" s="19">
        <v>18</v>
      </c>
      <c r="H759" s="19">
        <v>1</v>
      </c>
      <c r="I759" s="19">
        <v>6</v>
      </c>
      <c r="J759" s="66">
        <f t="shared" si="68"/>
        <v>0.334615384615385</v>
      </c>
      <c r="K759" s="67">
        <f t="shared" si="69"/>
        <v>2.49977011494253</v>
      </c>
      <c r="L759" s="67">
        <f t="shared" si="70"/>
        <v>836.461538461538</v>
      </c>
      <c r="M759" s="73">
        <f t="shared" si="74"/>
        <v>0</v>
      </c>
      <c r="N759" s="66">
        <f t="shared" si="75"/>
        <v>0</v>
      </c>
      <c r="O759" s="52">
        <f t="shared" si="71"/>
        <v>0</v>
      </c>
      <c r="P759" s="52">
        <f t="shared" si="72"/>
        <v>0</v>
      </c>
      <c r="Q759" s="68">
        <f t="shared" si="73"/>
        <v>12.0822222222222</v>
      </c>
    </row>
    <row r="760" s="2" customFormat="1" spans="1:17">
      <c r="A760" s="61">
        <v>45407</v>
      </c>
      <c r="B760" s="18">
        <v>216.36</v>
      </c>
      <c r="C760" s="19">
        <v>238</v>
      </c>
      <c r="D760" s="19">
        <v>86</v>
      </c>
      <c r="E760" s="19">
        <v>2</v>
      </c>
      <c r="F760" s="18">
        <v>23773</v>
      </c>
      <c r="G760" s="19">
        <v>21</v>
      </c>
      <c r="H760" s="19">
        <v>1</v>
      </c>
      <c r="I760" s="19">
        <v>4</v>
      </c>
      <c r="J760" s="66">
        <f t="shared" si="68"/>
        <v>0.361344537815126</v>
      </c>
      <c r="K760" s="67">
        <f t="shared" si="69"/>
        <v>2.51581395348837</v>
      </c>
      <c r="L760" s="67">
        <f t="shared" si="70"/>
        <v>909.075630252101</v>
      </c>
      <c r="M760" s="73">
        <f t="shared" si="74"/>
        <v>109.877056757256</v>
      </c>
      <c r="N760" s="66">
        <f t="shared" si="75"/>
        <v>0.0232558139534884</v>
      </c>
      <c r="O760" s="52">
        <f t="shared" si="71"/>
        <v>11886.5</v>
      </c>
      <c r="P760" s="52">
        <f t="shared" si="72"/>
        <v>108.18</v>
      </c>
      <c r="Q760" s="68">
        <f t="shared" si="73"/>
        <v>10.3028571428571</v>
      </c>
    </row>
    <row r="761" s="2" customFormat="1" spans="1:17">
      <c r="A761" s="61">
        <v>45408</v>
      </c>
      <c r="B761" s="18">
        <v>332.78</v>
      </c>
      <c r="C761" s="19">
        <v>409</v>
      </c>
      <c r="D761" s="19">
        <v>207</v>
      </c>
      <c r="E761" s="19">
        <v>1</v>
      </c>
      <c r="F761" s="18">
        <v>7682</v>
      </c>
      <c r="G761" s="19">
        <v>57</v>
      </c>
      <c r="H761" s="19">
        <v>3</v>
      </c>
      <c r="I761" s="19">
        <v>17</v>
      </c>
      <c r="J761" s="66">
        <f t="shared" si="68"/>
        <v>0.506112469437653</v>
      </c>
      <c r="K761" s="67">
        <f t="shared" si="69"/>
        <v>1.60763285024155</v>
      </c>
      <c r="L761" s="67">
        <f t="shared" si="70"/>
        <v>813.643031784841</v>
      </c>
      <c r="M761" s="73">
        <f t="shared" si="74"/>
        <v>23.0843199711521</v>
      </c>
      <c r="N761" s="66">
        <f t="shared" si="75"/>
        <v>0.00483091787439614</v>
      </c>
      <c r="O761" s="52">
        <f t="shared" si="71"/>
        <v>7682</v>
      </c>
      <c r="P761" s="52">
        <f t="shared" si="72"/>
        <v>332.78</v>
      </c>
      <c r="Q761" s="68">
        <f t="shared" si="73"/>
        <v>5.83824561403509</v>
      </c>
    </row>
    <row r="762" s="2" customFormat="1" spans="1:17">
      <c r="A762" s="61">
        <v>45409</v>
      </c>
      <c r="B762" s="18">
        <v>270.76</v>
      </c>
      <c r="C762" s="19">
        <v>314</v>
      </c>
      <c r="D762" s="19">
        <v>128</v>
      </c>
      <c r="E762" s="19">
        <v>0</v>
      </c>
      <c r="F762" s="18">
        <v>0</v>
      </c>
      <c r="G762" s="19">
        <v>38</v>
      </c>
      <c r="H762" s="19">
        <v>3</v>
      </c>
      <c r="I762" s="19">
        <v>7</v>
      </c>
      <c r="J762" s="66">
        <f t="shared" si="68"/>
        <v>0.407643312101911</v>
      </c>
      <c r="K762" s="67">
        <f t="shared" si="69"/>
        <v>2.1153125</v>
      </c>
      <c r="L762" s="67">
        <f t="shared" si="70"/>
        <v>862.292993630573</v>
      </c>
      <c r="M762" s="73">
        <f t="shared" si="74"/>
        <v>0</v>
      </c>
      <c r="N762" s="66">
        <f t="shared" si="75"/>
        <v>0</v>
      </c>
      <c r="O762" s="52">
        <f t="shared" si="71"/>
        <v>0</v>
      </c>
      <c r="P762" s="52">
        <f t="shared" si="72"/>
        <v>0</v>
      </c>
      <c r="Q762" s="68">
        <f t="shared" si="73"/>
        <v>7.12526315789474</v>
      </c>
    </row>
    <row r="763" s="2" customFormat="1" spans="1:17">
      <c r="A763" s="61">
        <v>45410</v>
      </c>
      <c r="B763" s="18">
        <v>328.68</v>
      </c>
      <c r="C763" s="19">
        <v>393</v>
      </c>
      <c r="D763" s="19">
        <v>175</v>
      </c>
      <c r="E763" s="19">
        <v>0</v>
      </c>
      <c r="F763" s="18">
        <v>0</v>
      </c>
      <c r="G763" s="19">
        <v>34</v>
      </c>
      <c r="H763" s="19">
        <v>2</v>
      </c>
      <c r="I763" s="19">
        <v>4</v>
      </c>
      <c r="J763" s="66">
        <f t="shared" si="68"/>
        <v>0.44529262086514</v>
      </c>
      <c r="K763" s="67">
        <f t="shared" si="69"/>
        <v>1.87817142857143</v>
      </c>
      <c r="L763" s="67">
        <f t="shared" si="70"/>
        <v>836.335877862595</v>
      </c>
      <c r="M763" s="73">
        <f t="shared" si="74"/>
        <v>0</v>
      </c>
      <c r="N763" s="66">
        <f t="shared" si="75"/>
        <v>0</v>
      </c>
      <c r="O763" s="52">
        <f t="shared" si="71"/>
        <v>0</v>
      </c>
      <c r="P763" s="52">
        <f t="shared" si="72"/>
        <v>0</v>
      </c>
      <c r="Q763" s="68">
        <f t="shared" si="73"/>
        <v>9.66705882352941</v>
      </c>
    </row>
    <row r="764" s="2" customFormat="1" spans="1:17">
      <c r="A764" s="61">
        <v>45411</v>
      </c>
      <c r="B764" s="18">
        <v>310.61</v>
      </c>
      <c r="C764" s="19">
        <v>377</v>
      </c>
      <c r="D764" s="19">
        <v>148</v>
      </c>
      <c r="E764" s="19">
        <v>0</v>
      </c>
      <c r="F764" s="18">
        <v>0</v>
      </c>
      <c r="G764" s="19">
        <v>42</v>
      </c>
      <c r="H764" s="19">
        <v>6</v>
      </c>
      <c r="I764" s="19">
        <v>5</v>
      </c>
      <c r="J764" s="66">
        <f t="shared" si="68"/>
        <v>0.392572944297082</v>
      </c>
      <c r="K764" s="67">
        <f t="shared" si="69"/>
        <v>2.09871621621622</v>
      </c>
      <c r="L764" s="67">
        <f t="shared" si="70"/>
        <v>823.899204244032</v>
      </c>
      <c r="M764" s="73">
        <f t="shared" si="74"/>
        <v>0</v>
      </c>
      <c r="N764" s="66">
        <f t="shared" si="75"/>
        <v>0</v>
      </c>
      <c r="O764" s="52">
        <f t="shared" si="71"/>
        <v>0</v>
      </c>
      <c r="P764" s="52">
        <f t="shared" si="72"/>
        <v>0</v>
      </c>
      <c r="Q764" s="68">
        <f t="shared" si="73"/>
        <v>7.39547619047619</v>
      </c>
    </row>
    <row r="765" s="2" customFormat="1" spans="1:17">
      <c r="A765" s="61">
        <v>45412</v>
      </c>
      <c r="B765" s="18">
        <v>273.82</v>
      </c>
      <c r="C765" s="19">
        <v>328</v>
      </c>
      <c r="D765" s="19">
        <v>162</v>
      </c>
      <c r="E765" s="19">
        <v>5</v>
      </c>
      <c r="F765" s="18">
        <v>14985</v>
      </c>
      <c r="G765" s="19">
        <v>30</v>
      </c>
      <c r="H765" s="19">
        <v>6</v>
      </c>
      <c r="I765" s="19">
        <v>8</v>
      </c>
      <c r="J765" s="66">
        <f t="shared" si="68"/>
        <v>0.49390243902439</v>
      </c>
      <c r="K765" s="67">
        <f t="shared" si="69"/>
        <v>1.69024691358025</v>
      </c>
      <c r="L765" s="67">
        <f t="shared" si="70"/>
        <v>834.817073170732</v>
      </c>
      <c r="M765" s="73">
        <f t="shared" si="74"/>
        <v>54.7257322328537</v>
      </c>
      <c r="N765" s="66">
        <f t="shared" si="75"/>
        <v>0.0308641975308642</v>
      </c>
      <c r="O765" s="52">
        <f t="shared" si="71"/>
        <v>2997</v>
      </c>
      <c r="P765" s="52">
        <f t="shared" si="72"/>
        <v>54.764</v>
      </c>
      <c r="Q765" s="68">
        <f t="shared" si="73"/>
        <v>9.12733333333333</v>
      </c>
    </row>
    <row r="766" s="2" customFormat="1" spans="1:17">
      <c r="A766" s="61">
        <v>45413</v>
      </c>
      <c r="B766" s="18">
        <v>321.15</v>
      </c>
      <c r="C766" s="19">
        <v>451</v>
      </c>
      <c r="D766" s="19">
        <v>210</v>
      </c>
      <c r="E766" s="19">
        <v>1</v>
      </c>
      <c r="F766" s="18">
        <v>15358</v>
      </c>
      <c r="G766" s="19">
        <v>55</v>
      </c>
      <c r="H766" s="19">
        <v>11</v>
      </c>
      <c r="I766" s="19">
        <v>24</v>
      </c>
      <c r="J766" s="66">
        <f t="shared" si="68"/>
        <v>0.465631929046563</v>
      </c>
      <c r="K766" s="67">
        <f t="shared" si="69"/>
        <v>1.52928571428571</v>
      </c>
      <c r="L766" s="67">
        <f t="shared" si="70"/>
        <v>712.084257206208</v>
      </c>
      <c r="M766" s="73">
        <f t="shared" si="74"/>
        <v>47.821890082516</v>
      </c>
      <c r="N766" s="66">
        <f t="shared" si="75"/>
        <v>0.00476190476190476</v>
      </c>
      <c r="O766" s="52">
        <f t="shared" si="71"/>
        <v>15358</v>
      </c>
      <c r="P766" s="52">
        <f t="shared" si="72"/>
        <v>321.15</v>
      </c>
      <c r="Q766" s="68">
        <f t="shared" si="73"/>
        <v>5.83909090909091</v>
      </c>
    </row>
    <row r="767" s="2" customFormat="1" spans="1:17">
      <c r="A767" s="61">
        <v>45414</v>
      </c>
      <c r="B767" s="18">
        <v>519.32</v>
      </c>
      <c r="C767" s="19">
        <v>783</v>
      </c>
      <c r="D767" s="19">
        <v>503</v>
      </c>
      <c r="E767" s="19">
        <v>0</v>
      </c>
      <c r="F767" s="18">
        <v>0</v>
      </c>
      <c r="G767" s="19">
        <v>106</v>
      </c>
      <c r="H767" s="19">
        <v>22</v>
      </c>
      <c r="I767" s="19">
        <v>51</v>
      </c>
      <c r="J767" s="66">
        <f t="shared" si="68"/>
        <v>0.642401021711367</v>
      </c>
      <c r="K767" s="67">
        <f t="shared" si="69"/>
        <v>1.03244532803181</v>
      </c>
      <c r="L767" s="67">
        <f t="shared" si="70"/>
        <v>663.243933588761</v>
      </c>
      <c r="M767" s="73">
        <f t="shared" si="74"/>
        <v>0</v>
      </c>
      <c r="N767" s="66">
        <f t="shared" si="75"/>
        <v>0</v>
      </c>
      <c r="O767" s="52">
        <f t="shared" si="71"/>
        <v>0</v>
      </c>
      <c r="P767" s="52">
        <f t="shared" si="72"/>
        <v>0</v>
      </c>
      <c r="Q767" s="68">
        <f t="shared" si="73"/>
        <v>4.89924528301887</v>
      </c>
    </row>
    <row r="768" s="2" customFormat="1" spans="1:17">
      <c r="A768" s="61">
        <v>45415</v>
      </c>
      <c r="B768" s="18">
        <v>370.08</v>
      </c>
      <c r="C768" s="19">
        <v>539</v>
      </c>
      <c r="D768" s="19">
        <v>318</v>
      </c>
      <c r="E768" s="19">
        <v>0</v>
      </c>
      <c r="F768" s="18">
        <v>0</v>
      </c>
      <c r="G768" s="19">
        <v>72</v>
      </c>
      <c r="H768" s="19">
        <v>9</v>
      </c>
      <c r="I768" s="19">
        <v>24</v>
      </c>
      <c r="J768" s="66">
        <f t="shared" ref="J768:J802" si="76">D768/C768</f>
        <v>0.589981447124304</v>
      </c>
      <c r="K768" s="67">
        <f t="shared" ref="K768:K802" si="77">B768/D768</f>
        <v>1.16377358490566</v>
      </c>
      <c r="L768" s="67">
        <f t="shared" ref="L768:L802" si="78">B768/C768*1000</f>
        <v>686.604823747681</v>
      </c>
      <c r="M768" s="73">
        <f t="shared" si="74"/>
        <v>0</v>
      </c>
      <c r="N768" s="66">
        <f t="shared" si="75"/>
        <v>0</v>
      </c>
      <c r="O768" s="52">
        <f t="shared" si="71"/>
        <v>0</v>
      </c>
      <c r="P768" s="52">
        <f t="shared" si="72"/>
        <v>0</v>
      </c>
      <c r="Q768" s="68">
        <f t="shared" si="73"/>
        <v>5.14</v>
      </c>
    </row>
    <row r="769" s="2" customFormat="1" spans="1:17">
      <c r="A769" s="61">
        <v>45416</v>
      </c>
      <c r="B769" s="18">
        <v>454.01</v>
      </c>
      <c r="C769" s="19">
        <v>626</v>
      </c>
      <c r="D769" s="19">
        <v>351</v>
      </c>
      <c r="E769" s="19">
        <v>0</v>
      </c>
      <c r="F769" s="18">
        <v>0</v>
      </c>
      <c r="G769" s="19">
        <v>63</v>
      </c>
      <c r="H769" s="19">
        <v>11</v>
      </c>
      <c r="I769" s="19">
        <v>20</v>
      </c>
      <c r="J769" s="66">
        <f t="shared" si="76"/>
        <v>0.560702875399361</v>
      </c>
      <c r="K769" s="67">
        <f t="shared" si="77"/>
        <v>1.29347578347578</v>
      </c>
      <c r="L769" s="67">
        <f t="shared" si="78"/>
        <v>725.255591054313</v>
      </c>
      <c r="M769" s="73">
        <f t="shared" si="74"/>
        <v>0</v>
      </c>
      <c r="N769" s="66">
        <f t="shared" si="75"/>
        <v>0</v>
      </c>
      <c r="O769" s="52">
        <f t="shared" si="71"/>
        <v>0</v>
      </c>
      <c r="P769" s="52">
        <f t="shared" si="72"/>
        <v>0</v>
      </c>
      <c r="Q769" s="68">
        <f t="shared" si="73"/>
        <v>7.20650793650794</v>
      </c>
    </row>
    <row r="770" s="2" customFormat="1" spans="1:17">
      <c r="A770" s="61">
        <v>45417</v>
      </c>
      <c r="B770" s="18">
        <v>462.82</v>
      </c>
      <c r="C770" s="19">
        <v>589</v>
      </c>
      <c r="D770" s="19">
        <v>301</v>
      </c>
      <c r="E770" s="19">
        <v>0</v>
      </c>
      <c r="F770" s="18">
        <v>0</v>
      </c>
      <c r="G770" s="19">
        <v>72</v>
      </c>
      <c r="H770" s="19">
        <v>13</v>
      </c>
      <c r="I770" s="19">
        <v>22</v>
      </c>
      <c r="J770" s="66">
        <f t="shared" si="76"/>
        <v>0.511035653650255</v>
      </c>
      <c r="K770" s="67">
        <f t="shared" si="77"/>
        <v>1.53760797342193</v>
      </c>
      <c r="L770" s="67">
        <f t="shared" si="78"/>
        <v>785.772495755518</v>
      </c>
      <c r="M770" s="73">
        <f t="shared" si="74"/>
        <v>0</v>
      </c>
      <c r="N770" s="66">
        <f t="shared" si="75"/>
        <v>0</v>
      </c>
      <c r="O770" s="52">
        <f t="shared" ref="O770:O802" si="79">IF(E770=0,0,F770/E770)</f>
        <v>0</v>
      </c>
      <c r="P770" s="52">
        <f t="shared" ref="P770:P802" si="80">IF(E770=0,0,B770/E770)</f>
        <v>0</v>
      </c>
      <c r="Q770" s="68">
        <f t="shared" si="73"/>
        <v>6.42805555555556</v>
      </c>
    </row>
    <row r="771" s="2" customFormat="1" spans="1:17">
      <c r="A771" s="61">
        <v>45418</v>
      </c>
      <c r="B771" s="18">
        <v>628.55</v>
      </c>
      <c r="C771" s="19">
        <v>766</v>
      </c>
      <c r="D771" s="19">
        <v>410</v>
      </c>
      <c r="E771" s="19">
        <v>0</v>
      </c>
      <c r="F771" s="18">
        <v>0</v>
      </c>
      <c r="G771" s="19">
        <v>83</v>
      </c>
      <c r="H771" s="19">
        <v>9</v>
      </c>
      <c r="I771" s="19">
        <v>31</v>
      </c>
      <c r="J771" s="66">
        <f t="shared" si="76"/>
        <v>0.535248041775457</v>
      </c>
      <c r="K771" s="67">
        <f t="shared" si="77"/>
        <v>1.5330487804878</v>
      </c>
      <c r="L771" s="67">
        <f t="shared" si="78"/>
        <v>820.56135770235</v>
      </c>
      <c r="M771" s="73">
        <f t="shared" si="74"/>
        <v>0</v>
      </c>
      <c r="N771" s="66">
        <f t="shared" si="75"/>
        <v>0</v>
      </c>
      <c r="O771" s="52">
        <f t="shared" si="79"/>
        <v>0</v>
      </c>
      <c r="P771" s="52">
        <f t="shared" si="80"/>
        <v>0</v>
      </c>
      <c r="Q771" s="68">
        <f t="shared" ref="Q771:Q802" si="81">B771/G771</f>
        <v>7.57289156626506</v>
      </c>
    </row>
    <row r="772" s="2" customFormat="1" spans="1:17">
      <c r="A772" s="61">
        <v>45419</v>
      </c>
      <c r="B772" s="18">
        <v>500.83</v>
      </c>
      <c r="C772" s="19">
        <v>633</v>
      </c>
      <c r="D772" s="19">
        <v>359</v>
      </c>
      <c r="E772" s="19">
        <v>5</v>
      </c>
      <c r="F772" s="18">
        <v>34349.81</v>
      </c>
      <c r="G772" s="19">
        <v>72</v>
      </c>
      <c r="H772" s="19">
        <v>1</v>
      </c>
      <c r="I772" s="19">
        <v>29</v>
      </c>
      <c r="J772" s="66">
        <f t="shared" si="76"/>
        <v>0.567140600315956</v>
      </c>
      <c r="K772" s="67">
        <f t="shared" si="77"/>
        <v>1.39506963788301</v>
      </c>
      <c r="L772" s="67">
        <f t="shared" si="78"/>
        <v>791.200631911532</v>
      </c>
      <c r="M772" s="73">
        <f t="shared" si="74"/>
        <v>68.5857676257413</v>
      </c>
      <c r="N772" s="66">
        <f t="shared" si="75"/>
        <v>0.0139275766016713</v>
      </c>
      <c r="O772" s="52">
        <f t="shared" si="79"/>
        <v>6869.962</v>
      </c>
      <c r="P772" s="52">
        <f t="shared" si="80"/>
        <v>100.166</v>
      </c>
      <c r="Q772" s="68">
        <f t="shared" si="81"/>
        <v>6.95597222222222</v>
      </c>
    </row>
    <row r="773" s="2" customFormat="1" spans="1:17">
      <c r="A773" s="61">
        <v>45420</v>
      </c>
      <c r="B773" s="18">
        <v>406.57</v>
      </c>
      <c r="C773" s="19">
        <v>519</v>
      </c>
      <c r="D773" s="19">
        <v>252</v>
      </c>
      <c r="E773" s="19">
        <v>2</v>
      </c>
      <c r="F773" s="18">
        <v>23588</v>
      </c>
      <c r="G773" s="19">
        <v>52</v>
      </c>
      <c r="H773" s="19">
        <v>7</v>
      </c>
      <c r="I773" s="19">
        <v>13</v>
      </c>
      <c r="J773" s="66">
        <f t="shared" si="76"/>
        <v>0.485549132947977</v>
      </c>
      <c r="K773" s="67">
        <f t="shared" si="77"/>
        <v>1.61337301587302</v>
      </c>
      <c r="L773" s="67">
        <f t="shared" si="78"/>
        <v>783.371868978805</v>
      </c>
      <c r="M773" s="73">
        <f t="shared" si="74"/>
        <v>58.0170696313058</v>
      </c>
      <c r="N773" s="66">
        <f t="shared" si="75"/>
        <v>0.00793650793650794</v>
      </c>
      <c r="O773" s="52">
        <f t="shared" si="79"/>
        <v>11794</v>
      </c>
      <c r="P773" s="52">
        <f t="shared" si="80"/>
        <v>203.285</v>
      </c>
      <c r="Q773" s="68">
        <f t="shared" si="81"/>
        <v>7.81865384615385</v>
      </c>
    </row>
    <row r="774" s="2" customFormat="1" spans="1:17">
      <c r="A774" s="61">
        <v>45421</v>
      </c>
      <c r="B774" s="18">
        <v>378.71</v>
      </c>
      <c r="C774" s="19">
        <v>451</v>
      </c>
      <c r="D774" s="19">
        <v>181</v>
      </c>
      <c r="E774" s="19">
        <v>0</v>
      </c>
      <c r="F774" s="18">
        <v>0</v>
      </c>
      <c r="G774" s="19">
        <v>31</v>
      </c>
      <c r="H774" s="19">
        <v>3</v>
      </c>
      <c r="I774" s="19">
        <v>10</v>
      </c>
      <c r="J774" s="66">
        <f t="shared" si="76"/>
        <v>0.401330376940133</v>
      </c>
      <c r="K774" s="67">
        <f t="shared" si="77"/>
        <v>2.09232044198895</v>
      </c>
      <c r="L774" s="67">
        <f t="shared" si="78"/>
        <v>839.711751662971</v>
      </c>
      <c r="M774" s="73">
        <f t="shared" si="74"/>
        <v>0</v>
      </c>
      <c r="N774" s="66">
        <f t="shared" si="75"/>
        <v>0</v>
      </c>
      <c r="O774" s="52">
        <f t="shared" si="79"/>
        <v>0</v>
      </c>
      <c r="P774" s="52">
        <f t="shared" si="80"/>
        <v>0</v>
      </c>
      <c r="Q774" s="68">
        <f t="shared" si="81"/>
        <v>12.2164516129032</v>
      </c>
    </row>
    <row r="775" s="2" customFormat="1" spans="1:17">
      <c r="A775" s="61">
        <v>45422</v>
      </c>
      <c r="B775" s="18">
        <v>345.41</v>
      </c>
      <c r="C775" s="19">
        <v>391</v>
      </c>
      <c r="D775" s="19">
        <v>159</v>
      </c>
      <c r="E775" s="19">
        <v>4</v>
      </c>
      <c r="F775" s="18">
        <v>38674</v>
      </c>
      <c r="G775" s="19">
        <v>34</v>
      </c>
      <c r="H775" s="19">
        <v>5</v>
      </c>
      <c r="I775" s="19">
        <v>7</v>
      </c>
      <c r="J775" s="66">
        <f t="shared" si="76"/>
        <v>0.406649616368286</v>
      </c>
      <c r="K775" s="67">
        <f t="shared" si="77"/>
        <v>2.17238993710692</v>
      </c>
      <c r="L775" s="67">
        <f t="shared" si="78"/>
        <v>883.401534526854</v>
      </c>
      <c r="M775" s="73">
        <f t="shared" si="74"/>
        <v>111.965490286905</v>
      </c>
      <c r="N775" s="66">
        <f t="shared" si="75"/>
        <v>0.0251572327044025</v>
      </c>
      <c r="O775" s="52">
        <f t="shared" si="79"/>
        <v>9668.5</v>
      </c>
      <c r="P775" s="52">
        <f t="shared" si="80"/>
        <v>86.3525</v>
      </c>
      <c r="Q775" s="68">
        <f t="shared" si="81"/>
        <v>10.1591176470588</v>
      </c>
    </row>
    <row r="776" s="2" customFormat="1" spans="1:17">
      <c r="A776" s="61">
        <v>45423</v>
      </c>
      <c r="B776" s="18">
        <v>305.71</v>
      </c>
      <c r="C776" s="19">
        <v>342</v>
      </c>
      <c r="D776" s="19">
        <v>136</v>
      </c>
      <c r="E776" s="19">
        <v>2</v>
      </c>
      <c r="F776" s="18">
        <v>28185</v>
      </c>
      <c r="G776" s="19">
        <v>31</v>
      </c>
      <c r="H776" s="19">
        <v>4</v>
      </c>
      <c r="I776" s="19">
        <v>7</v>
      </c>
      <c r="J776" s="66">
        <f t="shared" si="76"/>
        <v>0.39766081871345</v>
      </c>
      <c r="K776" s="67">
        <f t="shared" si="77"/>
        <v>2.24786764705882</v>
      </c>
      <c r="L776" s="67">
        <f t="shared" si="78"/>
        <v>893.888888888889</v>
      </c>
      <c r="M776" s="73">
        <f t="shared" si="74"/>
        <v>92.1952176899676</v>
      </c>
      <c r="N776" s="66">
        <f t="shared" si="75"/>
        <v>0.0147058823529412</v>
      </c>
      <c r="O776" s="52">
        <f t="shared" si="79"/>
        <v>14092.5</v>
      </c>
      <c r="P776" s="52">
        <f t="shared" si="80"/>
        <v>152.855</v>
      </c>
      <c r="Q776" s="68">
        <f t="shared" si="81"/>
        <v>9.86161290322581</v>
      </c>
    </row>
    <row r="777" s="2" customFormat="1" spans="1:17">
      <c r="A777" s="61">
        <v>45424</v>
      </c>
      <c r="B777" s="18">
        <v>307.95</v>
      </c>
      <c r="C777" s="19">
        <v>386</v>
      </c>
      <c r="D777" s="19">
        <v>164</v>
      </c>
      <c r="E777" s="19">
        <v>0</v>
      </c>
      <c r="F777" s="18">
        <v>0</v>
      </c>
      <c r="G777" s="19">
        <v>30</v>
      </c>
      <c r="H777" s="19">
        <v>4</v>
      </c>
      <c r="I777" s="19">
        <v>3</v>
      </c>
      <c r="J777" s="66">
        <f t="shared" si="76"/>
        <v>0.424870466321244</v>
      </c>
      <c r="K777" s="67">
        <f t="shared" si="77"/>
        <v>1.87774390243902</v>
      </c>
      <c r="L777" s="67">
        <f t="shared" si="78"/>
        <v>797.79792746114</v>
      </c>
      <c r="M777" s="73">
        <f t="shared" si="74"/>
        <v>0</v>
      </c>
      <c r="N777" s="66">
        <f t="shared" si="75"/>
        <v>0</v>
      </c>
      <c r="O777" s="52">
        <f t="shared" si="79"/>
        <v>0</v>
      </c>
      <c r="P777" s="52">
        <f t="shared" si="80"/>
        <v>0</v>
      </c>
      <c r="Q777" s="68">
        <f t="shared" si="81"/>
        <v>10.265</v>
      </c>
    </row>
    <row r="778" s="2" customFormat="1" spans="1:17">
      <c r="A778" s="61">
        <v>45425</v>
      </c>
      <c r="B778" s="18">
        <v>406.38</v>
      </c>
      <c r="C778" s="19">
        <v>489</v>
      </c>
      <c r="D778" s="19">
        <v>228</v>
      </c>
      <c r="E778" s="19">
        <v>1</v>
      </c>
      <c r="F778" s="18">
        <v>9798</v>
      </c>
      <c r="G778" s="19">
        <v>31</v>
      </c>
      <c r="H778" s="19">
        <v>8</v>
      </c>
      <c r="I778" s="19">
        <v>5</v>
      </c>
      <c r="J778" s="66">
        <f t="shared" si="76"/>
        <v>0.466257668711656</v>
      </c>
      <c r="K778" s="67">
        <f t="shared" si="77"/>
        <v>1.78236842105263</v>
      </c>
      <c r="L778" s="67">
        <f t="shared" si="78"/>
        <v>831.042944785276</v>
      </c>
      <c r="M778" s="73">
        <f t="shared" si="74"/>
        <v>24.110438505832</v>
      </c>
      <c r="N778" s="66">
        <f t="shared" si="75"/>
        <v>0.0043859649122807</v>
      </c>
      <c r="O778" s="52">
        <f t="shared" si="79"/>
        <v>9798</v>
      </c>
      <c r="P778" s="52">
        <f t="shared" si="80"/>
        <v>406.38</v>
      </c>
      <c r="Q778" s="68">
        <f t="shared" si="81"/>
        <v>13.1090322580645</v>
      </c>
    </row>
    <row r="779" s="2" customFormat="1" spans="1:17">
      <c r="A779" s="61">
        <v>45426</v>
      </c>
      <c r="B779" s="18">
        <v>511.9</v>
      </c>
      <c r="C779" s="19">
        <v>601</v>
      </c>
      <c r="D779" s="19">
        <v>243</v>
      </c>
      <c r="E779" s="19">
        <v>0</v>
      </c>
      <c r="F779" s="18">
        <v>0</v>
      </c>
      <c r="G779" s="19">
        <v>46</v>
      </c>
      <c r="H779" s="19">
        <v>10</v>
      </c>
      <c r="I779" s="19">
        <v>5</v>
      </c>
      <c r="J779" s="66">
        <f t="shared" si="76"/>
        <v>0.40432612312812</v>
      </c>
      <c r="K779" s="67">
        <f t="shared" si="77"/>
        <v>2.10658436213992</v>
      </c>
      <c r="L779" s="67">
        <f t="shared" si="78"/>
        <v>851.747088186356</v>
      </c>
      <c r="M779" s="73">
        <f t="shared" si="74"/>
        <v>0</v>
      </c>
      <c r="N779" s="66">
        <f t="shared" si="75"/>
        <v>0</v>
      </c>
      <c r="O779" s="52">
        <f t="shared" si="79"/>
        <v>0</v>
      </c>
      <c r="P779" s="52">
        <f t="shared" si="80"/>
        <v>0</v>
      </c>
      <c r="Q779" s="68">
        <f t="shared" si="81"/>
        <v>11.1282608695652</v>
      </c>
    </row>
    <row r="780" s="2" customFormat="1" spans="1:17">
      <c r="A780" s="61">
        <v>45427</v>
      </c>
      <c r="B780" s="18">
        <v>439.63</v>
      </c>
      <c r="C780" s="19">
        <v>485</v>
      </c>
      <c r="D780" s="19">
        <v>231</v>
      </c>
      <c r="E780" s="19">
        <v>0</v>
      </c>
      <c r="F780" s="18">
        <v>0</v>
      </c>
      <c r="G780" s="19">
        <v>47</v>
      </c>
      <c r="H780" s="19">
        <v>9</v>
      </c>
      <c r="I780" s="19">
        <v>8</v>
      </c>
      <c r="J780" s="66">
        <f t="shared" si="76"/>
        <v>0.476288659793814</v>
      </c>
      <c r="K780" s="67">
        <f t="shared" si="77"/>
        <v>1.90316017316017</v>
      </c>
      <c r="L780" s="67">
        <f t="shared" si="78"/>
        <v>906.453608247423</v>
      </c>
      <c r="M780" s="73">
        <f t="shared" si="74"/>
        <v>0</v>
      </c>
      <c r="N780" s="66">
        <f t="shared" si="75"/>
        <v>0</v>
      </c>
      <c r="O780" s="52">
        <f t="shared" si="79"/>
        <v>0</v>
      </c>
      <c r="P780" s="52">
        <f t="shared" si="80"/>
        <v>0</v>
      </c>
      <c r="Q780" s="68">
        <f t="shared" si="81"/>
        <v>9.35382978723404</v>
      </c>
    </row>
    <row r="781" s="2" customFormat="1" spans="1:17">
      <c r="A781" s="61">
        <v>45428</v>
      </c>
      <c r="B781" s="18">
        <v>70.97</v>
      </c>
      <c r="C781" s="19">
        <v>82</v>
      </c>
      <c r="D781" s="19">
        <v>42</v>
      </c>
      <c r="E781" s="19">
        <v>0</v>
      </c>
      <c r="F781" s="18">
        <v>0</v>
      </c>
      <c r="G781" s="19">
        <v>12</v>
      </c>
      <c r="H781" s="19">
        <v>2</v>
      </c>
      <c r="I781" s="19">
        <v>1</v>
      </c>
      <c r="J781" s="66">
        <f t="shared" si="76"/>
        <v>0.51219512195122</v>
      </c>
      <c r="K781" s="67">
        <f t="shared" si="77"/>
        <v>1.6897619047619</v>
      </c>
      <c r="L781" s="67">
        <f t="shared" si="78"/>
        <v>865.487804878049</v>
      </c>
      <c r="M781" s="73">
        <f t="shared" si="74"/>
        <v>0</v>
      </c>
      <c r="N781" s="66">
        <f t="shared" si="75"/>
        <v>0</v>
      </c>
      <c r="O781" s="52">
        <f t="shared" si="79"/>
        <v>0</v>
      </c>
      <c r="P781" s="52">
        <f t="shared" si="80"/>
        <v>0</v>
      </c>
      <c r="Q781" s="68">
        <f t="shared" si="81"/>
        <v>5.91416666666667</v>
      </c>
    </row>
    <row r="782" s="2" customFormat="1" spans="1:17">
      <c r="A782" s="61">
        <v>45429</v>
      </c>
      <c r="B782" s="18">
        <v>72.64</v>
      </c>
      <c r="C782" s="19">
        <v>75</v>
      </c>
      <c r="D782" s="19">
        <v>30</v>
      </c>
      <c r="E782" s="19">
        <v>0</v>
      </c>
      <c r="F782" s="18">
        <v>0</v>
      </c>
      <c r="G782" s="19">
        <v>8</v>
      </c>
      <c r="H782" s="19">
        <v>2</v>
      </c>
      <c r="I782" s="19">
        <v>3</v>
      </c>
      <c r="J782" s="66">
        <f t="shared" si="76"/>
        <v>0.4</v>
      </c>
      <c r="K782" s="67">
        <f t="shared" si="77"/>
        <v>2.42133333333333</v>
      </c>
      <c r="L782" s="67">
        <f t="shared" si="78"/>
        <v>968.533333333333</v>
      </c>
      <c r="M782" s="73">
        <f t="shared" si="74"/>
        <v>0</v>
      </c>
      <c r="N782" s="66">
        <f t="shared" si="75"/>
        <v>0</v>
      </c>
      <c r="O782" s="52">
        <f t="shared" si="79"/>
        <v>0</v>
      </c>
      <c r="P782" s="52">
        <f t="shared" si="80"/>
        <v>0</v>
      </c>
      <c r="Q782" s="68">
        <f t="shared" si="81"/>
        <v>9.08</v>
      </c>
    </row>
    <row r="783" s="2" customFormat="1" spans="1:17">
      <c r="A783" s="61">
        <v>45430</v>
      </c>
      <c r="B783" s="18">
        <v>320.77</v>
      </c>
      <c r="C783" s="19">
        <v>389</v>
      </c>
      <c r="D783" s="19">
        <v>194</v>
      </c>
      <c r="E783" s="19">
        <v>1</v>
      </c>
      <c r="F783" s="18">
        <v>28388</v>
      </c>
      <c r="G783" s="19">
        <v>19</v>
      </c>
      <c r="H783" s="19">
        <v>4</v>
      </c>
      <c r="I783" s="19">
        <v>10</v>
      </c>
      <c r="J783" s="66">
        <f t="shared" si="76"/>
        <v>0.498714652956298</v>
      </c>
      <c r="K783" s="67">
        <f t="shared" si="77"/>
        <v>1.65345360824742</v>
      </c>
      <c r="L783" s="67">
        <f t="shared" si="78"/>
        <v>824.601542416453</v>
      </c>
      <c r="M783" s="73">
        <f t="shared" si="74"/>
        <v>88.4995479627147</v>
      </c>
      <c r="N783" s="66">
        <f t="shared" si="75"/>
        <v>0.00515463917525773</v>
      </c>
      <c r="O783" s="52">
        <f t="shared" si="79"/>
        <v>28388</v>
      </c>
      <c r="P783" s="52">
        <f t="shared" si="80"/>
        <v>320.77</v>
      </c>
      <c r="Q783" s="68">
        <f t="shared" si="81"/>
        <v>16.8826315789474</v>
      </c>
    </row>
    <row r="784" s="2" customFormat="1" spans="1:17">
      <c r="A784" s="61">
        <v>45431</v>
      </c>
      <c r="B784" s="18">
        <v>436.12</v>
      </c>
      <c r="C784" s="19">
        <v>443</v>
      </c>
      <c r="D784" s="19">
        <v>245</v>
      </c>
      <c r="E784" s="19">
        <v>2</v>
      </c>
      <c r="F784" s="18">
        <v>24951</v>
      </c>
      <c r="G784" s="19">
        <v>59</v>
      </c>
      <c r="H784" s="19">
        <v>7</v>
      </c>
      <c r="I784" s="19">
        <v>18</v>
      </c>
      <c r="J784" s="66">
        <f t="shared" si="76"/>
        <v>0.553047404063205</v>
      </c>
      <c r="K784" s="67">
        <f t="shared" si="77"/>
        <v>1.78008163265306</v>
      </c>
      <c r="L784" s="67">
        <f t="shared" si="78"/>
        <v>984.469525959368</v>
      </c>
      <c r="M784" s="73">
        <f t="shared" si="74"/>
        <v>57.2113179858754</v>
      </c>
      <c r="N784" s="66">
        <f t="shared" si="75"/>
        <v>0.00816326530612245</v>
      </c>
      <c r="O784" s="52">
        <f t="shared" si="79"/>
        <v>12475.5</v>
      </c>
      <c r="P784" s="52">
        <f t="shared" si="80"/>
        <v>218.06</v>
      </c>
      <c r="Q784" s="68">
        <f t="shared" si="81"/>
        <v>7.39186440677966</v>
      </c>
    </row>
    <row r="785" s="2" customFormat="1" spans="1:17">
      <c r="A785" s="61">
        <v>45432</v>
      </c>
      <c r="B785" s="18">
        <v>390.33</v>
      </c>
      <c r="C785" s="19">
        <v>385</v>
      </c>
      <c r="D785" s="19">
        <v>177</v>
      </c>
      <c r="E785" s="19">
        <v>0</v>
      </c>
      <c r="F785" s="18">
        <v>0</v>
      </c>
      <c r="G785" s="19">
        <v>30</v>
      </c>
      <c r="H785" s="19">
        <v>6</v>
      </c>
      <c r="I785" s="19">
        <v>10</v>
      </c>
      <c r="J785" s="66">
        <f t="shared" si="76"/>
        <v>0.45974025974026</v>
      </c>
      <c r="K785" s="67">
        <f t="shared" si="77"/>
        <v>2.20525423728814</v>
      </c>
      <c r="L785" s="67">
        <f t="shared" si="78"/>
        <v>1013.84415584416</v>
      </c>
      <c r="M785" s="73">
        <f t="shared" si="74"/>
        <v>0</v>
      </c>
      <c r="N785" s="66">
        <f t="shared" si="75"/>
        <v>0</v>
      </c>
      <c r="O785" s="52">
        <f t="shared" si="79"/>
        <v>0</v>
      </c>
      <c r="P785" s="52">
        <f t="shared" si="80"/>
        <v>0</v>
      </c>
      <c r="Q785" s="68">
        <f t="shared" si="81"/>
        <v>13.011</v>
      </c>
    </row>
    <row r="786" s="2" customFormat="1" spans="1:17">
      <c r="A786" s="61">
        <v>45433</v>
      </c>
      <c r="B786" s="18">
        <v>406.91</v>
      </c>
      <c r="C786" s="19">
        <v>380</v>
      </c>
      <c r="D786" s="19">
        <v>240</v>
      </c>
      <c r="E786" s="19">
        <v>12</v>
      </c>
      <c r="F786" s="18">
        <v>125571</v>
      </c>
      <c r="G786" s="19">
        <v>65</v>
      </c>
      <c r="H786" s="19">
        <v>7</v>
      </c>
      <c r="I786" s="19">
        <v>10</v>
      </c>
      <c r="J786" s="66">
        <f t="shared" si="76"/>
        <v>0.631578947368421</v>
      </c>
      <c r="K786" s="67">
        <f t="shared" si="77"/>
        <v>1.69545833333333</v>
      </c>
      <c r="L786" s="67">
        <f t="shared" si="78"/>
        <v>1070.81578947368</v>
      </c>
      <c r="M786" s="73">
        <f t="shared" si="74"/>
        <v>308.596495539554</v>
      </c>
      <c r="N786" s="66">
        <f t="shared" si="75"/>
        <v>0.05</v>
      </c>
      <c r="O786" s="52">
        <f t="shared" si="79"/>
        <v>10464.25</v>
      </c>
      <c r="P786" s="52">
        <f t="shared" si="80"/>
        <v>33.9091666666667</v>
      </c>
      <c r="Q786" s="68">
        <f t="shared" si="81"/>
        <v>6.26015384615385</v>
      </c>
    </row>
    <row r="787" s="2" customFormat="1" spans="1:17">
      <c r="A787" s="61">
        <v>45434</v>
      </c>
      <c r="B787" s="18">
        <v>345.87</v>
      </c>
      <c r="C787" s="19">
        <v>333</v>
      </c>
      <c r="D787" s="19">
        <v>176</v>
      </c>
      <c r="E787" s="19">
        <v>0</v>
      </c>
      <c r="F787" s="18">
        <v>0</v>
      </c>
      <c r="G787" s="19">
        <v>33</v>
      </c>
      <c r="H787" s="19">
        <v>5</v>
      </c>
      <c r="I787" s="19">
        <v>15</v>
      </c>
      <c r="J787" s="66">
        <f t="shared" si="76"/>
        <v>0.528528528528528</v>
      </c>
      <c r="K787" s="67">
        <f t="shared" si="77"/>
        <v>1.96517045454545</v>
      </c>
      <c r="L787" s="67">
        <f t="shared" si="78"/>
        <v>1038.64864864865</v>
      </c>
      <c r="M787" s="73">
        <f t="shared" si="74"/>
        <v>0</v>
      </c>
      <c r="N787" s="66">
        <f t="shared" si="75"/>
        <v>0</v>
      </c>
      <c r="O787" s="52">
        <f t="shared" si="79"/>
        <v>0</v>
      </c>
      <c r="P787" s="52">
        <f t="shared" si="80"/>
        <v>0</v>
      </c>
      <c r="Q787" s="68">
        <f t="shared" si="81"/>
        <v>10.4809090909091</v>
      </c>
    </row>
    <row r="788" s="2" customFormat="1" spans="1:17">
      <c r="A788" s="61">
        <v>45435</v>
      </c>
      <c r="B788" s="18">
        <v>27.56</v>
      </c>
      <c r="C788" s="19">
        <v>30</v>
      </c>
      <c r="D788" s="19">
        <v>15</v>
      </c>
      <c r="E788" s="19">
        <v>0</v>
      </c>
      <c r="F788" s="18">
        <v>0</v>
      </c>
      <c r="G788" s="19">
        <v>3</v>
      </c>
      <c r="H788" s="19">
        <v>1</v>
      </c>
      <c r="I788" s="19">
        <v>3</v>
      </c>
      <c r="J788" s="66">
        <f t="shared" si="76"/>
        <v>0.5</v>
      </c>
      <c r="K788" s="67">
        <f t="shared" si="77"/>
        <v>1.83733333333333</v>
      </c>
      <c r="L788" s="67">
        <f t="shared" si="78"/>
        <v>918.666666666667</v>
      </c>
      <c r="M788" s="73">
        <f t="shared" si="74"/>
        <v>0</v>
      </c>
      <c r="N788" s="66">
        <f t="shared" si="75"/>
        <v>0</v>
      </c>
      <c r="O788" s="52">
        <f t="shared" si="79"/>
        <v>0</v>
      </c>
      <c r="P788" s="52">
        <f t="shared" si="80"/>
        <v>0</v>
      </c>
      <c r="Q788" s="68">
        <f t="shared" si="81"/>
        <v>9.18666666666667</v>
      </c>
    </row>
    <row r="789" s="2" customFormat="1" spans="1:17">
      <c r="A789" s="61">
        <v>45436</v>
      </c>
      <c r="B789" s="18">
        <v>102.41</v>
      </c>
      <c r="C789" s="19">
        <v>93</v>
      </c>
      <c r="D789" s="19">
        <v>35</v>
      </c>
      <c r="E789" s="19">
        <v>0</v>
      </c>
      <c r="F789" s="18">
        <v>0</v>
      </c>
      <c r="G789" s="19">
        <v>7</v>
      </c>
      <c r="H789" s="19">
        <v>1</v>
      </c>
      <c r="I789" s="19">
        <v>4</v>
      </c>
      <c r="J789" s="66">
        <f t="shared" si="76"/>
        <v>0.376344086021505</v>
      </c>
      <c r="K789" s="67">
        <f t="shared" si="77"/>
        <v>2.926</v>
      </c>
      <c r="L789" s="67">
        <f t="shared" si="78"/>
        <v>1101.18279569892</v>
      </c>
      <c r="M789" s="73">
        <f t="shared" si="74"/>
        <v>0</v>
      </c>
      <c r="N789" s="66">
        <f t="shared" si="75"/>
        <v>0</v>
      </c>
      <c r="O789" s="52">
        <f t="shared" si="79"/>
        <v>0</v>
      </c>
      <c r="P789" s="52">
        <f t="shared" si="80"/>
        <v>0</v>
      </c>
      <c r="Q789" s="68">
        <f t="shared" si="81"/>
        <v>14.63</v>
      </c>
    </row>
    <row r="790" s="2" customFormat="1" spans="1:17">
      <c r="A790" s="61">
        <v>45437</v>
      </c>
      <c r="B790" s="18">
        <v>360.29</v>
      </c>
      <c r="C790" s="19">
        <v>341</v>
      </c>
      <c r="D790" s="19">
        <v>141</v>
      </c>
      <c r="E790" s="19">
        <v>1</v>
      </c>
      <c r="F790" s="18">
        <v>26208</v>
      </c>
      <c r="G790" s="19">
        <v>32</v>
      </c>
      <c r="H790" s="19">
        <v>4</v>
      </c>
      <c r="I790" s="19">
        <v>14</v>
      </c>
      <c r="J790" s="66">
        <f t="shared" si="76"/>
        <v>0.413489736070381</v>
      </c>
      <c r="K790" s="67">
        <f t="shared" si="77"/>
        <v>2.55524822695035</v>
      </c>
      <c r="L790" s="67">
        <f t="shared" si="78"/>
        <v>1056.56891495601</v>
      </c>
      <c r="M790" s="73">
        <f t="shared" si="74"/>
        <v>72.7414027588887</v>
      </c>
      <c r="N790" s="66">
        <f t="shared" si="75"/>
        <v>0.00709219858156028</v>
      </c>
      <c r="O790" s="52">
        <f t="shared" si="79"/>
        <v>26208</v>
      </c>
      <c r="P790" s="52">
        <f t="shared" si="80"/>
        <v>360.29</v>
      </c>
      <c r="Q790" s="68">
        <f t="shared" si="81"/>
        <v>11.2590625</v>
      </c>
    </row>
    <row r="791" s="2" customFormat="1" spans="1:17">
      <c r="A791" s="61">
        <v>45438</v>
      </c>
      <c r="B791" s="18">
        <v>346.5</v>
      </c>
      <c r="C791" s="19">
        <v>353</v>
      </c>
      <c r="D791" s="19">
        <v>168</v>
      </c>
      <c r="E791" s="19">
        <v>1</v>
      </c>
      <c r="F791" s="18">
        <v>9798</v>
      </c>
      <c r="G791" s="19">
        <v>33</v>
      </c>
      <c r="H791" s="19">
        <v>2</v>
      </c>
      <c r="I791" s="19">
        <v>17</v>
      </c>
      <c r="J791" s="66">
        <f t="shared" si="76"/>
        <v>0.475920679886686</v>
      </c>
      <c r="K791" s="67">
        <f t="shared" si="77"/>
        <v>2.0625</v>
      </c>
      <c r="L791" s="67">
        <f t="shared" si="78"/>
        <v>981.586402266289</v>
      </c>
      <c r="M791" s="73">
        <f t="shared" si="74"/>
        <v>28.2770562770563</v>
      </c>
      <c r="N791" s="66">
        <f t="shared" si="75"/>
        <v>0.00595238095238095</v>
      </c>
      <c r="O791" s="52">
        <f t="shared" si="79"/>
        <v>9798</v>
      </c>
      <c r="P791" s="52">
        <f t="shared" si="80"/>
        <v>346.5</v>
      </c>
      <c r="Q791" s="68">
        <f t="shared" si="81"/>
        <v>10.5</v>
      </c>
    </row>
    <row r="792" s="2" customFormat="1" spans="1:17">
      <c r="A792" s="61">
        <v>45439</v>
      </c>
      <c r="B792" s="18">
        <v>339.76</v>
      </c>
      <c r="C792" s="19">
        <v>346</v>
      </c>
      <c r="D792" s="19">
        <v>155</v>
      </c>
      <c r="E792" s="19">
        <v>0</v>
      </c>
      <c r="F792" s="18">
        <v>0</v>
      </c>
      <c r="G792" s="19">
        <v>32</v>
      </c>
      <c r="H792" s="19">
        <v>1</v>
      </c>
      <c r="I792" s="19">
        <v>19</v>
      </c>
      <c r="J792" s="66">
        <f t="shared" si="76"/>
        <v>0.447976878612717</v>
      </c>
      <c r="K792" s="67">
        <f t="shared" si="77"/>
        <v>2.192</v>
      </c>
      <c r="L792" s="67">
        <f t="shared" si="78"/>
        <v>981.965317919075</v>
      </c>
      <c r="M792" s="73">
        <f t="shared" si="74"/>
        <v>0</v>
      </c>
      <c r="N792" s="66">
        <f t="shared" si="75"/>
        <v>0</v>
      </c>
      <c r="O792" s="52">
        <f t="shared" si="79"/>
        <v>0</v>
      </c>
      <c r="P792" s="52">
        <f t="shared" si="80"/>
        <v>0</v>
      </c>
      <c r="Q792" s="68">
        <f t="shared" si="81"/>
        <v>10.6175</v>
      </c>
    </row>
    <row r="793" s="2" customFormat="1" spans="1:17">
      <c r="A793" s="61">
        <v>45440</v>
      </c>
      <c r="B793" s="18">
        <v>478.45</v>
      </c>
      <c r="C793" s="19">
        <v>417</v>
      </c>
      <c r="D793" s="19">
        <v>204</v>
      </c>
      <c r="E793" s="19">
        <v>1</v>
      </c>
      <c r="F793" s="18">
        <v>6798</v>
      </c>
      <c r="G793" s="19">
        <v>32</v>
      </c>
      <c r="H793" s="19">
        <v>1</v>
      </c>
      <c r="I793" s="19">
        <v>13</v>
      </c>
      <c r="J793" s="66">
        <f t="shared" si="76"/>
        <v>0.489208633093525</v>
      </c>
      <c r="K793" s="67">
        <f t="shared" si="77"/>
        <v>2.3453431372549</v>
      </c>
      <c r="L793" s="67">
        <f t="shared" si="78"/>
        <v>1147.36211031175</v>
      </c>
      <c r="M793" s="73">
        <f t="shared" si="74"/>
        <v>14.2083812310586</v>
      </c>
      <c r="N793" s="66">
        <f t="shared" si="75"/>
        <v>0.00490196078431373</v>
      </c>
      <c r="O793" s="52">
        <f t="shared" si="79"/>
        <v>6798</v>
      </c>
      <c r="P793" s="52">
        <f t="shared" si="80"/>
        <v>478.45</v>
      </c>
      <c r="Q793" s="68">
        <f t="shared" si="81"/>
        <v>14.9515625</v>
      </c>
    </row>
    <row r="794" s="2" customFormat="1" spans="1:17">
      <c r="A794" s="61">
        <v>45441</v>
      </c>
      <c r="B794" s="18">
        <v>357.39</v>
      </c>
      <c r="C794" s="19">
        <v>356</v>
      </c>
      <c r="D794" s="19">
        <v>166</v>
      </c>
      <c r="E794" s="19">
        <v>0</v>
      </c>
      <c r="F794" s="18">
        <v>0</v>
      </c>
      <c r="G794" s="19">
        <v>29</v>
      </c>
      <c r="H794" s="19">
        <v>5</v>
      </c>
      <c r="I794" s="19">
        <v>4</v>
      </c>
      <c r="J794" s="66">
        <f t="shared" si="76"/>
        <v>0.466292134831461</v>
      </c>
      <c r="K794" s="67">
        <f t="shared" si="77"/>
        <v>2.15295180722892</v>
      </c>
      <c r="L794" s="67">
        <f t="shared" si="78"/>
        <v>1003.90449438202</v>
      </c>
      <c r="M794" s="73">
        <f t="shared" si="74"/>
        <v>0</v>
      </c>
      <c r="N794" s="66">
        <f t="shared" si="75"/>
        <v>0</v>
      </c>
      <c r="O794" s="52">
        <f t="shared" si="79"/>
        <v>0</v>
      </c>
      <c r="P794" s="52">
        <f t="shared" si="80"/>
        <v>0</v>
      </c>
      <c r="Q794" s="68">
        <f t="shared" si="81"/>
        <v>12.3237931034483</v>
      </c>
    </row>
    <row r="795" s="2" customFormat="1" spans="1:17">
      <c r="A795" s="61">
        <v>45442</v>
      </c>
      <c r="B795" s="18">
        <v>391.47</v>
      </c>
      <c r="C795" s="19">
        <v>355</v>
      </c>
      <c r="D795" s="19">
        <v>157</v>
      </c>
      <c r="E795" s="19">
        <v>1</v>
      </c>
      <c r="F795" s="18">
        <v>11997</v>
      </c>
      <c r="G795" s="19">
        <v>27</v>
      </c>
      <c r="H795" s="19">
        <v>5</v>
      </c>
      <c r="I795" s="19">
        <v>8</v>
      </c>
      <c r="J795" s="66">
        <f t="shared" si="76"/>
        <v>0.442253521126761</v>
      </c>
      <c r="K795" s="67">
        <f t="shared" si="77"/>
        <v>2.49343949044586</v>
      </c>
      <c r="L795" s="67">
        <f t="shared" si="78"/>
        <v>1102.7323943662</v>
      </c>
      <c r="M795" s="73">
        <f t="shared" si="74"/>
        <v>30.6460265154418</v>
      </c>
      <c r="N795" s="66">
        <f t="shared" si="75"/>
        <v>0.00636942675159236</v>
      </c>
      <c r="O795" s="52">
        <f t="shared" si="79"/>
        <v>11997</v>
      </c>
      <c r="P795" s="52">
        <f t="shared" si="80"/>
        <v>391.47</v>
      </c>
      <c r="Q795" s="68">
        <f t="shared" si="81"/>
        <v>14.4988888888889</v>
      </c>
    </row>
    <row r="796" s="2" customFormat="1" spans="1:17">
      <c r="A796" s="61">
        <v>45443</v>
      </c>
      <c r="B796" s="18">
        <v>349.84</v>
      </c>
      <c r="C796" s="19">
        <v>331</v>
      </c>
      <c r="D796" s="19">
        <v>129</v>
      </c>
      <c r="E796" s="19">
        <v>3</v>
      </c>
      <c r="F796" s="18">
        <v>29786</v>
      </c>
      <c r="G796" s="19">
        <v>53</v>
      </c>
      <c r="H796" s="19">
        <v>3</v>
      </c>
      <c r="I796" s="19">
        <v>8</v>
      </c>
      <c r="J796" s="66">
        <f t="shared" si="76"/>
        <v>0.389728096676737</v>
      </c>
      <c r="K796" s="67">
        <f t="shared" si="77"/>
        <v>2.71193798449612</v>
      </c>
      <c r="L796" s="67">
        <f t="shared" si="78"/>
        <v>1056.91842900302</v>
      </c>
      <c r="M796" s="73">
        <f t="shared" si="74"/>
        <v>85.1417790990167</v>
      </c>
      <c r="N796" s="66">
        <f t="shared" si="75"/>
        <v>0.0232558139534884</v>
      </c>
      <c r="O796" s="52">
        <f t="shared" si="79"/>
        <v>9928.66666666667</v>
      </c>
      <c r="P796" s="52">
        <f t="shared" si="80"/>
        <v>116.613333333333</v>
      </c>
      <c r="Q796" s="68">
        <f t="shared" si="81"/>
        <v>6.60075471698113</v>
      </c>
    </row>
    <row r="797" s="2" customFormat="1" spans="1:17">
      <c r="A797" s="61">
        <v>45444</v>
      </c>
      <c r="B797" s="18">
        <v>371.33</v>
      </c>
      <c r="C797" s="19">
        <v>332</v>
      </c>
      <c r="D797" s="19">
        <v>155</v>
      </c>
      <c r="E797" s="19">
        <v>2</v>
      </c>
      <c r="F797" s="18">
        <v>21795</v>
      </c>
      <c r="G797" s="19">
        <v>47</v>
      </c>
      <c r="H797" s="19">
        <v>2</v>
      </c>
      <c r="I797" s="19">
        <v>13</v>
      </c>
      <c r="J797" s="66">
        <f t="shared" si="76"/>
        <v>0.466867469879518</v>
      </c>
      <c r="K797" s="67">
        <f t="shared" si="77"/>
        <v>2.39567741935484</v>
      </c>
      <c r="L797" s="67">
        <f t="shared" si="78"/>
        <v>1118.46385542169</v>
      </c>
      <c r="M797" s="73">
        <f t="shared" si="74"/>
        <v>58.6944227506531</v>
      </c>
      <c r="N797" s="66">
        <f t="shared" si="75"/>
        <v>0.0129032258064516</v>
      </c>
      <c r="O797" s="52">
        <f t="shared" si="79"/>
        <v>10897.5</v>
      </c>
      <c r="P797" s="52">
        <f t="shared" si="80"/>
        <v>185.665</v>
      </c>
      <c r="Q797" s="68">
        <f t="shared" si="81"/>
        <v>7.90063829787234</v>
      </c>
    </row>
    <row r="798" s="2" customFormat="1" spans="1:17">
      <c r="A798" s="61">
        <v>45445</v>
      </c>
      <c r="B798" s="18">
        <v>434.43</v>
      </c>
      <c r="C798" s="19">
        <v>432</v>
      </c>
      <c r="D798" s="19">
        <v>237</v>
      </c>
      <c r="E798" s="19">
        <v>4</v>
      </c>
      <c r="F798" s="18">
        <v>59913</v>
      </c>
      <c r="G798" s="19">
        <v>42</v>
      </c>
      <c r="H798" s="19">
        <v>8</v>
      </c>
      <c r="I798" s="19">
        <v>15</v>
      </c>
      <c r="J798" s="66">
        <f t="shared" si="76"/>
        <v>0.548611111111111</v>
      </c>
      <c r="K798" s="67">
        <f t="shared" si="77"/>
        <v>1.83303797468354</v>
      </c>
      <c r="L798" s="67">
        <f t="shared" si="78"/>
        <v>1005.625</v>
      </c>
      <c r="M798" s="73">
        <f t="shared" si="74"/>
        <v>137.911746426352</v>
      </c>
      <c r="N798" s="66">
        <f t="shared" si="75"/>
        <v>0.0168776371308017</v>
      </c>
      <c r="O798" s="52">
        <f t="shared" si="79"/>
        <v>14978.25</v>
      </c>
      <c r="P798" s="52">
        <f t="shared" si="80"/>
        <v>108.6075</v>
      </c>
      <c r="Q798" s="68">
        <f t="shared" si="81"/>
        <v>10.3435714285714</v>
      </c>
    </row>
    <row r="799" s="2" customFormat="1" spans="1:17">
      <c r="A799" s="61">
        <v>45446</v>
      </c>
      <c r="B799" s="18">
        <v>469</v>
      </c>
      <c r="C799" s="19">
        <v>414</v>
      </c>
      <c r="D799" s="19">
        <v>207</v>
      </c>
      <c r="E799" s="19">
        <v>6</v>
      </c>
      <c r="F799" s="18">
        <v>85032</v>
      </c>
      <c r="G799" s="19">
        <v>59</v>
      </c>
      <c r="H799" s="19">
        <v>8</v>
      </c>
      <c r="I799" s="19">
        <v>13</v>
      </c>
      <c r="J799" s="66">
        <f t="shared" si="76"/>
        <v>0.5</v>
      </c>
      <c r="K799" s="67">
        <f t="shared" si="77"/>
        <v>2.26570048309179</v>
      </c>
      <c r="L799" s="67">
        <f t="shared" si="78"/>
        <v>1132.85024154589</v>
      </c>
      <c r="M799" s="73">
        <f t="shared" si="74"/>
        <v>181.304904051173</v>
      </c>
      <c r="N799" s="66">
        <f t="shared" si="75"/>
        <v>0.0289855072463768</v>
      </c>
      <c r="O799" s="52">
        <f t="shared" si="79"/>
        <v>14172</v>
      </c>
      <c r="P799" s="52">
        <f t="shared" si="80"/>
        <v>78.1666666666667</v>
      </c>
      <c r="Q799" s="68">
        <f t="shared" si="81"/>
        <v>7.94915254237288</v>
      </c>
    </row>
    <row r="800" s="2" customFormat="1" spans="1:17">
      <c r="A800" s="61">
        <v>45447</v>
      </c>
      <c r="B800" s="18">
        <v>376.43</v>
      </c>
      <c r="C800" s="19">
        <v>335</v>
      </c>
      <c r="D800" s="19">
        <v>164</v>
      </c>
      <c r="E800" s="19">
        <v>6</v>
      </c>
      <c r="F800" s="18">
        <v>53787</v>
      </c>
      <c r="G800" s="19">
        <v>32</v>
      </c>
      <c r="H800" s="19">
        <v>2</v>
      </c>
      <c r="I800" s="19">
        <v>10</v>
      </c>
      <c r="J800" s="66">
        <f t="shared" si="76"/>
        <v>0.48955223880597</v>
      </c>
      <c r="K800" s="67">
        <f t="shared" si="77"/>
        <v>2.29530487804878</v>
      </c>
      <c r="L800" s="67">
        <f t="shared" si="78"/>
        <v>1123.67164179104</v>
      </c>
      <c r="M800" s="73">
        <f t="shared" si="74"/>
        <v>142.887123768031</v>
      </c>
      <c r="N800" s="66">
        <f t="shared" si="75"/>
        <v>0.0365853658536585</v>
      </c>
      <c r="O800" s="52">
        <f t="shared" si="79"/>
        <v>8964.5</v>
      </c>
      <c r="P800" s="52">
        <f t="shared" si="80"/>
        <v>62.7383333333333</v>
      </c>
      <c r="Q800" s="68">
        <f t="shared" si="81"/>
        <v>11.7634375</v>
      </c>
    </row>
    <row r="801" s="2" customFormat="1" spans="1:17">
      <c r="A801" s="61">
        <v>45448</v>
      </c>
      <c r="B801" s="18">
        <v>491.94</v>
      </c>
      <c r="C801" s="19">
        <v>447</v>
      </c>
      <c r="D801" s="19">
        <v>230</v>
      </c>
      <c r="E801" s="19">
        <v>0</v>
      </c>
      <c r="F801" s="18">
        <v>0</v>
      </c>
      <c r="G801" s="19">
        <v>57</v>
      </c>
      <c r="H801" s="19">
        <v>6</v>
      </c>
      <c r="I801" s="19">
        <v>15</v>
      </c>
      <c r="J801" s="66">
        <f t="shared" si="76"/>
        <v>0.514541387024608</v>
      </c>
      <c r="K801" s="67">
        <f t="shared" si="77"/>
        <v>2.13886956521739</v>
      </c>
      <c r="L801" s="67">
        <f t="shared" si="78"/>
        <v>1100.53691275168</v>
      </c>
      <c r="M801" s="73">
        <f t="shared" si="74"/>
        <v>0</v>
      </c>
      <c r="N801" s="66">
        <f t="shared" si="75"/>
        <v>0</v>
      </c>
      <c r="O801" s="52">
        <f t="shared" si="79"/>
        <v>0</v>
      </c>
      <c r="P801" s="52">
        <f t="shared" si="80"/>
        <v>0</v>
      </c>
      <c r="Q801" s="68">
        <f t="shared" si="81"/>
        <v>8.63052631578947</v>
      </c>
    </row>
    <row r="802" s="2" customFormat="1" spans="1:17">
      <c r="A802" s="61">
        <v>45449</v>
      </c>
      <c r="B802" s="18">
        <v>345.45</v>
      </c>
      <c r="C802" s="19">
        <v>340</v>
      </c>
      <c r="D802" s="19">
        <v>197</v>
      </c>
      <c r="E802" s="19">
        <v>2</v>
      </c>
      <c r="F802" s="18">
        <v>18740</v>
      </c>
      <c r="G802" s="19">
        <v>47</v>
      </c>
      <c r="H802" s="19">
        <v>3</v>
      </c>
      <c r="I802" s="19">
        <v>11</v>
      </c>
      <c r="J802" s="66">
        <f t="shared" si="76"/>
        <v>0.579411764705882</v>
      </c>
      <c r="K802" s="67">
        <f t="shared" si="77"/>
        <v>1.75355329949239</v>
      </c>
      <c r="L802" s="67">
        <f t="shared" si="78"/>
        <v>1016.02941176471</v>
      </c>
      <c r="M802" s="73">
        <f t="shared" si="74"/>
        <v>54.2480822116081</v>
      </c>
      <c r="N802" s="66">
        <f t="shared" si="75"/>
        <v>0.0101522842639594</v>
      </c>
      <c r="O802" s="52">
        <f t="shared" si="79"/>
        <v>9370</v>
      </c>
      <c r="P802" s="52">
        <f t="shared" si="80"/>
        <v>172.725</v>
      </c>
      <c r="Q802" s="68">
        <f t="shared" si="81"/>
        <v>7.35</v>
      </c>
    </row>
    <row r="803" s="2" customFormat="1" spans="1:17">
      <c r="A803" s="61">
        <v>45450</v>
      </c>
      <c r="B803" s="18">
        <v>366.95</v>
      </c>
      <c r="C803" s="19">
        <v>334</v>
      </c>
      <c r="D803" s="19">
        <v>148</v>
      </c>
      <c r="E803" s="19">
        <v>3</v>
      </c>
      <c r="F803" s="18">
        <v>28593</v>
      </c>
      <c r="G803" s="19">
        <v>44</v>
      </c>
      <c r="H803" s="19">
        <v>8</v>
      </c>
      <c r="I803" s="19">
        <v>2</v>
      </c>
      <c r="J803" s="66">
        <v>0.44311377245509</v>
      </c>
      <c r="K803" s="67">
        <v>2.47939189189189</v>
      </c>
      <c r="L803" s="67">
        <v>1098.65269461078</v>
      </c>
      <c r="M803" s="73">
        <v>77.9206976427306</v>
      </c>
      <c r="N803" s="66">
        <v>0.0202702702702703</v>
      </c>
      <c r="O803" s="52">
        <v>9531</v>
      </c>
      <c r="P803" s="52">
        <v>122.316666666667</v>
      </c>
      <c r="Q803" s="68">
        <v>8.33977272727273</v>
      </c>
    </row>
    <row r="804" s="2" customFormat="1" spans="1:17">
      <c r="A804" s="61">
        <v>45451</v>
      </c>
      <c r="B804" s="18">
        <v>386.42</v>
      </c>
      <c r="C804" s="19">
        <v>350</v>
      </c>
      <c r="D804" s="19">
        <v>150</v>
      </c>
      <c r="E804" s="19">
        <v>5</v>
      </c>
      <c r="F804" s="18">
        <v>103627</v>
      </c>
      <c r="G804" s="19">
        <v>39</v>
      </c>
      <c r="H804" s="19">
        <v>3</v>
      </c>
      <c r="I804" s="19">
        <v>6</v>
      </c>
      <c r="J804" s="66">
        <v>0.428571428571429</v>
      </c>
      <c r="K804" s="67">
        <v>2.57613333333333</v>
      </c>
      <c r="L804" s="67">
        <v>1104.05714285714</v>
      </c>
      <c r="M804" s="73">
        <v>268.171937270328</v>
      </c>
      <c r="N804" s="66">
        <v>0.0333333333333333</v>
      </c>
      <c r="O804" s="52">
        <v>20725.4</v>
      </c>
      <c r="P804" s="52">
        <v>77.284</v>
      </c>
      <c r="Q804" s="68">
        <v>9.90820512820513</v>
      </c>
    </row>
    <row r="805" s="2" customFormat="1" spans="1:17">
      <c r="A805" s="61">
        <v>45452</v>
      </c>
      <c r="B805" s="18">
        <v>339.12</v>
      </c>
      <c r="C805" s="19">
        <v>328</v>
      </c>
      <c r="D805" s="19">
        <v>140</v>
      </c>
      <c r="E805" s="19">
        <v>7</v>
      </c>
      <c r="F805" s="18">
        <v>108493</v>
      </c>
      <c r="G805" s="19">
        <v>45</v>
      </c>
      <c r="H805" s="19">
        <v>2</v>
      </c>
      <c r="I805" s="19">
        <v>4</v>
      </c>
      <c r="J805" s="66">
        <v>0.426829268292683</v>
      </c>
      <c r="K805" s="67">
        <v>2.42228571428571</v>
      </c>
      <c r="L805" s="67">
        <v>1033.90243902439</v>
      </c>
      <c r="M805" s="73">
        <v>319.925100259495</v>
      </c>
      <c r="N805" s="66">
        <v>0.05</v>
      </c>
      <c r="O805" s="52">
        <v>15499</v>
      </c>
      <c r="P805" s="52">
        <v>48.4457142857143</v>
      </c>
      <c r="Q805" s="68">
        <v>7.536</v>
      </c>
    </row>
    <row r="806" s="2" customFormat="1" spans="1:17">
      <c r="A806" s="61">
        <v>45453</v>
      </c>
      <c r="B806" s="18">
        <v>350.56</v>
      </c>
      <c r="C806" s="19">
        <v>331</v>
      </c>
      <c r="D806" s="19">
        <v>157</v>
      </c>
      <c r="E806" s="19">
        <v>2</v>
      </c>
      <c r="F806" s="18">
        <v>16596</v>
      </c>
      <c r="G806" s="19">
        <v>32</v>
      </c>
      <c r="H806" s="19">
        <v>4</v>
      </c>
      <c r="I806" s="19">
        <v>5</v>
      </c>
      <c r="J806" s="66">
        <v>0.474320241691843</v>
      </c>
      <c r="K806" s="67">
        <v>2.23286624203822</v>
      </c>
      <c r="L806" s="67">
        <v>1059.09365558912</v>
      </c>
      <c r="M806" s="73">
        <v>47.3413966225468</v>
      </c>
      <c r="N806" s="66">
        <v>0.0127388535031847</v>
      </c>
      <c r="O806" s="52">
        <v>8298</v>
      </c>
      <c r="P806" s="52">
        <v>175.28</v>
      </c>
      <c r="Q806" s="68">
        <v>10.955</v>
      </c>
    </row>
    <row r="807" s="2" customFormat="1" spans="1:17">
      <c r="A807" s="61">
        <v>45454</v>
      </c>
      <c r="B807" s="18">
        <v>389.17</v>
      </c>
      <c r="C807" s="19">
        <v>390</v>
      </c>
      <c r="D807" s="19">
        <v>184</v>
      </c>
      <c r="E807" s="19">
        <v>1</v>
      </c>
      <c r="F807" s="18">
        <v>24634</v>
      </c>
      <c r="G807" s="19">
        <v>57</v>
      </c>
      <c r="H807" s="19">
        <v>9</v>
      </c>
      <c r="I807" s="19">
        <v>14</v>
      </c>
      <c r="J807" s="66">
        <f t="shared" ref="J807:J816" si="82">D807/C807</f>
        <v>0.471794871794872</v>
      </c>
      <c r="K807" s="67">
        <f t="shared" ref="K807:K816" si="83">B807/D807</f>
        <v>2.11505434782609</v>
      </c>
      <c r="L807" s="67">
        <f t="shared" ref="L807:L816" si="84">B807/C807*1000</f>
        <v>997.871794871795</v>
      </c>
      <c r="M807" s="73">
        <f t="shared" ref="M807:M816" si="85">F807/B807</f>
        <v>63.2988154277051</v>
      </c>
      <c r="N807" s="66">
        <f t="shared" ref="N807:N816" si="86">E807/D807</f>
        <v>0.00543478260869565</v>
      </c>
      <c r="O807" s="52">
        <f t="shared" ref="O807:O816" si="87">IF(E807=0,0,F807/E807)</f>
        <v>24634</v>
      </c>
      <c r="P807" s="52">
        <f t="shared" ref="P807:P816" si="88">IF(E807=0,0,B807/E807)</f>
        <v>389.17</v>
      </c>
      <c r="Q807" s="68">
        <f t="shared" ref="Q807:Q816" si="89">B807/G807</f>
        <v>6.82754385964912</v>
      </c>
    </row>
    <row r="808" s="2" customFormat="1" spans="1:17">
      <c r="A808" s="61">
        <v>45455</v>
      </c>
      <c r="B808" s="18">
        <v>416.28</v>
      </c>
      <c r="C808" s="19">
        <v>393</v>
      </c>
      <c r="D808" s="19">
        <v>204</v>
      </c>
      <c r="E808" s="19">
        <v>1</v>
      </c>
      <c r="F808" s="18">
        <v>11997</v>
      </c>
      <c r="G808" s="19">
        <v>30</v>
      </c>
      <c r="H808" s="19">
        <v>3</v>
      </c>
      <c r="I808" s="19">
        <v>16</v>
      </c>
      <c r="J808" s="66">
        <f t="shared" si="82"/>
        <v>0.519083969465649</v>
      </c>
      <c r="K808" s="67">
        <f t="shared" si="83"/>
        <v>2.04058823529412</v>
      </c>
      <c r="L808" s="67">
        <f t="shared" si="84"/>
        <v>1059.23664122137</v>
      </c>
      <c r="M808" s="73">
        <f t="shared" si="85"/>
        <v>28.8195445373306</v>
      </c>
      <c r="N808" s="66">
        <f t="shared" si="86"/>
        <v>0.00490196078431373</v>
      </c>
      <c r="O808" s="52">
        <f t="shared" si="87"/>
        <v>11997</v>
      </c>
      <c r="P808" s="52">
        <f t="shared" si="88"/>
        <v>416.28</v>
      </c>
      <c r="Q808" s="68">
        <f t="shared" si="89"/>
        <v>13.876</v>
      </c>
    </row>
    <row r="809" s="2" customFormat="1" spans="1:17">
      <c r="A809" s="61">
        <v>45456</v>
      </c>
      <c r="B809" s="18">
        <v>379.16</v>
      </c>
      <c r="C809" s="19">
        <v>354</v>
      </c>
      <c r="D809" s="19">
        <v>162</v>
      </c>
      <c r="E809" s="19">
        <v>1</v>
      </c>
      <c r="F809" s="18">
        <v>11997</v>
      </c>
      <c r="G809" s="19">
        <v>34</v>
      </c>
      <c r="H809" s="19">
        <v>7</v>
      </c>
      <c r="I809" s="19">
        <v>7</v>
      </c>
      <c r="J809" s="66">
        <f t="shared" si="82"/>
        <v>0.457627118644068</v>
      </c>
      <c r="K809" s="67">
        <f t="shared" si="83"/>
        <v>2.34049382716049</v>
      </c>
      <c r="L809" s="67">
        <f t="shared" si="84"/>
        <v>1071.07344632768</v>
      </c>
      <c r="M809" s="73">
        <f t="shared" si="85"/>
        <v>31.6409958856419</v>
      </c>
      <c r="N809" s="66">
        <f t="shared" si="86"/>
        <v>0.00617283950617284</v>
      </c>
      <c r="O809" s="52">
        <f t="shared" si="87"/>
        <v>11997</v>
      </c>
      <c r="P809" s="52">
        <f t="shared" si="88"/>
        <v>379.16</v>
      </c>
      <c r="Q809" s="68">
        <f t="shared" si="89"/>
        <v>11.1517647058824</v>
      </c>
    </row>
    <row r="810" s="2" customFormat="1" spans="1:17">
      <c r="A810" s="61">
        <v>45457</v>
      </c>
      <c r="B810" s="18">
        <v>455.76</v>
      </c>
      <c r="C810" s="19">
        <v>439</v>
      </c>
      <c r="D810" s="19">
        <v>167</v>
      </c>
      <c r="E810" s="19">
        <v>1</v>
      </c>
      <c r="F810" s="18">
        <v>12214</v>
      </c>
      <c r="G810" s="19">
        <v>29</v>
      </c>
      <c r="H810" s="19">
        <v>3</v>
      </c>
      <c r="I810" s="19">
        <v>7</v>
      </c>
      <c r="J810" s="66">
        <f t="shared" si="82"/>
        <v>0.380410022779043</v>
      </c>
      <c r="K810" s="67">
        <f t="shared" si="83"/>
        <v>2.72910179640719</v>
      </c>
      <c r="L810" s="67">
        <f t="shared" si="84"/>
        <v>1038.17767653759</v>
      </c>
      <c r="M810" s="73">
        <f t="shared" si="85"/>
        <v>26.7991925574864</v>
      </c>
      <c r="N810" s="66">
        <f t="shared" si="86"/>
        <v>0.00598802395209581</v>
      </c>
      <c r="O810" s="52">
        <f t="shared" si="87"/>
        <v>12214</v>
      </c>
      <c r="P810" s="52">
        <f t="shared" si="88"/>
        <v>455.76</v>
      </c>
      <c r="Q810" s="68">
        <f t="shared" si="89"/>
        <v>15.7158620689655</v>
      </c>
    </row>
    <row r="811" s="2" customFormat="1" spans="1:17">
      <c r="A811" s="61">
        <v>45458</v>
      </c>
      <c r="B811" s="18">
        <v>342.6</v>
      </c>
      <c r="C811" s="19">
        <v>302</v>
      </c>
      <c r="D811" s="19">
        <v>130</v>
      </c>
      <c r="E811" s="19">
        <v>3</v>
      </c>
      <c r="F811" s="18">
        <v>49257</v>
      </c>
      <c r="G811" s="19">
        <v>41</v>
      </c>
      <c r="H811" s="19">
        <v>2</v>
      </c>
      <c r="I811" s="19">
        <v>14</v>
      </c>
      <c r="J811" s="66">
        <f t="shared" si="82"/>
        <v>0.43046357615894</v>
      </c>
      <c r="K811" s="67">
        <f t="shared" si="83"/>
        <v>2.63538461538462</v>
      </c>
      <c r="L811" s="67">
        <f t="shared" si="84"/>
        <v>1134.43708609272</v>
      </c>
      <c r="M811" s="73">
        <f t="shared" si="85"/>
        <v>143.77408056042</v>
      </c>
      <c r="N811" s="66">
        <f t="shared" si="86"/>
        <v>0.0230769230769231</v>
      </c>
      <c r="O811" s="52">
        <f t="shared" si="87"/>
        <v>16419</v>
      </c>
      <c r="P811" s="52">
        <f t="shared" si="88"/>
        <v>114.2</v>
      </c>
      <c r="Q811" s="68">
        <f t="shared" si="89"/>
        <v>8.35609756097561</v>
      </c>
    </row>
    <row r="812" s="2" customFormat="1" spans="1:17">
      <c r="A812" s="61">
        <v>45459</v>
      </c>
      <c r="B812" s="18">
        <v>373.84</v>
      </c>
      <c r="C812" s="19">
        <v>337</v>
      </c>
      <c r="D812" s="19">
        <v>126</v>
      </c>
      <c r="E812" s="19">
        <v>1</v>
      </c>
      <c r="F812" s="18">
        <v>6798</v>
      </c>
      <c r="G812" s="19">
        <v>15</v>
      </c>
      <c r="H812" s="19">
        <v>2</v>
      </c>
      <c r="I812" s="19">
        <v>10</v>
      </c>
      <c r="J812" s="66">
        <f t="shared" si="82"/>
        <v>0.373887240356083</v>
      </c>
      <c r="K812" s="67">
        <f t="shared" si="83"/>
        <v>2.96698412698413</v>
      </c>
      <c r="L812" s="67">
        <f t="shared" si="84"/>
        <v>1109.3175074184</v>
      </c>
      <c r="M812" s="73">
        <f t="shared" si="85"/>
        <v>18.1842499465012</v>
      </c>
      <c r="N812" s="66">
        <f t="shared" si="86"/>
        <v>0.00793650793650794</v>
      </c>
      <c r="O812" s="52">
        <f t="shared" si="87"/>
        <v>6798</v>
      </c>
      <c r="P812" s="52">
        <f t="shared" si="88"/>
        <v>373.84</v>
      </c>
      <c r="Q812" s="68">
        <f t="shared" si="89"/>
        <v>24.9226666666667</v>
      </c>
    </row>
    <row r="813" s="2" customFormat="1" spans="1:17">
      <c r="A813" s="61">
        <v>45460</v>
      </c>
      <c r="B813" s="18">
        <v>493.07</v>
      </c>
      <c r="C813" s="19">
        <v>432</v>
      </c>
      <c r="D813" s="19">
        <v>176</v>
      </c>
      <c r="E813" s="19">
        <v>4</v>
      </c>
      <c r="F813" s="18">
        <v>42189</v>
      </c>
      <c r="G813" s="19">
        <v>34</v>
      </c>
      <c r="H813" s="19">
        <v>0</v>
      </c>
      <c r="I813" s="19">
        <v>17</v>
      </c>
      <c r="J813" s="66">
        <f t="shared" si="82"/>
        <v>0.407407407407407</v>
      </c>
      <c r="K813" s="67">
        <f t="shared" si="83"/>
        <v>2.80153409090909</v>
      </c>
      <c r="L813" s="67">
        <f t="shared" si="84"/>
        <v>1141.36574074074</v>
      </c>
      <c r="M813" s="73">
        <f t="shared" si="85"/>
        <v>85.5639158740138</v>
      </c>
      <c r="N813" s="66">
        <f t="shared" si="86"/>
        <v>0.0227272727272727</v>
      </c>
      <c r="O813" s="52">
        <f t="shared" si="87"/>
        <v>10547.25</v>
      </c>
      <c r="P813" s="52">
        <f t="shared" si="88"/>
        <v>123.2675</v>
      </c>
      <c r="Q813" s="68">
        <f t="shared" si="89"/>
        <v>14.5020588235294</v>
      </c>
    </row>
    <row r="814" s="2" customFormat="1" spans="1:17">
      <c r="A814" s="61">
        <v>45461</v>
      </c>
      <c r="B814" s="18">
        <v>367.29</v>
      </c>
      <c r="C814" s="19">
        <v>310</v>
      </c>
      <c r="D814" s="19">
        <v>129</v>
      </c>
      <c r="E814" s="19">
        <v>1</v>
      </c>
      <c r="F814" s="18">
        <v>11997</v>
      </c>
      <c r="G814" s="19">
        <v>41</v>
      </c>
      <c r="H814" s="19">
        <v>4</v>
      </c>
      <c r="I814" s="19">
        <v>11</v>
      </c>
      <c r="J814" s="66">
        <f t="shared" si="82"/>
        <v>0.416129032258065</v>
      </c>
      <c r="K814" s="67">
        <f t="shared" si="83"/>
        <v>2.84720930232558</v>
      </c>
      <c r="L814" s="67">
        <f t="shared" si="84"/>
        <v>1184.8064516129</v>
      </c>
      <c r="M814" s="73">
        <f t="shared" si="85"/>
        <v>32.6635628522421</v>
      </c>
      <c r="N814" s="66">
        <f t="shared" si="86"/>
        <v>0.00775193798449612</v>
      </c>
      <c r="O814" s="52">
        <f t="shared" si="87"/>
        <v>11997</v>
      </c>
      <c r="P814" s="52">
        <f t="shared" si="88"/>
        <v>367.29</v>
      </c>
      <c r="Q814" s="68">
        <f t="shared" si="89"/>
        <v>8.95829268292683</v>
      </c>
    </row>
    <row r="815" s="2" customFormat="1" spans="1:17">
      <c r="A815" s="61">
        <v>45462</v>
      </c>
      <c r="B815" s="18">
        <v>293.57</v>
      </c>
      <c r="C815" s="19">
        <v>252</v>
      </c>
      <c r="D815" s="19">
        <v>114</v>
      </c>
      <c r="E815" s="19">
        <v>3</v>
      </c>
      <c r="F815" s="18">
        <v>29337</v>
      </c>
      <c r="G815" s="19">
        <v>47</v>
      </c>
      <c r="H815" s="19">
        <v>2</v>
      </c>
      <c r="I815" s="19">
        <v>15</v>
      </c>
      <c r="J815" s="66">
        <f t="shared" si="82"/>
        <v>0.452380952380952</v>
      </c>
      <c r="K815" s="67">
        <f t="shared" si="83"/>
        <v>2.57517543859649</v>
      </c>
      <c r="L815" s="67">
        <f t="shared" si="84"/>
        <v>1164.96031746032</v>
      </c>
      <c r="M815" s="73">
        <f t="shared" si="85"/>
        <v>99.9318731478012</v>
      </c>
      <c r="N815" s="66">
        <f t="shared" si="86"/>
        <v>0.0263157894736842</v>
      </c>
      <c r="O815" s="52">
        <f t="shared" si="87"/>
        <v>9779</v>
      </c>
      <c r="P815" s="52">
        <f t="shared" si="88"/>
        <v>97.8566666666667</v>
      </c>
      <c r="Q815" s="68">
        <f t="shared" si="89"/>
        <v>6.24617021276596</v>
      </c>
    </row>
    <row r="816" s="2" customFormat="1" spans="1:17">
      <c r="A816" s="61">
        <v>45463</v>
      </c>
      <c r="B816" s="18">
        <v>360.99</v>
      </c>
      <c r="C816" s="19">
        <v>307</v>
      </c>
      <c r="D816" s="19">
        <v>126</v>
      </c>
      <c r="E816" s="19">
        <v>3</v>
      </c>
      <c r="F816" s="18">
        <v>29629</v>
      </c>
      <c r="G816" s="19">
        <v>19</v>
      </c>
      <c r="H816" s="19">
        <v>2</v>
      </c>
      <c r="I816" s="19">
        <v>8</v>
      </c>
      <c r="J816" s="66">
        <f t="shared" si="82"/>
        <v>0.41042345276873</v>
      </c>
      <c r="K816" s="67">
        <f t="shared" si="83"/>
        <v>2.865</v>
      </c>
      <c r="L816" s="67">
        <f t="shared" si="84"/>
        <v>1175.86319218241</v>
      </c>
      <c r="M816" s="73">
        <f t="shared" si="85"/>
        <v>82.0770658466994</v>
      </c>
      <c r="N816" s="66">
        <f t="shared" si="86"/>
        <v>0.0238095238095238</v>
      </c>
      <c r="O816" s="52">
        <f t="shared" si="87"/>
        <v>9876.33333333333</v>
      </c>
      <c r="P816" s="52">
        <f t="shared" si="88"/>
        <v>120.33</v>
      </c>
      <c r="Q816" s="68">
        <f t="shared" si="89"/>
        <v>18.9994736842105</v>
      </c>
    </row>
    <row r="817" s="2" customFormat="1" spans="1:17">
      <c r="A817" s="61">
        <v>45464</v>
      </c>
      <c r="B817" s="18">
        <v>306.23</v>
      </c>
      <c r="C817" s="19">
        <v>287</v>
      </c>
      <c r="D817" s="19">
        <v>112</v>
      </c>
      <c r="E817" s="19">
        <v>0</v>
      </c>
      <c r="F817" s="18">
        <v>0</v>
      </c>
      <c r="G817" s="19">
        <v>20</v>
      </c>
      <c r="H817" s="19">
        <v>1</v>
      </c>
      <c r="I817" s="19">
        <v>3</v>
      </c>
      <c r="J817" s="66">
        <v>0.390243902439024</v>
      </c>
      <c r="K817" s="67">
        <v>2.73419642857143</v>
      </c>
      <c r="L817" s="67">
        <v>1067.00348432056</v>
      </c>
      <c r="M817" s="73">
        <v>0</v>
      </c>
      <c r="N817" s="66">
        <v>0</v>
      </c>
      <c r="O817" s="52">
        <v>0</v>
      </c>
      <c r="P817" s="52">
        <v>0</v>
      </c>
      <c r="Q817" s="68">
        <v>15.3115</v>
      </c>
    </row>
    <row r="818" s="2" customFormat="1" spans="1:17">
      <c r="A818" s="61">
        <v>45465</v>
      </c>
      <c r="B818" s="18">
        <v>278.6</v>
      </c>
      <c r="C818" s="19">
        <v>261</v>
      </c>
      <c r="D818" s="19">
        <v>108</v>
      </c>
      <c r="E818" s="19">
        <v>5</v>
      </c>
      <c r="F818" s="18">
        <v>85312</v>
      </c>
      <c r="G818" s="19">
        <v>30</v>
      </c>
      <c r="H818" s="19">
        <v>4</v>
      </c>
      <c r="I818" s="19">
        <v>4</v>
      </c>
      <c r="J818" s="66">
        <v>0.413793103448276</v>
      </c>
      <c r="K818" s="67">
        <v>2.57962962962963</v>
      </c>
      <c r="L818" s="67">
        <v>1067.43295019157</v>
      </c>
      <c r="M818" s="73">
        <v>306.2167982771</v>
      </c>
      <c r="N818" s="66">
        <v>0.0462962962962963</v>
      </c>
      <c r="O818" s="52">
        <v>17062.4</v>
      </c>
      <c r="P818" s="52">
        <v>55.72</v>
      </c>
      <c r="Q818" s="68">
        <v>9.28666666666667</v>
      </c>
    </row>
    <row r="819" s="2" customFormat="1" spans="1:17">
      <c r="A819" s="61">
        <v>45466</v>
      </c>
      <c r="B819" s="18">
        <v>394.11</v>
      </c>
      <c r="C819" s="19">
        <v>383</v>
      </c>
      <c r="D819" s="19">
        <v>186</v>
      </c>
      <c r="E819" s="19">
        <v>7</v>
      </c>
      <c r="F819" s="18">
        <v>220661</v>
      </c>
      <c r="G819" s="19">
        <v>40</v>
      </c>
      <c r="H819" s="19">
        <v>2</v>
      </c>
      <c r="I819" s="19">
        <v>12</v>
      </c>
      <c r="J819" s="66">
        <v>0.485639686684073</v>
      </c>
      <c r="K819" s="67">
        <v>2.11887096774194</v>
      </c>
      <c r="L819" s="67">
        <v>1029.00783289817</v>
      </c>
      <c r="M819" s="73">
        <v>559.896983075791</v>
      </c>
      <c r="N819" s="66">
        <v>0.0376344086021505</v>
      </c>
      <c r="O819" s="52">
        <v>31523</v>
      </c>
      <c r="P819" s="52">
        <v>56.3014285714286</v>
      </c>
      <c r="Q819" s="68">
        <v>9.85275</v>
      </c>
    </row>
    <row r="820" s="2" customFormat="1" spans="1:17">
      <c r="A820" s="61">
        <v>45467</v>
      </c>
      <c r="B820" s="18">
        <v>388.43</v>
      </c>
      <c r="C820" s="19">
        <v>378</v>
      </c>
      <c r="D820" s="19">
        <v>157</v>
      </c>
      <c r="E820" s="19">
        <v>0</v>
      </c>
      <c r="F820" s="18">
        <v>0</v>
      </c>
      <c r="G820" s="19">
        <v>31</v>
      </c>
      <c r="H820" s="19">
        <v>4</v>
      </c>
      <c r="I820" s="19">
        <v>2</v>
      </c>
      <c r="J820" s="66">
        <v>0.415343915343915</v>
      </c>
      <c r="K820" s="67">
        <v>2.47407643312102</v>
      </c>
      <c r="L820" s="67">
        <v>1027.59259259259</v>
      </c>
      <c r="M820" s="73">
        <v>0</v>
      </c>
      <c r="N820" s="66">
        <v>0</v>
      </c>
      <c r="O820" s="52">
        <v>0</v>
      </c>
      <c r="P820" s="52">
        <v>0</v>
      </c>
      <c r="Q820" s="68">
        <v>12.53</v>
      </c>
    </row>
    <row r="821" s="2" customFormat="1" spans="1:17">
      <c r="A821" s="61">
        <v>45468</v>
      </c>
      <c r="B821" s="18">
        <v>333.13</v>
      </c>
      <c r="C821" s="19">
        <v>324</v>
      </c>
      <c r="D821" s="19">
        <v>122</v>
      </c>
      <c r="E821" s="19">
        <v>2</v>
      </c>
      <c r="F821" s="18">
        <v>29666</v>
      </c>
      <c r="G821" s="19">
        <v>39</v>
      </c>
      <c r="H821" s="19">
        <v>2</v>
      </c>
      <c r="I821" s="19">
        <v>6</v>
      </c>
      <c r="J821" s="66">
        <f t="shared" ref="J821:J826" si="90">D821/C821</f>
        <v>0.376543209876543</v>
      </c>
      <c r="K821" s="67">
        <f t="shared" ref="K821:K826" si="91">B821/D821</f>
        <v>2.7305737704918</v>
      </c>
      <c r="L821" s="67">
        <f t="shared" ref="L821:L826" si="92">B821/C821*1000</f>
        <v>1028.17901234568</v>
      </c>
      <c r="M821" s="73">
        <f t="shared" ref="M821:M826" si="93">F821/B821</f>
        <v>89.052321916369</v>
      </c>
      <c r="N821" s="66">
        <f t="shared" ref="N821:N826" si="94">E821/D821</f>
        <v>0.0163934426229508</v>
      </c>
      <c r="O821" s="52">
        <f t="shared" ref="O821:O826" si="95">IF(E821=0,0,F821/E821)</f>
        <v>14833</v>
      </c>
      <c r="P821" s="52">
        <f t="shared" ref="P821:P826" si="96">IF(E821=0,0,B821/E821)</f>
        <v>166.565</v>
      </c>
      <c r="Q821" s="68">
        <f t="shared" ref="Q821:Q826" si="97">B821/G821</f>
        <v>8.54179487179487</v>
      </c>
    </row>
    <row r="822" s="2" customFormat="1" spans="1:17">
      <c r="A822" s="61">
        <v>45469</v>
      </c>
      <c r="B822" s="18">
        <v>372.45</v>
      </c>
      <c r="C822" s="19">
        <v>359</v>
      </c>
      <c r="D822" s="19">
        <v>121</v>
      </c>
      <c r="E822" s="19">
        <v>0</v>
      </c>
      <c r="F822" s="18">
        <v>0</v>
      </c>
      <c r="G822" s="19">
        <v>27</v>
      </c>
      <c r="H822" s="19">
        <v>1</v>
      </c>
      <c r="I822" s="19">
        <v>5</v>
      </c>
      <c r="J822" s="66">
        <f t="shared" si="90"/>
        <v>0.337047353760446</v>
      </c>
      <c r="K822" s="67">
        <f t="shared" si="91"/>
        <v>3.07809917355372</v>
      </c>
      <c r="L822" s="67">
        <f t="shared" si="92"/>
        <v>1037.4651810585</v>
      </c>
      <c r="M822" s="73">
        <f t="shared" si="93"/>
        <v>0</v>
      </c>
      <c r="N822" s="66">
        <f t="shared" si="94"/>
        <v>0</v>
      </c>
      <c r="O822" s="52">
        <f t="shared" si="95"/>
        <v>0</v>
      </c>
      <c r="P822" s="52">
        <f t="shared" si="96"/>
        <v>0</v>
      </c>
      <c r="Q822" s="68">
        <f t="shared" si="97"/>
        <v>13.7944444444444</v>
      </c>
    </row>
    <row r="823" s="2" customFormat="1" spans="1:17">
      <c r="A823" s="61">
        <v>45470</v>
      </c>
      <c r="B823" s="18">
        <v>312.79</v>
      </c>
      <c r="C823" s="19">
        <v>307</v>
      </c>
      <c r="D823" s="19">
        <v>129</v>
      </c>
      <c r="E823" s="19">
        <v>0</v>
      </c>
      <c r="F823" s="18">
        <v>0</v>
      </c>
      <c r="G823" s="19">
        <v>28</v>
      </c>
      <c r="H823" s="19">
        <v>5</v>
      </c>
      <c r="I823" s="19">
        <v>6</v>
      </c>
      <c r="J823" s="66">
        <f t="shared" si="90"/>
        <v>0.420195439739414</v>
      </c>
      <c r="K823" s="67">
        <f t="shared" si="91"/>
        <v>2.42472868217054</v>
      </c>
      <c r="L823" s="67">
        <f t="shared" si="92"/>
        <v>1018.85993485342</v>
      </c>
      <c r="M823" s="73">
        <f t="shared" si="93"/>
        <v>0</v>
      </c>
      <c r="N823" s="66">
        <f t="shared" si="94"/>
        <v>0</v>
      </c>
      <c r="O823" s="52">
        <f t="shared" si="95"/>
        <v>0</v>
      </c>
      <c r="P823" s="52">
        <f t="shared" si="96"/>
        <v>0</v>
      </c>
      <c r="Q823" s="68">
        <f t="shared" si="97"/>
        <v>11.1710714285714</v>
      </c>
    </row>
    <row r="824" s="2" customFormat="1" spans="1:17">
      <c r="A824" s="61">
        <v>45471</v>
      </c>
      <c r="B824" s="18">
        <v>345.36</v>
      </c>
      <c r="C824" s="19">
        <v>312</v>
      </c>
      <c r="D824" s="19">
        <v>140</v>
      </c>
      <c r="E824" s="19">
        <v>1</v>
      </c>
      <c r="F824" s="18">
        <v>39908</v>
      </c>
      <c r="G824" s="19">
        <v>28</v>
      </c>
      <c r="H824" s="19">
        <v>2</v>
      </c>
      <c r="I824" s="19">
        <v>5</v>
      </c>
      <c r="J824" s="66">
        <f t="shared" si="90"/>
        <v>0.448717948717949</v>
      </c>
      <c r="K824" s="67">
        <f t="shared" si="91"/>
        <v>2.46685714285714</v>
      </c>
      <c r="L824" s="67">
        <f t="shared" si="92"/>
        <v>1106.92307692308</v>
      </c>
      <c r="M824" s="73">
        <f t="shared" si="93"/>
        <v>115.554783414408</v>
      </c>
      <c r="N824" s="66">
        <f t="shared" si="94"/>
        <v>0.00714285714285714</v>
      </c>
      <c r="O824" s="52">
        <f t="shared" si="95"/>
        <v>39908</v>
      </c>
      <c r="P824" s="52">
        <f t="shared" si="96"/>
        <v>345.36</v>
      </c>
      <c r="Q824" s="68">
        <f t="shared" si="97"/>
        <v>12.3342857142857</v>
      </c>
    </row>
    <row r="825" s="2" customFormat="1" spans="1:17">
      <c r="A825" s="61">
        <v>45472</v>
      </c>
      <c r="B825" s="18">
        <v>353.25</v>
      </c>
      <c r="C825" s="19">
        <v>321</v>
      </c>
      <c r="D825" s="19">
        <v>142</v>
      </c>
      <c r="E825" s="19">
        <v>0</v>
      </c>
      <c r="F825" s="18">
        <v>0</v>
      </c>
      <c r="G825" s="19">
        <v>32</v>
      </c>
      <c r="H825" s="19">
        <v>6</v>
      </c>
      <c r="I825" s="19">
        <v>6</v>
      </c>
      <c r="J825" s="66">
        <f t="shared" si="90"/>
        <v>0.442367601246106</v>
      </c>
      <c r="K825" s="67">
        <f t="shared" si="91"/>
        <v>2.48767605633803</v>
      </c>
      <c r="L825" s="67">
        <f t="shared" si="92"/>
        <v>1100.46728971963</v>
      </c>
      <c r="M825" s="73">
        <f t="shared" si="93"/>
        <v>0</v>
      </c>
      <c r="N825" s="66">
        <f t="shared" si="94"/>
        <v>0</v>
      </c>
      <c r="O825" s="52">
        <f t="shared" si="95"/>
        <v>0</v>
      </c>
      <c r="P825" s="52">
        <f t="shared" si="96"/>
        <v>0</v>
      </c>
      <c r="Q825" s="68">
        <f t="shared" si="97"/>
        <v>11.0390625</v>
      </c>
    </row>
    <row r="826" s="2" customFormat="1" spans="1:17">
      <c r="A826" s="61">
        <v>45473</v>
      </c>
      <c r="B826" s="18">
        <v>367.54</v>
      </c>
      <c r="C826" s="19">
        <v>352</v>
      </c>
      <c r="D826" s="19">
        <v>143</v>
      </c>
      <c r="E826" s="19">
        <v>3</v>
      </c>
      <c r="F826" s="18">
        <v>41206</v>
      </c>
      <c r="G826" s="19">
        <v>37</v>
      </c>
      <c r="H826" s="19">
        <v>0</v>
      </c>
      <c r="I826" s="19">
        <v>8</v>
      </c>
      <c r="J826" s="66">
        <f t="shared" si="90"/>
        <v>0.40625</v>
      </c>
      <c r="K826" s="67">
        <f t="shared" si="91"/>
        <v>2.57020979020979</v>
      </c>
      <c r="L826" s="67">
        <f t="shared" si="92"/>
        <v>1044.14772727273</v>
      </c>
      <c r="M826" s="73">
        <f t="shared" si="93"/>
        <v>112.112967296077</v>
      </c>
      <c r="N826" s="66">
        <f t="shared" si="94"/>
        <v>0.020979020979021</v>
      </c>
      <c r="O826" s="52">
        <f t="shared" si="95"/>
        <v>13735.3333333333</v>
      </c>
      <c r="P826" s="52">
        <f t="shared" si="96"/>
        <v>122.513333333333</v>
      </c>
      <c r="Q826" s="68">
        <f t="shared" si="97"/>
        <v>9.93351351351351</v>
      </c>
    </row>
    <row r="827" s="2" customFormat="1" spans="1:17">
      <c r="A827" s="61">
        <v>45474</v>
      </c>
      <c r="B827" s="18">
        <v>406.39</v>
      </c>
      <c r="C827" s="19">
        <v>409</v>
      </c>
      <c r="D827" s="19">
        <v>137</v>
      </c>
      <c r="E827" s="19">
        <v>0</v>
      </c>
      <c r="F827" s="18">
        <v>0</v>
      </c>
      <c r="G827" s="19">
        <v>29</v>
      </c>
      <c r="H827" s="19">
        <v>2</v>
      </c>
      <c r="I827" s="19">
        <v>6</v>
      </c>
      <c r="J827" s="66">
        <v>0.334963325183374</v>
      </c>
      <c r="K827" s="67">
        <v>2.9663503649635</v>
      </c>
      <c r="L827" s="67">
        <v>993.61858190709</v>
      </c>
      <c r="M827" s="73">
        <v>0</v>
      </c>
      <c r="N827" s="66">
        <v>0</v>
      </c>
      <c r="O827" s="52">
        <v>0</v>
      </c>
      <c r="P827" s="52">
        <v>0</v>
      </c>
      <c r="Q827" s="68">
        <v>14.0134482758621</v>
      </c>
    </row>
    <row r="828" s="2" customFormat="1" spans="1:17">
      <c r="A828" s="61">
        <v>45475</v>
      </c>
      <c r="B828" s="18">
        <v>391.43</v>
      </c>
      <c r="C828" s="19">
        <v>368</v>
      </c>
      <c r="D828" s="19">
        <v>172</v>
      </c>
      <c r="E828" s="19">
        <v>0</v>
      </c>
      <c r="F828" s="18">
        <v>0</v>
      </c>
      <c r="G828" s="19">
        <v>28</v>
      </c>
      <c r="H828" s="19">
        <v>3</v>
      </c>
      <c r="I828" s="19">
        <v>6</v>
      </c>
      <c r="J828" s="66">
        <f t="shared" ref="J828:J837" si="98">D828/C828</f>
        <v>0.467391304347826</v>
      </c>
      <c r="K828" s="67">
        <f t="shared" ref="K828:K837" si="99">B828/D828</f>
        <v>2.27575581395349</v>
      </c>
      <c r="L828" s="67">
        <f t="shared" ref="L828:L837" si="100">B828/C828*1000</f>
        <v>1063.66847826087</v>
      </c>
      <c r="M828" s="73">
        <f t="shared" ref="M828:M837" si="101">F828/B828</f>
        <v>0</v>
      </c>
      <c r="N828" s="66">
        <f t="shared" ref="N828:N837" si="102">E828/D828</f>
        <v>0</v>
      </c>
      <c r="O828" s="52">
        <f t="shared" ref="O828:O837" si="103">IF(E828=0,0,F828/E828)</f>
        <v>0</v>
      </c>
      <c r="P828" s="52">
        <f t="shared" ref="P828:P837" si="104">IF(E828=0,0,B828/E828)</f>
        <v>0</v>
      </c>
      <c r="Q828" s="68">
        <f t="shared" ref="Q828:Q837" si="105">B828/G828</f>
        <v>13.9796428571429</v>
      </c>
    </row>
    <row r="829" s="2" customFormat="1" spans="1:17">
      <c r="A829" s="61">
        <v>45476</v>
      </c>
      <c r="B829" s="18">
        <v>392.43</v>
      </c>
      <c r="C829" s="19">
        <v>370</v>
      </c>
      <c r="D829" s="19">
        <v>181</v>
      </c>
      <c r="E829" s="19">
        <v>3</v>
      </c>
      <c r="F829" s="18">
        <v>41617</v>
      </c>
      <c r="G829" s="19">
        <v>42</v>
      </c>
      <c r="H829" s="19">
        <v>3</v>
      </c>
      <c r="I829" s="19">
        <v>6</v>
      </c>
      <c r="J829" s="66">
        <f t="shared" si="98"/>
        <v>0.489189189189189</v>
      </c>
      <c r="K829" s="67">
        <f t="shared" si="99"/>
        <v>2.16812154696133</v>
      </c>
      <c r="L829" s="67">
        <f t="shared" si="100"/>
        <v>1060.62162162162</v>
      </c>
      <c r="M829" s="73">
        <f t="shared" si="101"/>
        <v>106.04948653263</v>
      </c>
      <c r="N829" s="66">
        <f t="shared" si="102"/>
        <v>0.0165745856353591</v>
      </c>
      <c r="O829" s="52">
        <f t="shared" si="103"/>
        <v>13872.3333333333</v>
      </c>
      <c r="P829" s="52">
        <f t="shared" si="104"/>
        <v>130.81</v>
      </c>
      <c r="Q829" s="68">
        <f t="shared" si="105"/>
        <v>9.34357142857143</v>
      </c>
    </row>
    <row r="830" s="2" customFormat="1" spans="1:17">
      <c r="A830" s="61">
        <v>45477</v>
      </c>
      <c r="B830" s="18">
        <v>330.46</v>
      </c>
      <c r="C830" s="19">
        <v>328</v>
      </c>
      <c r="D830" s="19">
        <v>137</v>
      </c>
      <c r="E830" s="19">
        <v>0</v>
      </c>
      <c r="F830" s="18">
        <v>0</v>
      </c>
      <c r="G830" s="19">
        <v>35</v>
      </c>
      <c r="H830" s="19">
        <v>1</v>
      </c>
      <c r="I830" s="19">
        <v>2</v>
      </c>
      <c r="J830" s="66">
        <f t="shared" si="98"/>
        <v>0.417682926829268</v>
      </c>
      <c r="K830" s="67">
        <f t="shared" si="99"/>
        <v>2.41211678832117</v>
      </c>
      <c r="L830" s="67">
        <f t="shared" si="100"/>
        <v>1007.5</v>
      </c>
      <c r="M830" s="73">
        <f t="shared" si="101"/>
        <v>0</v>
      </c>
      <c r="N830" s="66">
        <f t="shared" si="102"/>
        <v>0</v>
      </c>
      <c r="O830" s="52">
        <f t="shared" si="103"/>
        <v>0</v>
      </c>
      <c r="P830" s="52">
        <f t="shared" si="104"/>
        <v>0</v>
      </c>
      <c r="Q830" s="68">
        <f t="shared" si="105"/>
        <v>9.44171428571429</v>
      </c>
    </row>
    <row r="831" s="2" customFormat="1" spans="1:17">
      <c r="A831" s="61">
        <v>45478</v>
      </c>
      <c r="B831" s="18">
        <v>419.73</v>
      </c>
      <c r="C831" s="19">
        <v>380</v>
      </c>
      <c r="D831" s="19">
        <v>137</v>
      </c>
      <c r="E831" s="19">
        <v>2</v>
      </c>
      <c r="F831" s="18">
        <v>59504</v>
      </c>
      <c r="G831" s="19">
        <v>26</v>
      </c>
      <c r="H831" s="19">
        <v>5</v>
      </c>
      <c r="I831" s="19">
        <v>2</v>
      </c>
      <c r="J831" s="66">
        <f t="shared" si="98"/>
        <v>0.360526315789474</v>
      </c>
      <c r="K831" s="67">
        <f t="shared" si="99"/>
        <v>3.06372262773723</v>
      </c>
      <c r="L831" s="67">
        <f t="shared" si="100"/>
        <v>1104.55263157895</v>
      </c>
      <c r="M831" s="73">
        <f t="shared" si="101"/>
        <v>141.767326614729</v>
      </c>
      <c r="N831" s="66">
        <f t="shared" si="102"/>
        <v>0.0145985401459854</v>
      </c>
      <c r="O831" s="52">
        <f t="shared" si="103"/>
        <v>29752</v>
      </c>
      <c r="P831" s="52">
        <f t="shared" si="104"/>
        <v>209.865</v>
      </c>
      <c r="Q831" s="68">
        <f t="shared" si="105"/>
        <v>16.1434615384615</v>
      </c>
    </row>
    <row r="832" s="2" customFormat="1" spans="1:17">
      <c r="A832" s="61">
        <v>45479</v>
      </c>
      <c r="B832" s="18">
        <v>378.73</v>
      </c>
      <c r="C832" s="19">
        <v>358</v>
      </c>
      <c r="D832" s="19">
        <v>139</v>
      </c>
      <c r="E832" s="19">
        <v>1</v>
      </c>
      <c r="F832" s="18">
        <v>19634</v>
      </c>
      <c r="G832" s="19">
        <v>17</v>
      </c>
      <c r="H832" s="19">
        <v>9</v>
      </c>
      <c r="I832" s="19">
        <v>7</v>
      </c>
      <c r="J832" s="66">
        <f t="shared" si="98"/>
        <v>0.388268156424581</v>
      </c>
      <c r="K832" s="67">
        <f t="shared" si="99"/>
        <v>2.72467625899281</v>
      </c>
      <c r="L832" s="67">
        <f t="shared" si="100"/>
        <v>1057.90502793296</v>
      </c>
      <c r="M832" s="73">
        <f t="shared" si="101"/>
        <v>51.8416814089193</v>
      </c>
      <c r="N832" s="66">
        <f t="shared" si="102"/>
        <v>0.00719424460431655</v>
      </c>
      <c r="O832" s="52">
        <f t="shared" si="103"/>
        <v>19634</v>
      </c>
      <c r="P832" s="52">
        <f t="shared" si="104"/>
        <v>378.73</v>
      </c>
      <c r="Q832" s="68">
        <f t="shared" si="105"/>
        <v>22.2782352941176</v>
      </c>
    </row>
    <row r="833" s="2" customFormat="1" spans="1:17">
      <c r="A833" s="61">
        <v>45480</v>
      </c>
      <c r="B833" s="18">
        <v>415.8</v>
      </c>
      <c r="C833" s="19">
        <v>376</v>
      </c>
      <c r="D833" s="19">
        <v>155</v>
      </c>
      <c r="E833" s="19">
        <v>1</v>
      </c>
      <c r="F833" s="18">
        <v>36988</v>
      </c>
      <c r="G833" s="19">
        <v>48</v>
      </c>
      <c r="H833" s="19">
        <v>2</v>
      </c>
      <c r="I833" s="19">
        <v>9</v>
      </c>
      <c r="J833" s="66">
        <f t="shared" si="98"/>
        <v>0.412234042553192</v>
      </c>
      <c r="K833" s="67">
        <f t="shared" si="99"/>
        <v>2.68258064516129</v>
      </c>
      <c r="L833" s="67">
        <f t="shared" si="100"/>
        <v>1105.85106382979</v>
      </c>
      <c r="M833" s="73">
        <f t="shared" si="101"/>
        <v>88.956228956229</v>
      </c>
      <c r="N833" s="66">
        <f t="shared" si="102"/>
        <v>0.00645161290322581</v>
      </c>
      <c r="O833" s="52">
        <f t="shared" si="103"/>
        <v>36988</v>
      </c>
      <c r="P833" s="52">
        <f t="shared" si="104"/>
        <v>415.8</v>
      </c>
      <c r="Q833" s="68">
        <f t="shared" si="105"/>
        <v>8.6625</v>
      </c>
    </row>
    <row r="834" s="2" customFormat="1" spans="1:17">
      <c r="A834" s="61">
        <v>45481</v>
      </c>
      <c r="B834" s="18">
        <v>386.04</v>
      </c>
      <c r="C834" s="19">
        <v>352</v>
      </c>
      <c r="D834" s="19">
        <v>161</v>
      </c>
      <c r="E834" s="19">
        <v>0</v>
      </c>
      <c r="F834" s="18">
        <v>0</v>
      </c>
      <c r="G834" s="19">
        <v>20</v>
      </c>
      <c r="H834" s="19">
        <v>0</v>
      </c>
      <c r="I834" s="19">
        <v>6</v>
      </c>
      <c r="J834" s="66">
        <f t="shared" si="98"/>
        <v>0.457386363636364</v>
      </c>
      <c r="K834" s="67">
        <f t="shared" si="99"/>
        <v>2.39776397515528</v>
      </c>
      <c r="L834" s="67">
        <f t="shared" si="100"/>
        <v>1096.70454545455</v>
      </c>
      <c r="M834" s="73">
        <f t="shared" si="101"/>
        <v>0</v>
      </c>
      <c r="N834" s="66">
        <f t="shared" si="102"/>
        <v>0</v>
      </c>
      <c r="O834" s="52">
        <f t="shared" si="103"/>
        <v>0</v>
      </c>
      <c r="P834" s="52">
        <f t="shared" si="104"/>
        <v>0</v>
      </c>
      <c r="Q834" s="68">
        <f t="shared" si="105"/>
        <v>19.302</v>
      </c>
    </row>
    <row r="835" s="2" customFormat="1" spans="1:17">
      <c r="A835" s="61">
        <v>45482</v>
      </c>
      <c r="B835" s="18">
        <v>414.68</v>
      </c>
      <c r="C835" s="19">
        <v>361</v>
      </c>
      <c r="D835" s="19">
        <v>156</v>
      </c>
      <c r="E835" s="19">
        <v>1</v>
      </c>
      <c r="F835" s="18">
        <v>25028</v>
      </c>
      <c r="G835" s="19">
        <v>27</v>
      </c>
      <c r="H835" s="19">
        <v>1</v>
      </c>
      <c r="I835" s="19">
        <v>8</v>
      </c>
      <c r="J835" s="66">
        <f t="shared" si="98"/>
        <v>0.43213296398892</v>
      </c>
      <c r="K835" s="67">
        <f t="shared" si="99"/>
        <v>2.65820512820513</v>
      </c>
      <c r="L835" s="67">
        <f t="shared" si="100"/>
        <v>1148.69806094183</v>
      </c>
      <c r="M835" s="73">
        <f t="shared" si="101"/>
        <v>60.3549725089225</v>
      </c>
      <c r="N835" s="66">
        <f t="shared" si="102"/>
        <v>0.00641025641025641</v>
      </c>
      <c r="O835" s="52">
        <f t="shared" si="103"/>
        <v>25028</v>
      </c>
      <c r="P835" s="52">
        <f t="shared" si="104"/>
        <v>414.68</v>
      </c>
      <c r="Q835" s="68">
        <f t="shared" si="105"/>
        <v>15.3585185185185</v>
      </c>
    </row>
    <row r="836" s="2" customFormat="1" spans="1:17">
      <c r="A836" s="61">
        <v>45483</v>
      </c>
      <c r="B836" s="18">
        <v>400.45</v>
      </c>
      <c r="C836" s="19">
        <v>326</v>
      </c>
      <c r="D836" s="19">
        <v>143</v>
      </c>
      <c r="E836" s="19">
        <v>2</v>
      </c>
      <c r="F836" s="18">
        <v>25220</v>
      </c>
      <c r="G836" s="19">
        <v>22</v>
      </c>
      <c r="H836" s="19">
        <v>4</v>
      </c>
      <c r="I836" s="19">
        <v>12</v>
      </c>
      <c r="J836" s="66">
        <f t="shared" si="98"/>
        <v>0.438650306748466</v>
      </c>
      <c r="K836" s="67">
        <f t="shared" si="99"/>
        <v>2.80034965034965</v>
      </c>
      <c r="L836" s="67">
        <f t="shared" si="100"/>
        <v>1228.37423312883</v>
      </c>
      <c r="M836" s="73">
        <f t="shared" si="101"/>
        <v>62.9791484579848</v>
      </c>
      <c r="N836" s="66">
        <f t="shared" si="102"/>
        <v>0.013986013986014</v>
      </c>
      <c r="O836" s="52">
        <f t="shared" si="103"/>
        <v>12610</v>
      </c>
      <c r="P836" s="52">
        <f t="shared" si="104"/>
        <v>200.225</v>
      </c>
      <c r="Q836" s="68">
        <f t="shared" si="105"/>
        <v>18.2022727272727</v>
      </c>
    </row>
    <row r="837" s="2" customFormat="1" spans="1:17">
      <c r="A837" s="61">
        <v>45484</v>
      </c>
      <c r="B837" s="18">
        <v>371.99</v>
      </c>
      <c r="C837" s="19">
        <v>314</v>
      </c>
      <c r="D837" s="19">
        <v>129</v>
      </c>
      <c r="E837" s="19">
        <v>0</v>
      </c>
      <c r="F837" s="19">
        <v>0</v>
      </c>
      <c r="G837" s="19">
        <v>23</v>
      </c>
      <c r="H837" s="19">
        <v>4</v>
      </c>
      <c r="I837" s="19">
        <v>8</v>
      </c>
      <c r="J837" s="19">
        <f t="shared" si="98"/>
        <v>0.410828025477707</v>
      </c>
      <c r="K837" s="19">
        <f t="shared" si="99"/>
        <v>2.88364341085271</v>
      </c>
      <c r="L837" s="19">
        <f t="shared" si="100"/>
        <v>1184.68152866242</v>
      </c>
      <c r="M837" s="19">
        <f t="shared" si="101"/>
        <v>0</v>
      </c>
      <c r="N837" s="19">
        <f t="shared" si="102"/>
        <v>0</v>
      </c>
      <c r="O837" s="19">
        <f t="shared" si="103"/>
        <v>0</v>
      </c>
      <c r="P837" s="19">
        <f t="shared" si="104"/>
        <v>0</v>
      </c>
      <c r="Q837" s="68">
        <f t="shared" si="105"/>
        <v>16.1734782608696</v>
      </c>
    </row>
    <row r="838" s="2" customFormat="1" spans="1:17">
      <c r="A838" s="61">
        <v>45485</v>
      </c>
      <c r="B838" s="18">
        <v>466.92</v>
      </c>
      <c r="C838" s="19">
        <v>385</v>
      </c>
      <c r="D838" s="19">
        <v>169</v>
      </c>
      <c r="E838" s="19">
        <v>0</v>
      </c>
      <c r="F838" s="18">
        <v>0</v>
      </c>
      <c r="G838" s="19">
        <v>38</v>
      </c>
      <c r="H838" s="19">
        <v>1</v>
      </c>
      <c r="I838" s="19">
        <v>5</v>
      </c>
      <c r="J838" s="66">
        <v>0.438961038961039</v>
      </c>
      <c r="K838" s="67">
        <v>2.76284023668639</v>
      </c>
      <c r="L838" s="67">
        <v>1212.77922077922</v>
      </c>
      <c r="M838" s="73">
        <v>0</v>
      </c>
      <c r="N838" s="66">
        <v>0</v>
      </c>
      <c r="O838" s="52">
        <v>0</v>
      </c>
      <c r="P838" s="52">
        <v>0</v>
      </c>
      <c r="Q838" s="68">
        <v>12.2873684210526</v>
      </c>
    </row>
    <row r="839" s="2" customFormat="1" spans="1:17">
      <c r="A839" s="61">
        <v>45486</v>
      </c>
      <c r="B839" s="18">
        <v>480.67</v>
      </c>
      <c r="C839" s="19">
        <v>403</v>
      </c>
      <c r="D839" s="19">
        <v>166</v>
      </c>
      <c r="E839" s="19">
        <v>1</v>
      </c>
      <c r="F839" s="18">
        <v>30708</v>
      </c>
      <c r="G839" s="19">
        <v>24</v>
      </c>
      <c r="H839" s="19">
        <v>6</v>
      </c>
      <c r="I839" s="19">
        <v>8</v>
      </c>
      <c r="J839" s="66">
        <v>0.411910669975186</v>
      </c>
      <c r="K839" s="67">
        <v>2.89560240963855</v>
      </c>
      <c r="L839" s="67">
        <v>1192.72952853598</v>
      </c>
      <c r="M839" s="73">
        <v>63.8858260344935</v>
      </c>
      <c r="N839" s="66">
        <v>0.00602409638554217</v>
      </c>
      <c r="O839" s="52">
        <v>30708</v>
      </c>
      <c r="P839" s="52">
        <v>480.67</v>
      </c>
      <c r="Q839" s="68">
        <v>20.0279166666667</v>
      </c>
    </row>
    <row r="840" s="2" customFormat="1" spans="1:17">
      <c r="A840" s="61">
        <v>45487</v>
      </c>
      <c r="B840" s="18">
        <v>434.36</v>
      </c>
      <c r="C840" s="19">
        <v>370</v>
      </c>
      <c r="D840" s="19">
        <v>133</v>
      </c>
      <c r="E840" s="19">
        <v>0</v>
      </c>
      <c r="F840" s="18">
        <v>0</v>
      </c>
      <c r="G840" s="19">
        <v>27</v>
      </c>
      <c r="H840" s="19">
        <v>5</v>
      </c>
      <c r="I840" s="19">
        <v>12</v>
      </c>
      <c r="J840" s="66">
        <v>0.359459459459459</v>
      </c>
      <c r="K840" s="67">
        <v>3.26586466165414</v>
      </c>
      <c r="L840" s="67">
        <v>1173.94594594595</v>
      </c>
      <c r="M840" s="73">
        <v>0</v>
      </c>
      <c r="N840" s="66">
        <v>0</v>
      </c>
      <c r="O840" s="52">
        <v>0</v>
      </c>
      <c r="P840" s="52">
        <v>0</v>
      </c>
      <c r="Q840" s="68">
        <v>16.0874074074074</v>
      </c>
    </row>
    <row r="841" s="2" customFormat="1" spans="1:17">
      <c r="A841" s="61">
        <v>45488</v>
      </c>
      <c r="B841" s="18">
        <v>450.82</v>
      </c>
      <c r="C841" s="19">
        <v>398</v>
      </c>
      <c r="D841" s="19">
        <v>170</v>
      </c>
      <c r="E841" s="19">
        <v>0</v>
      </c>
      <c r="F841" s="18">
        <v>0</v>
      </c>
      <c r="G841" s="19">
        <v>31</v>
      </c>
      <c r="H841" s="19">
        <v>3</v>
      </c>
      <c r="I841" s="19">
        <v>13</v>
      </c>
      <c r="J841" s="66">
        <f t="shared" ref="J841:J847" si="106">D841/C841</f>
        <v>0.42713567839196</v>
      </c>
      <c r="K841" s="67">
        <f t="shared" ref="K841:K847" si="107">B841/D841</f>
        <v>2.65188235294118</v>
      </c>
      <c r="L841" s="67">
        <f t="shared" ref="L841:L847" si="108">B841/C841*1000</f>
        <v>1132.7135678392</v>
      </c>
      <c r="M841" s="73">
        <f t="shared" ref="M841:M847" si="109">F841/B841</f>
        <v>0</v>
      </c>
      <c r="N841" s="66">
        <f t="shared" ref="N841:N847" si="110">E841/D841</f>
        <v>0</v>
      </c>
      <c r="O841" s="52">
        <f t="shared" ref="O841:O847" si="111">IF(E841=0,0,F841/E841)</f>
        <v>0</v>
      </c>
      <c r="P841" s="52">
        <f t="shared" ref="P841:P847" si="112">IF(E841=0,0,B841/E841)</f>
        <v>0</v>
      </c>
      <c r="Q841" s="68">
        <f t="shared" ref="Q841:Q847" si="113">B841/G841</f>
        <v>14.5425806451613</v>
      </c>
    </row>
    <row r="842" s="2" customFormat="1" spans="1:17">
      <c r="A842" s="61">
        <v>45489</v>
      </c>
      <c r="B842" s="18">
        <v>558.9</v>
      </c>
      <c r="C842" s="19">
        <v>467</v>
      </c>
      <c r="D842" s="19">
        <v>195</v>
      </c>
      <c r="E842" s="19">
        <v>0</v>
      </c>
      <c r="F842" s="18">
        <v>0</v>
      </c>
      <c r="G842" s="19">
        <v>33</v>
      </c>
      <c r="H842" s="19">
        <v>4</v>
      </c>
      <c r="I842" s="19">
        <v>8</v>
      </c>
      <c r="J842" s="66">
        <f t="shared" si="106"/>
        <v>0.417558886509636</v>
      </c>
      <c r="K842" s="67">
        <f t="shared" si="107"/>
        <v>2.86615384615385</v>
      </c>
      <c r="L842" s="67">
        <f t="shared" si="108"/>
        <v>1196.78800856531</v>
      </c>
      <c r="M842" s="73">
        <f t="shared" si="109"/>
        <v>0</v>
      </c>
      <c r="N842" s="66">
        <f t="shared" si="110"/>
        <v>0</v>
      </c>
      <c r="O842" s="52">
        <f t="shared" si="111"/>
        <v>0</v>
      </c>
      <c r="P842" s="52">
        <f t="shared" si="112"/>
        <v>0</v>
      </c>
      <c r="Q842" s="68">
        <f t="shared" si="113"/>
        <v>16.9363636363636</v>
      </c>
    </row>
    <row r="843" s="2" customFormat="1" spans="1:17">
      <c r="A843" s="61">
        <v>45490</v>
      </c>
      <c r="B843" s="18">
        <v>545.98</v>
      </c>
      <c r="C843" s="19">
        <v>469</v>
      </c>
      <c r="D843" s="19">
        <v>159</v>
      </c>
      <c r="E843" s="19">
        <v>0</v>
      </c>
      <c r="F843" s="18">
        <v>0</v>
      </c>
      <c r="G843" s="19">
        <v>19</v>
      </c>
      <c r="H843" s="19">
        <v>1</v>
      </c>
      <c r="I843" s="19">
        <v>11</v>
      </c>
      <c r="J843" s="66">
        <f t="shared" si="106"/>
        <v>0.339019189765458</v>
      </c>
      <c r="K843" s="67">
        <f t="shared" si="107"/>
        <v>3.43383647798742</v>
      </c>
      <c r="L843" s="67">
        <f t="shared" si="108"/>
        <v>1164.13646055437</v>
      </c>
      <c r="M843" s="73">
        <f t="shared" si="109"/>
        <v>0</v>
      </c>
      <c r="N843" s="66">
        <f t="shared" si="110"/>
        <v>0</v>
      </c>
      <c r="O843" s="52">
        <f t="shared" si="111"/>
        <v>0</v>
      </c>
      <c r="P843" s="52">
        <f t="shared" si="112"/>
        <v>0</v>
      </c>
      <c r="Q843" s="68">
        <f t="shared" si="113"/>
        <v>28.7357894736842</v>
      </c>
    </row>
    <row r="844" s="2" customFormat="1" spans="1:17">
      <c r="A844" s="61">
        <v>45491</v>
      </c>
      <c r="B844" s="18">
        <v>543.07</v>
      </c>
      <c r="C844" s="19">
        <v>451</v>
      </c>
      <c r="D844" s="19">
        <v>177</v>
      </c>
      <c r="E844" s="19">
        <v>0</v>
      </c>
      <c r="F844" s="18">
        <v>0</v>
      </c>
      <c r="G844" s="19">
        <v>26</v>
      </c>
      <c r="H844" s="19">
        <v>5</v>
      </c>
      <c r="I844" s="19">
        <v>8</v>
      </c>
      <c r="J844" s="66">
        <f t="shared" si="106"/>
        <v>0.392461197339246</v>
      </c>
      <c r="K844" s="67">
        <f t="shared" si="107"/>
        <v>3.06819209039548</v>
      </c>
      <c r="L844" s="67">
        <f t="shared" si="108"/>
        <v>1204.14634146341</v>
      </c>
      <c r="M844" s="73">
        <f t="shared" si="109"/>
        <v>0</v>
      </c>
      <c r="N844" s="66">
        <f t="shared" si="110"/>
        <v>0</v>
      </c>
      <c r="O844" s="52">
        <f t="shared" si="111"/>
        <v>0</v>
      </c>
      <c r="P844" s="52">
        <f t="shared" si="112"/>
        <v>0</v>
      </c>
      <c r="Q844" s="68">
        <f t="shared" si="113"/>
        <v>20.8873076923077</v>
      </c>
    </row>
    <row r="845" s="2" customFormat="1" spans="1:17">
      <c r="A845" s="61">
        <v>45492</v>
      </c>
      <c r="B845" s="18">
        <v>463.59</v>
      </c>
      <c r="C845" s="19">
        <v>417</v>
      </c>
      <c r="D845" s="19">
        <v>211</v>
      </c>
      <c r="E845" s="19">
        <v>2</v>
      </c>
      <c r="F845" s="18">
        <v>23994</v>
      </c>
      <c r="G845" s="19">
        <v>35</v>
      </c>
      <c r="H845" s="19">
        <v>2</v>
      </c>
      <c r="I845" s="19">
        <v>7</v>
      </c>
      <c r="J845" s="66">
        <f t="shared" si="106"/>
        <v>0.50599520383693</v>
      </c>
      <c r="K845" s="67">
        <f t="shared" si="107"/>
        <v>2.19710900473934</v>
      </c>
      <c r="L845" s="67">
        <f t="shared" si="108"/>
        <v>1111.72661870504</v>
      </c>
      <c r="M845" s="73">
        <f t="shared" si="109"/>
        <v>51.7569403999223</v>
      </c>
      <c r="N845" s="66">
        <f t="shared" si="110"/>
        <v>0.00947867298578199</v>
      </c>
      <c r="O845" s="52">
        <f t="shared" si="111"/>
        <v>11997</v>
      </c>
      <c r="P845" s="52">
        <f t="shared" si="112"/>
        <v>231.795</v>
      </c>
      <c r="Q845" s="68">
        <f t="shared" si="113"/>
        <v>13.2454285714286</v>
      </c>
    </row>
    <row r="846" s="2" customFormat="1" spans="1:17">
      <c r="A846" s="61">
        <v>45493</v>
      </c>
      <c r="B846" s="18">
        <v>549.05</v>
      </c>
      <c r="C846" s="19">
        <v>441</v>
      </c>
      <c r="D846" s="19">
        <v>169</v>
      </c>
      <c r="E846" s="19">
        <v>4</v>
      </c>
      <c r="F846" s="18">
        <v>47445</v>
      </c>
      <c r="G846" s="19">
        <v>27</v>
      </c>
      <c r="H846" s="19">
        <v>1</v>
      </c>
      <c r="I846" s="19">
        <v>3</v>
      </c>
      <c r="J846" s="66">
        <f t="shared" si="106"/>
        <v>0.383219954648526</v>
      </c>
      <c r="K846" s="67">
        <f t="shared" si="107"/>
        <v>3.24881656804734</v>
      </c>
      <c r="L846" s="67">
        <f t="shared" si="108"/>
        <v>1245.01133786848</v>
      </c>
      <c r="M846" s="73">
        <f t="shared" si="109"/>
        <v>86.4128950004553</v>
      </c>
      <c r="N846" s="66">
        <f t="shared" si="110"/>
        <v>0.0236686390532544</v>
      </c>
      <c r="O846" s="52">
        <f t="shared" si="111"/>
        <v>11861.25</v>
      </c>
      <c r="P846" s="52">
        <f t="shared" si="112"/>
        <v>137.2625</v>
      </c>
      <c r="Q846" s="68">
        <f t="shared" si="113"/>
        <v>20.3351851851852</v>
      </c>
    </row>
    <row r="847" s="2" customFormat="1" spans="1:17">
      <c r="A847" s="61">
        <v>45494</v>
      </c>
      <c r="B847" s="18">
        <v>698.91</v>
      </c>
      <c r="C847" s="19">
        <v>608</v>
      </c>
      <c r="D847" s="19">
        <v>267</v>
      </c>
      <c r="E847" s="19">
        <v>9</v>
      </c>
      <c r="F847" s="18">
        <v>83580</v>
      </c>
      <c r="G847" s="19">
        <v>48</v>
      </c>
      <c r="H847" s="19">
        <v>12</v>
      </c>
      <c r="I847" s="19">
        <v>9</v>
      </c>
      <c r="J847" s="66">
        <f t="shared" si="106"/>
        <v>0.439144736842105</v>
      </c>
      <c r="K847" s="67">
        <f t="shared" si="107"/>
        <v>2.6176404494382</v>
      </c>
      <c r="L847" s="67">
        <f t="shared" si="108"/>
        <v>1149.52302631579</v>
      </c>
      <c r="M847" s="73">
        <f t="shared" si="109"/>
        <v>119.586212817101</v>
      </c>
      <c r="N847" s="66">
        <f t="shared" si="110"/>
        <v>0.0337078651685393</v>
      </c>
      <c r="O847" s="52">
        <f t="shared" si="111"/>
        <v>9286.66666666667</v>
      </c>
      <c r="P847" s="52">
        <f t="shared" si="112"/>
        <v>77.6566666666667</v>
      </c>
      <c r="Q847" s="68">
        <f t="shared" si="113"/>
        <v>14.560625</v>
      </c>
    </row>
    <row r="848" s="2" customFormat="1" spans="1:17">
      <c r="A848" s="61">
        <v>45495</v>
      </c>
      <c r="B848" s="18">
        <v>625.22</v>
      </c>
      <c r="C848" s="19">
        <v>512</v>
      </c>
      <c r="D848" s="19">
        <v>201</v>
      </c>
      <c r="E848" s="19">
        <v>0</v>
      </c>
      <c r="F848" s="18">
        <v>0</v>
      </c>
      <c r="G848" s="19">
        <v>29</v>
      </c>
      <c r="H848" s="19">
        <v>3</v>
      </c>
      <c r="I848" s="19">
        <v>8</v>
      </c>
      <c r="J848" s="66">
        <v>0.392578125</v>
      </c>
      <c r="K848" s="67">
        <v>3.11054726368159</v>
      </c>
      <c r="L848" s="67">
        <v>1221.1328125</v>
      </c>
      <c r="M848" s="73">
        <v>0</v>
      </c>
      <c r="N848" s="66">
        <v>0</v>
      </c>
      <c r="O848" s="52">
        <v>0</v>
      </c>
      <c r="P848" s="52">
        <v>0</v>
      </c>
      <c r="Q848" s="68">
        <v>21.5593103448276</v>
      </c>
    </row>
    <row r="849" s="2" customFormat="1" spans="1:17">
      <c r="A849" s="61">
        <v>45496</v>
      </c>
      <c r="B849" s="18">
        <v>465.61</v>
      </c>
      <c r="C849" s="19">
        <v>397</v>
      </c>
      <c r="D849" s="19">
        <v>160</v>
      </c>
      <c r="E849" s="19">
        <v>0</v>
      </c>
      <c r="F849" s="18">
        <v>0</v>
      </c>
      <c r="G849" s="19">
        <v>17</v>
      </c>
      <c r="H849" s="19">
        <v>2</v>
      </c>
      <c r="I849" s="19">
        <v>9</v>
      </c>
      <c r="J849" s="66">
        <f t="shared" ref="J849:J861" si="114">D849/C849</f>
        <v>0.403022670025189</v>
      </c>
      <c r="K849" s="67">
        <f t="shared" ref="K849:K861" si="115">B849/D849</f>
        <v>2.9100625</v>
      </c>
      <c r="L849" s="67">
        <f t="shared" ref="L849:L861" si="116">B849/C849*1000</f>
        <v>1172.82115869018</v>
      </c>
      <c r="M849" s="73">
        <f t="shared" ref="M849:M861" si="117">F849/B849</f>
        <v>0</v>
      </c>
      <c r="N849" s="66">
        <f t="shared" ref="N849:N861" si="118">E849/D849</f>
        <v>0</v>
      </c>
      <c r="O849" s="52">
        <f t="shared" ref="O849:O861" si="119">IF(E849=0,0,F849/E849)</f>
        <v>0</v>
      </c>
      <c r="P849" s="52">
        <f t="shared" ref="P849:P861" si="120">IF(E849=0,0,B849/E849)</f>
        <v>0</v>
      </c>
      <c r="Q849" s="68">
        <f t="shared" ref="Q849:Q861" si="121">B849/G849</f>
        <v>27.3888235294118</v>
      </c>
    </row>
    <row r="850" s="2" customFormat="1" spans="1:17">
      <c r="A850" s="61">
        <v>45497</v>
      </c>
      <c r="B850" s="18">
        <v>458.83</v>
      </c>
      <c r="C850" s="19">
        <v>363</v>
      </c>
      <c r="D850" s="19">
        <v>177</v>
      </c>
      <c r="E850" s="19">
        <v>0</v>
      </c>
      <c r="F850" s="18">
        <v>0</v>
      </c>
      <c r="G850" s="19">
        <v>19</v>
      </c>
      <c r="H850" s="19">
        <v>3</v>
      </c>
      <c r="I850" s="19">
        <v>8</v>
      </c>
      <c r="J850" s="66">
        <f t="shared" si="114"/>
        <v>0.487603305785124</v>
      </c>
      <c r="K850" s="67">
        <f t="shared" si="115"/>
        <v>2.59225988700565</v>
      </c>
      <c r="L850" s="67">
        <f t="shared" si="116"/>
        <v>1263.99449035813</v>
      </c>
      <c r="M850" s="73">
        <f t="shared" si="117"/>
        <v>0</v>
      </c>
      <c r="N850" s="66">
        <f t="shared" si="118"/>
        <v>0</v>
      </c>
      <c r="O850" s="52">
        <f t="shared" si="119"/>
        <v>0</v>
      </c>
      <c r="P850" s="52">
        <f t="shared" si="120"/>
        <v>0</v>
      </c>
      <c r="Q850" s="68">
        <f t="shared" si="121"/>
        <v>24.1489473684211</v>
      </c>
    </row>
    <row r="851" s="2" customFormat="1" spans="1:17">
      <c r="A851" s="61">
        <v>45498</v>
      </c>
      <c r="B851" s="18">
        <v>459.96</v>
      </c>
      <c r="C851" s="19">
        <v>373</v>
      </c>
      <c r="D851" s="19">
        <v>166</v>
      </c>
      <c r="E851" s="19">
        <v>0</v>
      </c>
      <c r="F851" s="18">
        <v>0</v>
      </c>
      <c r="G851" s="19">
        <v>20</v>
      </c>
      <c r="H851" s="19">
        <v>1</v>
      </c>
      <c r="I851" s="19">
        <v>13</v>
      </c>
      <c r="J851" s="66">
        <f t="shared" si="114"/>
        <v>0.445040214477212</v>
      </c>
      <c r="K851" s="67">
        <f t="shared" si="115"/>
        <v>2.77084337349398</v>
      </c>
      <c r="L851" s="67">
        <f t="shared" si="116"/>
        <v>1233.13672922252</v>
      </c>
      <c r="M851" s="73">
        <f t="shared" si="117"/>
        <v>0</v>
      </c>
      <c r="N851" s="66">
        <f t="shared" si="118"/>
        <v>0</v>
      </c>
      <c r="O851" s="52">
        <f t="shared" si="119"/>
        <v>0</v>
      </c>
      <c r="P851" s="52">
        <f t="shared" si="120"/>
        <v>0</v>
      </c>
      <c r="Q851" s="68">
        <f t="shared" si="121"/>
        <v>22.998</v>
      </c>
    </row>
    <row r="852" s="2" customFormat="1" spans="1:17">
      <c r="A852" s="61">
        <v>45499</v>
      </c>
      <c r="B852" s="18">
        <v>373.26</v>
      </c>
      <c r="C852" s="19">
        <v>299</v>
      </c>
      <c r="D852" s="19">
        <v>122</v>
      </c>
      <c r="E852" s="19">
        <v>0</v>
      </c>
      <c r="F852" s="18">
        <v>0</v>
      </c>
      <c r="G852" s="19">
        <v>15</v>
      </c>
      <c r="H852" s="19">
        <v>5</v>
      </c>
      <c r="I852" s="19">
        <v>7</v>
      </c>
      <c r="J852" s="66">
        <f t="shared" si="114"/>
        <v>0.408026755852843</v>
      </c>
      <c r="K852" s="67">
        <f t="shared" si="115"/>
        <v>3.05950819672131</v>
      </c>
      <c r="L852" s="67">
        <f t="shared" si="116"/>
        <v>1248.36120401338</v>
      </c>
      <c r="M852" s="73">
        <f t="shared" si="117"/>
        <v>0</v>
      </c>
      <c r="N852" s="66">
        <f t="shared" si="118"/>
        <v>0</v>
      </c>
      <c r="O852" s="52">
        <f t="shared" si="119"/>
        <v>0</v>
      </c>
      <c r="P852" s="52">
        <f t="shared" si="120"/>
        <v>0</v>
      </c>
      <c r="Q852" s="68">
        <f t="shared" si="121"/>
        <v>24.884</v>
      </c>
    </row>
    <row r="853" s="2" customFormat="1" spans="1:17">
      <c r="A853" s="61">
        <v>45500</v>
      </c>
      <c r="B853" s="18">
        <v>330.92</v>
      </c>
      <c r="C853" s="19">
        <v>277</v>
      </c>
      <c r="D853" s="19">
        <v>107</v>
      </c>
      <c r="E853" s="19">
        <v>2</v>
      </c>
      <c r="F853" s="18">
        <v>16616</v>
      </c>
      <c r="G853" s="19">
        <v>20</v>
      </c>
      <c r="H853" s="19">
        <v>2</v>
      </c>
      <c r="I853" s="19">
        <v>3</v>
      </c>
      <c r="J853" s="66">
        <f t="shared" si="114"/>
        <v>0.386281588447653</v>
      </c>
      <c r="K853" s="67">
        <f t="shared" si="115"/>
        <v>3.09271028037383</v>
      </c>
      <c r="L853" s="67">
        <f t="shared" si="116"/>
        <v>1194.65703971119</v>
      </c>
      <c r="M853" s="73">
        <f t="shared" si="117"/>
        <v>50.2115314879729</v>
      </c>
      <c r="N853" s="66">
        <f t="shared" si="118"/>
        <v>0.0186915887850467</v>
      </c>
      <c r="O853" s="52">
        <f t="shared" si="119"/>
        <v>8308</v>
      </c>
      <c r="P853" s="52">
        <f t="shared" si="120"/>
        <v>165.46</v>
      </c>
      <c r="Q853" s="68">
        <f t="shared" si="121"/>
        <v>16.546</v>
      </c>
    </row>
    <row r="854" s="2" customFormat="1" spans="1:17">
      <c r="A854" s="61">
        <v>45501</v>
      </c>
      <c r="B854" s="18">
        <v>420.74</v>
      </c>
      <c r="C854" s="19">
        <v>325</v>
      </c>
      <c r="D854" s="19">
        <v>147</v>
      </c>
      <c r="E854" s="19">
        <v>0</v>
      </c>
      <c r="F854" s="18">
        <v>0</v>
      </c>
      <c r="G854" s="19">
        <v>41</v>
      </c>
      <c r="H854" s="19">
        <v>1</v>
      </c>
      <c r="I854" s="19">
        <v>11</v>
      </c>
      <c r="J854" s="66">
        <f t="shared" si="114"/>
        <v>0.452307692307692</v>
      </c>
      <c r="K854" s="67">
        <f t="shared" si="115"/>
        <v>2.8621768707483</v>
      </c>
      <c r="L854" s="67">
        <f t="shared" si="116"/>
        <v>1294.58461538462</v>
      </c>
      <c r="M854" s="73">
        <f t="shared" si="117"/>
        <v>0</v>
      </c>
      <c r="N854" s="66">
        <f t="shared" si="118"/>
        <v>0</v>
      </c>
      <c r="O854" s="52">
        <f t="shared" si="119"/>
        <v>0</v>
      </c>
      <c r="P854" s="52">
        <f t="shared" si="120"/>
        <v>0</v>
      </c>
      <c r="Q854" s="68">
        <f t="shared" si="121"/>
        <v>10.2619512195122</v>
      </c>
    </row>
    <row r="855" s="2" customFormat="1" spans="1:17">
      <c r="A855" s="61">
        <v>45502</v>
      </c>
      <c r="B855" s="18">
        <v>400.08</v>
      </c>
      <c r="C855" s="19">
        <v>381</v>
      </c>
      <c r="D855" s="19">
        <v>183</v>
      </c>
      <c r="E855" s="19">
        <v>0</v>
      </c>
      <c r="F855" s="18">
        <v>0</v>
      </c>
      <c r="G855" s="19">
        <v>23</v>
      </c>
      <c r="H855" s="19">
        <v>0</v>
      </c>
      <c r="I855" s="19">
        <v>6</v>
      </c>
      <c r="J855" s="66">
        <f t="shared" si="114"/>
        <v>0.480314960629921</v>
      </c>
      <c r="K855" s="67">
        <f t="shared" si="115"/>
        <v>2.18622950819672</v>
      </c>
      <c r="L855" s="67">
        <f t="shared" si="116"/>
        <v>1050.07874015748</v>
      </c>
      <c r="M855" s="73">
        <f t="shared" si="117"/>
        <v>0</v>
      </c>
      <c r="N855" s="66">
        <f t="shared" si="118"/>
        <v>0</v>
      </c>
      <c r="O855" s="52">
        <f t="shared" si="119"/>
        <v>0</v>
      </c>
      <c r="P855" s="52">
        <f t="shared" si="120"/>
        <v>0</v>
      </c>
      <c r="Q855" s="68">
        <f t="shared" si="121"/>
        <v>17.3947826086957</v>
      </c>
    </row>
    <row r="856" s="2" customFormat="1" spans="1:17">
      <c r="A856" s="61">
        <v>45503</v>
      </c>
      <c r="B856" s="18">
        <v>335.08</v>
      </c>
      <c r="C856" s="19">
        <v>285</v>
      </c>
      <c r="D856" s="19">
        <v>117</v>
      </c>
      <c r="E856" s="19">
        <v>0</v>
      </c>
      <c r="F856" s="18">
        <v>0</v>
      </c>
      <c r="G856" s="19">
        <v>15</v>
      </c>
      <c r="H856" s="19">
        <v>4</v>
      </c>
      <c r="I856" s="19">
        <v>6</v>
      </c>
      <c r="J856" s="66">
        <f t="shared" si="114"/>
        <v>0.410526315789474</v>
      </c>
      <c r="K856" s="67">
        <f t="shared" si="115"/>
        <v>2.86393162393162</v>
      </c>
      <c r="L856" s="67">
        <f t="shared" si="116"/>
        <v>1175.71929824561</v>
      </c>
      <c r="M856" s="73">
        <f t="shared" si="117"/>
        <v>0</v>
      </c>
      <c r="N856" s="66">
        <f t="shared" si="118"/>
        <v>0</v>
      </c>
      <c r="O856" s="52">
        <f t="shared" si="119"/>
        <v>0</v>
      </c>
      <c r="P856" s="52">
        <f t="shared" si="120"/>
        <v>0</v>
      </c>
      <c r="Q856" s="68">
        <f t="shared" si="121"/>
        <v>22.3386666666667</v>
      </c>
    </row>
    <row r="857" s="2" customFormat="1" spans="1:17">
      <c r="A857" s="61">
        <v>45504</v>
      </c>
      <c r="B857" s="18">
        <v>359.24</v>
      </c>
      <c r="C857" s="19">
        <v>291</v>
      </c>
      <c r="D857" s="19">
        <v>107</v>
      </c>
      <c r="E857" s="19">
        <v>0</v>
      </c>
      <c r="F857" s="18">
        <v>0</v>
      </c>
      <c r="G857" s="19">
        <v>12</v>
      </c>
      <c r="H857" s="19">
        <v>0</v>
      </c>
      <c r="I857" s="19">
        <v>3</v>
      </c>
      <c r="J857" s="66">
        <f t="shared" si="114"/>
        <v>0.367697594501718</v>
      </c>
      <c r="K857" s="67">
        <f t="shared" si="115"/>
        <v>3.35738317757009</v>
      </c>
      <c r="L857" s="67">
        <f t="shared" si="116"/>
        <v>1234.50171821306</v>
      </c>
      <c r="M857" s="73">
        <f t="shared" si="117"/>
        <v>0</v>
      </c>
      <c r="N857" s="66">
        <f t="shared" si="118"/>
        <v>0</v>
      </c>
      <c r="O857" s="52">
        <f t="shared" si="119"/>
        <v>0</v>
      </c>
      <c r="P857" s="52">
        <f t="shared" si="120"/>
        <v>0</v>
      </c>
      <c r="Q857" s="68">
        <f t="shared" si="121"/>
        <v>29.9366666666667</v>
      </c>
    </row>
    <row r="858" s="2" customFormat="1" spans="1:17">
      <c r="A858" s="61">
        <v>45505</v>
      </c>
      <c r="B858" s="18">
        <v>353.09</v>
      </c>
      <c r="C858" s="19">
        <v>312</v>
      </c>
      <c r="D858" s="19">
        <v>122</v>
      </c>
      <c r="E858" s="19">
        <v>0</v>
      </c>
      <c r="F858" s="18">
        <v>0</v>
      </c>
      <c r="G858" s="19">
        <v>22</v>
      </c>
      <c r="H858" s="19">
        <v>3</v>
      </c>
      <c r="I858" s="19">
        <v>8</v>
      </c>
      <c r="J858" s="66">
        <f t="shared" si="114"/>
        <v>0.391025641025641</v>
      </c>
      <c r="K858" s="67">
        <f t="shared" si="115"/>
        <v>2.89418032786885</v>
      </c>
      <c r="L858" s="67">
        <f t="shared" si="116"/>
        <v>1131.69871794872</v>
      </c>
      <c r="M858" s="73">
        <f t="shared" si="117"/>
        <v>0</v>
      </c>
      <c r="N858" s="66">
        <f t="shared" si="118"/>
        <v>0</v>
      </c>
      <c r="O858" s="52">
        <f t="shared" si="119"/>
        <v>0</v>
      </c>
      <c r="P858" s="52">
        <f t="shared" si="120"/>
        <v>0</v>
      </c>
      <c r="Q858" s="68">
        <f t="shared" si="121"/>
        <v>16.0495454545455</v>
      </c>
    </row>
    <row r="859" s="2" customFormat="1" spans="1:17">
      <c r="A859" s="61">
        <v>45506</v>
      </c>
      <c r="B859" s="18">
        <v>385.67</v>
      </c>
      <c r="C859" s="19">
        <v>311</v>
      </c>
      <c r="D859" s="19">
        <v>134</v>
      </c>
      <c r="E859" s="19">
        <v>3</v>
      </c>
      <c r="F859" s="18">
        <v>32901.6</v>
      </c>
      <c r="G859" s="19">
        <v>21</v>
      </c>
      <c r="H859" s="19">
        <v>1</v>
      </c>
      <c r="I859" s="19">
        <v>8</v>
      </c>
      <c r="J859" s="66">
        <f t="shared" si="114"/>
        <v>0.430868167202572</v>
      </c>
      <c r="K859" s="67">
        <f t="shared" si="115"/>
        <v>2.87813432835821</v>
      </c>
      <c r="L859" s="67">
        <f t="shared" si="116"/>
        <v>1240.09646302251</v>
      </c>
      <c r="M859" s="73">
        <f t="shared" si="117"/>
        <v>85.3102393237742</v>
      </c>
      <c r="N859" s="66">
        <f t="shared" si="118"/>
        <v>0.0223880597014925</v>
      </c>
      <c r="O859" s="52">
        <f t="shared" si="119"/>
        <v>10967.2</v>
      </c>
      <c r="P859" s="52">
        <f t="shared" si="120"/>
        <v>128.556666666667</v>
      </c>
      <c r="Q859" s="68">
        <f t="shared" si="121"/>
        <v>18.3652380952381</v>
      </c>
    </row>
    <row r="860" s="2" customFormat="1" spans="1:17">
      <c r="A860" s="61">
        <v>45507</v>
      </c>
      <c r="B860" s="18">
        <v>378.2</v>
      </c>
      <c r="C860" s="19">
        <v>315</v>
      </c>
      <c r="D860" s="19">
        <v>136</v>
      </c>
      <c r="E860" s="19">
        <v>1</v>
      </c>
      <c r="F860" s="18">
        <v>12534</v>
      </c>
      <c r="G860" s="19">
        <v>16</v>
      </c>
      <c r="H860" s="19">
        <v>2</v>
      </c>
      <c r="I860" s="19">
        <v>9</v>
      </c>
      <c r="J860" s="66">
        <f t="shared" si="114"/>
        <v>0.431746031746032</v>
      </c>
      <c r="K860" s="67">
        <f t="shared" si="115"/>
        <v>2.78088235294118</v>
      </c>
      <c r="L860" s="67">
        <f t="shared" si="116"/>
        <v>1200.63492063492</v>
      </c>
      <c r="M860" s="73">
        <f t="shared" si="117"/>
        <v>33.1411951348493</v>
      </c>
      <c r="N860" s="66">
        <f t="shared" si="118"/>
        <v>0.00735294117647059</v>
      </c>
      <c r="O860" s="52">
        <f t="shared" si="119"/>
        <v>12534</v>
      </c>
      <c r="P860" s="52">
        <f t="shared" si="120"/>
        <v>378.2</v>
      </c>
      <c r="Q860" s="68">
        <f t="shared" si="121"/>
        <v>23.6375</v>
      </c>
    </row>
    <row r="861" s="2" customFormat="1" spans="1:17">
      <c r="A861" s="61">
        <v>45508</v>
      </c>
      <c r="B861" s="18">
        <v>291.25</v>
      </c>
      <c r="C861" s="19">
        <v>290</v>
      </c>
      <c r="D861" s="19">
        <v>134</v>
      </c>
      <c r="E861" s="19">
        <v>1</v>
      </c>
      <c r="F861" s="18">
        <v>13154</v>
      </c>
      <c r="G861" s="19">
        <v>9</v>
      </c>
      <c r="H861" s="19">
        <v>1</v>
      </c>
      <c r="I861" s="19">
        <v>6</v>
      </c>
      <c r="J861" s="66">
        <f t="shared" si="114"/>
        <v>0.462068965517241</v>
      </c>
      <c r="K861" s="67">
        <f t="shared" si="115"/>
        <v>2.17350746268657</v>
      </c>
      <c r="L861" s="67">
        <f t="shared" si="116"/>
        <v>1004.31034482759</v>
      </c>
      <c r="M861" s="73">
        <f t="shared" si="117"/>
        <v>45.1639484978541</v>
      </c>
      <c r="N861" s="66">
        <f t="shared" si="118"/>
        <v>0.00746268656716418</v>
      </c>
      <c r="O861" s="52">
        <f t="shared" si="119"/>
        <v>13154</v>
      </c>
      <c r="P861" s="52">
        <f t="shared" si="120"/>
        <v>291.25</v>
      </c>
      <c r="Q861" s="68">
        <f t="shared" si="121"/>
        <v>32.3611111111111</v>
      </c>
    </row>
    <row r="862" s="2" customFormat="1" spans="1:17">
      <c r="A862" s="61">
        <v>45509</v>
      </c>
      <c r="B862" s="18">
        <v>453.32</v>
      </c>
      <c r="C862" s="19">
        <v>355</v>
      </c>
      <c r="D862" s="19">
        <v>166</v>
      </c>
      <c r="E862" s="19">
        <v>1</v>
      </c>
      <c r="F862" s="19">
        <v>24788</v>
      </c>
      <c r="G862" s="19">
        <v>23</v>
      </c>
      <c r="H862" s="19">
        <v>2</v>
      </c>
      <c r="I862" s="19">
        <v>10</v>
      </c>
      <c r="J862" s="66">
        <v>0.467605633802817</v>
      </c>
      <c r="K862" s="67">
        <v>2.73084337349398</v>
      </c>
      <c r="L862" s="67">
        <v>1276.95774647887</v>
      </c>
      <c r="M862" s="73">
        <v>54.6810200300009</v>
      </c>
      <c r="N862" s="66">
        <v>0.00602409638554217</v>
      </c>
      <c r="O862" s="52">
        <v>24788</v>
      </c>
      <c r="P862" s="52">
        <v>453.32</v>
      </c>
      <c r="Q862" s="68">
        <v>19.7095652173913</v>
      </c>
    </row>
    <row r="863" s="2" customFormat="1" spans="1:17">
      <c r="A863" s="61">
        <v>45510</v>
      </c>
      <c r="B863" s="18">
        <v>426.84</v>
      </c>
      <c r="C863" s="19">
        <v>354</v>
      </c>
      <c r="D863" s="19">
        <v>156</v>
      </c>
      <c r="E863" s="19">
        <v>1</v>
      </c>
      <c r="F863" s="18">
        <v>24788</v>
      </c>
      <c r="G863" s="19">
        <v>23</v>
      </c>
      <c r="H863" s="19">
        <v>2</v>
      </c>
      <c r="I863" s="19">
        <v>5</v>
      </c>
      <c r="J863" s="66">
        <f t="shared" ref="J863:J868" si="122">D863/C863</f>
        <v>0.440677966101695</v>
      </c>
      <c r="K863" s="67">
        <f t="shared" ref="K863:K868" si="123">B863/D863</f>
        <v>2.73615384615385</v>
      </c>
      <c r="L863" s="67">
        <f t="shared" ref="L863:L868" si="124">B863/C863*1000</f>
        <v>1205.76271186441</v>
      </c>
      <c r="M863" s="73">
        <f t="shared" ref="M863:M868" si="125">F863/B863</f>
        <v>58.0732827288914</v>
      </c>
      <c r="N863" s="66">
        <f t="shared" ref="N863:N868" si="126">E863/D863</f>
        <v>0.00641025641025641</v>
      </c>
      <c r="O863" s="52">
        <f t="shared" ref="O863:O868" si="127">IF(E863=0,0,F863/E863)</f>
        <v>24788</v>
      </c>
      <c r="P863" s="52">
        <f t="shared" ref="P863:P868" si="128">IF(E863=0,0,B863/E863)</f>
        <v>426.84</v>
      </c>
      <c r="Q863" s="68">
        <f t="shared" ref="Q863:Q868" si="129">B863/G863</f>
        <v>18.5582608695652</v>
      </c>
    </row>
    <row r="864" s="2" customFormat="1" spans="1:17">
      <c r="A864" s="61">
        <v>45511</v>
      </c>
      <c r="B864" s="18">
        <v>0</v>
      </c>
      <c r="C864" s="19">
        <v>0</v>
      </c>
      <c r="D864" s="19">
        <v>0</v>
      </c>
      <c r="E864" s="19">
        <v>0</v>
      </c>
      <c r="F864" s="18">
        <v>0</v>
      </c>
      <c r="G864" s="19">
        <v>0</v>
      </c>
      <c r="H864" s="19">
        <v>0</v>
      </c>
      <c r="I864" s="19">
        <v>0</v>
      </c>
      <c r="J864" s="66" t="e">
        <f t="shared" si="122"/>
        <v>#DIV/0!</v>
      </c>
      <c r="K864" s="67" t="e">
        <f t="shared" si="123"/>
        <v>#DIV/0!</v>
      </c>
      <c r="L864" s="67" t="e">
        <f t="shared" si="124"/>
        <v>#DIV/0!</v>
      </c>
      <c r="M864" s="73" t="e">
        <f t="shared" si="125"/>
        <v>#DIV/0!</v>
      </c>
      <c r="N864" s="66" t="e">
        <f t="shared" si="126"/>
        <v>#DIV/0!</v>
      </c>
      <c r="O864" s="52">
        <f t="shared" si="127"/>
        <v>0</v>
      </c>
      <c r="P864" s="52">
        <f t="shared" si="128"/>
        <v>0</v>
      </c>
      <c r="Q864" s="68" t="e">
        <f t="shared" si="129"/>
        <v>#DIV/0!</v>
      </c>
    </row>
    <row r="865" s="2" customFormat="1" spans="1:17">
      <c r="A865" s="61">
        <v>45512</v>
      </c>
      <c r="B865" s="18">
        <v>0</v>
      </c>
      <c r="C865" s="19">
        <v>0</v>
      </c>
      <c r="D865" s="19">
        <v>0</v>
      </c>
      <c r="E865" s="19">
        <v>0</v>
      </c>
      <c r="F865" s="18">
        <v>0</v>
      </c>
      <c r="G865" s="19">
        <v>0</v>
      </c>
      <c r="H865" s="19">
        <v>0</v>
      </c>
      <c r="I865" s="19">
        <v>0</v>
      </c>
      <c r="J865" s="66" t="e">
        <f t="shared" si="122"/>
        <v>#DIV/0!</v>
      </c>
      <c r="K865" s="67" t="e">
        <f t="shared" si="123"/>
        <v>#DIV/0!</v>
      </c>
      <c r="L865" s="67" t="e">
        <f t="shared" si="124"/>
        <v>#DIV/0!</v>
      </c>
      <c r="M865" s="73" t="e">
        <f t="shared" si="125"/>
        <v>#DIV/0!</v>
      </c>
      <c r="N865" s="66" t="e">
        <f t="shared" si="126"/>
        <v>#DIV/0!</v>
      </c>
      <c r="O865" s="52">
        <f t="shared" si="127"/>
        <v>0</v>
      </c>
      <c r="P865" s="52">
        <f t="shared" si="128"/>
        <v>0</v>
      </c>
      <c r="Q865" s="68" t="e">
        <f t="shared" si="129"/>
        <v>#DIV/0!</v>
      </c>
    </row>
    <row r="866" s="2" customFormat="1" spans="1:17">
      <c r="A866" s="61">
        <v>45513</v>
      </c>
      <c r="B866" s="18">
        <v>203.8</v>
      </c>
      <c r="C866" s="19">
        <v>177</v>
      </c>
      <c r="D866" s="19">
        <v>62</v>
      </c>
      <c r="E866" s="19">
        <v>0</v>
      </c>
      <c r="F866" s="18">
        <v>0</v>
      </c>
      <c r="G866" s="19">
        <v>12</v>
      </c>
      <c r="H866" s="19">
        <v>0</v>
      </c>
      <c r="I866" s="19">
        <v>2</v>
      </c>
      <c r="J866" s="66">
        <f t="shared" si="122"/>
        <v>0.350282485875706</v>
      </c>
      <c r="K866" s="67">
        <f t="shared" si="123"/>
        <v>3.28709677419355</v>
      </c>
      <c r="L866" s="67">
        <f t="shared" si="124"/>
        <v>1151.41242937853</v>
      </c>
      <c r="M866" s="73">
        <f t="shared" si="125"/>
        <v>0</v>
      </c>
      <c r="N866" s="66">
        <f t="shared" si="126"/>
        <v>0</v>
      </c>
      <c r="O866" s="52">
        <f t="shared" si="127"/>
        <v>0</v>
      </c>
      <c r="P866" s="52">
        <f t="shared" si="128"/>
        <v>0</v>
      </c>
      <c r="Q866" s="68">
        <f t="shared" si="129"/>
        <v>16.9833333333333</v>
      </c>
    </row>
    <row r="867" s="2" customFormat="1" spans="1:17">
      <c r="A867" s="61">
        <v>45514</v>
      </c>
      <c r="B867" s="18">
        <v>385.42</v>
      </c>
      <c r="C867" s="19">
        <v>322</v>
      </c>
      <c r="D867" s="19">
        <v>132</v>
      </c>
      <c r="E867" s="19">
        <v>0</v>
      </c>
      <c r="F867" s="18">
        <v>0</v>
      </c>
      <c r="G867" s="19">
        <v>28</v>
      </c>
      <c r="H867" s="19">
        <v>3</v>
      </c>
      <c r="I867" s="19">
        <v>7</v>
      </c>
      <c r="J867" s="66">
        <f t="shared" si="122"/>
        <v>0.409937888198758</v>
      </c>
      <c r="K867" s="67">
        <f t="shared" si="123"/>
        <v>2.91984848484848</v>
      </c>
      <c r="L867" s="67">
        <f t="shared" si="124"/>
        <v>1196.95652173913</v>
      </c>
      <c r="M867" s="73">
        <f t="shared" si="125"/>
        <v>0</v>
      </c>
      <c r="N867" s="66">
        <f t="shared" si="126"/>
        <v>0</v>
      </c>
      <c r="O867" s="52">
        <f t="shared" si="127"/>
        <v>0</v>
      </c>
      <c r="P867" s="52">
        <f t="shared" si="128"/>
        <v>0</v>
      </c>
      <c r="Q867" s="68">
        <f t="shared" si="129"/>
        <v>13.765</v>
      </c>
    </row>
    <row r="868" s="2" customFormat="1" spans="1:17">
      <c r="A868" s="61">
        <v>45515</v>
      </c>
      <c r="B868" s="18">
        <v>406.12</v>
      </c>
      <c r="C868" s="19">
        <v>348</v>
      </c>
      <c r="D868" s="19">
        <v>122</v>
      </c>
      <c r="E868" s="19">
        <v>0</v>
      </c>
      <c r="F868" s="18">
        <v>0</v>
      </c>
      <c r="G868" s="19">
        <v>21</v>
      </c>
      <c r="H868" s="19">
        <v>2</v>
      </c>
      <c r="I868" s="19">
        <v>1</v>
      </c>
      <c r="J868" s="66">
        <f t="shared" si="122"/>
        <v>0.350574712643678</v>
      </c>
      <c r="K868" s="67">
        <f t="shared" si="123"/>
        <v>3.32885245901639</v>
      </c>
      <c r="L868" s="67">
        <f t="shared" si="124"/>
        <v>1167.01149425287</v>
      </c>
      <c r="M868" s="73">
        <f t="shared" si="125"/>
        <v>0</v>
      </c>
      <c r="N868" s="66">
        <f t="shared" si="126"/>
        <v>0</v>
      </c>
      <c r="O868" s="52">
        <f t="shared" si="127"/>
        <v>0</v>
      </c>
      <c r="P868" s="52">
        <f t="shared" si="128"/>
        <v>0</v>
      </c>
      <c r="Q868" s="68">
        <f t="shared" si="129"/>
        <v>19.3390476190476</v>
      </c>
    </row>
    <row r="869" s="2" customFormat="1" spans="1:17">
      <c r="A869" s="61">
        <v>45516</v>
      </c>
      <c r="B869" s="18">
        <v>398.64</v>
      </c>
      <c r="C869" s="19">
        <v>354</v>
      </c>
      <c r="D869" s="19">
        <v>147</v>
      </c>
      <c r="E869" s="19">
        <v>2</v>
      </c>
      <c r="F869" s="18">
        <v>32792</v>
      </c>
      <c r="G869" s="19">
        <v>16</v>
      </c>
      <c r="H869" s="19">
        <v>3</v>
      </c>
      <c r="I869" s="19">
        <v>8</v>
      </c>
      <c r="J869" s="66">
        <v>0.415254237288136</v>
      </c>
      <c r="K869" s="67">
        <v>2.71183673469388</v>
      </c>
      <c r="L869" s="67">
        <v>1126.10169491525</v>
      </c>
      <c r="M869" s="73">
        <v>82.2596829219346</v>
      </c>
      <c r="N869" s="66">
        <v>0.0136054421768707</v>
      </c>
      <c r="O869" s="52">
        <v>16396</v>
      </c>
      <c r="P869" s="52">
        <v>199.32</v>
      </c>
      <c r="Q869" s="68">
        <v>24.915</v>
      </c>
    </row>
    <row r="870" s="2" customFormat="1" spans="1:17">
      <c r="A870" s="61">
        <v>45517</v>
      </c>
      <c r="B870" s="18">
        <v>459.38</v>
      </c>
      <c r="C870" s="19">
        <v>369</v>
      </c>
      <c r="D870" s="19">
        <v>181</v>
      </c>
      <c r="E870" s="19">
        <v>0</v>
      </c>
      <c r="F870" s="18">
        <v>0</v>
      </c>
      <c r="G870" s="19">
        <v>19</v>
      </c>
      <c r="H870" s="19">
        <v>3</v>
      </c>
      <c r="I870" s="19">
        <v>6</v>
      </c>
      <c r="J870" s="66">
        <f t="shared" ref="J870:J933" si="130">D870/C870</f>
        <v>0.490514905149051</v>
      </c>
      <c r="K870" s="67">
        <f t="shared" ref="K870:K933" si="131">B870/D870</f>
        <v>2.53801104972376</v>
      </c>
      <c r="L870" s="67">
        <f t="shared" ref="L870:L933" si="132">B870/C870*1000</f>
        <v>1244.93224932249</v>
      </c>
      <c r="M870" s="73">
        <f t="shared" ref="M870:M933" si="133">F870/B870</f>
        <v>0</v>
      </c>
      <c r="N870" s="66">
        <f t="shared" ref="N870:N933" si="134">E870/D870</f>
        <v>0</v>
      </c>
      <c r="O870" s="52">
        <f t="shared" ref="O870:O933" si="135">IF(E870=0,0,F870/E870)</f>
        <v>0</v>
      </c>
      <c r="P870" s="52">
        <f t="shared" ref="P870:P933" si="136">IF(E870=0,0,B870/E870)</f>
        <v>0</v>
      </c>
      <c r="Q870" s="68">
        <f t="shared" ref="Q870:Q933" si="137">B870/G870</f>
        <v>24.1778947368421</v>
      </c>
    </row>
    <row r="871" s="2" customFormat="1" spans="1:17">
      <c r="A871" s="61">
        <v>45518</v>
      </c>
      <c r="B871" s="18">
        <v>429.99</v>
      </c>
      <c r="C871" s="19">
        <v>327</v>
      </c>
      <c r="D871" s="19">
        <v>111</v>
      </c>
      <c r="E871" s="19">
        <v>0</v>
      </c>
      <c r="F871" s="18">
        <v>0</v>
      </c>
      <c r="G871" s="19">
        <v>22</v>
      </c>
      <c r="H871" s="19">
        <v>0</v>
      </c>
      <c r="I871" s="19">
        <v>8</v>
      </c>
      <c r="J871" s="66">
        <f t="shared" si="130"/>
        <v>0.339449541284404</v>
      </c>
      <c r="K871" s="67">
        <f t="shared" si="131"/>
        <v>3.87378378378378</v>
      </c>
      <c r="L871" s="67">
        <f t="shared" si="132"/>
        <v>1314.95412844037</v>
      </c>
      <c r="M871" s="73">
        <f t="shared" si="133"/>
        <v>0</v>
      </c>
      <c r="N871" s="66">
        <f t="shared" si="134"/>
        <v>0</v>
      </c>
      <c r="O871" s="52">
        <f t="shared" si="135"/>
        <v>0</v>
      </c>
      <c r="P871" s="52">
        <f t="shared" si="136"/>
        <v>0</v>
      </c>
      <c r="Q871" s="68">
        <f t="shared" si="137"/>
        <v>19.545</v>
      </c>
    </row>
    <row r="872" s="2" customFormat="1" spans="1:17">
      <c r="A872" s="61">
        <v>45519</v>
      </c>
      <c r="B872" s="18">
        <v>433.71</v>
      </c>
      <c r="C872" s="19">
        <v>361</v>
      </c>
      <c r="D872" s="19">
        <v>146</v>
      </c>
      <c r="E872" s="19">
        <v>0</v>
      </c>
      <c r="F872" s="18">
        <v>0</v>
      </c>
      <c r="G872" s="19">
        <v>26</v>
      </c>
      <c r="H872" s="19">
        <v>1</v>
      </c>
      <c r="I872" s="19">
        <v>8</v>
      </c>
      <c r="J872" s="66">
        <f t="shared" si="130"/>
        <v>0.404432132963989</v>
      </c>
      <c r="K872" s="67">
        <f t="shared" si="131"/>
        <v>2.97061643835616</v>
      </c>
      <c r="L872" s="67">
        <f t="shared" si="132"/>
        <v>1201.41274238227</v>
      </c>
      <c r="M872" s="73">
        <f t="shared" si="133"/>
        <v>0</v>
      </c>
      <c r="N872" s="66">
        <f t="shared" si="134"/>
        <v>0</v>
      </c>
      <c r="O872" s="52">
        <f t="shared" si="135"/>
        <v>0</v>
      </c>
      <c r="P872" s="52">
        <f t="shared" si="136"/>
        <v>0</v>
      </c>
      <c r="Q872" s="68">
        <f t="shared" si="137"/>
        <v>16.6811538461538</v>
      </c>
    </row>
    <row r="873" s="2" customFormat="1" spans="1:17">
      <c r="A873" s="61">
        <v>45520</v>
      </c>
      <c r="B873" s="18">
        <v>373.27</v>
      </c>
      <c r="C873" s="19">
        <v>297</v>
      </c>
      <c r="D873" s="19">
        <v>113</v>
      </c>
      <c r="E873" s="19">
        <v>0</v>
      </c>
      <c r="F873" s="18">
        <v>0</v>
      </c>
      <c r="G873" s="19">
        <v>33</v>
      </c>
      <c r="H873" s="19">
        <v>4</v>
      </c>
      <c r="I873" s="19">
        <v>3</v>
      </c>
      <c r="J873" s="66">
        <f t="shared" si="130"/>
        <v>0.38047138047138</v>
      </c>
      <c r="K873" s="67">
        <f t="shared" si="131"/>
        <v>3.30327433628319</v>
      </c>
      <c r="L873" s="67">
        <f t="shared" si="132"/>
        <v>1256.80134680135</v>
      </c>
      <c r="M873" s="73">
        <f t="shared" si="133"/>
        <v>0</v>
      </c>
      <c r="N873" s="66">
        <f t="shared" si="134"/>
        <v>0</v>
      </c>
      <c r="O873" s="52">
        <f t="shared" si="135"/>
        <v>0</v>
      </c>
      <c r="P873" s="52">
        <f t="shared" si="136"/>
        <v>0</v>
      </c>
      <c r="Q873" s="68">
        <f t="shared" si="137"/>
        <v>11.3112121212121</v>
      </c>
    </row>
    <row r="874" s="2" customFormat="1" spans="1:17">
      <c r="A874" s="61">
        <v>45521</v>
      </c>
      <c r="B874" s="18">
        <v>328.57</v>
      </c>
      <c r="C874" s="19">
        <v>290</v>
      </c>
      <c r="D874" s="19">
        <v>129</v>
      </c>
      <c r="E874" s="19">
        <v>0</v>
      </c>
      <c r="F874" s="18">
        <v>0</v>
      </c>
      <c r="G874" s="19">
        <v>22</v>
      </c>
      <c r="H874" s="19">
        <v>1</v>
      </c>
      <c r="I874" s="19">
        <v>6</v>
      </c>
      <c r="J874" s="66">
        <f t="shared" si="130"/>
        <v>0.444827586206897</v>
      </c>
      <c r="K874" s="67">
        <f t="shared" si="131"/>
        <v>2.54705426356589</v>
      </c>
      <c r="L874" s="67">
        <f t="shared" si="132"/>
        <v>1133</v>
      </c>
      <c r="M874" s="73">
        <f t="shared" si="133"/>
        <v>0</v>
      </c>
      <c r="N874" s="66">
        <f t="shared" si="134"/>
        <v>0</v>
      </c>
      <c r="O874" s="52">
        <f t="shared" si="135"/>
        <v>0</v>
      </c>
      <c r="P874" s="52">
        <f t="shared" si="136"/>
        <v>0</v>
      </c>
      <c r="Q874" s="68">
        <f t="shared" si="137"/>
        <v>14.935</v>
      </c>
    </row>
    <row r="875" s="2" customFormat="1" spans="1:17">
      <c r="A875" s="61">
        <v>45522</v>
      </c>
      <c r="B875" s="18">
        <v>386.08</v>
      </c>
      <c r="C875" s="19">
        <v>338</v>
      </c>
      <c r="D875" s="19">
        <v>140</v>
      </c>
      <c r="E875" s="19">
        <v>0</v>
      </c>
      <c r="F875" s="18">
        <v>0</v>
      </c>
      <c r="G875" s="19">
        <v>22</v>
      </c>
      <c r="H875" s="19">
        <v>2</v>
      </c>
      <c r="I875" s="19">
        <v>4</v>
      </c>
      <c r="J875" s="66">
        <f t="shared" si="130"/>
        <v>0.414201183431953</v>
      </c>
      <c r="K875" s="67">
        <f t="shared" si="131"/>
        <v>2.75771428571429</v>
      </c>
      <c r="L875" s="67">
        <f t="shared" si="132"/>
        <v>1142.24852071006</v>
      </c>
      <c r="M875" s="73">
        <f t="shared" si="133"/>
        <v>0</v>
      </c>
      <c r="N875" s="66">
        <f t="shared" si="134"/>
        <v>0</v>
      </c>
      <c r="O875" s="52">
        <f t="shared" si="135"/>
        <v>0</v>
      </c>
      <c r="P875" s="52">
        <f t="shared" si="136"/>
        <v>0</v>
      </c>
      <c r="Q875" s="68">
        <f t="shared" si="137"/>
        <v>17.5490909090909</v>
      </c>
    </row>
    <row r="876" s="2" customFormat="1" spans="1:17">
      <c r="A876" s="61">
        <v>45523</v>
      </c>
      <c r="B876" s="18">
        <v>423.78</v>
      </c>
      <c r="C876" s="19">
        <v>352</v>
      </c>
      <c r="D876" s="19">
        <v>113</v>
      </c>
      <c r="E876" s="19">
        <v>0</v>
      </c>
      <c r="F876" s="18">
        <v>0</v>
      </c>
      <c r="G876" s="19">
        <v>0</v>
      </c>
      <c r="H876" s="19">
        <v>0</v>
      </c>
      <c r="I876" s="19">
        <v>0</v>
      </c>
      <c r="J876" s="66">
        <f t="shared" si="130"/>
        <v>0.321022727272727</v>
      </c>
      <c r="K876" s="67">
        <f t="shared" si="131"/>
        <v>3.75026548672566</v>
      </c>
      <c r="L876" s="67">
        <f t="shared" si="132"/>
        <v>1203.92045454545</v>
      </c>
      <c r="M876" s="73">
        <f t="shared" si="133"/>
        <v>0</v>
      </c>
      <c r="N876" s="66">
        <f t="shared" si="134"/>
        <v>0</v>
      </c>
      <c r="O876" s="52">
        <f t="shared" si="135"/>
        <v>0</v>
      </c>
      <c r="P876" s="52">
        <f t="shared" si="136"/>
        <v>0</v>
      </c>
      <c r="Q876" s="68" t="e">
        <f t="shared" si="137"/>
        <v>#DIV/0!</v>
      </c>
    </row>
    <row r="877" s="2" customFormat="1" spans="1:17">
      <c r="A877" s="61">
        <v>45524</v>
      </c>
      <c r="B877" s="18">
        <v>449.56</v>
      </c>
      <c r="C877" s="19">
        <v>380</v>
      </c>
      <c r="D877" s="19">
        <v>144</v>
      </c>
      <c r="E877" s="19">
        <v>0</v>
      </c>
      <c r="F877" s="18">
        <v>0</v>
      </c>
      <c r="G877" s="19">
        <v>30</v>
      </c>
      <c r="H877" s="19">
        <v>2</v>
      </c>
      <c r="I877" s="19">
        <v>8</v>
      </c>
      <c r="J877" s="66">
        <f t="shared" si="130"/>
        <v>0.378947368421053</v>
      </c>
      <c r="K877" s="67">
        <f t="shared" si="131"/>
        <v>3.12194444444444</v>
      </c>
      <c r="L877" s="67">
        <f t="shared" si="132"/>
        <v>1183.05263157895</v>
      </c>
      <c r="M877" s="73">
        <f t="shared" si="133"/>
        <v>0</v>
      </c>
      <c r="N877" s="66">
        <f t="shared" si="134"/>
        <v>0</v>
      </c>
      <c r="O877" s="52">
        <f t="shared" si="135"/>
        <v>0</v>
      </c>
      <c r="P877" s="52">
        <f t="shared" si="136"/>
        <v>0</v>
      </c>
      <c r="Q877" s="68">
        <f t="shared" si="137"/>
        <v>14.9853333333333</v>
      </c>
    </row>
    <row r="878" s="2" customFormat="1" spans="1:17">
      <c r="A878" s="61">
        <v>45525</v>
      </c>
      <c r="B878" s="18">
        <v>477.22</v>
      </c>
      <c r="C878" s="19">
        <v>371</v>
      </c>
      <c r="D878" s="19">
        <v>118</v>
      </c>
      <c r="E878" s="19">
        <v>1</v>
      </c>
      <c r="F878" s="18">
        <v>11894</v>
      </c>
      <c r="G878" s="19">
        <v>24</v>
      </c>
      <c r="H878" s="19">
        <v>1</v>
      </c>
      <c r="I878" s="19">
        <v>5</v>
      </c>
      <c r="J878" s="66">
        <f t="shared" si="130"/>
        <v>0.318059299191375</v>
      </c>
      <c r="K878" s="67">
        <f t="shared" si="131"/>
        <v>4.04423728813559</v>
      </c>
      <c r="L878" s="67">
        <f t="shared" si="132"/>
        <v>1286.30727762803</v>
      </c>
      <c r="M878" s="73">
        <f t="shared" si="133"/>
        <v>24.9235153597921</v>
      </c>
      <c r="N878" s="66">
        <f t="shared" si="134"/>
        <v>0.00847457627118644</v>
      </c>
      <c r="O878" s="52">
        <f t="shared" si="135"/>
        <v>11894</v>
      </c>
      <c r="P878" s="52">
        <f t="shared" si="136"/>
        <v>477.22</v>
      </c>
      <c r="Q878" s="68">
        <f t="shared" si="137"/>
        <v>19.8841666666667</v>
      </c>
    </row>
    <row r="879" s="2" customFormat="1" spans="1:17">
      <c r="A879" s="61">
        <v>45526</v>
      </c>
      <c r="B879" s="18">
        <v>401.09</v>
      </c>
      <c r="C879" s="19">
        <v>319</v>
      </c>
      <c r="D879" s="19">
        <v>113</v>
      </c>
      <c r="E879" s="19">
        <v>0</v>
      </c>
      <c r="F879" s="18">
        <v>0</v>
      </c>
      <c r="G879" s="19">
        <v>15</v>
      </c>
      <c r="H879" s="19">
        <v>2</v>
      </c>
      <c r="I879" s="19">
        <v>5</v>
      </c>
      <c r="J879" s="66">
        <f t="shared" si="130"/>
        <v>0.35423197492163</v>
      </c>
      <c r="K879" s="67">
        <f t="shared" si="131"/>
        <v>3.54946902654867</v>
      </c>
      <c r="L879" s="67">
        <f t="shared" si="132"/>
        <v>1257.33542319749</v>
      </c>
      <c r="M879" s="73">
        <f t="shared" si="133"/>
        <v>0</v>
      </c>
      <c r="N879" s="66">
        <f t="shared" si="134"/>
        <v>0</v>
      </c>
      <c r="O879" s="52">
        <f t="shared" si="135"/>
        <v>0</v>
      </c>
      <c r="P879" s="52">
        <f t="shared" si="136"/>
        <v>0</v>
      </c>
      <c r="Q879" s="68">
        <f t="shared" si="137"/>
        <v>26.7393333333333</v>
      </c>
    </row>
    <row r="880" s="2" customFormat="1" spans="1:17">
      <c r="A880" s="61">
        <v>45527</v>
      </c>
      <c r="B880" s="18">
        <v>358.95</v>
      </c>
      <c r="C880" s="19">
        <v>302</v>
      </c>
      <c r="D880" s="19">
        <v>102</v>
      </c>
      <c r="E880" s="19">
        <v>0</v>
      </c>
      <c r="F880" s="18">
        <v>0</v>
      </c>
      <c r="G880" s="19">
        <v>10</v>
      </c>
      <c r="H880" s="19">
        <v>3</v>
      </c>
      <c r="I880" s="19">
        <v>7</v>
      </c>
      <c r="J880" s="66">
        <f t="shared" si="130"/>
        <v>0.337748344370861</v>
      </c>
      <c r="K880" s="67">
        <f t="shared" si="131"/>
        <v>3.51911764705882</v>
      </c>
      <c r="L880" s="67">
        <f t="shared" si="132"/>
        <v>1188.5761589404</v>
      </c>
      <c r="M880" s="73">
        <f t="shared" si="133"/>
        <v>0</v>
      </c>
      <c r="N880" s="66">
        <f t="shared" si="134"/>
        <v>0</v>
      </c>
      <c r="O880" s="52">
        <f t="shared" si="135"/>
        <v>0</v>
      </c>
      <c r="P880" s="52">
        <f t="shared" si="136"/>
        <v>0</v>
      </c>
      <c r="Q880" s="68">
        <f t="shared" si="137"/>
        <v>35.895</v>
      </c>
    </row>
    <row r="881" s="2" customFormat="1" spans="1:17">
      <c r="A881" s="61">
        <v>45528</v>
      </c>
      <c r="B881" s="18">
        <v>501.58</v>
      </c>
      <c r="C881" s="19">
        <v>415</v>
      </c>
      <c r="D881" s="19">
        <v>155</v>
      </c>
      <c r="E881" s="19">
        <v>2</v>
      </c>
      <c r="F881" s="18">
        <v>31593</v>
      </c>
      <c r="G881" s="19">
        <v>27</v>
      </c>
      <c r="H881" s="19">
        <v>4</v>
      </c>
      <c r="I881" s="19">
        <v>6</v>
      </c>
      <c r="J881" s="66">
        <f t="shared" si="130"/>
        <v>0.373493975903614</v>
      </c>
      <c r="K881" s="67">
        <f t="shared" si="131"/>
        <v>3.236</v>
      </c>
      <c r="L881" s="67">
        <f t="shared" si="132"/>
        <v>1208.6265060241</v>
      </c>
      <c r="M881" s="73">
        <f t="shared" si="133"/>
        <v>62.9869612025998</v>
      </c>
      <c r="N881" s="66">
        <f t="shared" si="134"/>
        <v>0.0129032258064516</v>
      </c>
      <c r="O881" s="52">
        <f t="shared" si="135"/>
        <v>15796.5</v>
      </c>
      <c r="P881" s="52">
        <f t="shared" si="136"/>
        <v>250.79</v>
      </c>
      <c r="Q881" s="68">
        <f t="shared" si="137"/>
        <v>18.577037037037</v>
      </c>
    </row>
    <row r="882" s="2" customFormat="1" spans="1:17">
      <c r="A882" s="61">
        <v>45529</v>
      </c>
      <c r="B882" s="18">
        <v>478.2</v>
      </c>
      <c r="C882" s="19">
        <v>383</v>
      </c>
      <c r="D882" s="19">
        <v>132</v>
      </c>
      <c r="E882" s="19">
        <v>4</v>
      </c>
      <c r="F882" s="18">
        <v>50624</v>
      </c>
      <c r="G882" s="19">
        <v>23</v>
      </c>
      <c r="H882" s="19">
        <v>2</v>
      </c>
      <c r="I882" s="19">
        <v>5</v>
      </c>
      <c r="J882" s="66">
        <f t="shared" si="130"/>
        <v>0.344647519582245</v>
      </c>
      <c r="K882" s="67">
        <f t="shared" si="131"/>
        <v>3.62272727272727</v>
      </c>
      <c r="L882" s="67">
        <f t="shared" si="132"/>
        <v>1248.56396866841</v>
      </c>
      <c r="M882" s="73">
        <f t="shared" si="133"/>
        <v>105.86365537432</v>
      </c>
      <c r="N882" s="66">
        <f t="shared" si="134"/>
        <v>0.0303030303030303</v>
      </c>
      <c r="O882" s="52">
        <f t="shared" si="135"/>
        <v>12656</v>
      </c>
      <c r="P882" s="52">
        <f t="shared" si="136"/>
        <v>119.55</v>
      </c>
      <c r="Q882" s="68">
        <f t="shared" si="137"/>
        <v>20.7913043478261</v>
      </c>
    </row>
    <row r="883" s="2" customFormat="1" spans="1:17">
      <c r="A883" s="61">
        <v>45530</v>
      </c>
      <c r="B883" s="18">
        <v>483.41</v>
      </c>
      <c r="C883" s="19">
        <v>404</v>
      </c>
      <c r="D883" s="19">
        <v>166</v>
      </c>
      <c r="E883" s="19">
        <v>2</v>
      </c>
      <c r="F883" s="18">
        <v>29384</v>
      </c>
      <c r="G883" s="19">
        <v>28</v>
      </c>
      <c r="H883" s="19">
        <v>3</v>
      </c>
      <c r="I883" s="19">
        <v>9</v>
      </c>
      <c r="J883" s="66">
        <f t="shared" si="130"/>
        <v>0.410891089108911</v>
      </c>
      <c r="K883" s="67">
        <f t="shared" si="131"/>
        <v>2.91210843373494</v>
      </c>
      <c r="L883" s="67">
        <f t="shared" si="132"/>
        <v>1196.55940594059</v>
      </c>
      <c r="M883" s="73">
        <f t="shared" si="133"/>
        <v>60.7848410252167</v>
      </c>
      <c r="N883" s="66">
        <f t="shared" si="134"/>
        <v>0.0120481927710843</v>
      </c>
      <c r="O883" s="52">
        <f t="shared" si="135"/>
        <v>14692</v>
      </c>
      <c r="P883" s="52">
        <f t="shared" si="136"/>
        <v>241.705</v>
      </c>
      <c r="Q883" s="68">
        <f t="shared" si="137"/>
        <v>17.2646428571429</v>
      </c>
    </row>
    <row r="884" s="2" customFormat="1" spans="1:17">
      <c r="A884" s="61">
        <v>45531</v>
      </c>
      <c r="B884" s="18">
        <v>545.89</v>
      </c>
      <c r="C884" s="19">
        <v>469</v>
      </c>
      <c r="D884" s="19">
        <v>150</v>
      </c>
      <c r="E884" s="19">
        <v>1</v>
      </c>
      <c r="F884" s="18">
        <v>11289</v>
      </c>
      <c r="G884" s="19">
        <v>28</v>
      </c>
      <c r="H884" s="19">
        <v>0</v>
      </c>
      <c r="I884" s="19">
        <v>14</v>
      </c>
      <c r="J884" s="66">
        <f t="shared" si="130"/>
        <v>0.319829424307036</v>
      </c>
      <c r="K884" s="67">
        <f t="shared" si="131"/>
        <v>3.63926666666667</v>
      </c>
      <c r="L884" s="67">
        <f t="shared" si="132"/>
        <v>1163.94456289979</v>
      </c>
      <c r="M884" s="73">
        <f t="shared" si="133"/>
        <v>20.6799904742714</v>
      </c>
      <c r="N884" s="66">
        <f t="shared" si="134"/>
        <v>0.00666666666666667</v>
      </c>
      <c r="O884" s="52">
        <f t="shared" si="135"/>
        <v>11289</v>
      </c>
      <c r="P884" s="52">
        <f t="shared" si="136"/>
        <v>545.89</v>
      </c>
      <c r="Q884" s="68">
        <f t="shared" si="137"/>
        <v>19.4960714285714</v>
      </c>
    </row>
    <row r="885" s="2" customFormat="1" spans="1:17">
      <c r="A885" s="61">
        <v>45532</v>
      </c>
      <c r="B885" s="18">
        <v>497.23</v>
      </c>
      <c r="C885" s="19">
        <v>451</v>
      </c>
      <c r="D885" s="19">
        <v>121</v>
      </c>
      <c r="E885" s="19">
        <v>4</v>
      </c>
      <c r="F885" s="18">
        <v>60719.9</v>
      </c>
      <c r="G885" s="19">
        <v>14</v>
      </c>
      <c r="H885" s="19">
        <v>2</v>
      </c>
      <c r="I885" s="19">
        <v>12</v>
      </c>
      <c r="J885" s="66">
        <f t="shared" si="130"/>
        <v>0.268292682926829</v>
      </c>
      <c r="K885" s="67">
        <f t="shared" si="131"/>
        <v>4.10933884297521</v>
      </c>
      <c r="L885" s="67">
        <f t="shared" si="132"/>
        <v>1102.50554323725</v>
      </c>
      <c r="M885" s="73">
        <f t="shared" si="133"/>
        <v>122.116324437383</v>
      </c>
      <c r="N885" s="66">
        <f t="shared" si="134"/>
        <v>0.0330578512396694</v>
      </c>
      <c r="O885" s="52">
        <f t="shared" si="135"/>
        <v>15179.975</v>
      </c>
      <c r="P885" s="52">
        <f t="shared" si="136"/>
        <v>124.3075</v>
      </c>
      <c r="Q885" s="68">
        <f t="shared" si="137"/>
        <v>35.5164285714286</v>
      </c>
    </row>
    <row r="886" s="2" customFormat="1" spans="1:17">
      <c r="A886" s="61">
        <v>45533</v>
      </c>
      <c r="B886" s="18">
        <v>545.46</v>
      </c>
      <c r="C886" s="19">
        <v>475</v>
      </c>
      <c r="D886" s="19">
        <v>159</v>
      </c>
      <c r="E886" s="19">
        <v>0</v>
      </c>
      <c r="F886" s="18">
        <v>0</v>
      </c>
      <c r="G886" s="19">
        <v>31</v>
      </c>
      <c r="H886" s="19">
        <v>3</v>
      </c>
      <c r="I886" s="19">
        <v>7</v>
      </c>
      <c r="J886" s="66">
        <f t="shared" si="130"/>
        <v>0.334736842105263</v>
      </c>
      <c r="K886" s="67">
        <f t="shared" si="131"/>
        <v>3.43056603773585</v>
      </c>
      <c r="L886" s="67">
        <f t="shared" si="132"/>
        <v>1148.33684210526</v>
      </c>
      <c r="M886" s="73">
        <f t="shared" si="133"/>
        <v>0</v>
      </c>
      <c r="N886" s="66">
        <f t="shared" si="134"/>
        <v>0</v>
      </c>
      <c r="O886" s="52">
        <f t="shared" si="135"/>
        <v>0</v>
      </c>
      <c r="P886" s="52">
        <f t="shared" si="136"/>
        <v>0</v>
      </c>
      <c r="Q886" s="68">
        <f t="shared" si="137"/>
        <v>17.5954838709677</v>
      </c>
    </row>
    <row r="887" s="2" customFormat="1" spans="1:17">
      <c r="A887" s="61">
        <v>45534</v>
      </c>
      <c r="B887" s="18">
        <v>473.76</v>
      </c>
      <c r="C887" s="19">
        <v>405</v>
      </c>
      <c r="D887" s="19">
        <v>120</v>
      </c>
      <c r="E887" s="19">
        <v>0</v>
      </c>
      <c r="F887" s="18">
        <v>0</v>
      </c>
      <c r="G887" s="19">
        <v>27</v>
      </c>
      <c r="H887" s="19">
        <v>2</v>
      </c>
      <c r="I887" s="19">
        <v>4</v>
      </c>
      <c r="J887" s="66">
        <f t="shared" si="130"/>
        <v>0.296296296296296</v>
      </c>
      <c r="K887" s="67">
        <f t="shared" si="131"/>
        <v>3.948</v>
      </c>
      <c r="L887" s="67">
        <f t="shared" si="132"/>
        <v>1169.77777777778</v>
      </c>
      <c r="M887" s="73">
        <f t="shared" si="133"/>
        <v>0</v>
      </c>
      <c r="N887" s="66">
        <f t="shared" si="134"/>
        <v>0</v>
      </c>
      <c r="O887" s="52">
        <f t="shared" si="135"/>
        <v>0</v>
      </c>
      <c r="P887" s="52">
        <f t="shared" si="136"/>
        <v>0</v>
      </c>
      <c r="Q887" s="68">
        <f t="shared" si="137"/>
        <v>17.5466666666667</v>
      </c>
    </row>
    <row r="888" s="2" customFormat="1" spans="1:17">
      <c r="A888" s="61">
        <v>45535</v>
      </c>
      <c r="B888" s="18">
        <v>372.18</v>
      </c>
      <c r="C888" s="19">
        <v>321</v>
      </c>
      <c r="D888" s="19">
        <v>99</v>
      </c>
      <c r="E888" s="19">
        <v>0</v>
      </c>
      <c r="F888" s="18">
        <v>0</v>
      </c>
      <c r="G888" s="19">
        <v>16</v>
      </c>
      <c r="H888" s="19">
        <v>2</v>
      </c>
      <c r="I888" s="19">
        <v>4</v>
      </c>
      <c r="J888" s="66">
        <f t="shared" si="130"/>
        <v>0.308411214953271</v>
      </c>
      <c r="K888" s="67">
        <f t="shared" si="131"/>
        <v>3.75939393939394</v>
      </c>
      <c r="L888" s="67">
        <f t="shared" si="132"/>
        <v>1159.43925233645</v>
      </c>
      <c r="M888" s="73">
        <f t="shared" si="133"/>
        <v>0</v>
      </c>
      <c r="N888" s="66">
        <f t="shared" si="134"/>
        <v>0</v>
      </c>
      <c r="O888" s="52">
        <f t="shared" si="135"/>
        <v>0</v>
      </c>
      <c r="P888" s="52">
        <f t="shared" si="136"/>
        <v>0</v>
      </c>
      <c r="Q888" s="68">
        <f t="shared" si="137"/>
        <v>23.26125</v>
      </c>
    </row>
    <row r="889" s="2" customFormat="1" spans="1:17">
      <c r="A889" s="61">
        <v>45536</v>
      </c>
      <c r="B889" s="18">
        <v>523.95</v>
      </c>
      <c r="C889" s="19">
        <v>448</v>
      </c>
      <c r="D889" s="19">
        <v>160</v>
      </c>
      <c r="E889" s="19">
        <v>2</v>
      </c>
      <c r="F889" s="18">
        <v>20171</v>
      </c>
      <c r="G889" s="19">
        <v>22</v>
      </c>
      <c r="H889" s="19">
        <v>3</v>
      </c>
      <c r="I889" s="19">
        <v>4</v>
      </c>
      <c r="J889" s="66">
        <f t="shared" si="130"/>
        <v>0.357142857142857</v>
      </c>
      <c r="K889" s="67">
        <f t="shared" si="131"/>
        <v>3.2746875</v>
      </c>
      <c r="L889" s="67">
        <f t="shared" si="132"/>
        <v>1169.53125</v>
      </c>
      <c r="M889" s="73">
        <f t="shared" si="133"/>
        <v>38.4979482775074</v>
      </c>
      <c r="N889" s="66">
        <f t="shared" si="134"/>
        <v>0.0125</v>
      </c>
      <c r="O889" s="52">
        <f t="shared" si="135"/>
        <v>10085.5</v>
      </c>
      <c r="P889" s="52">
        <f t="shared" si="136"/>
        <v>261.975</v>
      </c>
      <c r="Q889" s="68">
        <f t="shared" si="137"/>
        <v>23.8159090909091</v>
      </c>
    </row>
    <row r="890" s="2" customFormat="1" spans="1:17">
      <c r="A890" s="61">
        <v>45537</v>
      </c>
      <c r="B890" s="18">
        <v>561.94</v>
      </c>
      <c r="C890" s="19">
        <v>463</v>
      </c>
      <c r="D890" s="19">
        <v>165</v>
      </c>
      <c r="E890" s="19">
        <v>1</v>
      </c>
      <c r="F890" s="18">
        <v>9.9</v>
      </c>
      <c r="G890" s="19">
        <v>31</v>
      </c>
      <c r="H890" s="19">
        <v>3</v>
      </c>
      <c r="I890" s="19">
        <v>5</v>
      </c>
      <c r="J890" s="66">
        <f t="shared" si="130"/>
        <v>0.356371490280778</v>
      </c>
      <c r="K890" s="67">
        <f t="shared" si="131"/>
        <v>3.40569696969697</v>
      </c>
      <c r="L890" s="67">
        <f t="shared" si="132"/>
        <v>1213.69330453564</v>
      </c>
      <c r="M890" s="73">
        <f t="shared" si="133"/>
        <v>0.0176175392390647</v>
      </c>
      <c r="N890" s="66">
        <f t="shared" si="134"/>
        <v>0.00606060606060606</v>
      </c>
      <c r="O890" s="52">
        <f t="shared" si="135"/>
        <v>9.9</v>
      </c>
      <c r="P890" s="52">
        <f t="shared" si="136"/>
        <v>561.94</v>
      </c>
      <c r="Q890" s="68">
        <f t="shared" si="137"/>
        <v>18.1270967741936</v>
      </c>
    </row>
    <row r="891" s="2" customFormat="1" spans="1:17">
      <c r="A891" s="61">
        <v>45538</v>
      </c>
      <c r="B891" s="18">
        <v>577.58</v>
      </c>
      <c r="C891" s="19">
        <v>472</v>
      </c>
      <c r="D891" s="19">
        <v>141</v>
      </c>
      <c r="E891" s="19">
        <v>3</v>
      </c>
      <c r="F891" s="18">
        <v>44943</v>
      </c>
      <c r="G891" s="19">
        <v>46</v>
      </c>
      <c r="H891" s="19">
        <v>9</v>
      </c>
      <c r="I891" s="19">
        <v>5</v>
      </c>
      <c r="J891" s="66">
        <f t="shared" si="130"/>
        <v>0.298728813559322</v>
      </c>
      <c r="K891" s="67">
        <f t="shared" si="131"/>
        <v>4.09631205673759</v>
      </c>
      <c r="L891" s="67">
        <f t="shared" si="132"/>
        <v>1223.68644067797</v>
      </c>
      <c r="M891" s="73">
        <f t="shared" si="133"/>
        <v>77.8125973891063</v>
      </c>
      <c r="N891" s="66">
        <f t="shared" si="134"/>
        <v>0.0212765957446809</v>
      </c>
      <c r="O891" s="52">
        <f t="shared" si="135"/>
        <v>14981</v>
      </c>
      <c r="P891" s="52">
        <f t="shared" si="136"/>
        <v>192.526666666667</v>
      </c>
      <c r="Q891" s="68">
        <f t="shared" si="137"/>
        <v>12.5560869565217</v>
      </c>
    </row>
    <row r="892" s="2" customFormat="1" spans="1:17">
      <c r="A892" s="61">
        <v>45539</v>
      </c>
      <c r="B892" s="18">
        <v>587.6</v>
      </c>
      <c r="C892" s="19">
        <v>522</v>
      </c>
      <c r="D892" s="19">
        <v>160</v>
      </c>
      <c r="E892" s="19">
        <v>0</v>
      </c>
      <c r="F892" s="18">
        <v>0</v>
      </c>
      <c r="G892" s="19">
        <v>31</v>
      </c>
      <c r="H892" s="19">
        <v>6</v>
      </c>
      <c r="I892" s="19">
        <v>11</v>
      </c>
      <c r="J892" s="66">
        <f t="shared" si="130"/>
        <v>0.306513409961686</v>
      </c>
      <c r="K892" s="67">
        <f t="shared" si="131"/>
        <v>3.6725</v>
      </c>
      <c r="L892" s="67">
        <f t="shared" si="132"/>
        <v>1125.67049808429</v>
      </c>
      <c r="M892" s="73">
        <f t="shared" si="133"/>
        <v>0</v>
      </c>
      <c r="N892" s="66">
        <f t="shared" si="134"/>
        <v>0</v>
      </c>
      <c r="O892" s="52">
        <f t="shared" si="135"/>
        <v>0</v>
      </c>
      <c r="P892" s="52">
        <f t="shared" si="136"/>
        <v>0</v>
      </c>
      <c r="Q892" s="68">
        <f t="shared" si="137"/>
        <v>18.9548387096774</v>
      </c>
    </row>
    <row r="893" s="2" customFormat="1" spans="1:17">
      <c r="A893" s="61">
        <v>45540</v>
      </c>
      <c r="B893" s="18">
        <v>534.11</v>
      </c>
      <c r="C893" s="19">
        <v>450</v>
      </c>
      <c r="D893" s="19">
        <v>124</v>
      </c>
      <c r="E893" s="19">
        <v>1</v>
      </c>
      <c r="F893" s="18">
        <v>9.9</v>
      </c>
      <c r="G893" s="19">
        <v>25</v>
      </c>
      <c r="H893" s="19">
        <v>1</v>
      </c>
      <c r="I893" s="19">
        <v>7</v>
      </c>
      <c r="J893" s="66">
        <f t="shared" si="130"/>
        <v>0.275555555555556</v>
      </c>
      <c r="K893" s="67">
        <f t="shared" si="131"/>
        <v>4.30733870967742</v>
      </c>
      <c r="L893" s="67">
        <f t="shared" si="132"/>
        <v>1186.91111111111</v>
      </c>
      <c r="M893" s="73">
        <f t="shared" si="133"/>
        <v>0.01853550766696</v>
      </c>
      <c r="N893" s="66">
        <f t="shared" si="134"/>
        <v>0.00806451612903226</v>
      </c>
      <c r="O893" s="52">
        <f t="shared" si="135"/>
        <v>9.9</v>
      </c>
      <c r="P893" s="52">
        <f t="shared" si="136"/>
        <v>534.11</v>
      </c>
      <c r="Q893" s="68">
        <f t="shared" si="137"/>
        <v>21.3644</v>
      </c>
    </row>
    <row r="894" s="2" customFormat="1" spans="1:17">
      <c r="A894" s="61">
        <v>45541</v>
      </c>
      <c r="B894" s="18">
        <v>487.5</v>
      </c>
      <c r="C894" s="19">
        <v>411</v>
      </c>
      <c r="D894" s="19">
        <v>134</v>
      </c>
      <c r="E894" s="19">
        <v>1</v>
      </c>
      <c r="F894" s="18">
        <v>9.9</v>
      </c>
      <c r="G894" s="19">
        <v>41</v>
      </c>
      <c r="H894" s="19">
        <v>4</v>
      </c>
      <c r="I894" s="19">
        <v>8</v>
      </c>
      <c r="J894" s="66">
        <f t="shared" si="130"/>
        <v>0.326034063260341</v>
      </c>
      <c r="K894" s="67">
        <f t="shared" si="131"/>
        <v>3.63805970149254</v>
      </c>
      <c r="L894" s="67">
        <f t="shared" si="132"/>
        <v>1186.13138686131</v>
      </c>
      <c r="M894" s="73">
        <f t="shared" si="133"/>
        <v>0.0203076923076923</v>
      </c>
      <c r="N894" s="66">
        <f t="shared" si="134"/>
        <v>0.00746268656716418</v>
      </c>
      <c r="O894" s="52">
        <f t="shared" si="135"/>
        <v>9.9</v>
      </c>
      <c r="P894" s="52">
        <f t="shared" si="136"/>
        <v>487.5</v>
      </c>
      <c r="Q894" s="68">
        <f t="shared" si="137"/>
        <v>11.890243902439</v>
      </c>
    </row>
    <row r="895" s="2" customFormat="1" spans="1:17">
      <c r="A895" s="61">
        <v>45542</v>
      </c>
      <c r="B895" s="18">
        <v>482.79</v>
      </c>
      <c r="C895" s="19">
        <v>397</v>
      </c>
      <c r="D895" s="19">
        <v>117</v>
      </c>
      <c r="E895" s="19">
        <v>2</v>
      </c>
      <c r="F895" s="18">
        <v>19.8</v>
      </c>
      <c r="G895" s="19">
        <v>28</v>
      </c>
      <c r="H895" s="19">
        <v>7</v>
      </c>
      <c r="I895" s="19">
        <v>3</v>
      </c>
      <c r="J895" s="66">
        <f t="shared" si="130"/>
        <v>0.294710327455919</v>
      </c>
      <c r="K895" s="67">
        <f t="shared" si="131"/>
        <v>4.12641025641026</v>
      </c>
      <c r="L895" s="67">
        <f t="shared" si="132"/>
        <v>1216.09571788413</v>
      </c>
      <c r="M895" s="73">
        <f t="shared" si="133"/>
        <v>0.0410116199589884</v>
      </c>
      <c r="N895" s="66">
        <f t="shared" si="134"/>
        <v>0.0170940170940171</v>
      </c>
      <c r="O895" s="52">
        <f t="shared" si="135"/>
        <v>9.9</v>
      </c>
      <c r="P895" s="52">
        <f t="shared" si="136"/>
        <v>241.395</v>
      </c>
      <c r="Q895" s="68">
        <f t="shared" si="137"/>
        <v>17.2425</v>
      </c>
    </row>
    <row r="896" s="2" customFormat="1" spans="1:17">
      <c r="A896" s="61">
        <v>45543</v>
      </c>
      <c r="B896" s="18">
        <v>443.33</v>
      </c>
      <c r="C896" s="19">
        <v>378</v>
      </c>
      <c r="D896" s="19">
        <v>120</v>
      </c>
      <c r="E896" s="19">
        <v>1</v>
      </c>
      <c r="F896" s="18">
        <v>20979</v>
      </c>
      <c r="G896" s="19">
        <v>13</v>
      </c>
      <c r="H896" s="19">
        <v>3</v>
      </c>
      <c r="I896" s="19">
        <v>6</v>
      </c>
      <c r="J896" s="66">
        <f t="shared" si="130"/>
        <v>0.317460317460317</v>
      </c>
      <c r="K896" s="67">
        <f t="shared" si="131"/>
        <v>3.69441666666667</v>
      </c>
      <c r="L896" s="67">
        <f t="shared" si="132"/>
        <v>1172.83068783069</v>
      </c>
      <c r="M896" s="73">
        <f t="shared" si="133"/>
        <v>47.3214084316423</v>
      </c>
      <c r="N896" s="66">
        <f t="shared" si="134"/>
        <v>0.00833333333333333</v>
      </c>
      <c r="O896" s="52">
        <f t="shared" si="135"/>
        <v>20979</v>
      </c>
      <c r="P896" s="52">
        <f t="shared" si="136"/>
        <v>443.33</v>
      </c>
      <c r="Q896" s="68">
        <f t="shared" si="137"/>
        <v>34.1023076923077</v>
      </c>
    </row>
    <row r="897" s="2" customFormat="1" spans="1:17">
      <c r="A897" s="61">
        <v>45544</v>
      </c>
      <c r="B897" s="18">
        <v>452.92</v>
      </c>
      <c r="C897" s="19">
        <v>357</v>
      </c>
      <c r="D897" s="19">
        <v>139</v>
      </c>
      <c r="E897" s="19">
        <v>2</v>
      </c>
      <c r="F897" s="18">
        <v>11163.9</v>
      </c>
      <c r="G897" s="19">
        <v>22</v>
      </c>
      <c r="H897" s="19">
        <v>2</v>
      </c>
      <c r="I897" s="19">
        <v>10</v>
      </c>
      <c r="J897" s="66">
        <f t="shared" si="130"/>
        <v>0.389355742296919</v>
      </c>
      <c r="K897" s="67">
        <f t="shared" si="131"/>
        <v>3.25841726618705</v>
      </c>
      <c r="L897" s="67">
        <f t="shared" si="132"/>
        <v>1268.68347338936</v>
      </c>
      <c r="M897" s="73">
        <f t="shared" si="133"/>
        <v>24.6487238364391</v>
      </c>
      <c r="N897" s="66">
        <f t="shared" si="134"/>
        <v>0.0143884892086331</v>
      </c>
      <c r="O897" s="52">
        <f t="shared" si="135"/>
        <v>5581.95</v>
      </c>
      <c r="P897" s="52">
        <f t="shared" si="136"/>
        <v>226.46</v>
      </c>
      <c r="Q897" s="68">
        <f t="shared" si="137"/>
        <v>20.5872727272727</v>
      </c>
    </row>
    <row r="898" s="2" customFormat="1" spans="1:17">
      <c r="A898" s="61">
        <v>45545</v>
      </c>
      <c r="B898" s="18">
        <v>483.57</v>
      </c>
      <c r="C898" s="19">
        <v>380</v>
      </c>
      <c r="D898" s="19">
        <v>157</v>
      </c>
      <c r="E898" s="19">
        <v>1</v>
      </c>
      <c r="F898" s="18">
        <v>9.9</v>
      </c>
      <c r="G898" s="19">
        <v>24</v>
      </c>
      <c r="H898" s="19">
        <v>4</v>
      </c>
      <c r="I898" s="19">
        <v>5</v>
      </c>
      <c r="J898" s="66">
        <f t="shared" si="130"/>
        <v>0.413157894736842</v>
      </c>
      <c r="K898" s="67">
        <f t="shared" si="131"/>
        <v>3.08006369426752</v>
      </c>
      <c r="L898" s="67">
        <f t="shared" si="132"/>
        <v>1272.55263157895</v>
      </c>
      <c r="M898" s="73">
        <f t="shared" si="133"/>
        <v>0.0204727340405732</v>
      </c>
      <c r="N898" s="66">
        <f t="shared" si="134"/>
        <v>0.00636942675159236</v>
      </c>
      <c r="O898" s="52">
        <f t="shared" si="135"/>
        <v>9.9</v>
      </c>
      <c r="P898" s="52">
        <f t="shared" si="136"/>
        <v>483.57</v>
      </c>
      <c r="Q898" s="68">
        <f t="shared" si="137"/>
        <v>20.14875</v>
      </c>
    </row>
    <row r="899" s="2" customFormat="1" spans="1:17">
      <c r="A899" s="61">
        <v>45546</v>
      </c>
      <c r="B899" s="18">
        <v>530.68</v>
      </c>
      <c r="C899" s="19">
        <v>433</v>
      </c>
      <c r="D899" s="19">
        <v>138</v>
      </c>
      <c r="E899" s="19">
        <v>3</v>
      </c>
      <c r="F899" s="18">
        <v>14873.8</v>
      </c>
      <c r="G899" s="19">
        <v>33</v>
      </c>
      <c r="H899" s="19">
        <v>3</v>
      </c>
      <c r="I899" s="19">
        <v>3</v>
      </c>
      <c r="J899" s="66">
        <f t="shared" si="130"/>
        <v>0.318706697459584</v>
      </c>
      <c r="K899" s="67">
        <f t="shared" si="131"/>
        <v>3.84550724637681</v>
      </c>
      <c r="L899" s="67">
        <f t="shared" si="132"/>
        <v>1225.58891454965</v>
      </c>
      <c r="M899" s="73">
        <f t="shared" si="133"/>
        <v>28.0278133715233</v>
      </c>
      <c r="N899" s="66">
        <f t="shared" si="134"/>
        <v>0.0217391304347826</v>
      </c>
      <c r="O899" s="52">
        <f t="shared" si="135"/>
        <v>4957.93333333333</v>
      </c>
      <c r="P899" s="52">
        <f t="shared" si="136"/>
        <v>176.893333333333</v>
      </c>
      <c r="Q899" s="68">
        <f t="shared" si="137"/>
        <v>16.0812121212121</v>
      </c>
    </row>
    <row r="900" s="2" customFormat="1" spans="1:17">
      <c r="A900" s="61">
        <v>45547</v>
      </c>
      <c r="B900" s="18">
        <v>485.59</v>
      </c>
      <c r="C900" s="19">
        <v>398</v>
      </c>
      <c r="D900" s="19">
        <v>122</v>
      </c>
      <c r="E900" s="19">
        <v>2</v>
      </c>
      <c r="F900" s="18">
        <v>49054</v>
      </c>
      <c r="G900" s="19">
        <v>23</v>
      </c>
      <c r="H900" s="19">
        <v>7</v>
      </c>
      <c r="I900" s="19">
        <v>6</v>
      </c>
      <c r="J900" s="66">
        <f t="shared" si="130"/>
        <v>0.306532663316583</v>
      </c>
      <c r="K900" s="67">
        <f t="shared" si="131"/>
        <v>3.98024590163934</v>
      </c>
      <c r="L900" s="67">
        <f t="shared" si="132"/>
        <v>1220.07537688442</v>
      </c>
      <c r="M900" s="73">
        <f t="shared" si="133"/>
        <v>101.019378488025</v>
      </c>
      <c r="N900" s="66">
        <f t="shared" si="134"/>
        <v>0.0163934426229508</v>
      </c>
      <c r="O900" s="52">
        <f t="shared" si="135"/>
        <v>24527</v>
      </c>
      <c r="P900" s="52">
        <f t="shared" si="136"/>
        <v>242.795</v>
      </c>
      <c r="Q900" s="68">
        <f t="shared" si="137"/>
        <v>21.1126086956522</v>
      </c>
    </row>
    <row r="901" s="2" customFormat="1" spans="1:17">
      <c r="A901" s="61">
        <v>45548</v>
      </c>
      <c r="B901" s="18">
        <v>446.67</v>
      </c>
      <c r="C901" s="19">
        <v>384</v>
      </c>
      <c r="D901" s="19">
        <v>120</v>
      </c>
      <c r="E901" s="19">
        <v>1</v>
      </c>
      <c r="F901" s="18">
        <v>11314</v>
      </c>
      <c r="G901" s="19">
        <v>21</v>
      </c>
      <c r="H901" s="19">
        <v>4</v>
      </c>
      <c r="I901" s="19">
        <v>2</v>
      </c>
      <c r="J901" s="66">
        <f t="shared" si="130"/>
        <v>0.3125</v>
      </c>
      <c r="K901" s="67">
        <f t="shared" si="131"/>
        <v>3.72225</v>
      </c>
      <c r="L901" s="67">
        <f t="shared" si="132"/>
        <v>1163.203125</v>
      </c>
      <c r="M901" s="73">
        <f t="shared" si="133"/>
        <v>25.3296617189424</v>
      </c>
      <c r="N901" s="66">
        <f t="shared" si="134"/>
        <v>0.00833333333333333</v>
      </c>
      <c r="O901" s="52">
        <f t="shared" si="135"/>
        <v>11314</v>
      </c>
      <c r="P901" s="52">
        <f t="shared" si="136"/>
        <v>446.67</v>
      </c>
      <c r="Q901" s="68">
        <f t="shared" si="137"/>
        <v>21.27</v>
      </c>
    </row>
    <row r="902" s="2" customFormat="1" spans="1:17">
      <c r="A902" s="61">
        <v>45549</v>
      </c>
      <c r="B902" s="18">
        <v>449.81</v>
      </c>
      <c r="C902" s="19">
        <v>399</v>
      </c>
      <c r="D902" s="19">
        <v>91</v>
      </c>
      <c r="E902" s="19">
        <v>0</v>
      </c>
      <c r="F902" s="18">
        <v>0</v>
      </c>
      <c r="G902" s="19">
        <v>3</v>
      </c>
      <c r="H902" s="19">
        <v>20</v>
      </c>
      <c r="I902" s="19">
        <v>9</v>
      </c>
      <c r="J902" s="66">
        <f t="shared" si="130"/>
        <v>0.228070175438596</v>
      </c>
      <c r="K902" s="67">
        <f t="shared" si="131"/>
        <v>4.94296703296703</v>
      </c>
      <c r="L902" s="67">
        <f t="shared" si="132"/>
        <v>1127.34335839599</v>
      </c>
      <c r="M902" s="73">
        <f t="shared" si="133"/>
        <v>0</v>
      </c>
      <c r="N902" s="66">
        <f t="shared" si="134"/>
        <v>0</v>
      </c>
      <c r="O902" s="52">
        <f t="shared" si="135"/>
        <v>0</v>
      </c>
      <c r="P902" s="52">
        <f t="shared" si="136"/>
        <v>0</v>
      </c>
      <c r="Q902" s="68">
        <f t="shared" si="137"/>
        <v>149.936666666667</v>
      </c>
    </row>
    <row r="903" s="2" customFormat="1" spans="1:17">
      <c r="A903" s="61">
        <v>45550</v>
      </c>
      <c r="B903" s="18">
        <v>388.81</v>
      </c>
      <c r="C903" s="19">
        <v>318</v>
      </c>
      <c r="D903" s="19">
        <v>114</v>
      </c>
      <c r="E903" s="19">
        <v>0</v>
      </c>
      <c r="F903" s="18">
        <v>0</v>
      </c>
      <c r="G903" s="19">
        <v>1</v>
      </c>
      <c r="H903" s="19">
        <v>24</v>
      </c>
      <c r="I903" s="19">
        <v>5</v>
      </c>
      <c r="J903" s="66">
        <f t="shared" si="130"/>
        <v>0.358490566037736</v>
      </c>
      <c r="K903" s="67">
        <f t="shared" si="131"/>
        <v>3.41061403508772</v>
      </c>
      <c r="L903" s="67">
        <f t="shared" si="132"/>
        <v>1222.67295597484</v>
      </c>
      <c r="M903" s="73">
        <f t="shared" si="133"/>
        <v>0</v>
      </c>
      <c r="N903" s="66">
        <f t="shared" si="134"/>
        <v>0</v>
      </c>
      <c r="O903" s="52">
        <f t="shared" si="135"/>
        <v>0</v>
      </c>
      <c r="P903" s="52">
        <f t="shared" si="136"/>
        <v>0</v>
      </c>
      <c r="Q903" s="68">
        <f t="shared" si="137"/>
        <v>388.81</v>
      </c>
    </row>
    <row r="904" s="2" customFormat="1" spans="1:17">
      <c r="A904" s="61">
        <v>45551</v>
      </c>
      <c r="B904" s="18">
        <v>402.61</v>
      </c>
      <c r="C904" s="19">
        <v>363</v>
      </c>
      <c r="D904" s="19">
        <v>114</v>
      </c>
      <c r="E904" s="19">
        <v>1</v>
      </c>
      <c r="F904" s="18">
        <v>9867</v>
      </c>
      <c r="G904" s="19">
        <v>2</v>
      </c>
      <c r="H904" s="19">
        <v>30</v>
      </c>
      <c r="I904" s="19">
        <v>5</v>
      </c>
      <c r="J904" s="66">
        <f t="shared" si="130"/>
        <v>0.31404958677686</v>
      </c>
      <c r="K904" s="67">
        <f t="shared" si="131"/>
        <v>3.53166666666667</v>
      </c>
      <c r="L904" s="67">
        <f t="shared" si="132"/>
        <v>1109.11845730028</v>
      </c>
      <c r="M904" s="73">
        <f t="shared" si="133"/>
        <v>24.5075879883758</v>
      </c>
      <c r="N904" s="66">
        <f t="shared" si="134"/>
        <v>0.0087719298245614</v>
      </c>
      <c r="O904" s="52">
        <f t="shared" si="135"/>
        <v>9867</v>
      </c>
      <c r="P904" s="52">
        <f t="shared" si="136"/>
        <v>402.61</v>
      </c>
      <c r="Q904" s="68">
        <f t="shared" si="137"/>
        <v>201.305</v>
      </c>
    </row>
    <row r="905" s="2" customFormat="1" spans="1:17">
      <c r="A905" s="61">
        <v>45552</v>
      </c>
      <c r="B905" s="18">
        <v>396.02</v>
      </c>
      <c r="C905" s="19">
        <v>356</v>
      </c>
      <c r="D905" s="19">
        <v>111</v>
      </c>
      <c r="E905" s="19">
        <v>0</v>
      </c>
      <c r="F905" s="18">
        <v>0</v>
      </c>
      <c r="G905" s="19">
        <v>3</v>
      </c>
      <c r="H905" s="19">
        <v>16</v>
      </c>
      <c r="I905" s="19">
        <v>3</v>
      </c>
      <c r="J905" s="66">
        <f t="shared" si="130"/>
        <v>0.311797752808989</v>
      </c>
      <c r="K905" s="67">
        <f t="shared" si="131"/>
        <v>3.56774774774775</v>
      </c>
      <c r="L905" s="67">
        <f t="shared" si="132"/>
        <v>1112.41573033708</v>
      </c>
      <c r="M905" s="73">
        <f t="shared" si="133"/>
        <v>0</v>
      </c>
      <c r="N905" s="66">
        <f t="shared" si="134"/>
        <v>0</v>
      </c>
      <c r="O905" s="52">
        <f t="shared" si="135"/>
        <v>0</v>
      </c>
      <c r="P905" s="52">
        <f t="shared" si="136"/>
        <v>0</v>
      </c>
      <c r="Q905" s="68">
        <f t="shared" si="137"/>
        <v>132.006666666667</v>
      </c>
    </row>
    <row r="906" s="2" customFormat="1" spans="1:17">
      <c r="A906" s="61">
        <v>45553</v>
      </c>
      <c r="B906" s="18">
        <v>516.29</v>
      </c>
      <c r="C906" s="19">
        <v>458</v>
      </c>
      <c r="D906" s="19">
        <v>120</v>
      </c>
      <c r="E906" s="19">
        <v>0</v>
      </c>
      <c r="F906" s="18">
        <v>0</v>
      </c>
      <c r="G906" s="19">
        <v>26</v>
      </c>
      <c r="H906" s="19">
        <v>1</v>
      </c>
      <c r="I906" s="19">
        <v>7</v>
      </c>
      <c r="J906" s="66">
        <f t="shared" si="130"/>
        <v>0.262008733624454</v>
      </c>
      <c r="K906" s="67">
        <f t="shared" si="131"/>
        <v>4.30241666666667</v>
      </c>
      <c r="L906" s="67">
        <f t="shared" si="132"/>
        <v>1127.27074235808</v>
      </c>
      <c r="M906" s="73">
        <f t="shared" si="133"/>
        <v>0</v>
      </c>
      <c r="N906" s="66">
        <f t="shared" si="134"/>
        <v>0</v>
      </c>
      <c r="O906" s="52">
        <f t="shared" si="135"/>
        <v>0</v>
      </c>
      <c r="P906" s="52">
        <f t="shared" si="136"/>
        <v>0</v>
      </c>
      <c r="Q906" s="68">
        <f t="shared" si="137"/>
        <v>19.8573076923077</v>
      </c>
    </row>
    <row r="907" s="2" customFormat="1" spans="1:17">
      <c r="A907" s="61">
        <v>45554</v>
      </c>
      <c r="B907" s="18">
        <v>385.04</v>
      </c>
      <c r="C907" s="19">
        <v>353</v>
      </c>
      <c r="D907" s="19">
        <v>106</v>
      </c>
      <c r="E907" s="19">
        <v>1</v>
      </c>
      <c r="F907" s="18">
        <v>11842</v>
      </c>
      <c r="G907" s="19">
        <v>20</v>
      </c>
      <c r="H907" s="19">
        <v>2</v>
      </c>
      <c r="I907" s="19">
        <v>5</v>
      </c>
      <c r="J907" s="66">
        <f t="shared" si="130"/>
        <v>0.30028328611898</v>
      </c>
      <c r="K907" s="67">
        <f t="shared" si="131"/>
        <v>3.63245283018868</v>
      </c>
      <c r="L907" s="67">
        <f t="shared" si="132"/>
        <v>1090.76487252125</v>
      </c>
      <c r="M907" s="73">
        <f t="shared" si="133"/>
        <v>30.7552462081862</v>
      </c>
      <c r="N907" s="66">
        <f t="shared" si="134"/>
        <v>0.00943396226415094</v>
      </c>
      <c r="O907" s="52">
        <f t="shared" si="135"/>
        <v>11842</v>
      </c>
      <c r="P907" s="52">
        <f t="shared" si="136"/>
        <v>385.04</v>
      </c>
      <c r="Q907" s="68">
        <f t="shared" si="137"/>
        <v>19.252</v>
      </c>
    </row>
    <row r="908" s="2" customFormat="1" spans="1:17">
      <c r="A908" s="61">
        <v>45555</v>
      </c>
      <c r="B908" s="18">
        <v>436.38</v>
      </c>
      <c r="C908" s="19">
        <v>385</v>
      </c>
      <c r="D908" s="19">
        <v>93</v>
      </c>
      <c r="E908" s="19">
        <v>0</v>
      </c>
      <c r="F908" s="18">
        <v>0</v>
      </c>
      <c r="G908" s="19">
        <v>11</v>
      </c>
      <c r="H908" s="19">
        <v>2</v>
      </c>
      <c r="I908" s="19">
        <v>2</v>
      </c>
      <c r="J908" s="66">
        <f t="shared" si="130"/>
        <v>0.241558441558442</v>
      </c>
      <c r="K908" s="67">
        <f t="shared" si="131"/>
        <v>4.69225806451613</v>
      </c>
      <c r="L908" s="67">
        <f t="shared" si="132"/>
        <v>1133.45454545455</v>
      </c>
      <c r="M908" s="73">
        <f t="shared" si="133"/>
        <v>0</v>
      </c>
      <c r="N908" s="66">
        <f t="shared" si="134"/>
        <v>0</v>
      </c>
      <c r="O908" s="52">
        <f t="shared" si="135"/>
        <v>0</v>
      </c>
      <c r="P908" s="52">
        <f t="shared" si="136"/>
        <v>0</v>
      </c>
      <c r="Q908" s="68">
        <f t="shared" si="137"/>
        <v>39.6709090909091</v>
      </c>
    </row>
    <row r="909" s="2" customFormat="1" spans="1:17">
      <c r="A909" s="61">
        <v>45556</v>
      </c>
      <c r="B909" s="18">
        <v>395.96</v>
      </c>
      <c r="C909" s="19">
        <v>347</v>
      </c>
      <c r="D909" s="19">
        <v>98</v>
      </c>
      <c r="E909" s="19">
        <v>0</v>
      </c>
      <c r="F909" s="18">
        <v>0</v>
      </c>
      <c r="G909" s="19">
        <v>20</v>
      </c>
      <c r="H909" s="19">
        <v>1</v>
      </c>
      <c r="I909" s="19">
        <v>5</v>
      </c>
      <c r="J909" s="66">
        <f t="shared" si="130"/>
        <v>0.282420749279539</v>
      </c>
      <c r="K909" s="67">
        <f t="shared" si="131"/>
        <v>4.04040816326531</v>
      </c>
      <c r="L909" s="67">
        <f t="shared" si="132"/>
        <v>1141.09510086455</v>
      </c>
      <c r="M909" s="73">
        <f t="shared" si="133"/>
        <v>0</v>
      </c>
      <c r="N909" s="66">
        <f t="shared" si="134"/>
        <v>0</v>
      </c>
      <c r="O909" s="52">
        <f t="shared" si="135"/>
        <v>0</v>
      </c>
      <c r="P909" s="52">
        <f t="shared" si="136"/>
        <v>0</v>
      </c>
      <c r="Q909" s="68">
        <f t="shared" si="137"/>
        <v>19.798</v>
      </c>
    </row>
    <row r="910" s="2" customFormat="1" spans="1:17">
      <c r="A910" s="61">
        <v>45557</v>
      </c>
      <c r="B910" s="18">
        <v>299.51</v>
      </c>
      <c r="C910" s="19">
        <v>269</v>
      </c>
      <c r="D910" s="19">
        <v>79</v>
      </c>
      <c r="E910" s="19">
        <v>2</v>
      </c>
      <c r="F910" s="18">
        <v>24468</v>
      </c>
      <c r="G910" s="19">
        <v>14</v>
      </c>
      <c r="H910" s="19">
        <v>0</v>
      </c>
      <c r="I910" s="19">
        <v>2</v>
      </c>
      <c r="J910" s="66">
        <f t="shared" si="130"/>
        <v>0.29368029739777</v>
      </c>
      <c r="K910" s="67">
        <f t="shared" si="131"/>
        <v>3.79126582278481</v>
      </c>
      <c r="L910" s="67">
        <f t="shared" si="132"/>
        <v>1113.42007434944</v>
      </c>
      <c r="M910" s="73">
        <f t="shared" si="133"/>
        <v>81.6934326065908</v>
      </c>
      <c r="N910" s="66">
        <f t="shared" si="134"/>
        <v>0.0253164556962025</v>
      </c>
      <c r="O910" s="52">
        <f t="shared" si="135"/>
        <v>12234</v>
      </c>
      <c r="P910" s="52">
        <f t="shared" si="136"/>
        <v>149.755</v>
      </c>
      <c r="Q910" s="68">
        <f t="shared" si="137"/>
        <v>21.3935714285714</v>
      </c>
    </row>
    <row r="911" s="2" customFormat="1" spans="1:17">
      <c r="A911" s="61">
        <v>45558</v>
      </c>
      <c r="B911" s="18">
        <v>438.04</v>
      </c>
      <c r="C911" s="19">
        <v>371</v>
      </c>
      <c r="D911" s="19">
        <v>105</v>
      </c>
      <c r="E911" s="19">
        <v>0</v>
      </c>
      <c r="F911" s="18">
        <v>0</v>
      </c>
      <c r="G911" s="19">
        <v>18</v>
      </c>
      <c r="H911" s="19">
        <v>1</v>
      </c>
      <c r="I911" s="19">
        <v>3</v>
      </c>
      <c r="J911" s="66">
        <f t="shared" si="130"/>
        <v>0.283018867924528</v>
      </c>
      <c r="K911" s="67">
        <f t="shared" si="131"/>
        <v>4.17180952380952</v>
      </c>
      <c r="L911" s="67">
        <f t="shared" si="132"/>
        <v>1180.70080862534</v>
      </c>
      <c r="M911" s="73">
        <f t="shared" si="133"/>
        <v>0</v>
      </c>
      <c r="N911" s="66">
        <f t="shared" si="134"/>
        <v>0</v>
      </c>
      <c r="O911" s="52">
        <f t="shared" si="135"/>
        <v>0</v>
      </c>
      <c r="P911" s="52">
        <f t="shared" si="136"/>
        <v>0</v>
      </c>
      <c r="Q911" s="68">
        <f t="shared" si="137"/>
        <v>24.3355555555556</v>
      </c>
    </row>
    <row r="912" s="2" customFormat="1" spans="1:17">
      <c r="A912" s="61">
        <v>45559</v>
      </c>
      <c r="B912" s="18">
        <v>449.28</v>
      </c>
      <c r="C912" s="19">
        <v>391</v>
      </c>
      <c r="D912" s="19">
        <v>145</v>
      </c>
      <c r="E912" s="19">
        <v>1</v>
      </c>
      <c r="F912" s="18">
        <v>25068</v>
      </c>
      <c r="G912" s="19">
        <v>25</v>
      </c>
      <c r="H912" s="19">
        <v>1</v>
      </c>
      <c r="I912" s="19">
        <v>10</v>
      </c>
      <c r="J912" s="66">
        <f t="shared" si="130"/>
        <v>0.370843989769821</v>
      </c>
      <c r="K912" s="67">
        <f t="shared" si="131"/>
        <v>3.09848275862069</v>
      </c>
      <c r="L912" s="67">
        <f t="shared" si="132"/>
        <v>1149.0537084399</v>
      </c>
      <c r="M912" s="73">
        <f t="shared" si="133"/>
        <v>55.7959401709402</v>
      </c>
      <c r="N912" s="66">
        <f t="shared" si="134"/>
        <v>0.00689655172413793</v>
      </c>
      <c r="O912" s="52">
        <f t="shared" si="135"/>
        <v>25068</v>
      </c>
      <c r="P912" s="52">
        <f t="shared" si="136"/>
        <v>449.28</v>
      </c>
      <c r="Q912" s="68">
        <f t="shared" si="137"/>
        <v>17.9712</v>
      </c>
    </row>
    <row r="913" s="2" customFormat="1" spans="1:17">
      <c r="A913" s="61">
        <v>45560</v>
      </c>
      <c r="B913" s="18">
        <v>378.53</v>
      </c>
      <c r="C913" s="19">
        <v>335</v>
      </c>
      <c r="D913" s="19">
        <v>103</v>
      </c>
      <c r="E913" s="19">
        <v>0</v>
      </c>
      <c r="F913" s="18">
        <v>0</v>
      </c>
      <c r="G913" s="19">
        <v>18</v>
      </c>
      <c r="H913" s="19">
        <v>1</v>
      </c>
      <c r="I913" s="19">
        <v>0</v>
      </c>
      <c r="J913" s="66">
        <f t="shared" si="130"/>
        <v>0.307462686567164</v>
      </c>
      <c r="K913" s="67">
        <f t="shared" si="131"/>
        <v>3.67504854368932</v>
      </c>
      <c r="L913" s="67">
        <f t="shared" si="132"/>
        <v>1129.94029850746</v>
      </c>
      <c r="M913" s="73">
        <f t="shared" si="133"/>
        <v>0</v>
      </c>
      <c r="N913" s="66">
        <f t="shared" si="134"/>
        <v>0</v>
      </c>
      <c r="O913" s="52">
        <f t="shared" si="135"/>
        <v>0</v>
      </c>
      <c r="P913" s="52">
        <f t="shared" si="136"/>
        <v>0</v>
      </c>
      <c r="Q913" s="68">
        <f t="shared" si="137"/>
        <v>21.0294444444444</v>
      </c>
    </row>
    <row r="914" s="2" customFormat="1" spans="1:17">
      <c r="A914" s="61">
        <v>45561</v>
      </c>
      <c r="B914" s="18">
        <v>396.61</v>
      </c>
      <c r="C914" s="19">
        <v>345</v>
      </c>
      <c r="D914" s="19">
        <v>103</v>
      </c>
      <c r="E914" s="19">
        <v>0</v>
      </c>
      <c r="F914" s="18">
        <v>0</v>
      </c>
      <c r="G914" s="19">
        <v>21</v>
      </c>
      <c r="H914" s="19">
        <v>1</v>
      </c>
      <c r="I914" s="19">
        <v>6</v>
      </c>
      <c r="J914" s="66">
        <f t="shared" si="130"/>
        <v>0.298550724637681</v>
      </c>
      <c r="K914" s="67">
        <f t="shared" si="131"/>
        <v>3.85058252427184</v>
      </c>
      <c r="L914" s="67">
        <f t="shared" si="132"/>
        <v>1149.59420289855</v>
      </c>
      <c r="M914" s="73">
        <f t="shared" si="133"/>
        <v>0</v>
      </c>
      <c r="N914" s="66">
        <f t="shared" si="134"/>
        <v>0</v>
      </c>
      <c r="O914" s="52">
        <f t="shared" si="135"/>
        <v>0</v>
      </c>
      <c r="P914" s="52">
        <f t="shared" si="136"/>
        <v>0</v>
      </c>
      <c r="Q914" s="68">
        <f t="shared" si="137"/>
        <v>18.8861904761905</v>
      </c>
    </row>
    <row r="915" s="2" customFormat="1" spans="1:17">
      <c r="A915" s="61">
        <v>45562</v>
      </c>
      <c r="B915" s="18">
        <v>436.32</v>
      </c>
      <c r="C915" s="19">
        <v>377</v>
      </c>
      <c r="D915" s="19">
        <v>97</v>
      </c>
      <c r="E915" s="19">
        <v>0</v>
      </c>
      <c r="F915" s="18">
        <v>0</v>
      </c>
      <c r="G915" s="19">
        <v>45</v>
      </c>
      <c r="H915" s="19">
        <v>2</v>
      </c>
      <c r="I915" s="19">
        <v>6</v>
      </c>
      <c r="J915" s="66">
        <f t="shared" si="130"/>
        <v>0.257294429708223</v>
      </c>
      <c r="K915" s="67">
        <f t="shared" si="131"/>
        <v>4.49814432989691</v>
      </c>
      <c r="L915" s="67">
        <f t="shared" si="132"/>
        <v>1157.3474801061</v>
      </c>
      <c r="M915" s="73">
        <f t="shared" si="133"/>
        <v>0</v>
      </c>
      <c r="N915" s="66">
        <f t="shared" si="134"/>
        <v>0</v>
      </c>
      <c r="O915" s="52">
        <f t="shared" si="135"/>
        <v>0</v>
      </c>
      <c r="P915" s="52">
        <f t="shared" si="136"/>
        <v>0</v>
      </c>
      <c r="Q915" s="68">
        <f t="shared" si="137"/>
        <v>9.696</v>
      </c>
    </row>
    <row r="916" s="2" customFormat="1" spans="1:17">
      <c r="A916" s="61">
        <v>45563</v>
      </c>
      <c r="B916" s="18">
        <v>323.69</v>
      </c>
      <c r="C916" s="19">
        <v>274</v>
      </c>
      <c r="D916" s="19">
        <v>81</v>
      </c>
      <c r="E916" s="19">
        <v>0</v>
      </c>
      <c r="F916" s="18">
        <v>0</v>
      </c>
      <c r="G916" s="19">
        <v>23</v>
      </c>
      <c r="H916" s="19">
        <v>0</v>
      </c>
      <c r="I916" s="19">
        <v>4</v>
      </c>
      <c r="J916" s="66">
        <f t="shared" si="130"/>
        <v>0.295620437956204</v>
      </c>
      <c r="K916" s="67">
        <f t="shared" si="131"/>
        <v>3.99617283950617</v>
      </c>
      <c r="L916" s="67">
        <f t="shared" si="132"/>
        <v>1181.3503649635</v>
      </c>
      <c r="M916" s="73">
        <f t="shared" si="133"/>
        <v>0</v>
      </c>
      <c r="N916" s="66">
        <f t="shared" si="134"/>
        <v>0</v>
      </c>
      <c r="O916" s="52">
        <f t="shared" si="135"/>
        <v>0</v>
      </c>
      <c r="P916" s="52">
        <f t="shared" si="136"/>
        <v>0</v>
      </c>
      <c r="Q916" s="68">
        <f t="shared" si="137"/>
        <v>14.0734782608696</v>
      </c>
    </row>
    <row r="917" s="2" customFormat="1" spans="1:17">
      <c r="A917" s="61">
        <v>45564</v>
      </c>
      <c r="B917" s="18">
        <v>437.74</v>
      </c>
      <c r="C917" s="19">
        <v>355</v>
      </c>
      <c r="D917" s="19">
        <v>129</v>
      </c>
      <c r="E917" s="19">
        <v>5</v>
      </c>
      <c r="F917" s="18">
        <v>70416</v>
      </c>
      <c r="G917" s="19">
        <v>34</v>
      </c>
      <c r="H917" s="19">
        <v>0</v>
      </c>
      <c r="I917" s="19">
        <v>5</v>
      </c>
      <c r="J917" s="66">
        <f t="shared" si="130"/>
        <v>0.363380281690141</v>
      </c>
      <c r="K917" s="67">
        <f t="shared" si="131"/>
        <v>3.39333333333333</v>
      </c>
      <c r="L917" s="67">
        <f t="shared" si="132"/>
        <v>1233.07042253521</v>
      </c>
      <c r="M917" s="73">
        <f t="shared" si="133"/>
        <v>160.862612509709</v>
      </c>
      <c r="N917" s="66">
        <f t="shared" si="134"/>
        <v>0.0387596899224806</v>
      </c>
      <c r="O917" s="52">
        <f t="shared" si="135"/>
        <v>14083.2</v>
      </c>
      <c r="P917" s="52">
        <f t="shared" si="136"/>
        <v>87.548</v>
      </c>
      <c r="Q917" s="68">
        <f t="shared" si="137"/>
        <v>12.8747058823529</v>
      </c>
    </row>
    <row r="918" s="2" customFormat="1" spans="1:17">
      <c r="A918" s="61">
        <v>45565</v>
      </c>
      <c r="B918" s="18">
        <v>281.87</v>
      </c>
      <c r="C918" s="19">
        <v>252</v>
      </c>
      <c r="D918" s="19">
        <v>91</v>
      </c>
      <c r="E918" s="19">
        <v>0</v>
      </c>
      <c r="F918" s="18">
        <v>0</v>
      </c>
      <c r="G918" s="19">
        <v>17</v>
      </c>
      <c r="H918" s="19">
        <v>2</v>
      </c>
      <c r="I918" s="19">
        <v>4</v>
      </c>
      <c r="J918" s="66">
        <f t="shared" si="130"/>
        <v>0.361111111111111</v>
      </c>
      <c r="K918" s="67">
        <f t="shared" si="131"/>
        <v>3.09747252747253</v>
      </c>
      <c r="L918" s="67">
        <f t="shared" si="132"/>
        <v>1118.53174603175</v>
      </c>
      <c r="M918" s="73">
        <f t="shared" si="133"/>
        <v>0</v>
      </c>
      <c r="N918" s="66">
        <f t="shared" si="134"/>
        <v>0</v>
      </c>
      <c r="O918" s="52">
        <f t="shared" si="135"/>
        <v>0</v>
      </c>
      <c r="P918" s="52">
        <f t="shared" si="136"/>
        <v>0</v>
      </c>
      <c r="Q918" s="68">
        <f t="shared" si="137"/>
        <v>16.5805882352941</v>
      </c>
    </row>
    <row r="919" s="2" customFormat="1" spans="1:17">
      <c r="A919" s="61">
        <v>45566</v>
      </c>
      <c r="B919" s="18">
        <v>334.32</v>
      </c>
      <c r="C919" s="19">
        <v>274</v>
      </c>
      <c r="D919" s="19">
        <v>76</v>
      </c>
      <c r="E919" s="19">
        <v>0</v>
      </c>
      <c r="F919" s="18">
        <v>0</v>
      </c>
      <c r="G919" s="19">
        <v>22</v>
      </c>
      <c r="H919" s="19">
        <v>5</v>
      </c>
      <c r="I919" s="19">
        <v>3</v>
      </c>
      <c r="J919" s="66">
        <f t="shared" si="130"/>
        <v>0.277372262773723</v>
      </c>
      <c r="K919" s="67">
        <f t="shared" si="131"/>
        <v>4.39894736842105</v>
      </c>
      <c r="L919" s="67">
        <f t="shared" si="132"/>
        <v>1220.14598540146</v>
      </c>
      <c r="M919" s="73">
        <f t="shared" si="133"/>
        <v>0</v>
      </c>
      <c r="N919" s="66">
        <f t="shared" si="134"/>
        <v>0</v>
      </c>
      <c r="O919" s="52">
        <f t="shared" si="135"/>
        <v>0</v>
      </c>
      <c r="P919" s="52">
        <f t="shared" si="136"/>
        <v>0</v>
      </c>
      <c r="Q919" s="68">
        <f t="shared" si="137"/>
        <v>15.1963636363636</v>
      </c>
    </row>
    <row r="920" s="2" customFormat="1" spans="1:17">
      <c r="A920" s="61">
        <v>45567</v>
      </c>
      <c r="B920" s="18">
        <v>357.14</v>
      </c>
      <c r="C920" s="19">
        <v>295</v>
      </c>
      <c r="D920" s="19">
        <v>95</v>
      </c>
      <c r="E920" s="19">
        <v>0</v>
      </c>
      <c r="F920" s="18">
        <v>0</v>
      </c>
      <c r="G920" s="19">
        <v>23</v>
      </c>
      <c r="H920" s="19">
        <v>1</v>
      </c>
      <c r="I920" s="19">
        <v>6</v>
      </c>
      <c r="J920" s="66">
        <f t="shared" si="130"/>
        <v>0.322033898305085</v>
      </c>
      <c r="K920" s="67">
        <f t="shared" si="131"/>
        <v>3.75936842105263</v>
      </c>
      <c r="L920" s="67">
        <f t="shared" si="132"/>
        <v>1210.64406779661</v>
      </c>
      <c r="M920" s="73">
        <f t="shared" si="133"/>
        <v>0</v>
      </c>
      <c r="N920" s="66">
        <f t="shared" si="134"/>
        <v>0</v>
      </c>
      <c r="O920" s="52">
        <f t="shared" si="135"/>
        <v>0</v>
      </c>
      <c r="P920" s="52">
        <f t="shared" si="136"/>
        <v>0</v>
      </c>
      <c r="Q920" s="68">
        <f t="shared" si="137"/>
        <v>15.5278260869565</v>
      </c>
    </row>
    <row r="921" s="2" customFormat="1" spans="1:17">
      <c r="A921" s="61">
        <v>45568</v>
      </c>
      <c r="B921" s="18">
        <v>301.65</v>
      </c>
      <c r="C921" s="19">
        <v>242</v>
      </c>
      <c r="D921" s="19">
        <v>65</v>
      </c>
      <c r="E921" s="19">
        <v>2</v>
      </c>
      <c r="F921" s="18">
        <v>45336</v>
      </c>
      <c r="G921" s="19">
        <v>20</v>
      </c>
      <c r="H921" s="19">
        <v>2</v>
      </c>
      <c r="I921" s="19">
        <v>4</v>
      </c>
      <c r="J921" s="66">
        <f t="shared" si="130"/>
        <v>0.268595041322314</v>
      </c>
      <c r="K921" s="67">
        <f t="shared" si="131"/>
        <v>4.64076923076923</v>
      </c>
      <c r="L921" s="67">
        <f t="shared" si="132"/>
        <v>1246.48760330579</v>
      </c>
      <c r="M921" s="73">
        <f t="shared" si="133"/>
        <v>150.293386374938</v>
      </c>
      <c r="N921" s="66">
        <f t="shared" si="134"/>
        <v>0.0307692307692308</v>
      </c>
      <c r="O921" s="52">
        <f t="shared" si="135"/>
        <v>22668</v>
      </c>
      <c r="P921" s="52">
        <f t="shared" si="136"/>
        <v>150.825</v>
      </c>
      <c r="Q921" s="68">
        <f t="shared" si="137"/>
        <v>15.0825</v>
      </c>
    </row>
    <row r="922" s="2" customFormat="1" spans="1:17">
      <c r="A922" s="61">
        <v>45569</v>
      </c>
      <c r="B922" s="18">
        <v>274.51</v>
      </c>
      <c r="C922" s="19">
        <v>222</v>
      </c>
      <c r="D922" s="19">
        <v>81</v>
      </c>
      <c r="E922" s="19">
        <v>1</v>
      </c>
      <c r="F922" s="18">
        <v>14012</v>
      </c>
      <c r="G922" s="19">
        <v>20</v>
      </c>
      <c r="H922" s="19">
        <v>6</v>
      </c>
      <c r="I922" s="19">
        <v>5</v>
      </c>
      <c r="J922" s="66">
        <f t="shared" si="130"/>
        <v>0.364864864864865</v>
      </c>
      <c r="K922" s="67">
        <f t="shared" si="131"/>
        <v>3.38901234567901</v>
      </c>
      <c r="L922" s="67">
        <f t="shared" si="132"/>
        <v>1236.53153153153</v>
      </c>
      <c r="M922" s="73">
        <f t="shared" si="133"/>
        <v>51.0436778259444</v>
      </c>
      <c r="N922" s="66">
        <f t="shared" si="134"/>
        <v>0.0123456790123457</v>
      </c>
      <c r="O922" s="52">
        <f t="shared" si="135"/>
        <v>14012</v>
      </c>
      <c r="P922" s="52">
        <f t="shared" si="136"/>
        <v>274.51</v>
      </c>
      <c r="Q922" s="68">
        <f t="shared" si="137"/>
        <v>13.7255</v>
      </c>
    </row>
    <row r="923" s="2" customFormat="1" spans="1:17">
      <c r="A923" s="61">
        <v>45570</v>
      </c>
      <c r="B923" s="18">
        <v>449.33</v>
      </c>
      <c r="C923" s="19">
        <v>397</v>
      </c>
      <c r="D923" s="19">
        <v>145</v>
      </c>
      <c r="E923" s="19">
        <v>0</v>
      </c>
      <c r="F923" s="18">
        <v>0</v>
      </c>
      <c r="G923" s="19">
        <v>38</v>
      </c>
      <c r="H923" s="19">
        <v>7</v>
      </c>
      <c r="I923" s="19">
        <v>14</v>
      </c>
      <c r="J923" s="66">
        <f t="shared" si="130"/>
        <v>0.365239294710327</v>
      </c>
      <c r="K923" s="67">
        <f t="shared" si="131"/>
        <v>3.0988275862069</v>
      </c>
      <c r="L923" s="67">
        <f t="shared" si="132"/>
        <v>1131.81360201511</v>
      </c>
      <c r="M923" s="73">
        <f t="shared" si="133"/>
        <v>0</v>
      </c>
      <c r="N923" s="66">
        <f t="shared" si="134"/>
        <v>0</v>
      </c>
      <c r="O923" s="52">
        <f t="shared" si="135"/>
        <v>0</v>
      </c>
      <c r="P923" s="52">
        <f t="shared" si="136"/>
        <v>0</v>
      </c>
      <c r="Q923" s="68">
        <f t="shared" si="137"/>
        <v>11.8244736842105</v>
      </c>
    </row>
    <row r="924" s="2" customFormat="1" spans="1:17">
      <c r="A924" s="61">
        <v>45571</v>
      </c>
      <c r="B924" s="18">
        <v>58.89</v>
      </c>
      <c r="C924" s="19">
        <v>51</v>
      </c>
      <c r="D924" s="19">
        <v>8</v>
      </c>
      <c r="E924" s="19">
        <v>0</v>
      </c>
      <c r="F924" s="18">
        <v>0</v>
      </c>
      <c r="G924" s="19">
        <v>2</v>
      </c>
      <c r="H924" s="19">
        <v>0</v>
      </c>
      <c r="I924" s="19">
        <v>0</v>
      </c>
      <c r="J924" s="66">
        <f t="shared" si="130"/>
        <v>0.156862745098039</v>
      </c>
      <c r="K924" s="67">
        <f t="shared" si="131"/>
        <v>7.36125</v>
      </c>
      <c r="L924" s="67">
        <f t="shared" si="132"/>
        <v>1154.70588235294</v>
      </c>
      <c r="M924" s="73">
        <f t="shared" si="133"/>
        <v>0</v>
      </c>
      <c r="N924" s="66">
        <f t="shared" si="134"/>
        <v>0</v>
      </c>
      <c r="O924" s="52">
        <f t="shared" si="135"/>
        <v>0</v>
      </c>
      <c r="P924" s="52">
        <f t="shared" si="136"/>
        <v>0</v>
      </c>
      <c r="Q924" s="68">
        <f t="shared" si="137"/>
        <v>29.445</v>
      </c>
    </row>
    <row r="925" s="2" customFormat="1" spans="1:17">
      <c r="A925" s="61">
        <v>45572</v>
      </c>
      <c r="B925" s="18">
        <v>0.12</v>
      </c>
      <c r="C925" s="19">
        <v>1</v>
      </c>
      <c r="D925" s="19">
        <v>0</v>
      </c>
      <c r="E925" s="19">
        <v>0</v>
      </c>
      <c r="F925" s="18">
        <v>0</v>
      </c>
      <c r="G925" s="19">
        <v>0</v>
      </c>
      <c r="H925" s="19">
        <v>0</v>
      </c>
      <c r="I925" s="19">
        <v>0</v>
      </c>
      <c r="J925" s="66">
        <f t="shared" si="130"/>
        <v>0</v>
      </c>
      <c r="K925" s="67" t="e">
        <f t="shared" si="131"/>
        <v>#DIV/0!</v>
      </c>
      <c r="L925" s="67">
        <f t="shared" si="132"/>
        <v>120</v>
      </c>
      <c r="M925" s="73">
        <f t="shared" si="133"/>
        <v>0</v>
      </c>
      <c r="N925" s="66" t="e">
        <f t="shared" si="134"/>
        <v>#DIV/0!</v>
      </c>
      <c r="O925" s="52">
        <f t="shared" si="135"/>
        <v>0</v>
      </c>
      <c r="P925" s="52">
        <f t="shared" si="136"/>
        <v>0</v>
      </c>
      <c r="Q925" s="68" t="e">
        <f t="shared" si="137"/>
        <v>#DIV/0!</v>
      </c>
    </row>
    <row r="926" s="2" customFormat="1" spans="1:17">
      <c r="A926" s="61">
        <v>45573</v>
      </c>
      <c r="B926" s="18">
        <v>395.52</v>
      </c>
      <c r="C926" s="19">
        <v>339</v>
      </c>
      <c r="D926" s="19">
        <v>143</v>
      </c>
      <c r="E926" s="19">
        <v>0</v>
      </c>
      <c r="F926" s="18">
        <v>0</v>
      </c>
      <c r="G926" s="19">
        <v>35</v>
      </c>
      <c r="H926" s="19">
        <v>3</v>
      </c>
      <c r="I926" s="19">
        <v>7</v>
      </c>
      <c r="J926" s="66">
        <f t="shared" si="130"/>
        <v>0.421828908554572</v>
      </c>
      <c r="K926" s="67">
        <f t="shared" si="131"/>
        <v>2.76587412587413</v>
      </c>
      <c r="L926" s="67">
        <f t="shared" si="132"/>
        <v>1166.72566371681</v>
      </c>
      <c r="M926" s="73">
        <f t="shared" si="133"/>
        <v>0</v>
      </c>
      <c r="N926" s="66">
        <f t="shared" si="134"/>
        <v>0</v>
      </c>
      <c r="O926" s="52">
        <f t="shared" si="135"/>
        <v>0</v>
      </c>
      <c r="P926" s="52">
        <f t="shared" si="136"/>
        <v>0</v>
      </c>
      <c r="Q926" s="68">
        <f t="shared" si="137"/>
        <v>11.3005714285714</v>
      </c>
    </row>
    <row r="927" s="2" customFormat="1" spans="1:17">
      <c r="A927" s="61">
        <v>45574</v>
      </c>
      <c r="B927" s="18">
        <v>449.37</v>
      </c>
      <c r="C927" s="19">
        <v>373</v>
      </c>
      <c r="D927" s="19">
        <v>128</v>
      </c>
      <c r="E927" s="19">
        <v>0</v>
      </c>
      <c r="F927" s="18">
        <v>0</v>
      </c>
      <c r="G927" s="19">
        <v>32</v>
      </c>
      <c r="H927" s="19">
        <v>5</v>
      </c>
      <c r="I927" s="19">
        <v>6</v>
      </c>
      <c r="J927" s="66">
        <f t="shared" si="130"/>
        <v>0.343163538873995</v>
      </c>
      <c r="K927" s="67">
        <f t="shared" si="131"/>
        <v>3.510703125</v>
      </c>
      <c r="L927" s="67">
        <f t="shared" si="132"/>
        <v>1204.74530831099</v>
      </c>
      <c r="M927" s="73">
        <f t="shared" si="133"/>
        <v>0</v>
      </c>
      <c r="N927" s="66">
        <f t="shared" si="134"/>
        <v>0</v>
      </c>
      <c r="O927" s="52">
        <f t="shared" si="135"/>
        <v>0</v>
      </c>
      <c r="P927" s="52">
        <f t="shared" si="136"/>
        <v>0</v>
      </c>
      <c r="Q927" s="68">
        <f t="shared" si="137"/>
        <v>14.0428125</v>
      </c>
    </row>
    <row r="928" s="2" customFormat="1" spans="1:17">
      <c r="A928" s="61">
        <v>45575</v>
      </c>
      <c r="B928" s="18">
        <v>449.37</v>
      </c>
      <c r="C928" s="19">
        <v>362</v>
      </c>
      <c r="D928" s="19">
        <v>131</v>
      </c>
      <c r="E928" s="19">
        <v>1</v>
      </c>
      <c r="F928" s="18">
        <v>30948</v>
      </c>
      <c r="G928" s="19">
        <v>32</v>
      </c>
      <c r="H928" s="19">
        <v>3</v>
      </c>
      <c r="I928" s="19">
        <v>9</v>
      </c>
      <c r="J928" s="66">
        <f t="shared" si="130"/>
        <v>0.361878453038674</v>
      </c>
      <c r="K928" s="67">
        <f t="shared" si="131"/>
        <v>3.43030534351145</v>
      </c>
      <c r="L928" s="67">
        <f t="shared" si="132"/>
        <v>1241.35359116022</v>
      </c>
      <c r="M928" s="73">
        <f t="shared" si="133"/>
        <v>68.8697509847119</v>
      </c>
      <c r="N928" s="66">
        <f t="shared" si="134"/>
        <v>0.00763358778625954</v>
      </c>
      <c r="O928" s="52">
        <f t="shared" si="135"/>
        <v>30948</v>
      </c>
      <c r="P928" s="52">
        <f t="shared" si="136"/>
        <v>449.37</v>
      </c>
      <c r="Q928" s="68">
        <f t="shared" si="137"/>
        <v>14.0428125</v>
      </c>
    </row>
    <row r="929" s="2" customFormat="1" spans="1:17">
      <c r="A929" s="61">
        <v>45576</v>
      </c>
      <c r="B929" s="18">
        <v>449.28</v>
      </c>
      <c r="C929" s="19">
        <v>394</v>
      </c>
      <c r="D929" s="19">
        <v>145</v>
      </c>
      <c r="E929" s="19">
        <v>0</v>
      </c>
      <c r="F929" s="18">
        <v>0</v>
      </c>
      <c r="G929" s="19">
        <v>36</v>
      </c>
      <c r="H929" s="19">
        <v>1</v>
      </c>
      <c r="I929" s="19">
        <v>7</v>
      </c>
      <c r="J929" s="66">
        <f t="shared" si="130"/>
        <v>0.368020304568528</v>
      </c>
      <c r="K929" s="67">
        <f t="shared" si="131"/>
        <v>3.09848275862069</v>
      </c>
      <c r="L929" s="67">
        <f t="shared" si="132"/>
        <v>1140.30456852792</v>
      </c>
      <c r="M929" s="73">
        <f t="shared" si="133"/>
        <v>0</v>
      </c>
      <c r="N929" s="66">
        <f t="shared" si="134"/>
        <v>0</v>
      </c>
      <c r="O929" s="52">
        <f t="shared" si="135"/>
        <v>0</v>
      </c>
      <c r="P929" s="52">
        <f t="shared" si="136"/>
        <v>0</v>
      </c>
      <c r="Q929" s="68">
        <f t="shared" si="137"/>
        <v>12.48</v>
      </c>
    </row>
    <row r="930" s="2" customFormat="1" spans="1:17">
      <c r="A930" s="61">
        <v>45577</v>
      </c>
      <c r="B930" s="18">
        <v>449.37</v>
      </c>
      <c r="C930" s="19">
        <v>386</v>
      </c>
      <c r="D930" s="19">
        <v>144</v>
      </c>
      <c r="E930" s="19">
        <v>1</v>
      </c>
      <c r="F930" s="18">
        <v>11198</v>
      </c>
      <c r="G930" s="19">
        <v>39</v>
      </c>
      <c r="H930" s="19">
        <v>2</v>
      </c>
      <c r="I930" s="19">
        <v>4</v>
      </c>
      <c r="J930" s="66">
        <f t="shared" si="130"/>
        <v>0.373056994818653</v>
      </c>
      <c r="K930" s="67">
        <f t="shared" si="131"/>
        <v>3.120625</v>
      </c>
      <c r="L930" s="67">
        <f t="shared" si="132"/>
        <v>1164.17098445596</v>
      </c>
      <c r="M930" s="73">
        <f t="shared" si="133"/>
        <v>24.9193315085564</v>
      </c>
      <c r="N930" s="66">
        <f t="shared" si="134"/>
        <v>0.00694444444444444</v>
      </c>
      <c r="O930" s="52">
        <f t="shared" si="135"/>
        <v>11198</v>
      </c>
      <c r="P930" s="52">
        <f t="shared" si="136"/>
        <v>449.37</v>
      </c>
      <c r="Q930" s="68">
        <f t="shared" si="137"/>
        <v>11.5223076923077</v>
      </c>
    </row>
    <row r="931" s="2" customFormat="1" spans="1:17">
      <c r="A931" s="61">
        <v>45578</v>
      </c>
      <c r="B931" s="18">
        <v>449.32</v>
      </c>
      <c r="C931" s="19">
        <v>393</v>
      </c>
      <c r="D931" s="19">
        <v>155</v>
      </c>
      <c r="E931" s="19">
        <v>0</v>
      </c>
      <c r="F931" s="18">
        <v>0</v>
      </c>
      <c r="G931" s="19">
        <v>70</v>
      </c>
      <c r="H931" s="19">
        <v>3</v>
      </c>
      <c r="I931" s="19">
        <v>11</v>
      </c>
      <c r="J931" s="66">
        <f t="shared" si="130"/>
        <v>0.39440203562341</v>
      </c>
      <c r="K931" s="67">
        <f t="shared" si="131"/>
        <v>2.89883870967742</v>
      </c>
      <c r="L931" s="67">
        <f t="shared" si="132"/>
        <v>1143.30788804071</v>
      </c>
      <c r="M931" s="73">
        <f t="shared" si="133"/>
        <v>0</v>
      </c>
      <c r="N931" s="66">
        <f t="shared" si="134"/>
        <v>0</v>
      </c>
      <c r="O931" s="52">
        <f t="shared" si="135"/>
        <v>0</v>
      </c>
      <c r="P931" s="52">
        <f t="shared" si="136"/>
        <v>0</v>
      </c>
      <c r="Q931" s="68">
        <f t="shared" si="137"/>
        <v>6.41885714285714</v>
      </c>
    </row>
    <row r="932" s="2" customFormat="1" spans="1:17">
      <c r="A932" s="61">
        <v>45579</v>
      </c>
      <c r="B932" s="18">
        <v>449.48</v>
      </c>
      <c r="C932" s="19">
        <v>349</v>
      </c>
      <c r="D932" s="19">
        <v>143</v>
      </c>
      <c r="E932" s="19">
        <v>0</v>
      </c>
      <c r="F932" s="18">
        <v>0</v>
      </c>
      <c r="G932" s="19">
        <v>42</v>
      </c>
      <c r="H932" s="19">
        <v>5</v>
      </c>
      <c r="I932" s="19">
        <v>7</v>
      </c>
      <c r="J932" s="66">
        <f t="shared" si="130"/>
        <v>0.40974212034384</v>
      </c>
      <c r="K932" s="67">
        <f t="shared" si="131"/>
        <v>3.14321678321678</v>
      </c>
      <c r="L932" s="67">
        <f t="shared" si="132"/>
        <v>1287.90830945559</v>
      </c>
      <c r="M932" s="73">
        <f t="shared" si="133"/>
        <v>0</v>
      </c>
      <c r="N932" s="66">
        <f t="shared" si="134"/>
        <v>0</v>
      </c>
      <c r="O932" s="52">
        <f t="shared" si="135"/>
        <v>0</v>
      </c>
      <c r="P932" s="52">
        <f t="shared" si="136"/>
        <v>0</v>
      </c>
      <c r="Q932" s="68">
        <f t="shared" si="137"/>
        <v>10.7019047619048</v>
      </c>
    </row>
    <row r="933" s="2" customFormat="1" spans="1:17">
      <c r="A933" s="61">
        <v>45580</v>
      </c>
      <c r="B933" s="18">
        <v>1859.57</v>
      </c>
      <c r="C933" s="19">
        <v>1443</v>
      </c>
      <c r="D933" s="19">
        <v>712</v>
      </c>
      <c r="E933" s="19">
        <v>1</v>
      </c>
      <c r="F933" s="18">
        <v>9506</v>
      </c>
      <c r="G933" s="19">
        <v>174</v>
      </c>
      <c r="H933" s="19">
        <v>32</v>
      </c>
      <c r="I933" s="19">
        <v>56</v>
      </c>
      <c r="J933" s="66">
        <f t="shared" si="130"/>
        <v>0.493416493416493</v>
      </c>
      <c r="K933" s="67">
        <f t="shared" si="131"/>
        <v>2.61175561797753</v>
      </c>
      <c r="L933" s="67">
        <f t="shared" si="132"/>
        <v>1288.6832986833</v>
      </c>
      <c r="M933" s="73">
        <f t="shared" si="133"/>
        <v>5.11193447947644</v>
      </c>
      <c r="N933" s="66">
        <f t="shared" si="134"/>
        <v>0.00140449438202247</v>
      </c>
      <c r="O933" s="52">
        <f t="shared" si="135"/>
        <v>9506</v>
      </c>
      <c r="P933" s="52">
        <f t="shared" si="136"/>
        <v>1859.57</v>
      </c>
      <c r="Q933" s="68">
        <f t="shared" si="137"/>
        <v>10.687183908046</v>
      </c>
    </row>
    <row r="934" s="2" customFormat="1" spans="1:17">
      <c r="A934" s="61">
        <v>45581</v>
      </c>
      <c r="B934" s="18">
        <v>1998.61</v>
      </c>
      <c r="C934" s="19">
        <v>1744</v>
      </c>
      <c r="D934" s="19">
        <v>652</v>
      </c>
      <c r="E934" s="19">
        <v>3</v>
      </c>
      <c r="F934" s="18">
        <v>31332</v>
      </c>
      <c r="G934" s="19">
        <v>204</v>
      </c>
      <c r="H934" s="19">
        <v>29</v>
      </c>
      <c r="I934" s="19">
        <v>60</v>
      </c>
      <c r="J934" s="66">
        <f t="shared" ref="J934:J997" si="138">D934/C934</f>
        <v>0.373853211009174</v>
      </c>
      <c r="K934" s="67">
        <f t="shared" ref="K934:K997" si="139">B934/D934</f>
        <v>3.0653527607362</v>
      </c>
      <c r="L934" s="67">
        <f t="shared" ref="L934:L997" si="140">B934/C934*1000</f>
        <v>1145.99197247706</v>
      </c>
      <c r="M934" s="73">
        <f t="shared" ref="M934:M997" si="141">F934/B934</f>
        <v>15.6768954423324</v>
      </c>
      <c r="N934" s="66">
        <f t="shared" ref="N934:N997" si="142">E934/D934</f>
        <v>0.00460122699386503</v>
      </c>
      <c r="O934" s="52">
        <f t="shared" ref="O934:O997" si="143">IF(E934=0,0,F934/E934)</f>
        <v>10444</v>
      </c>
      <c r="P934" s="52">
        <f t="shared" ref="P934:P997" si="144">IF(E934=0,0,B934/E934)</f>
        <v>666.203333333333</v>
      </c>
      <c r="Q934" s="68">
        <f t="shared" ref="Q934:Q997" si="145">B934/G934</f>
        <v>9.79710784313725</v>
      </c>
    </row>
    <row r="935" s="2" customFormat="1" spans="1:17">
      <c r="A935" s="61">
        <v>45582</v>
      </c>
      <c r="B935" s="18">
        <v>1856.49</v>
      </c>
      <c r="C935" s="19">
        <v>1457</v>
      </c>
      <c r="D935" s="19">
        <v>594</v>
      </c>
      <c r="E935" s="19">
        <v>0</v>
      </c>
      <c r="F935" s="18">
        <v>0</v>
      </c>
      <c r="G935" s="19">
        <v>163</v>
      </c>
      <c r="H935" s="19">
        <v>11</v>
      </c>
      <c r="I935" s="19">
        <v>78</v>
      </c>
      <c r="J935" s="66">
        <f t="shared" si="138"/>
        <v>0.407687028140014</v>
      </c>
      <c r="K935" s="67">
        <f t="shared" si="139"/>
        <v>3.12540404040404</v>
      </c>
      <c r="L935" s="67">
        <f t="shared" si="140"/>
        <v>1274.18668496911</v>
      </c>
      <c r="M935" s="73">
        <f t="shared" si="141"/>
        <v>0</v>
      </c>
      <c r="N935" s="66">
        <f t="shared" si="142"/>
        <v>0</v>
      </c>
      <c r="O935" s="52">
        <f t="shared" si="143"/>
        <v>0</v>
      </c>
      <c r="P935" s="52">
        <f t="shared" si="144"/>
        <v>0</v>
      </c>
      <c r="Q935" s="68">
        <f t="shared" si="145"/>
        <v>11.389509202454</v>
      </c>
    </row>
    <row r="936" s="2" customFormat="1" spans="1:17">
      <c r="A936" s="61">
        <v>45583</v>
      </c>
      <c r="B936" s="18">
        <v>1192.27</v>
      </c>
      <c r="C936" s="19">
        <v>959</v>
      </c>
      <c r="D936" s="19">
        <v>342</v>
      </c>
      <c r="E936" s="19">
        <v>0</v>
      </c>
      <c r="F936" s="18">
        <v>0</v>
      </c>
      <c r="G936" s="19">
        <v>87</v>
      </c>
      <c r="H936" s="19">
        <v>15</v>
      </c>
      <c r="I936" s="19">
        <v>35</v>
      </c>
      <c r="J936" s="66">
        <f t="shared" si="138"/>
        <v>0.356621480709072</v>
      </c>
      <c r="K936" s="67">
        <f t="shared" si="139"/>
        <v>3.48616959064327</v>
      </c>
      <c r="L936" s="67">
        <f t="shared" si="140"/>
        <v>1243.24296141814</v>
      </c>
      <c r="M936" s="73">
        <f t="shared" si="141"/>
        <v>0</v>
      </c>
      <c r="N936" s="66">
        <f t="shared" si="142"/>
        <v>0</v>
      </c>
      <c r="O936" s="52">
        <f t="shared" si="143"/>
        <v>0</v>
      </c>
      <c r="P936" s="52">
        <f t="shared" si="144"/>
        <v>0</v>
      </c>
      <c r="Q936" s="68">
        <f t="shared" si="145"/>
        <v>13.7042528735632</v>
      </c>
    </row>
    <row r="937" s="2" customFormat="1" spans="1:17">
      <c r="A937" s="61">
        <v>45584</v>
      </c>
      <c r="B937" s="18">
        <v>1.35</v>
      </c>
      <c r="C937" s="19">
        <v>1</v>
      </c>
      <c r="D937" s="19">
        <v>0</v>
      </c>
      <c r="E937" s="19">
        <v>0</v>
      </c>
      <c r="F937" s="18">
        <v>0</v>
      </c>
      <c r="G937" s="19">
        <v>0</v>
      </c>
      <c r="H937" s="19">
        <v>0</v>
      </c>
      <c r="I937" s="19">
        <v>0</v>
      </c>
      <c r="J937" s="66">
        <f t="shared" si="138"/>
        <v>0</v>
      </c>
      <c r="K937" s="67" t="e">
        <f t="shared" si="139"/>
        <v>#DIV/0!</v>
      </c>
      <c r="L937" s="67">
        <f t="shared" si="140"/>
        <v>1350</v>
      </c>
      <c r="M937" s="73">
        <f t="shared" si="141"/>
        <v>0</v>
      </c>
      <c r="N937" s="66" t="e">
        <f t="shared" si="142"/>
        <v>#DIV/0!</v>
      </c>
      <c r="O937" s="52">
        <f t="shared" si="143"/>
        <v>0</v>
      </c>
      <c r="P937" s="52">
        <f t="shared" si="144"/>
        <v>0</v>
      </c>
      <c r="Q937" s="68" t="e">
        <f t="shared" si="145"/>
        <v>#DIV/0!</v>
      </c>
    </row>
    <row r="938" s="2" customFormat="1" spans="1:17">
      <c r="A938" s="61">
        <v>45585</v>
      </c>
      <c r="B938" s="18">
        <v>83.95</v>
      </c>
      <c r="C938" s="19">
        <v>73</v>
      </c>
      <c r="D938" s="19">
        <v>29</v>
      </c>
      <c r="E938" s="19">
        <v>0</v>
      </c>
      <c r="F938" s="18">
        <v>0</v>
      </c>
      <c r="G938" s="19">
        <v>16</v>
      </c>
      <c r="H938" s="19">
        <v>1</v>
      </c>
      <c r="I938" s="19">
        <v>2</v>
      </c>
      <c r="J938" s="66">
        <f t="shared" si="138"/>
        <v>0.397260273972603</v>
      </c>
      <c r="K938" s="67">
        <f t="shared" si="139"/>
        <v>2.8948275862069</v>
      </c>
      <c r="L938" s="67">
        <f t="shared" si="140"/>
        <v>1150</v>
      </c>
      <c r="M938" s="73">
        <f t="shared" si="141"/>
        <v>0</v>
      </c>
      <c r="N938" s="66">
        <f t="shared" si="142"/>
        <v>0</v>
      </c>
      <c r="O938" s="52">
        <f t="shared" si="143"/>
        <v>0</v>
      </c>
      <c r="P938" s="52">
        <f t="shared" si="144"/>
        <v>0</v>
      </c>
      <c r="Q938" s="68">
        <f t="shared" si="145"/>
        <v>5.246875</v>
      </c>
    </row>
    <row r="939" s="2" customFormat="1" spans="1:17">
      <c r="A939" s="61">
        <v>45586</v>
      </c>
      <c r="B939" s="18">
        <v>1696.36</v>
      </c>
      <c r="C939" s="19">
        <v>1435</v>
      </c>
      <c r="D939" s="19">
        <v>425</v>
      </c>
      <c r="E939" s="19">
        <v>13</v>
      </c>
      <c r="F939" s="18">
        <v>126267</v>
      </c>
      <c r="G939" s="19">
        <v>149</v>
      </c>
      <c r="H939" s="19">
        <v>10</v>
      </c>
      <c r="I939" s="19">
        <v>47</v>
      </c>
      <c r="J939" s="66">
        <f t="shared" si="138"/>
        <v>0.29616724738676</v>
      </c>
      <c r="K939" s="67">
        <f t="shared" si="139"/>
        <v>3.99143529411765</v>
      </c>
      <c r="L939" s="67">
        <f t="shared" si="140"/>
        <v>1182.13240418118</v>
      </c>
      <c r="M939" s="73">
        <f t="shared" si="141"/>
        <v>74.4340823881723</v>
      </c>
      <c r="N939" s="66">
        <f t="shared" si="142"/>
        <v>0.0305882352941176</v>
      </c>
      <c r="O939" s="52">
        <f t="shared" si="143"/>
        <v>9712.84615384615</v>
      </c>
      <c r="P939" s="52">
        <f t="shared" si="144"/>
        <v>130.489230769231</v>
      </c>
      <c r="Q939" s="68">
        <f t="shared" si="145"/>
        <v>11.384966442953</v>
      </c>
    </row>
    <row r="940" s="2" customFormat="1" spans="1:17">
      <c r="A940" s="61">
        <v>45587</v>
      </c>
      <c r="B940" s="18">
        <v>1240.23</v>
      </c>
      <c r="C940" s="19">
        <v>1029</v>
      </c>
      <c r="D940" s="19">
        <v>324</v>
      </c>
      <c r="E940" s="19">
        <v>8</v>
      </c>
      <c r="F940" s="18">
        <v>83633</v>
      </c>
      <c r="G940" s="19">
        <v>69</v>
      </c>
      <c r="H940" s="19">
        <v>4</v>
      </c>
      <c r="I940" s="19">
        <v>43</v>
      </c>
      <c r="J940" s="66">
        <f t="shared" si="138"/>
        <v>0.314868804664723</v>
      </c>
      <c r="K940" s="67">
        <f t="shared" si="139"/>
        <v>3.82787037037037</v>
      </c>
      <c r="L940" s="67">
        <f t="shared" si="140"/>
        <v>1205.27696793003</v>
      </c>
      <c r="M940" s="73">
        <f t="shared" si="141"/>
        <v>67.4334599227563</v>
      </c>
      <c r="N940" s="66">
        <f t="shared" si="142"/>
        <v>0.0246913580246914</v>
      </c>
      <c r="O940" s="52">
        <f t="shared" si="143"/>
        <v>10454.125</v>
      </c>
      <c r="P940" s="52">
        <f t="shared" si="144"/>
        <v>155.02875</v>
      </c>
      <c r="Q940" s="68">
        <f t="shared" si="145"/>
        <v>17.974347826087</v>
      </c>
    </row>
    <row r="941" s="2" customFormat="1" spans="1:17">
      <c r="A941" s="61">
        <v>45588</v>
      </c>
      <c r="B941" s="18">
        <v>1239.88</v>
      </c>
      <c r="C941" s="19">
        <v>973</v>
      </c>
      <c r="D941" s="19">
        <v>332</v>
      </c>
      <c r="E941" s="19">
        <v>7</v>
      </c>
      <c r="F941" s="18">
        <v>75081</v>
      </c>
      <c r="G941" s="19">
        <v>120</v>
      </c>
      <c r="H941" s="19">
        <v>5</v>
      </c>
      <c r="I941" s="19">
        <v>32</v>
      </c>
      <c r="J941" s="66">
        <f t="shared" si="138"/>
        <v>0.341212744090442</v>
      </c>
      <c r="K941" s="67">
        <f t="shared" si="139"/>
        <v>3.73457831325301</v>
      </c>
      <c r="L941" s="67">
        <f t="shared" si="140"/>
        <v>1274.28571428571</v>
      </c>
      <c r="M941" s="73">
        <f t="shared" si="141"/>
        <v>60.5550537148756</v>
      </c>
      <c r="N941" s="66">
        <f t="shared" si="142"/>
        <v>0.0210843373493976</v>
      </c>
      <c r="O941" s="52">
        <f t="shared" si="143"/>
        <v>10725.8571428571</v>
      </c>
      <c r="P941" s="52">
        <f t="shared" si="144"/>
        <v>177.125714285714</v>
      </c>
      <c r="Q941" s="68">
        <f t="shared" si="145"/>
        <v>10.3323333333333</v>
      </c>
    </row>
    <row r="942" s="2" customFormat="1" spans="1:17">
      <c r="A942" s="61">
        <v>45589</v>
      </c>
      <c r="B942" s="18">
        <v>1168.18</v>
      </c>
      <c r="C942" s="19">
        <v>1050</v>
      </c>
      <c r="D942" s="19">
        <v>251</v>
      </c>
      <c r="E942" s="19">
        <v>3</v>
      </c>
      <c r="F942" s="18">
        <v>25194</v>
      </c>
      <c r="G942" s="19">
        <v>77</v>
      </c>
      <c r="H942" s="19">
        <v>6</v>
      </c>
      <c r="I942" s="19">
        <v>16</v>
      </c>
      <c r="J942" s="66">
        <f t="shared" si="138"/>
        <v>0.239047619047619</v>
      </c>
      <c r="K942" s="67">
        <f t="shared" si="139"/>
        <v>4.65410358565737</v>
      </c>
      <c r="L942" s="67">
        <f t="shared" si="140"/>
        <v>1112.55238095238</v>
      </c>
      <c r="M942" s="73">
        <f t="shared" si="141"/>
        <v>21.5668818161585</v>
      </c>
      <c r="N942" s="66">
        <f t="shared" si="142"/>
        <v>0.0119521912350598</v>
      </c>
      <c r="O942" s="52">
        <f t="shared" si="143"/>
        <v>8398</v>
      </c>
      <c r="P942" s="52">
        <f t="shared" si="144"/>
        <v>389.393333333333</v>
      </c>
      <c r="Q942" s="68">
        <f t="shared" si="145"/>
        <v>15.1711688311688</v>
      </c>
    </row>
    <row r="943" s="2" customFormat="1" spans="1:17">
      <c r="A943" s="61">
        <v>45590</v>
      </c>
      <c r="B943" s="18">
        <v>976.49</v>
      </c>
      <c r="C943" s="19">
        <v>874</v>
      </c>
      <c r="D943" s="19">
        <v>207</v>
      </c>
      <c r="E943" s="19">
        <v>4</v>
      </c>
      <c r="F943" s="18">
        <v>43089</v>
      </c>
      <c r="G943" s="19">
        <v>44</v>
      </c>
      <c r="H943" s="19">
        <v>7</v>
      </c>
      <c r="I943" s="19">
        <v>18</v>
      </c>
      <c r="J943" s="66">
        <f t="shared" si="138"/>
        <v>0.236842105263158</v>
      </c>
      <c r="K943" s="67">
        <f t="shared" si="139"/>
        <v>4.71734299516908</v>
      </c>
      <c r="L943" s="67">
        <f t="shared" si="140"/>
        <v>1117.26544622426</v>
      </c>
      <c r="M943" s="73">
        <f t="shared" si="141"/>
        <v>44.1264119448228</v>
      </c>
      <c r="N943" s="66">
        <f t="shared" si="142"/>
        <v>0.0193236714975845</v>
      </c>
      <c r="O943" s="52">
        <f t="shared" si="143"/>
        <v>10772.25</v>
      </c>
      <c r="P943" s="52">
        <f t="shared" si="144"/>
        <v>244.1225</v>
      </c>
      <c r="Q943" s="68">
        <f t="shared" si="145"/>
        <v>22.1929545454545</v>
      </c>
    </row>
    <row r="944" s="2" customFormat="1" spans="1:17">
      <c r="A944" s="61">
        <v>45591</v>
      </c>
      <c r="B944" s="18">
        <v>956.78</v>
      </c>
      <c r="C944" s="19">
        <v>886</v>
      </c>
      <c r="D944" s="19">
        <v>211</v>
      </c>
      <c r="E944" s="19">
        <v>2</v>
      </c>
      <c r="F944" s="18">
        <v>18732</v>
      </c>
      <c r="G944" s="19">
        <v>71</v>
      </c>
      <c r="H944" s="19">
        <v>5</v>
      </c>
      <c r="I944" s="19">
        <v>11</v>
      </c>
      <c r="J944" s="66">
        <f t="shared" si="138"/>
        <v>0.238148984198646</v>
      </c>
      <c r="K944" s="67">
        <f t="shared" si="139"/>
        <v>4.53450236966825</v>
      </c>
      <c r="L944" s="67">
        <f t="shared" si="140"/>
        <v>1079.88713318284</v>
      </c>
      <c r="M944" s="73">
        <f t="shared" si="141"/>
        <v>19.5781684399758</v>
      </c>
      <c r="N944" s="66">
        <f t="shared" si="142"/>
        <v>0.00947867298578199</v>
      </c>
      <c r="O944" s="52">
        <f t="shared" si="143"/>
        <v>9366</v>
      </c>
      <c r="P944" s="52">
        <f t="shared" si="144"/>
        <v>478.39</v>
      </c>
      <c r="Q944" s="68">
        <f t="shared" si="145"/>
        <v>13.4757746478873</v>
      </c>
    </row>
    <row r="945" s="2" customFormat="1" spans="1:17">
      <c r="A945" s="61">
        <v>45592</v>
      </c>
      <c r="B945" s="18">
        <v>1022.87</v>
      </c>
      <c r="C945" s="19">
        <v>987</v>
      </c>
      <c r="D945" s="19">
        <v>210</v>
      </c>
      <c r="E945" s="19">
        <v>1</v>
      </c>
      <c r="F945" s="18">
        <v>23810</v>
      </c>
      <c r="G945" s="19">
        <v>53</v>
      </c>
      <c r="H945" s="19">
        <v>4</v>
      </c>
      <c r="I945" s="19">
        <v>22</v>
      </c>
      <c r="J945" s="66">
        <f t="shared" si="138"/>
        <v>0.212765957446809</v>
      </c>
      <c r="K945" s="67">
        <f t="shared" si="139"/>
        <v>4.87080952380952</v>
      </c>
      <c r="L945" s="67">
        <f t="shared" si="140"/>
        <v>1036.34245187437</v>
      </c>
      <c r="M945" s="73">
        <f t="shared" si="141"/>
        <v>23.2776403648557</v>
      </c>
      <c r="N945" s="66">
        <f t="shared" si="142"/>
        <v>0.00476190476190476</v>
      </c>
      <c r="O945" s="52">
        <f t="shared" si="143"/>
        <v>23810</v>
      </c>
      <c r="P945" s="52">
        <f t="shared" si="144"/>
        <v>1022.87</v>
      </c>
      <c r="Q945" s="68">
        <f t="shared" si="145"/>
        <v>19.2994339622641</v>
      </c>
    </row>
    <row r="946" s="2" customFormat="1" spans="1:17">
      <c r="A946" s="61">
        <v>45593</v>
      </c>
      <c r="B946" s="18">
        <v>1142.39</v>
      </c>
      <c r="C946" s="19">
        <v>967</v>
      </c>
      <c r="D946" s="19">
        <v>247</v>
      </c>
      <c r="E946" s="19">
        <v>3</v>
      </c>
      <c r="F946" s="18">
        <v>34573</v>
      </c>
      <c r="G946" s="19">
        <v>52</v>
      </c>
      <c r="H946" s="19">
        <v>5</v>
      </c>
      <c r="I946" s="19">
        <v>25</v>
      </c>
      <c r="J946" s="66">
        <f t="shared" si="138"/>
        <v>0.255429162357808</v>
      </c>
      <c r="K946" s="67">
        <f t="shared" si="139"/>
        <v>4.62506072874494</v>
      </c>
      <c r="L946" s="67">
        <f t="shared" si="140"/>
        <v>1181.37538779731</v>
      </c>
      <c r="M946" s="73">
        <f t="shared" si="141"/>
        <v>30.2637453058938</v>
      </c>
      <c r="N946" s="66">
        <f t="shared" si="142"/>
        <v>0.0121457489878543</v>
      </c>
      <c r="O946" s="52">
        <f t="shared" si="143"/>
        <v>11524.3333333333</v>
      </c>
      <c r="P946" s="52">
        <f t="shared" si="144"/>
        <v>380.796666666667</v>
      </c>
      <c r="Q946" s="68">
        <f t="shared" si="145"/>
        <v>21.9690384615385</v>
      </c>
    </row>
    <row r="947" s="2" customFormat="1" spans="1:17">
      <c r="A947" s="61">
        <v>45594</v>
      </c>
      <c r="B947" s="18">
        <v>1102.69</v>
      </c>
      <c r="C947" s="19">
        <v>968</v>
      </c>
      <c r="D947" s="19">
        <v>225</v>
      </c>
      <c r="E947" s="19">
        <v>0</v>
      </c>
      <c r="F947" s="18">
        <v>0</v>
      </c>
      <c r="G947" s="19">
        <v>49</v>
      </c>
      <c r="H947" s="19">
        <v>3</v>
      </c>
      <c r="I947" s="19">
        <v>21</v>
      </c>
      <c r="J947" s="66">
        <f t="shared" si="138"/>
        <v>0.232438016528926</v>
      </c>
      <c r="K947" s="67">
        <f t="shared" si="139"/>
        <v>4.90084444444445</v>
      </c>
      <c r="L947" s="67">
        <f t="shared" si="140"/>
        <v>1139.14256198347</v>
      </c>
      <c r="M947" s="73">
        <f t="shared" si="141"/>
        <v>0</v>
      </c>
      <c r="N947" s="66">
        <f t="shared" si="142"/>
        <v>0</v>
      </c>
      <c r="O947" s="52">
        <f t="shared" si="143"/>
        <v>0</v>
      </c>
      <c r="P947" s="52">
        <f t="shared" si="144"/>
        <v>0</v>
      </c>
      <c r="Q947" s="68">
        <f t="shared" si="145"/>
        <v>22.5038775510204</v>
      </c>
    </row>
    <row r="948" s="2" customFormat="1" spans="1:17">
      <c r="A948" s="61">
        <v>45595</v>
      </c>
      <c r="B948" s="18">
        <v>1220.32</v>
      </c>
      <c r="C948" s="19">
        <v>1031</v>
      </c>
      <c r="D948" s="19">
        <v>320</v>
      </c>
      <c r="E948" s="19">
        <v>1</v>
      </c>
      <c r="F948" s="18">
        <v>11097</v>
      </c>
      <c r="G948" s="19">
        <v>59</v>
      </c>
      <c r="H948" s="19">
        <v>10</v>
      </c>
      <c r="I948" s="19">
        <v>22</v>
      </c>
      <c r="J948" s="66">
        <f t="shared" si="138"/>
        <v>0.310378273520854</v>
      </c>
      <c r="K948" s="67">
        <f t="shared" si="139"/>
        <v>3.8135</v>
      </c>
      <c r="L948" s="67">
        <f t="shared" si="140"/>
        <v>1183.62754607177</v>
      </c>
      <c r="M948" s="73">
        <f t="shared" si="141"/>
        <v>9.09351645470041</v>
      </c>
      <c r="N948" s="66">
        <f t="shared" si="142"/>
        <v>0.003125</v>
      </c>
      <c r="O948" s="52">
        <f t="shared" si="143"/>
        <v>11097</v>
      </c>
      <c r="P948" s="52">
        <f t="shared" si="144"/>
        <v>1220.32</v>
      </c>
      <c r="Q948" s="68">
        <f t="shared" si="145"/>
        <v>20.6833898305085</v>
      </c>
    </row>
    <row r="949" s="2" customFormat="1" spans="1:17">
      <c r="A949" s="61">
        <v>45596</v>
      </c>
      <c r="B949" s="18">
        <v>1222.63</v>
      </c>
      <c r="C949" s="19">
        <v>1016</v>
      </c>
      <c r="D949" s="19">
        <v>332</v>
      </c>
      <c r="E949" s="19">
        <v>5</v>
      </c>
      <c r="F949" s="18">
        <v>76836</v>
      </c>
      <c r="G949" s="19">
        <v>80</v>
      </c>
      <c r="H949" s="19">
        <v>7</v>
      </c>
      <c r="I949" s="19">
        <v>31</v>
      </c>
      <c r="J949" s="66">
        <f t="shared" si="138"/>
        <v>0.326771653543307</v>
      </c>
      <c r="K949" s="67">
        <f t="shared" si="139"/>
        <v>3.68262048192771</v>
      </c>
      <c r="L949" s="67">
        <f t="shared" si="140"/>
        <v>1203.37598425197</v>
      </c>
      <c r="M949" s="73">
        <f t="shared" si="141"/>
        <v>62.8448508543059</v>
      </c>
      <c r="N949" s="66">
        <f t="shared" si="142"/>
        <v>0.0150602409638554</v>
      </c>
      <c r="O949" s="52">
        <f t="shared" si="143"/>
        <v>15367.2</v>
      </c>
      <c r="P949" s="52">
        <f t="shared" si="144"/>
        <v>244.526</v>
      </c>
      <c r="Q949" s="68">
        <f t="shared" si="145"/>
        <v>15.282875</v>
      </c>
    </row>
    <row r="950" s="2" customFormat="1" spans="1:17">
      <c r="A950" s="61">
        <v>45597</v>
      </c>
      <c r="B950" s="18">
        <v>1518.34</v>
      </c>
      <c r="C950" s="19">
        <v>1465</v>
      </c>
      <c r="D950" s="19">
        <v>242</v>
      </c>
      <c r="E950" s="19">
        <v>8</v>
      </c>
      <c r="F950" s="18">
        <v>70782</v>
      </c>
      <c r="G950" s="19">
        <v>78</v>
      </c>
      <c r="H950" s="19">
        <v>9</v>
      </c>
      <c r="I950" s="19">
        <v>14</v>
      </c>
      <c r="J950" s="66">
        <f t="shared" si="138"/>
        <v>0.16518771331058</v>
      </c>
      <c r="K950" s="67">
        <f t="shared" si="139"/>
        <v>6.27413223140496</v>
      </c>
      <c r="L950" s="67">
        <f t="shared" si="140"/>
        <v>1036.40955631399</v>
      </c>
      <c r="M950" s="73">
        <f t="shared" si="141"/>
        <v>46.6180170449307</v>
      </c>
      <c r="N950" s="66">
        <f t="shared" si="142"/>
        <v>0.0330578512396694</v>
      </c>
      <c r="O950" s="52">
        <f t="shared" si="143"/>
        <v>8847.75</v>
      </c>
      <c r="P950" s="52">
        <f t="shared" si="144"/>
        <v>189.7925</v>
      </c>
      <c r="Q950" s="68">
        <f t="shared" si="145"/>
        <v>19.4658974358974</v>
      </c>
    </row>
    <row r="951" s="2" customFormat="1" spans="1:17">
      <c r="A951" s="61">
        <v>45598</v>
      </c>
      <c r="B951" s="18">
        <v>1303.4</v>
      </c>
      <c r="C951" s="19">
        <v>1368</v>
      </c>
      <c r="D951" s="19">
        <v>169</v>
      </c>
      <c r="E951" s="19">
        <v>4</v>
      </c>
      <c r="F951" s="18">
        <v>46872</v>
      </c>
      <c r="G951" s="19">
        <v>53</v>
      </c>
      <c r="H951" s="19">
        <v>5</v>
      </c>
      <c r="I951" s="19">
        <v>13</v>
      </c>
      <c r="J951" s="66">
        <f t="shared" si="138"/>
        <v>0.123538011695906</v>
      </c>
      <c r="K951" s="67">
        <f t="shared" si="139"/>
        <v>7.71242603550296</v>
      </c>
      <c r="L951" s="67">
        <f t="shared" si="140"/>
        <v>952.777777777778</v>
      </c>
      <c r="M951" s="73">
        <f t="shared" si="141"/>
        <v>35.9613319011815</v>
      </c>
      <c r="N951" s="66">
        <f t="shared" si="142"/>
        <v>0.0236686390532544</v>
      </c>
      <c r="O951" s="52">
        <f t="shared" si="143"/>
        <v>11718</v>
      </c>
      <c r="P951" s="52">
        <f t="shared" si="144"/>
        <v>325.85</v>
      </c>
      <c r="Q951" s="68">
        <f t="shared" si="145"/>
        <v>24.5924528301887</v>
      </c>
    </row>
    <row r="952" s="2" customFormat="1" spans="1:17">
      <c r="A952" s="61">
        <v>45599</v>
      </c>
      <c r="B952" s="18">
        <v>1174.56</v>
      </c>
      <c r="C952" s="19">
        <v>1309</v>
      </c>
      <c r="D952" s="19">
        <v>205</v>
      </c>
      <c r="E952" s="19">
        <v>2</v>
      </c>
      <c r="F952" s="18">
        <v>29493</v>
      </c>
      <c r="G952" s="19">
        <v>56</v>
      </c>
      <c r="H952" s="19">
        <v>7</v>
      </c>
      <c r="I952" s="19">
        <v>16</v>
      </c>
      <c r="J952" s="66">
        <f t="shared" si="138"/>
        <v>0.156608097784568</v>
      </c>
      <c r="K952" s="67">
        <f t="shared" si="139"/>
        <v>5.72956097560976</v>
      </c>
      <c r="L952" s="67">
        <f t="shared" si="140"/>
        <v>897.29564553094</v>
      </c>
      <c r="M952" s="73">
        <f t="shared" si="141"/>
        <v>25.1098283612587</v>
      </c>
      <c r="N952" s="66">
        <f t="shared" si="142"/>
        <v>0.00975609756097561</v>
      </c>
      <c r="O952" s="52">
        <f t="shared" si="143"/>
        <v>14746.5</v>
      </c>
      <c r="P952" s="52">
        <f t="shared" si="144"/>
        <v>587.28</v>
      </c>
      <c r="Q952" s="68">
        <f t="shared" si="145"/>
        <v>20.9742857142857</v>
      </c>
    </row>
    <row r="953" s="2" customFormat="1" spans="1:17">
      <c r="A953" s="61">
        <v>45600</v>
      </c>
      <c r="B953" s="18">
        <v>875.52</v>
      </c>
      <c r="C953" s="19">
        <v>824</v>
      </c>
      <c r="D953" s="19">
        <v>247</v>
      </c>
      <c r="E953" s="19">
        <v>4</v>
      </c>
      <c r="F953" s="18">
        <v>36656</v>
      </c>
      <c r="G953" s="19">
        <v>65</v>
      </c>
      <c r="H953" s="19">
        <v>7</v>
      </c>
      <c r="I953" s="19">
        <v>22</v>
      </c>
      <c r="J953" s="66">
        <f t="shared" si="138"/>
        <v>0.299757281553398</v>
      </c>
      <c r="K953" s="67">
        <f t="shared" si="139"/>
        <v>3.54461538461538</v>
      </c>
      <c r="L953" s="67">
        <f t="shared" si="140"/>
        <v>1062.52427184466</v>
      </c>
      <c r="M953" s="73">
        <f t="shared" si="141"/>
        <v>41.8676900584795</v>
      </c>
      <c r="N953" s="66">
        <f t="shared" si="142"/>
        <v>0.0161943319838057</v>
      </c>
      <c r="O953" s="52">
        <f t="shared" si="143"/>
        <v>9164</v>
      </c>
      <c r="P953" s="52">
        <f t="shared" si="144"/>
        <v>218.88</v>
      </c>
      <c r="Q953" s="68">
        <f t="shared" si="145"/>
        <v>13.4695384615385</v>
      </c>
    </row>
    <row r="954" s="2" customFormat="1" spans="1:17">
      <c r="A954" s="61">
        <v>45601</v>
      </c>
      <c r="B954" s="18">
        <v>900.45</v>
      </c>
      <c r="C954" s="19">
        <v>901</v>
      </c>
      <c r="D954" s="19">
        <v>188</v>
      </c>
      <c r="E954" s="19">
        <v>1</v>
      </c>
      <c r="F954" s="18">
        <v>9062</v>
      </c>
      <c r="G954" s="19">
        <v>49</v>
      </c>
      <c r="H954" s="19">
        <v>8</v>
      </c>
      <c r="I954" s="19">
        <v>13</v>
      </c>
      <c r="J954" s="66">
        <f t="shared" si="138"/>
        <v>0.20865704772475</v>
      </c>
      <c r="K954" s="67">
        <f t="shared" si="139"/>
        <v>4.78962765957447</v>
      </c>
      <c r="L954" s="67">
        <f t="shared" si="140"/>
        <v>999.389567147614</v>
      </c>
      <c r="M954" s="73">
        <f t="shared" si="141"/>
        <v>10.0638569604087</v>
      </c>
      <c r="N954" s="66">
        <f t="shared" si="142"/>
        <v>0.00531914893617021</v>
      </c>
      <c r="O954" s="52">
        <f t="shared" si="143"/>
        <v>9062</v>
      </c>
      <c r="P954" s="52">
        <f t="shared" si="144"/>
        <v>900.45</v>
      </c>
      <c r="Q954" s="68">
        <f t="shared" si="145"/>
        <v>18.3765306122449</v>
      </c>
    </row>
    <row r="955" s="2" customFormat="1" spans="1:17">
      <c r="A955" s="61">
        <v>45602</v>
      </c>
      <c r="B955" s="18">
        <v>1207.84</v>
      </c>
      <c r="C955" s="19">
        <v>1496</v>
      </c>
      <c r="D955" s="19">
        <v>182</v>
      </c>
      <c r="E955" s="19">
        <v>0</v>
      </c>
      <c r="F955" s="18">
        <v>0</v>
      </c>
      <c r="G955" s="19">
        <v>48</v>
      </c>
      <c r="H955" s="19">
        <v>5</v>
      </c>
      <c r="I955" s="19">
        <v>12</v>
      </c>
      <c r="J955" s="66">
        <f t="shared" si="138"/>
        <v>0.121657754010695</v>
      </c>
      <c r="K955" s="67">
        <f t="shared" si="139"/>
        <v>6.63648351648352</v>
      </c>
      <c r="L955" s="67">
        <f t="shared" si="140"/>
        <v>807.379679144385</v>
      </c>
      <c r="M955" s="73">
        <f t="shared" si="141"/>
        <v>0</v>
      </c>
      <c r="N955" s="66">
        <f t="shared" si="142"/>
        <v>0</v>
      </c>
      <c r="O955" s="52">
        <f t="shared" si="143"/>
        <v>0</v>
      </c>
      <c r="P955" s="52">
        <f t="shared" si="144"/>
        <v>0</v>
      </c>
      <c r="Q955" s="68">
        <f t="shared" si="145"/>
        <v>25.1633333333333</v>
      </c>
    </row>
    <row r="956" s="2" customFormat="1" spans="1:17">
      <c r="A956" s="61">
        <v>45603</v>
      </c>
      <c r="B956" s="18">
        <v>887.35</v>
      </c>
      <c r="C956" s="19">
        <v>827</v>
      </c>
      <c r="D956" s="19">
        <v>156</v>
      </c>
      <c r="E956" s="19">
        <v>3</v>
      </c>
      <c r="F956" s="18">
        <v>27064</v>
      </c>
      <c r="G956" s="19">
        <v>55</v>
      </c>
      <c r="H956" s="19">
        <v>5</v>
      </c>
      <c r="I956" s="19">
        <v>8</v>
      </c>
      <c r="J956" s="66">
        <f t="shared" si="138"/>
        <v>0.18863361547763</v>
      </c>
      <c r="K956" s="67">
        <f t="shared" si="139"/>
        <v>5.68814102564103</v>
      </c>
      <c r="L956" s="67">
        <f t="shared" si="140"/>
        <v>1072.9746070133</v>
      </c>
      <c r="M956" s="73">
        <f t="shared" si="141"/>
        <v>30.4998027835691</v>
      </c>
      <c r="N956" s="66">
        <f t="shared" si="142"/>
        <v>0.0192307692307692</v>
      </c>
      <c r="O956" s="52">
        <f t="shared" si="143"/>
        <v>9021.33333333333</v>
      </c>
      <c r="P956" s="52">
        <f t="shared" si="144"/>
        <v>295.783333333333</v>
      </c>
      <c r="Q956" s="68">
        <f t="shared" si="145"/>
        <v>16.1336363636364</v>
      </c>
    </row>
    <row r="957" s="2" customFormat="1" spans="1:17">
      <c r="A957" s="61">
        <v>45604</v>
      </c>
      <c r="B957" s="18">
        <v>702.52</v>
      </c>
      <c r="C957" s="19">
        <v>582</v>
      </c>
      <c r="D957" s="19">
        <v>147</v>
      </c>
      <c r="E957" s="19">
        <v>2</v>
      </c>
      <c r="F957" s="18">
        <v>17979</v>
      </c>
      <c r="G957" s="19">
        <v>47</v>
      </c>
      <c r="H957" s="19">
        <v>8</v>
      </c>
      <c r="I957" s="19">
        <v>13</v>
      </c>
      <c r="J957" s="66">
        <f t="shared" si="138"/>
        <v>0.252577319587629</v>
      </c>
      <c r="K957" s="67">
        <f t="shared" si="139"/>
        <v>4.77904761904762</v>
      </c>
      <c r="L957" s="67">
        <f t="shared" si="140"/>
        <v>1207.07903780069</v>
      </c>
      <c r="M957" s="73">
        <f t="shared" si="141"/>
        <v>25.5921539600296</v>
      </c>
      <c r="N957" s="66">
        <f t="shared" si="142"/>
        <v>0.0136054421768707</v>
      </c>
      <c r="O957" s="52">
        <f t="shared" si="143"/>
        <v>8989.5</v>
      </c>
      <c r="P957" s="52">
        <f t="shared" si="144"/>
        <v>351.26</v>
      </c>
      <c r="Q957" s="68">
        <f t="shared" si="145"/>
        <v>14.9472340425532</v>
      </c>
    </row>
    <row r="958" s="2" customFormat="1" spans="1:17">
      <c r="A958" s="61">
        <v>45605</v>
      </c>
      <c r="B958" s="18">
        <v>754.32</v>
      </c>
      <c r="C958" s="19">
        <v>702</v>
      </c>
      <c r="D958" s="19">
        <v>175</v>
      </c>
      <c r="E958" s="19">
        <v>1</v>
      </c>
      <c r="F958" s="18">
        <v>24010</v>
      </c>
      <c r="G958" s="19">
        <v>47</v>
      </c>
      <c r="H958" s="19">
        <v>5</v>
      </c>
      <c r="I958" s="19">
        <v>17</v>
      </c>
      <c r="J958" s="66">
        <f t="shared" si="138"/>
        <v>0.249287749287749</v>
      </c>
      <c r="K958" s="67">
        <f t="shared" si="139"/>
        <v>4.3104</v>
      </c>
      <c r="L958" s="67">
        <f t="shared" si="140"/>
        <v>1074.52991452991</v>
      </c>
      <c r="M958" s="73">
        <f t="shared" si="141"/>
        <v>31.829992576095</v>
      </c>
      <c r="N958" s="66">
        <f t="shared" si="142"/>
        <v>0.00571428571428571</v>
      </c>
      <c r="O958" s="52">
        <f t="shared" si="143"/>
        <v>24010</v>
      </c>
      <c r="P958" s="52">
        <f t="shared" si="144"/>
        <v>754.32</v>
      </c>
      <c r="Q958" s="68">
        <f t="shared" si="145"/>
        <v>16.0493617021277</v>
      </c>
    </row>
    <row r="959" s="2" customFormat="1" spans="1:17">
      <c r="A959" s="61">
        <v>45606</v>
      </c>
      <c r="B959" s="18">
        <v>742.69</v>
      </c>
      <c r="C959" s="19">
        <v>660</v>
      </c>
      <c r="D959" s="19">
        <v>164</v>
      </c>
      <c r="E959" s="19">
        <v>8</v>
      </c>
      <c r="F959" s="18">
        <v>95431</v>
      </c>
      <c r="G959" s="19">
        <v>44</v>
      </c>
      <c r="H959" s="19">
        <v>2</v>
      </c>
      <c r="I959" s="19">
        <v>13</v>
      </c>
      <c r="J959" s="66">
        <f t="shared" si="138"/>
        <v>0.248484848484848</v>
      </c>
      <c r="K959" s="67">
        <f t="shared" si="139"/>
        <v>4.52859756097561</v>
      </c>
      <c r="L959" s="67">
        <f t="shared" si="140"/>
        <v>1125.28787878788</v>
      </c>
      <c r="M959" s="73">
        <f t="shared" si="141"/>
        <v>128.493718779033</v>
      </c>
      <c r="N959" s="66">
        <f t="shared" si="142"/>
        <v>0.0487804878048781</v>
      </c>
      <c r="O959" s="52">
        <f t="shared" si="143"/>
        <v>11928.875</v>
      </c>
      <c r="P959" s="52">
        <f t="shared" si="144"/>
        <v>92.83625</v>
      </c>
      <c r="Q959" s="68">
        <f t="shared" si="145"/>
        <v>16.8793181818182</v>
      </c>
    </row>
    <row r="960" s="2" customFormat="1" spans="1:17">
      <c r="A960" s="61">
        <v>45607</v>
      </c>
      <c r="B960" s="18">
        <v>1008</v>
      </c>
      <c r="C960" s="19">
        <v>831</v>
      </c>
      <c r="D960" s="19">
        <v>264</v>
      </c>
      <c r="E960" s="19">
        <v>9</v>
      </c>
      <c r="F960" s="18">
        <v>102498</v>
      </c>
      <c r="G960" s="19">
        <v>74</v>
      </c>
      <c r="H960" s="19">
        <v>7</v>
      </c>
      <c r="I960" s="19">
        <v>21</v>
      </c>
      <c r="J960" s="66">
        <f t="shared" si="138"/>
        <v>0.317689530685921</v>
      </c>
      <c r="K960" s="67">
        <f t="shared" si="139"/>
        <v>3.81818181818182</v>
      </c>
      <c r="L960" s="67">
        <f t="shared" si="140"/>
        <v>1212.9963898917</v>
      </c>
      <c r="M960" s="73">
        <f t="shared" si="141"/>
        <v>101.684523809524</v>
      </c>
      <c r="N960" s="66">
        <f t="shared" si="142"/>
        <v>0.0340909090909091</v>
      </c>
      <c r="O960" s="52">
        <f t="shared" si="143"/>
        <v>11388.6666666667</v>
      </c>
      <c r="P960" s="52">
        <f t="shared" si="144"/>
        <v>112</v>
      </c>
      <c r="Q960" s="68">
        <f t="shared" si="145"/>
        <v>13.6216216216216</v>
      </c>
    </row>
    <row r="961" s="2" customFormat="1" spans="1:17">
      <c r="A961" s="61">
        <v>45608</v>
      </c>
      <c r="B961" s="18">
        <v>743.02</v>
      </c>
      <c r="C961" s="19">
        <v>622</v>
      </c>
      <c r="D961" s="19">
        <v>193</v>
      </c>
      <c r="E961" s="19">
        <v>3</v>
      </c>
      <c r="F961" s="18">
        <v>27192</v>
      </c>
      <c r="G961" s="19">
        <v>50</v>
      </c>
      <c r="H961" s="19">
        <v>3</v>
      </c>
      <c r="I961" s="19">
        <v>14</v>
      </c>
      <c r="J961" s="66">
        <f t="shared" si="138"/>
        <v>0.310289389067524</v>
      </c>
      <c r="K961" s="67">
        <f t="shared" si="139"/>
        <v>3.84984455958549</v>
      </c>
      <c r="L961" s="67">
        <f t="shared" si="140"/>
        <v>1194.56591639871</v>
      </c>
      <c r="M961" s="73">
        <f t="shared" si="141"/>
        <v>36.5965922855374</v>
      </c>
      <c r="N961" s="66">
        <f t="shared" si="142"/>
        <v>0.0155440414507772</v>
      </c>
      <c r="O961" s="52">
        <f t="shared" si="143"/>
        <v>9064</v>
      </c>
      <c r="P961" s="52">
        <f t="shared" si="144"/>
        <v>247.673333333333</v>
      </c>
      <c r="Q961" s="68">
        <f t="shared" si="145"/>
        <v>14.8604</v>
      </c>
    </row>
    <row r="962" s="2" customFormat="1" spans="1:17">
      <c r="A962" s="61">
        <v>45609</v>
      </c>
      <c r="B962" s="18">
        <v>794.77</v>
      </c>
      <c r="C962" s="19">
        <v>739</v>
      </c>
      <c r="D962" s="19">
        <v>192</v>
      </c>
      <c r="E962" s="19">
        <v>5</v>
      </c>
      <c r="F962" s="18">
        <v>68503</v>
      </c>
      <c r="G962" s="19">
        <v>50</v>
      </c>
      <c r="H962" s="19">
        <v>5</v>
      </c>
      <c r="I962" s="19">
        <v>15</v>
      </c>
      <c r="J962" s="66">
        <f t="shared" si="138"/>
        <v>0.259810554803789</v>
      </c>
      <c r="K962" s="67">
        <f t="shared" si="139"/>
        <v>4.13942708333333</v>
      </c>
      <c r="L962" s="67">
        <f t="shared" si="140"/>
        <v>1075.46684709066</v>
      </c>
      <c r="M962" s="73">
        <f t="shared" si="141"/>
        <v>86.1922317148357</v>
      </c>
      <c r="N962" s="66">
        <f t="shared" si="142"/>
        <v>0.0260416666666667</v>
      </c>
      <c r="O962" s="52">
        <f t="shared" si="143"/>
        <v>13700.6</v>
      </c>
      <c r="P962" s="52">
        <f t="shared" si="144"/>
        <v>158.954</v>
      </c>
      <c r="Q962" s="68">
        <f t="shared" si="145"/>
        <v>15.8954</v>
      </c>
    </row>
    <row r="963" s="2" customFormat="1" spans="1:17">
      <c r="A963" s="61">
        <v>45610</v>
      </c>
      <c r="B963" s="18">
        <v>269.23</v>
      </c>
      <c r="C963" s="19">
        <v>253</v>
      </c>
      <c r="D963" s="19">
        <v>104</v>
      </c>
      <c r="E963" s="19">
        <v>0</v>
      </c>
      <c r="F963" s="18">
        <v>0</v>
      </c>
      <c r="G963" s="19">
        <v>6</v>
      </c>
      <c r="H963" s="19">
        <v>3</v>
      </c>
      <c r="I963" s="19">
        <v>4</v>
      </c>
      <c r="J963" s="66">
        <f t="shared" si="138"/>
        <v>0.411067193675889</v>
      </c>
      <c r="K963" s="67">
        <f t="shared" si="139"/>
        <v>2.58875</v>
      </c>
      <c r="L963" s="67">
        <f t="shared" si="140"/>
        <v>1064.15019762846</v>
      </c>
      <c r="M963" s="73">
        <f t="shared" si="141"/>
        <v>0</v>
      </c>
      <c r="N963" s="66">
        <f t="shared" si="142"/>
        <v>0</v>
      </c>
      <c r="O963" s="52">
        <f t="shared" si="143"/>
        <v>0</v>
      </c>
      <c r="P963" s="52">
        <f t="shared" si="144"/>
        <v>0</v>
      </c>
      <c r="Q963" s="68">
        <f t="shared" si="145"/>
        <v>44.8716666666667</v>
      </c>
    </row>
    <row r="964" s="2" customFormat="1" spans="1:17">
      <c r="A964" s="61">
        <v>45611</v>
      </c>
      <c r="B964" s="18">
        <v>561.13</v>
      </c>
      <c r="C964" s="19">
        <v>604</v>
      </c>
      <c r="D964" s="19">
        <v>190</v>
      </c>
      <c r="E964" s="19">
        <v>3</v>
      </c>
      <c r="F964" s="18">
        <v>17712</v>
      </c>
      <c r="G964" s="19">
        <v>21</v>
      </c>
      <c r="H964" s="19">
        <v>3</v>
      </c>
      <c r="I964" s="19">
        <v>8</v>
      </c>
      <c r="J964" s="66">
        <f t="shared" si="138"/>
        <v>0.314569536423841</v>
      </c>
      <c r="K964" s="67">
        <f t="shared" si="139"/>
        <v>2.95331578947368</v>
      </c>
      <c r="L964" s="67">
        <f t="shared" si="140"/>
        <v>929.023178807947</v>
      </c>
      <c r="M964" s="73">
        <f t="shared" si="141"/>
        <v>31.5648780140074</v>
      </c>
      <c r="N964" s="66">
        <f t="shared" si="142"/>
        <v>0.0157894736842105</v>
      </c>
      <c r="O964" s="52">
        <f t="shared" si="143"/>
        <v>5904</v>
      </c>
      <c r="P964" s="52">
        <f t="shared" si="144"/>
        <v>187.043333333333</v>
      </c>
      <c r="Q964" s="68">
        <f t="shared" si="145"/>
        <v>26.7204761904762</v>
      </c>
    </row>
    <row r="965" s="2" customFormat="1" spans="1:17">
      <c r="A965" s="61">
        <v>45612</v>
      </c>
      <c r="B965" s="18">
        <v>472.7</v>
      </c>
      <c r="C965" s="19">
        <v>413</v>
      </c>
      <c r="D965" s="19">
        <v>158</v>
      </c>
      <c r="E965" s="19">
        <v>1</v>
      </c>
      <c r="F965" s="18">
        <v>15435</v>
      </c>
      <c r="G965" s="19">
        <v>36</v>
      </c>
      <c r="H965" s="19">
        <v>4</v>
      </c>
      <c r="I965" s="19">
        <v>3</v>
      </c>
      <c r="J965" s="66">
        <f t="shared" si="138"/>
        <v>0.382566585956416</v>
      </c>
      <c r="K965" s="67">
        <f t="shared" si="139"/>
        <v>2.99177215189873</v>
      </c>
      <c r="L965" s="67">
        <f t="shared" si="140"/>
        <v>1144.55205811138</v>
      </c>
      <c r="M965" s="73">
        <f t="shared" si="141"/>
        <v>32.6528453564629</v>
      </c>
      <c r="N965" s="66">
        <f t="shared" si="142"/>
        <v>0.00632911392405063</v>
      </c>
      <c r="O965" s="52">
        <f t="shared" si="143"/>
        <v>15435</v>
      </c>
      <c r="P965" s="52">
        <f t="shared" si="144"/>
        <v>472.7</v>
      </c>
      <c r="Q965" s="68">
        <f t="shared" si="145"/>
        <v>13.1305555555556</v>
      </c>
    </row>
    <row r="966" s="2" customFormat="1" spans="1:17">
      <c r="A966" s="61">
        <v>45613</v>
      </c>
      <c r="B966" s="18">
        <v>530.41</v>
      </c>
      <c r="C966" s="19">
        <v>443</v>
      </c>
      <c r="D966" s="19">
        <v>180</v>
      </c>
      <c r="E966" s="19">
        <v>1</v>
      </c>
      <c r="F966" s="18">
        <v>8702</v>
      </c>
      <c r="G966" s="19">
        <v>29</v>
      </c>
      <c r="H966" s="19">
        <v>2</v>
      </c>
      <c r="I966" s="19">
        <v>4</v>
      </c>
      <c r="J966" s="66">
        <f t="shared" si="138"/>
        <v>0.406320541760722</v>
      </c>
      <c r="K966" s="67">
        <f t="shared" si="139"/>
        <v>2.94672222222222</v>
      </c>
      <c r="L966" s="67">
        <f t="shared" si="140"/>
        <v>1197.31376975169</v>
      </c>
      <c r="M966" s="73">
        <f t="shared" si="141"/>
        <v>16.4061763541411</v>
      </c>
      <c r="N966" s="66">
        <f t="shared" si="142"/>
        <v>0.00555555555555556</v>
      </c>
      <c r="O966" s="52">
        <f t="shared" si="143"/>
        <v>8702</v>
      </c>
      <c r="P966" s="52">
        <f t="shared" si="144"/>
        <v>530.41</v>
      </c>
      <c r="Q966" s="68">
        <f t="shared" si="145"/>
        <v>18.29</v>
      </c>
    </row>
    <row r="967" s="2" customFormat="1" spans="1:17">
      <c r="A967" s="61">
        <v>45614</v>
      </c>
      <c r="B967" s="18">
        <v>545.97</v>
      </c>
      <c r="C967" s="19">
        <v>456</v>
      </c>
      <c r="D967" s="19">
        <v>190</v>
      </c>
      <c r="E967" s="19">
        <v>3</v>
      </c>
      <c r="F967" s="18">
        <v>44142</v>
      </c>
      <c r="G967" s="19">
        <v>42</v>
      </c>
      <c r="H967" s="19">
        <v>2</v>
      </c>
      <c r="I967" s="19">
        <v>5</v>
      </c>
      <c r="J967" s="66">
        <f t="shared" si="138"/>
        <v>0.416666666666667</v>
      </c>
      <c r="K967" s="67">
        <f t="shared" si="139"/>
        <v>2.87352631578947</v>
      </c>
      <c r="L967" s="67">
        <f t="shared" si="140"/>
        <v>1197.30263157895</v>
      </c>
      <c r="M967" s="73">
        <f t="shared" si="141"/>
        <v>80.8505961866037</v>
      </c>
      <c r="N967" s="66">
        <f t="shared" si="142"/>
        <v>0.0157894736842105</v>
      </c>
      <c r="O967" s="52">
        <f t="shared" si="143"/>
        <v>14714</v>
      </c>
      <c r="P967" s="52">
        <f t="shared" si="144"/>
        <v>181.99</v>
      </c>
      <c r="Q967" s="68">
        <f t="shared" si="145"/>
        <v>12.9992857142857</v>
      </c>
    </row>
    <row r="968" s="2" customFormat="1" spans="1:17">
      <c r="A968" s="61">
        <v>45615</v>
      </c>
      <c r="B968" s="18">
        <v>448.69</v>
      </c>
      <c r="C968" s="19">
        <v>382</v>
      </c>
      <c r="D968" s="19">
        <v>167</v>
      </c>
      <c r="E968" s="19">
        <v>0</v>
      </c>
      <c r="F968" s="18">
        <v>0</v>
      </c>
      <c r="G968" s="19">
        <v>21</v>
      </c>
      <c r="H968" s="19">
        <v>4</v>
      </c>
      <c r="I968" s="19">
        <v>2</v>
      </c>
      <c r="J968" s="66">
        <f t="shared" si="138"/>
        <v>0.43717277486911</v>
      </c>
      <c r="K968" s="67">
        <f t="shared" si="139"/>
        <v>2.68676646706587</v>
      </c>
      <c r="L968" s="67">
        <f t="shared" si="140"/>
        <v>1174.58115183246</v>
      </c>
      <c r="M968" s="73">
        <f t="shared" si="141"/>
        <v>0</v>
      </c>
      <c r="N968" s="66">
        <f t="shared" si="142"/>
        <v>0</v>
      </c>
      <c r="O968" s="52">
        <f t="shared" si="143"/>
        <v>0</v>
      </c>
      <c r="P968" s="52">
        <f t="shared" si="144"/>
        <v>0</v>
      </c>
      <c r="Q968" s="68">
        <f t="shared" si="145"/>
        <v>21.3661904761905</v>
      </c>
    </row>
    <row r="969" s="2" customFormat="1" spans="1:17">
      <c r="A969" s="61">
        <v>45616</v>
      </c>
      <c r="B969" s="18">
        <v>415.7</v>
      </c>
      <c r="C969" s="19">
        <v>341</v>
      </c>
      <c r="D969" s="19">
        <v>148</v>
      </c>
      <c r="E969" s="19">
        <v>0</v>
      </c>
      <c r="F969" s="18">
        <v>0</v>
      </c>
      <c r="G969" s="19">
        <v>26</v>
      </c>
      <c r="H969" s="19">
        <v>0</v>
      </c>
      <c r="I969" s="19">
        <v>8</v>
      </c>
      <c r="J969" s="66">
        <f t="shared" si="138"/>
        <v>0.434017595307918</v>
      </c>
      <c r="K969" s="67">
        <f t="shared" si="139"/>
        <v>2.80878378378378</v>
      </c>
      <c r="L969" s="67">
        <f t="shared" si="140"/>
        <v>1219.06158357771</v>
      </c>
      <c r="M969" s="73">
        <f t="shared" si="141"/>
        <v>0</v>
      </c>
      <c r="N969" s="66">
        <f t="shared" si="142"/>
        <v>0</v>
      </c>
      <c r="O969" s="52">
        <f t="shared" si="143"/>
        <v>0</v>
      </c>
      <c r="P969" s="52">
        <f t="shared" si="144"/>
        <v>0</v>
      </c>
      <c r="Q969" s="68">
        <f t="shared" si="145"/>
        <v>15.9884615384615</v>
      </c>
    </row>
    <row r="970" s="2" customFormat="1" spans="1:17">
      <c r="A970" s="61">
        <v>45617</v>
      </c>
      <c r="B970" s="18">
        <v>456.27</v>
      </c>
      <c r="C970" s="19">
        <v>377</v>
      </c>
      <c r="D970" s="19">
        <v>149</v>
      </c>
      <c r="E970" s="19">
        <v>0</v>
      </c>
      <c r="F970" s="18">
        <v>0</v>
      </c>
      <c r="G970" s="19">
        <v>36</v>
      </c>
      <c r="H970" s="19">
        <v>4</v>
      </c>
      <c r="I970" s="19">
        <v>4</v>
      </c>
      <c r="J970" s="66">
        <f t="shared" si="138"/>
        <v>0.395225464190981</v>
      </c>
      <c r="K970" s="67">
        <f t="shared" si="139"/>
        <v>3.06221476510067</v>
      </c>
      <c r="L970" s="67">
        <f t="shared" si="140"/>
        <v>1210.26525198939</v>
      </c>
      <c r="M970" s="73">
        <f t="shared" si="141"/>
        <v>0</v>
      </c>
      <c r="N970" s="66">
        <f t="shared" si="142"/>
        <v>0</v>
      </c>
      <c r="O970" s="52">
        <f t="shared" si="143"/>
        <v>0</v>
      </c>
      <c r="P970" s="52">
        <f t="shared" si="144"/>
        <v>0</v>
      </c>
      <c r="Q970" s="68">
        <f t="shared" si="145"/>
        <v>12.6741666666667</v>
      </c>
    </row>
    <row r="971" s="2" customFormat="1" spans="1:17">
      <c r="A971" s="61">
        <v>45618</v>
      </c>
      <c r="B971" s="18">
        <v>462.91</v>
      </c>
      <c r="C971" s="19">
        <v>371</v>
      </c>
      <c r="D971" s="19">
        <v>164</v>
      </c>
      <c r="E971" s="19">
        <v>0</v>
      </c>
      <c r="F971" s="18">
        <v>0</v>
      </c>
      <c r="G971" s="19">
        <v>38</v>
      </c>
      <c r="H971" s="19">
        <v>2</v>
      </c>
      <c r="I971" s="19">
        <v>4</v>
      </c>
      <c r="J971" s="66">
        <f t="shared" si="138"/>
        <v>0.442048517520216</v>
      </c>
      <c r="K971" s="67">
        <f t="shared" si="139"/>
        <v>2.82262195121951</v>
      </c>
      <c r="L971" s="67">
        <f t="shared" si="140"/>
        <v>1247.7358490566</v>
      </c>
      <c r="M971" s="73">
        <f t="shared" si="141"/>
        <v>0</v>
      </c>
      <c r="N971" s="66">
        <f t="shared" si="142"/>
        <v>0</v>
      </c>
      <c r="O971" s="52">
        <f t="shared" si="143"/>
        <v>0</v>
      </c>
      <c r="P971" s="52">
        <f t="shared" si="144"/>
        <v>0</v>
      </c>
      <c r="Q971" s="68">
        <f t="shared" si="145"/>
        <v>12.1818421052632</v>
      </c>
    </row>
    <row r="972" s="2" customFormat="1" spans="1:17">
      <c r="A972" s="61">
        <v>45619</v>
      </c>
      <c r="B972" s="18">
        <v>150.96</v>
      </c>
      <c r="C972" s="19">
        <v>123</v>
      </c>
      <c r="D972" s="19">
        <v>60</v>
      </c>
      <c r="E972" s="19">
        <v>0</v>
      </c>
      <c r="F972" s="18">
        <v>0</v>
      </c>
      <c r="G972" s="19">
        <v>19</v>
      </c>
      <c r="H972" s="19">
        <v>1</v>
      </c>
      <c r="I972" s="19">
        <v>4</v>
      </c>
      <c r="J972" s="66">
        <f t="shared" si="138"/>
        <v>0.48780487804878</v>
      </c>
      <c r="K972" s="67">
        <f t="shared" si="139"/>
        <v>2.516</v>
      </c>
      <c r="L972" s="67">
        <f t="shared" si="140"/>
        <v>1227.31707317073</v>
      </c>
      <c r="M972" s="73">
        <f t="shared" si="141"/>
        <v>0</v>
      </c>
      <c r="N972" s="66">
        <f t="shared" si="142"/>
        <v>0</v>
      </c>
      <c r="O972" s="52">
        <f t="shared" si="143"/>
        <v>0</v>
      </c>
      <c r="P972" s="52">
        <f t="shared" si="144"/>
        <v>0</v>
      </c>
      <c r="Q972" s="68">
        <f t="shared" si="145"/>
        <v>7.94526315789474</v>
      </c>
    </row>
    <row r="973" s="2" customFormat="1" spans="1:17">
      <c r="A973" s="61">
        <v>45620</v>
      </c>
      <c r="B973" s="18">
        <v>0.38</v>
      </c>
      <c r="C973" s="19">
        <v>1</v>
      </c>
      <c r="D973" s="19">
        <v>0</v>
      </c>
      <c r="E973" s="19">
        <v>0</v>
      </c>
      <c r="F973" s="18">
        <v>0</v>
      </c>
      <c r="G973" s="19">
        <v>0</v>
      </c>
      <c r="H973" s="19">
        <v>0</v>
      </c>
      <c r="I973" s="19">
        <v>0</v>
      </c>
      <c r="J973" s="66">
        <f t="shared" si="138"/>
        <v>0</v>
      </c>
      <c r="K973" s="67" t="e">
        <f t="shared" si="139"/>
        <v>#DIV/0!</v>
      </c>
      <c r="L973" s="67">
        <f t="shared" si="140"/>
        <v>380</v>
      </c>
      <c r="M973" s="73">
        <f t="shared" si="141"/>
        <v>0</v>
      </c>
      <c r="N973" s="66" t="e">
        <f t="shared" si="142"/>
        <v>#DIV/0!</v>
      </c>
      <c r="O973" s="52">
        <f t="shared" si="143"/>
        <v>0</v>
      </c>
      <c r="P973" s="52">
        <f t="shared" si="144"/>
        <v>0</v>
      </c>
      <c r="Q973" s="68" t="e">
        <f t="shared" si="145"/>
        <v>#DIV/0!</v>
      </c>
    </row>
    <row r="974" s="2" customFormat="1" spans="1:17">
      <c r="A974" s="61">
        <v>45621</v>
      </c>
      <c r="B974" s="18">
        <v>0</v>
      </c>
      <c r="C974" s="19">
        <v>0</v>
      </c>
      <c r="D974" s="19">
        <v>0</v>
      </c>
      <c r="E974" s="19">
        <v>0</v>
      </c>
      <c r="F974" s="18">
        <v>0</v>
      </c>
      <c r="G974" s="19">
        <v>0</v>
      </c>
      <c r="H974" s="19">
        <v>0</v>
      </c>
      <c r="I974" s="19">
        <v>0</v>
      </c>
      <c r="J974" s="66" t="e">
        <f t="shared" si="138"/>
        <v>#DIV/0!</v>
      </c>
      <c r="K974" s="67" t="e">
        <f t="shared" si="139"/>
        <v>#DIV/0!</v>
      </c>
      <c r="L974" s="67" t="e">
        <f t="shared" si="140"/>
        <v>#DIV/0!</v>
      </c>
      <c r="M974" s="73" t="e">
        <f t="shared" si="141"/>
        <v>#DIV/0!</v>
      </c>
      <c r="N974" s="66" t="e">
        <f t="shared" si="142"/>
        <v>#DIV/0!</v>
      </c>
      <c r="O974" s="52">
        <f t="shared" si="143"/>
        <v>0</v>
      </c>
      <c r="P974" s="52">
        <f t="shared" si="144"/>
        <v>0</v>
      </c>
      <c r="Q974" s="68" t="e">
        <f t="shared" si="145"/>
        <v>#DIV/0!</v>
      </c>
    </row>
    <row r="975" s="2" customFormat="1" spans="1:17">
      <c r="A975" s="61">
        <v>45622</v>
      </c>
      <c r="B975" s="18">
        <v>304.65</v>
      </c>
      <c r="C975" s="19">
        <v>238</v>
      </c>
      <c r="D975" s="19">
        <v>115</v>
      </c>
      <c r="E975" s="19">
        <v>0</v>
      </c>
      <c r="F975" s="18">
        <v>0</v>
      </c>
      <c r="G975" s="19">
        <v>28</v>
      </c>
      <c r="H975" s="19">
        <v>3</v>
      </c>
      <c r="I975" s="19">
        <v>2</v>
      </c>
      <c r="J975" s="66">
        <f t="shared" si="138"/>
        <v>0.483193277310924</v>
      </c>
      <c r="K975" s="67">
        <f t="shared" si="139"/>
        <v>2.64913043478261</v>
      </c>
      <c r="L975" s="67">
        <f t="shared" si="140"/>
        <v>1280.04201680672</v>
      </c>
      <c r="M975" s="73">
        <f t="shared" si="141"/>
        <v>0</v>
      </c>
      <c r="N975" s="66">
        <f t="shared" si="142"/>
        <v>0</v>
      </c>
      <c r="O975" s="52">
        <f t="shared" si="143"/>
        <v>0</v>
      </c>
      <c r="P975" s="52">
        <f t="shared" si="144"/>
        <v>0</v>
      </c>
      <c r="Q975" s="68">
        <f t="shared" si="145"/>
        <v>10.8803571428571</v>
      </c>
    </row>
    <row r="976" s="2" customFormat="1" spans="1:17">
      <c r="A976" s="61">
        <v>45623</v>
      </c>
      <c r="B976" s="18">
        <v>439.36</v>
      </c>
      <c r="C976" s="19">
        <v>344</v>
      </c>
      <c r="D976" s="19">
        <v>175</v>
      </c>
      <c r="E976" s="19">
        <v>1</v>
      </c>
      <c r="F976" s="18">
        <v>24240</v>
      </c>
      <c r="G976" s="19">
        <v>22</v>
      </c>
      <c r="H976" s="19">
        <v>5</v>
      </c>
      <c r="I976" s="19">
        <v>10</v>
      </c>
      <c r="J976" s="66">
        <f t="shared" si="138"/>
        <v>0.508720930232558</v>
      </c>
      <c r="K976" s="67">
        <f t="shared" si="139"/>
        <v>2.51062857142857</v>
      </c>
      <c r="L976" s="67">
        <f t="shared" si="140"/>
        <v>1277.20930232558</v>
      </c>
      <c r="M976" s="73">
        <f t="shared" si="141"/>
        <v>55.1711580480699</v>
      </c>
      <c r="N976" s="66">
        <f t="shared" si="142"/>
        <v>0.00571428571428571</v>
      </c>
      <c r="O976" s="52">
        <f t="shared" si="143"/>
        <v>24240</v>
      </c>
      <c r="P976" s="52">
        <f t="shared" si="144"/>
        <v>439.36</v>
      </c>
      <c r="Q976" s="68">
        <f t="shared" si="145"/>
        <v>19.9709090909091</v>
      </c>
    </row>
    <row r="977" s="2" customFormat="1" spans="1:17">
      <c r="A977" s="61">
        <v>45624</v>
      </c>
      <c r="B977" s="18">
        <v>513.39</v>
      </c>
      <c r="C977" s="19">
        <v>410</v>
      </c>
      <c r="D977" s="19">
        <v>186</v>
      </c>
      <c r="E977" s="19">
        <v>0</v>
      </c>
      <c r="F977" s="18">
        <v>0</v>
      </c>
      <c r="G977" s="19">
        <v>39</v>
      </c>
      <c r="H977" s="19">
        <v>3</v>
      </c>
      <c r="I977" s="19">
        <v>7</v>
      </c>
      <c r="J977" s="66">
        <f t="shared" si="138"/>
        <v>0.453658536585366</v>
      </c>
      <c r="K977" s="67">
        <f t="shared" si="139"/>
        <v>2.76016129032258</v>
      </c>
      <c r="L977" s="67">
        <f t="shared" si="140"/>
        <v>1252.17073170732</v>
      </c>
      <c r="M977" s="73">
        <f t="shared" si="141"/>
        <v>0</v>
      </c>
      <c r="N977" s="66">
        <f t="shared" si="142"/>
        <v>0</v>
      </c>
      <c r="O977" s="52">
        <f t="shared" si="143"/>
        <v>0</v>
      </c>
      <c r="P977" s="52">
        <f t="shared" si="144"/>
        <v>0</v>
      </c>
      <c r="Q977" s="68">
        <f t="shared" si="145"/>
        <v>13.1638461538462</v>
      </c>
    </row>
    <row r="978" s="2" customFormat="1" spans="1:17">
      <c r="A978" s="61">
        <v>45625</v>
      </c>
      <c r="B978" s="18">
        <v>445.97</v>
      </c>
      <c r="C978" s="19">
        <v>347</v>
      </c>
      <c r="D978" s="19">
        <v>153</v>
      </c>
      <c r="E978" s="19">
        <v>0</v>
      </c>
      <c r="F978" s="18">
        <v>0</v>
      </c>
      <c r="G978" s="19">
        <v>23</v>
      </c>
      <c r="H978" s="19">
        <v>3</v>
      </c>
      <c r="I978" s="19">
        <v>8</v>
      </c>
      <c r="J978" s="66">
        <f t="shared" si="138"/>
        <v>0.440922190201729</v>
      </c>
      <c r="K978" s="67">
        <f t="shared" si="139"/>
        <v>2.91483660130719</v>
      </c>
      <c r="L978" s="67">
        <f t="shared" si="140"/>
        <v>1285.21613832853</v>
      </c>
      <c r="M978" s="73">
        <f t="shared" si="141"/>
        <v>0</v>
      </c>
      <c r="N978" s="66">
        <f t="shared" si="142"/>
        <v>0</v>
      </c>
      <c r="O978" s="52">
        <f t="shared" si="143"/>
        <v>0</v>
      </c>
      <c r="P978" s="52">
        <f t="shared" si="144"/>
        <v>0</v>
      </c>
      <c r="Q978" s="68">
        <f t="shared" si="145"/>
        <v>19.39</v>
      </c>
    </row>
    <row r="979" s="2" customFormat="1" spans="1:17">
      <c r="A979" s="61">
        <v>45626</v>
      </c>
      <c r="B979" s="18">
        <v>372.67</v>
      </c>
      <c r="C979" s="19">
        <v>298</v>
      </c>
      <c r="D979" s="19">
        <v>162</v>
      </c>
      <c r="E979" s="19">
        <v>1</v>
      </c>
      <c r="F979" s="18">
        <v>6788</v>
      </c>
      <c r="G979" s="19">
        <v>26</v>
      </c>
      <c r="H979" s="19">
        <v>1</v>
      </c>
      <c r="I979" s="19">
        <v>8</v>
      </c>
      <c r="J979" s="66">
        <f t="shared" si="138"/>
        <v>0.543624161073825</v>
      </c>
      <c r="K979" s="67">
        <f t="shared" si="139"/>
        <v>2.30043209876543</v>
      </c>
      <c r="L979" s="67">
        <f t="shared" si="140"/>
        <v>1250.57046979866</v>
      </c>
      <c r="M979" s="73">
        <f t="shared" si="141"/>
        <v>18.2145061314299</v>
      </c>
      <c r="N979" s="66">
        <f t="shared" si="142"/>
        <v>0.00617283950617284</v>
      </c>
      <c r="O979" s="52">
        <f t="shared" si="143"/>
        <v>6788</v>
      </c>
      <c r="P979" s="52">
        <f t="shared" si="144"/>
        <v>372.67</v>
      </c>
      <c r="Q979" s="68">
        <f t="shared" si="145"/>
        <v>14.3334615384615</v>
      </c>
    </row>
    <row r="980" s="2" customFormat="1" spans="1:17">
      <c r="A980" s="61">
        <v>45627</v>
      </c>
      <c r="B980" s="18">
        <v>435.04</v>
      </c>
      <c r="C980" s="19">
        <v>341</v>
      </c>
      <c r="D980" s="19">
        <v>165</v>
      </c>
      <c r="E980" s="19">
        <v>0</v>
      </c>
      <c r="F980" s="18">
        <v>0</v>
      </c>
      <c r="G980" s="19">
        <v>22</v>
      </c>
      <c r="H980" s="19">
        <v>4</v>
      </c>
      <c r="I980" s="19">
        <v>8</v>
      </c>
      <c r="J980" s="66">
        <f t="shared" si="138"/>
        <v>0.483870967741935</v>
      </c>
      <c r="K980" s="67">
        <f t="shared" si="139"/>
        <v>2.63660606060606</v>
      </c>
      <c r="L980" s="67">
        <f t="shared" si="140"/>
        <v>1275.77712609971</v>
      </c>
      <c r="M980" s="73">
        <f t="shared" si="141"/>
        <v>0</v>
      </c>
      <c r="N980" s="66">
        <f t="shared" si="142"/>
        <v>0</v>
      </c>
      <c r="O980" s="52">
        <f t="shared" si="143"/>
        <v>0</v>
      </c>
      <c r="P980" s="52">
        <f t="shared" si="144"/>
        <v>0</v>
      </c>
      <c r="Q980" s="68">
        <f t="shared" si="145"/>
        <v>19.7745454545455</v>
      </c>
    </row>
    <row r="981" s="2" customFormat="1" spans="1:17">
      <c r="A981" s="61">
        <v>45628</v>
      </c>
      <c r="B981" s="18">
        <v>733.5</v>
      </c>
      <c r="C981" s="19">
        <v>589</v>
      </c>
      <c r="D981" s="19">
        <v>208</v>
      </c>
      <c r="E981" s="19">
        <v>1</v>
      </c>
      <c r="F981" s="18">
        <v>13676</v>
      </c>
      <c r="G981" s="19">
        <v>50</v>
      </c>
      <c r="H981" s="19">
        <v>3</v>
      </c>
      <c r="I981" s="19">
        <v>10</v>
      </c>
      <c r="J981" s="66">
        <f t="shared" si="138"/>
        <v>0.353140916808149</v>
      </c>
      <c r="K981" s="67">
        <f t="shared" si="139"/>
        <v>3.52644230769231</v>
      </c>
      <c r="L981" s="67">
        <f t="shared" si="140"/>
        <v>1245.33106960951</v>
      </c>
      <c r="M981" s="73">
        <f t="shared" si="141"/>
        <v>18.6448534423995</v>
      </c>
      <c r="N981" s="66">
        <f t="shared" si="142"/>
        <v>0.00480769230769231</v>
      </c>
      <c r="O981" s="52">
        <f t="shared" si="143"/>
        <v>13676</v>
      </c>
      <c r="P981" s="52">
        <f t="shared" si="144"/>
        <v>733.5</v>
      </c>
      <c r="Q981" s="68">
        <f t="shared" si="145"/>
        <v>14.67</v>
      </c>
    </row>
    <row r="982" s="2" customFormat="1" spans="1:17">
      <c r="A982" s="61">
        <v>45629</v>
      </c>
      <c r="B982" s="18">
        <v>589.16</v>
      </c>
      <c r="C982" s="19">
        <v>488</v>
      </c>
      <c r="D982" s="19">
        <v>194</v>
      </c>
      <c r="E982" s="19">
        <v>1</v>
      </c>
      <c r="F982" s="18">
        <v>17697</v>
      </c>
      <c r="G982" s="19">
        <v>46</v>
      </c>
      <c r="H982" s="19">
        <v>2</v>
      </c>
      <c r="I982" s="19">
        <v>12</v>
      </c>
      <c r="J982" s="66">
        <f t="shared" si="138"/>
        <v>0.397540983606557</v>
      </c>
      <c r="K982" s="67">
        <f t="shared" si="139"/>
        <v>3.03690721649485</v>
      </c>
      <c r="L982" s="67">
        <f t="shared" si="140"/>
        <v>1207.29508196721</v>
      </c>
      <c r="M982" s="73">
        <f t="shared" si="141"/>
        <v>30.0376807658361</v>
      </c>
      <c r="N982" s="66">
        <f t="shared" si="142"/>
        <v>0.00515463917525773</v>
      </c>
      <c r="O982" s="52">
        <f t="shared" si="143"/>
        <v>17697</v>
      </c>
      <c r="P982" s="52">
        <f t="shared" si="144"/>
        <v>589.16</v>
      </c>
      <c r="Q982" s="68">
        <f t="shared" si="145"/>
        <v>12.8078260869565</v>
      </c>
    </row>
    <row r="983" s="2" customFormat="1" spans="1:17">
      <c r="A983" s="61">
        <v>45630</v>
      </c>
      <c r="B983" s="18">
        <v>663.65</v>
      </c>
      <c r="C983" s="19">
        <v>683</v>
      </c>
      <c r="D983" s="19">
        <v>218</v>
      </c>
      <c r="E983" s="19">
        <v>1</v>
      </c>
      <c r="F983" s="18">
        <v>7007</v>
      </c>
      <c r="G983" s="19">
        <v>41</v>
      </c>
      <c r="H983" s="19">
        <v>2</v>
      </c>
      <c r="I983" s="19">
        <v>9</v>
      </c>
      <c r="J983" s="66">
        <f t="shared" si="138"/>
        <v>0.319180087847731</v>
      </c>
      <c r="K983" s="67">
        <f t="shared" si="139"/>
        <v>3.04426605504587</v>
      </c>
      <c r="L983" s="67">
        <f t="shared" si="140"/>
        <v>971.669106881405</v>
      </c>
      <c r="M983" s="73">
        <f t="shared" si="141"/>
        <v>10.5582761998041</v>
      </c>
      <c r="N983" s="66">
        <f t="shared" si="142"/>
        <v>0.00458715596330275</v>
      </c>
      <c r="O983" s="52">
        <f t="shared" si="143"/>
        <v>7007</v>
      </c>
      <c r="P983" s="52">
        <f t="shared" si="144"/>
        <v>663.65</v>
      </c>
      <c r="Q983" s="68">
        <f t="shared" si="145"/>
        <v>16.1865853658537</v>
      </c>
    </row>
    <row r="984" s="2" customFormat="1" spans="1:17">
      <c r="A984" s="61">
        <v>45631</v>
      </c>
      <c r="B984" s="18">
        <v>618.53</v>
      </c>
      <c r="C984" s="19">
        <v>676</v>
      </c>
      <c r="D984" s="19">
        <v>201</v>
      </c>
      <c r="E984" s="19">
        <v>2</v>
      </c>
      <c r="F984" s="18">
        <v>11954</v>
      </c>
      <c r="G984" s="19">
        <v>36</v>
      </c>
      <c r="H984" s="19">
        <v>6</v>
      </c>
      <c r="I984" s="19">
        <v>8</v>
      </c>
      <c r="J984" s="66">
        <f t="shared" si="138"/>
        <v>0.297337278106509</v>
      </c>
      <c r="K984" s="67">
        <f t="shared" si="139"/>
        <v>3.07726368159204</v>
      </c>
      <c r="L984" s="67">
        <f t="shared" si="140"/>
        <v>914.985207100592</v>
      </c>
      <c r="M984" s="73">
        <f t="shared" si="141"/>
        <v>19.3264675925177</v>
      </c>
      <c r="N984" s="66">
        <f t="shared" si="142"/>
        <v>0.00995024875621891</v>
      </c>
      <c r="O984" s="52">
        <f t="shared" si="143"/>
        <v>5977</v>
      </c>
      <c r="P984" s="52">
        <f t="shared" si="144"/>
        <v>309.265</v>
      </c>
      <c r="Q984" s="68">
        <f t="shared" si="145"/>
        <v>17.1813888888889</v>
      </c>
    </row>
    <row r="985" s="2" customFormat="1" spans="1:17">
      <c r="A985" s="61">
        <v>45632</v>
      </c>
      <c r="B985" s="18">
        <v>795.09</v>
      </c>
      <c r="C985" s="19">
        <v>801</v>
      </c>
      <c r="D985" s="19">
        <v>265</v>
      </c>
      <c r="E985" s="19">
        <v>1</v>
      </c>
      <c r="F985" s="18">
        <v>3000</v>
      </c>
      <c r="G985" s="19">
        <v>62</v>
      </c>
      <c r="H985" s="19">
        <v>7</v>
      </c>
      <c r="I985" s="19">
        <v>17</v>
      </c>
      <c r="J985" s="66">
        <f t="shared" si="138"/>
        <v>0.33083645443196</v>
      </c>
      <c r="K985" s="67">
        <f t="shared" si="139"/>
        <v>3.00033962264151</v>
      </c>
      <c r="L985" s="67">
        <f t="shared" si="140"/>
        <v>992.621722846442</v>
      </c>
      <c r="M985" s="73">
        <f t="shared" si="141"/>
        <v>3.77315775572577</v>
      </c>
      <c r="N985" s="66">
        <f t="shared" si="142"/>
        <v>0.00377358490566038</v>
      </c>
      <c r="O985" s="52">
        <f t="shared" si="143"/>
        <v>3000</v>
      </c>
      <c r="P985" s="52">
        <f t="shared" si="144"/>
        <v>795.09</v>
      </c>
      <c r="Q985" s="68">
        <f t="shared" si="145"/>
        <v>12.8240322580645</v>
      </c>
    </row>
    <row r="986" s="2" customFormat="1" spans="1:17">
      <c r="A986" s="61">
        <v>45633</v>
      </c>
      <c r="B986" s="18">
        <v>998.16</v>
      </c>
      <c r="C986" s="19">
        <v>970</v>
      </c>
      <c r="D986" s="19">
        <v>369</v>
      </c>
      <c r="E986" s="19">
        <v>1</v>
      </c>
      <c r="F986" s="18">
        <v>3000</v>
      </c>
      <c r="G986" s="19">
        <v>71</v>
      </c>
      <c r="H986" s="19">
        <v>17</v>
      </c>
      <c r="I986" s="19">
        <v>28</v>
      </c>
      <c r="J986" s="66">
        <f t="shared" si="138"/>
        <v>0.380412371134021</v>
      </c>
      <c r="K986" s="67">
        <f t="shared" si="139"/>
        <v>2.7050406504065</v>
      </c>
      <c r="L986" s="67">
        <f t="shared" si="140"/>
        <v>1029.03092783505</v>
      </c>
      <c r="M986" s="73">
        <f t="shared" si="141"/>
        <v>3.00553017552296</v>
      </c>
      <c r="N986" s="66">
        <f t="shared" si="142"/>
        <v>0.002710027100271</v>
      </c>
      <c r="O986" s="52">
        <f t="shared" si="143"/>
        <v>3000</v>
      </c>
      <c r="P986" s="52">
        <f t="shared" si="144"/>
        <v>998.16</v>
      </c>
      <c r="Q986" s="68">
        <f t="shared" si="145"/>
        <v>14.0585915492958</v>
      </c>
    </row>
    <row r="987" s="2" customFormat="1" spans="1:17">
      <c r="A987" s="61">
        <v>45634</v>
      </c>
      <c r="B987" s="18">
        <v>997.05</v>
      </c>
      <c r="C987" s="19">
        <v>1075</v>
      </c>
      <c r="D987" s="19">
        <v>352</v>
      </c>
      <c r="E987" s="19">
        <v>1</v>
      </c>
      <c r="F987" s="18">
        <v>11952</v>
      </c>
      <c r="G987" s="19">
        <v>58</v>
      </c>
      <c r="H987" s="19">
        <v>7</v>
      </c>
      <c r="I987" s="19">
        <v>15</v>
      </c>
      <c r="J987" s="66">
        <f t="shared" si="138"/>
        <v>0.327441860465116</v>
      </c>
      <c r="K987" s="67">
        <f t="shared" si="139"/>
        <v>2.83252840909091</v>
      </c>
      <c r="L987" s="67">
        <f t="shared" si="140"/>
        <v>927.488372093023</v>
      </c>
      <c r="M987" s="73">
        <f t="shared" si="141"/>
        <v>11.9873627200241</v>
      </c>
      <c r="N987" s="66">
        <f t="shared" si="142"/>
        <v>0.00284090909090909</v>
      </c>
      <c r="O987" s="52">
        <f t="shared" si="143"/>
        <v>11952</v>
      </c>
      <c r="P987" s="52">
        <f t="shared" si="144"/>
        <v>997.05</v>
      </c>
      <c r="Q987" s="68">
        <f t="shared" si="145"/>
        <v>17.1905172413793</v>
      </c>
    </row>
    <row r="988" s="2" customFormat="1" spans="1:17">
      <c r="A988" s="61">
        <v>45635</v>
      </c>
      <c r="B988" s="18">
        <v>868.84</v>
      </c>
      <c r="C988" s="19">
        <v>806</v>
      </c>
      <c r="D988" s="19">
        <v>266</v>
      </c>
      <c r="E988" s="19">
        <v>1</v>
      </c>
      <c r="F988" s="18">
        <v>11097</v>
      </c>
      <c r="G988" s="19">
        <v>37</v>
      </c>
      <c r="H988" s="19">
        <v>7</v>
      </c>
      <c r="I988" s="19">
        <v>14</v>
      </c>
      <c r="J988" s="66">
        <f t="shared" si="138"/>
        <v>0.330024813895782</v>
      </c>
      <c r="K988" s="67">
        <f t="shared" si="139"/>
        <v>3.26631578947368</v>
      </c>
      <c r="L988" s="67">
        <f t="shared" si="140"/>
        <v>1077.96526054591</v>
      </c>
      <c r="M988" s="73">
        <f t="shared" si="141"/>
        <v>12.7722020164817</v>
      </c>
      <c r="N988" s="66">
        <f t="shared" si="142"/>
        <v>0.0037593984962406</v>
      </c>
      <c r="O988" s="52">
        <f t="shared" si="143"/>
        <v>11097</v>
      </c>
      <c r="P988" s="52">
        <f t="shared" si="144"/>
        <v>868.84</v>
      </c>
      <c r="Q988" s="68">
        <f t="shared" si="145"/>
        <v>23.4821621621622</v>
      </c>
    </row>
    <row r="989" s="2" customFormat="1" spans="1:17">
      <c r="A989" s="61">
        <v>45636</v>
      </c>
      <c r="B989" s="18">
        <v>935.62</v>
      </c>
      <c r="C989" s="19">
        <v>962</v>
      </c>
      <c r="D989" s="19">
        <v>299</v>
      </c>
      <c r="E989" s="19">
        <v>4</v>
      </c>
      <c r="F989" s="18">
        <v>38282</v>
      </c>
      <c r="G989" s="19">
        <v>60</v>
      </c>
      <c r="H989" s="19">
        <v>12</v>
      </c>
      <c r="I989" s="19">
        <v>17</v>
      </c>
      <c r="J989" s="66">
        <f t="shared" si="138"/>
        <v>0.310810810810811</v>
      </c>
      <c r="K989" s="67">
        <f t="shared" si="139"/>
        <v>3.12916387959866</v>
      </c>
      <c r="L989" s="67">
        <f t="shared" si="140"/>
        <v>972.577962577963</v>
      </c>
      <c r="M989" s="73">
        <f t="shared" si="141"/>
        <v>40.9161839208226</v>
      </c>
      <c r="N989" s="66">
        <f t="shared" si="142"/>
        <v>0.0133779264214047</v>
      </c>
      <c r="O989" s="52">
        <f t="shared" si="143"/>
        <v>9570.5</v>
      </c>
      <c r="P989" s="52">
        <f t="shared" si="144"/>
        <v>233.905</v>
      </c>
      <c r="Q989" s="68">
        <f t="shared" si="145"/>
        <v>15.5936666666667</v>
      </c>
    </row>
    <row r="990" s="2" customFormat="1" spans="1:17">
      <c r="A990" s="61">
        <v>45637</v>
      </c>
      <c r="B990" s="18">
        <v>885.54</v>
      </c>
      <c r="C990" s="19">
        <v>939</v>
      </c>
      <c r="D990" s="19">
        <v>302</v>
      </c>
      <c r="E990" s="19">
        <v>5</v>
      </c>
      <c r="F990" s="18">
        <v>41489</v>
      </c>
      <c r="G990" s="19">
        <v>45</v>
      </c>
      <c r="H990" s="19">
        <v>13</v>
      </c>
      <c r="I990" s="19">
        <v>9</v>
      </c>
      <c r="J990" s="66">
        <f t="shared" si="138"/>
        <v>0.321618743343983</v>
      </c>
      <c r="K990" s="67">
        <f t="shared" si="139"/>
        <v>2.93225165562914</v>
      </c>
      <c r="L990" s="67">
        <f t="shared" si="140"/>
        <v>943.067092651757</v>
      </c>
      <c r="M990" s="73">
        <f t="shared" si="141"/>
        <v>46.8516385482305</v>
      </c>
      <c r="N990" s="66">
        <f t="shared" si="142"/>
        <v>0.0165562913907285</v>
      </c>
      <c r="O990" s="52">
        <f t="shared" si="143"/>
        <v>8297.8</v>
      </c>
      <c r="P990" s="52">
        <f t="shared" si="144"/>
        <v>177.108</v>
      </c>
      <c r="Q990" s="68">
        <f t="shared" si="145"/>
        <v>19.6786666666667</v>
      </c>
    </row>
    <row r="991" s="2" customFormat="1" spans="1:17">
      <c r="A991" s="61">
        <v>45638</v>
      </c>
      <c r="B991" s="18">
        <v>900.27</v>
      </c>
      <c r="C991" s="19">
        <v>1033</v>
      </c>
      <c r="D991" s="19">
        <v>267</v>
      </c>
      <c r="E991" s="19">
        <v>4</v>
      </c>
      <c r="F991" s="18">
        <v>39807</v>
      </c>
      <c r="G991" s="19">
        <v>62</v>
      </c>
      <c r="H991" s="19">
        <v>7</v>
      </c>
      <c r="I991" s="19">
        <v>7</v>
      </c>
      <c r="J991" s="66">
        <f t="shared" si="138"/>
        <v>0.258470474346563</v>
      </c>
      <c r="K991" s="67">
        <f t="shared" si="139"/>
        <v>3.37179775280899</v>
      </c>
      <c r="L991" s="67">
        <f t="shared" si="140"/>
        <v>871.510164569216</v>
      </c>
      <c r="M991" s="73">
        <f t="shared" si="141"/>
        <v>44.2167349795061</v>
      </c>
      <c r="N991" s="66">
        <f t="shared" si="142"/>
        <v>0.0149812734082397</v>
      </c>
      <c r="O991" s="52">
        <f t="shared" si="143"/>
        <v>9951.75</v>
      </c>
      <c r="P991" s="52">
        <f t="shared" si="144"/>
        <v>225.0675</v>
      </c>
      <c r="Q991" s="68">
        <f t="shared" si="145"/>
        <v>14.5204838709677</v>
      </c>
    </row>
    <row r="992" s="2" customFormat="1" spans="1:17">
      <c r="A992" s="61">
        <v>45639</v>
      </c>
      <c r="B992" s="18">
        <v>601.98</v>
      </c>
      <c r="C992" s="19">
        <v>630</v>
      </c>
      <c r="D992" s="19">
        <v>211</v>
      </c>
      <c r="E992" s="19">
        <v>0</v>
      </c>
      <c r="F992" s="18">
        <v>0</v>
      </c>
      <c r="G992" s="19">
        <v>35</v>
      </c>
      <c r="H992" s="19">
        <v>4</v>
      </c>
      <c r="I992" s="19">
        <v>11</v>
      </c>
      <c r="J992" s="66">
        <f t="shared" si="138"/>
        <v>0.334920634920635</v>
      </c>
      <c r="K992" s="67">
        <f t="shared" si="139"/>
        <v>2.85298578199052</v>
      </c>
      <c r="L992" s="67">
        <f t="shared" si="140"/>
        <v>955.52380952381</v>
      </c>
      <c r="M992" s="73">
        <f t="shared" si="141"/>
        <v>0</v>
      </c>
      <c r="N992" s="66">
        <f t="shared" si="142"/>
        <v>0</v>
      </c>
      <c r="O992" s="52">
        <f t="shared" si="143"/>
        <v>0</v>
      </c>
      <c r="P992" s="52">
        <f t="shared" si="144"/>
        <v>0</v>
      </c>
      <c r="Q992" s="68">
        <f t="shared" si="145"/>
        <v>17.1994285714286</v>
      </c>
    </row>
    <row r="993" s="2" customFormat="1" spans="1:17">
      <c r="A993" s="61">
        <v>45640</v>
      </c>
      <c r="B993" s="18">
        <v>659.82</v>
      </c>
      <c r="C993" s="19">
        <v>665</v>
      </c>
      <c r="D993" s="19">
        <v>212</v>
      </c>
      <c r="E993" s="19">
        <v>1</v>
      </c>
      <c r="F993" s="18">
        <v>19722</v>
      </c>
      <c r="G993" s="19">
        <v>49</v>
      </c>
      <c r="H993" s="19">
        <v>3</v>
      </c>
      <c r="I993" s="19">
        <v>7</v>
      </c>
      <c r="J993" s="66">
        <f t="shared" si="138"/>
        <v>0.318796992481203</v>
      </c>
      <c r="K993" s="67">
        <f t="shared" si="139"/>
        <v>3.11235849056604</v>
      </c>
      <c r="L993" s="67">
        <f t="shared" si="140"/>
        <v>992.21052631579</v>
      </c>
      <c r="M993" s="73">
        <f t="shared" si="141"/>
        <v>29.8899699918159</v>
      </c>
      <c r="N993" s="66">
        <f t="shared" si="142"/>
        <v>0.00471698113207547</v>
      </c>
      <c r="O993" s="52">
        <f t="shared" si="143"/>
        <v>19722</v>
      </c>
      <c r="P993" s="52">
        <f t="shared" si="144"/>
        <v>659.82</v>
      </c>
      <c r="Q993" s="68">
        <f t="shared" si="145"/>
        <v>13.4657142857143</v>
      </c>
    </row>
    <row r="994" s="2" customFormat="1" spans="1:17">
      <c r="A994" s="61">
        <v>45641</v>
      </c>
      <c r="B994" s="18">
        <v>786.13</v>
      </c>
      <c r="C994" s="19">
        <v>850</v>
      </c>
      <c r="D994" s="19">
        <v>260</v>
      </c>
      <c r="E994" s="19">
        <v>0</v>
      </c>
      <c r="F994" s="18">
        <v>0</v>
      </c>
      <c r="G994" s="19">
        <v>59</v>
      </c>
      <c r="H994" s="19">
        <v>3</v>
      </c>
      <c r="I994" s="19">
        <v>12</v>
      </c>
      <c r="J994" s="66">
        <f t="shared" si="138"/>
        <v>0.305882352941176</v>
      </c>
      <c r="K994" s="67">
        <f t="shared" si="139"/>
        <v>3.02357692307692</v>
      </c>
      <c r="L994" s="67">
        <f t="shared" si="140"/>
        <v>924.858823529412</v>
      </c>
      <c r="M994" s="73">
        <f t="shared" si="141"/>
        <v>0</v>
      </c>
      <c r="N994" s="66">
        <f t="shared" si="142"/>
        <v>0</v>
      </c>
      <c r="O994" s="52">
        <f t="shared" si="143"/>
        <v>0</v>
      </c>
      <c r="P994" s="52">
        <f t="shared" si="144"/>
        <v>0</v>
      </c>
      <c r="Q994" s="68">
        <f t="shared" si="145"/>
        <v>13.3242372881356</v>
      </c>
    </row>
    <row r="995" s="2" customFormat="1" spans="1:17">
      <c r="A995" s="61">
        <v>45642</v>
      </c>
      <c r="B995" s="18">
        <v>735.75</v>
      </c>
      <c r="C995" s="19">
        <v>797</v>
      </c>
      <c r="D995" s="19">
        <v>234</v>
      </c>
      <c r="E995" s="19">
        <v>1</v>
      </c>
      <c r="F995" s="18">
        <v>5998</v>
      </c>
      <c r="G995" s="19">
        <v>32</v>
      </c>
      <c r="H995" s="19">
        <v>1</v>
      </c>
      <c r="I995" s="19">
        <v>11</v>
      </c>
      <c r="J995" s="66">
        <f t="shared" si="138"/>
        <v>0.293601003764115</v>
      </c>
      <c r="K995" s="67">
        <f t="shared" si="139"/>
        <v>3.14423076923077</v>
      </c>
      <c r="L995" s="67">
        <f t="shared" si="140"/>
        <v>923.149309912171</v>
      </c>
      <c r="M995" s="73">
        <f t="shared" si="141"/>
        <v>8.15222562011553</v>
      </c>
      <c r="N995" s="66">
        <f t="shared" si="142"/>
        <v>0.00427350427350427</v>
      </c>
      <c r="O995" s="52">
        <f t="shared" si="143"/>
        <v>5998</v>
      </c>
      <c r="P995" s="52">
        <f t="shared" si="144"/>
        <v>735.75</v>
      </c>
      <c r="Q995" s="68">
        <f t="shared" si="145"/>
        <v>22.9921875</v>
      </c>
    </row>
    <row r="996" s="2" customFormat="1" spans="1:17">
      <c r="A996" s="61">
        <v>45643</v>
      </c>
      <c r="B996" s="18">
        <v>598.83</v>
      </c>
      <c r="C996" s="19">
        <v>667</v>
      </c>
      <c r="D996" s="19">
        <v>166</v>
      </c>
      <c r="E996" s="19">
        <v>0</v>
      </c>
      <c r="F996" s="18">
        <v>0</v>
      </c>
      <c r="G996" s="19">
        <v>42</v>
      </c>
      <c r="H996" s="19">
        <v>13</v>
      </c>
      <c r="I996" s="19">
        <v>2</v>
      </c>
      <c r="J996" s="66">
        <f t="shared" si="138"/>
        <v>0.248875562218891</v>
      </c>
      <c r="K996" s="67">
        <f t="shared" si="139"/>
        <v>3.60740963855422</v>
      </c>
      <c r="L996" s="67">
        <f t="shared" si="140"/>
        <v>897.796101949026</v>
      </c>
      <c r="M996" s="73">
        <f t="shared" si="141"/>
        <v>0</v>
      </c>
      <c r="N996" s="66">
        <f t="shared" si="142"/>
        <v>0</v>
      </c>
      <c r="O996" s="52">
        <f t="shared" si="143"/>
        <v>0</v>
      </c>
      <c r="P996" s="52">
        <f t="shared" si="144"/>
        <v>0</v>
      </c>
      <c r="Q996" s="68">
        <f t="shared" si="145"/>
        <v>14.2578571428571</v>
      </c>
    </row>
    <row r="997" s="2" customFormat="1" spans="1:17">
      <c r="A997" s="61">
        <v>45644</v>
      </c>
      <c r="B997" s="18">
        <v>500.61</v>
      </c>
      <c r="C997" s="19">
        <v>561</v>
      </c>
      <c r="D997" s="19">
        <v>155</v>
      </c>
      <c r="E997" s="19">
        <v>3</v>
      </c>
      <c r="F997" s="18">
        <v>31009</v>
      </c>
      <c r="G997" s="19">
        <v>21</v>
      </c>
      <c r="H997" s="19">
        <v>2</v>
      </c>
      <c r="I997" s="19">
        <v>7</v>
      </c>
      <c r="J997" s="66">
        <f t="shared" si="138"/>
        <v>0.276292335115865</v>
      </c>
      <c r="K997" s="67">
        <f t="shared" si="139"/>
        <v>3.22974193548387</v>
      </c>
      <c r="L997" s="67">
        <f t="shared" si="140"/>
        <v>892.352941176471</v>
      </c>
      <c r="M997" s="73">
        <f t="shared" si="141"/>
        <v>61.9424302351132</v>
      </c>
      <c r="N997" s="66">
        <f t="shared" si="142"/>
        <v>0.0193548387096774</v>
      </c>
      <c r="O997" s="52">
        <f t="shared" si="143"/>
        <v>10336.3333333333</v>
      </c>
      <c r="P997" s="52">
        <f t="shared" si="144"/>
        <v>166.87</v>
      </c>
      <c r="Q997" s="68">
        <f t="shared" si="145"/>
        <v>23.8385714285714</v>
      </c>
    </row>
    <row r="998" s="2" customFormat="1" spans="1:17">
      <c r="A998" s="61">
        <v>45645</v>
      </c>
      <c r="B998" s="18">
        <v>564.12</v>
      </c>
      <c r="C998" s="19">
        <v>651</v>
      </c>
      <c r="D998" s="19">
        <v>152</v>
      </c>
      <c r="E998" s="19">
        <v>0</v>
      </c>
      <c r="F998" s="18">
        <v>0</v>
      </c>
      <c r="G998" s="19">
        <v>28</v>
      </c>
      <c r="H998" s="19">
        <v>2</v>
      </c>
      <c r="I998" s="19">
        <v>9</v>
      </c>
      <c r="J998" s="66">
        <f t="shared" ref="J998:J1061" si="146">D998/C998</f>
        <v>0.233486943164363</v>
      </c>
      <c r="K998" s="67">
        <f t="shared" ref="K998:K1061" si="147">B998/D998</f>
        <v>3.71131578947368</v>
      </c>
      <c r="L998" s="67">
        <f t="shared" ref="L998:L1061" si="148">B998/C998*1000</f>
        <v>866.543778801843</v>
      </c>
      <c r="M998" s="73">
        <f t="shared" ref="M998:M1061" si="149">F998/B998</f>
        <v>0</v>
      </c>
      <c r="N998" s="66">
        <f t="shared" ref="N998:N1061" si="150">E998/D998</f>
        <v>0</v>
      </c>
      <c r="O998" s="52">
        <f t="shared" ref="O998:O1061" si="151">IF(E998=0,0,F998/E998)</f>
        <v>0</v>
      </c>
      <c r="P998" s="52">
        <f t="shared" ref="P998:P1061" si="152">IF(E998=0,0,B998/E998)</f>
        <v>0</v>
      </c>
      <c r="Q998" s="68">
        <f t="shared" ref="Q998:Q1061" si="153">B998/G998</f>
        <v>20.1471428571429</v>
      </c>
    </row>
    <row r="999" s="2" customFormat="1" spans="1:17">
      <c r="A999" s="61">
        <v>45646</v>
      </c>
      <c r="B999" s="18">
        <v>524.69</v>
      </c>
      <c r="C999" s="19">
        <v>585</v>
      </c>
      <c r="D999" s="19">
        <v>155</v>
      </c>
      <c r="E999" s="19">
        <v>0</v>
      </c>
      <c r="F999" s="18">
        <v>0</v>
      </c>
      <c r="G999" s="19">
        <v>26</v>
      </c>
      <c r="H999" s="19">
        <v>3</v>
      </c>
      <c r="I999" s="19">
        <v>4</v>
      </c>
      <c r="J999" s="66">
        <f t="shared" si="146"/>
        <v>0.264957264957265</v>
      </c>
      <c r="K999" s="67">
        <f t="shared" si="147"/>
        <v>3.38509677419355</v>
      </c>
      <c r="L999" s="67">
        <f t="shared" si="148"/>
        <v>896.905982905983</v>
      </c>
      <c r="M999" s="73">
        <f t="shared" si="149"/>
        <v>0</v>
      </c>
      <c r="N999" s="66">
        <f t="shared" si="150"/>
        <v>0</v>
      </c>
      <c r="O999" s="52">
        <f t="shared" si="151"/>
        <v>0</v>
      </c>
      <c r="P999" s="52">
        <f t="shared" si="152"/>
        <v>0</v>
      </c>
      <c r="Q999" s="68">
        <f t="shared" si="153"/>
        <v>20.1803846153846</v>
      </c>
    </row>
    <row r="1000" s="2" customFormat="1" spans="1:17">
      <c r="A1000" s="61">
        <v>45647</v>
      </c>
      <c r="B1000" s="18">
        <v>521.3</v>
      </c>
      <c r="C1000" s="19">
        <v>665</v>
      </c>
      <c r="D1000" s="19">
        <v>137</v>
      </c>
      <c r="E1000" s="19">
        <v>2</v>
      </c>
      <c r="F1000" s="18">
        <v>13333</v>
      </c>
      <c r="G1000" s="19">
        <v>17</v>
      </c>
      <c r="H1000" s="19">
        <v>5</v>
      </c>
      <c r="I1000" s="19">
        <v>2</v>
      </c>
      <c r="J1000" s="66">
        <f t="shared" si="146"/>
        <v>0.206015037593985</v>
      </c>
      <c r="K1000" s="67">
        <f t="shared" si="147"/>
        <v>3.80510948905109</v>
      </c>
      <c r="L1000" s="67">
        <f t="shared" si="148"/>
        <v>783.90977443609</v>
      </c>
      <c r="M1000" s="73">
        <f t="shared" si="149"/>
        <v>25.5764435066181</v>
      </c>
      <c r="N1000" s="66">
        <f t="shared" si="150"/>
        <v>0.0145985401459854</v>
      </c>
      <c r="O1000" s="52">
        <f t="shared" si="151"/>
        <v>6666.5</v>
      </c>
      <c r="P1000" s="52">
        <f t="shared" si="152"/>
        <v>260.65</v>
      </c>
      <c r="Q1000" s="68">
        <f t="shared" si="153"/>
        <v>30.6647058823529</v>
      </c>
    </row>
    <row r="1001" s="2" customFormat="1" spans="1:17">
      <c r="A1001" s="61">
        <v>45648</v>
      </c>
      <c r="B1001" s="18">
        <v>573.67</v>
      </c>
      <c r="C1001" s="19">
        <v>786</v>
      </c>
      <c r="D1001" s="19">
        <v>168</v>
      </c>
      <c r="E1001" s="19">
        <v>1</v>
      </c>
      <c r="F1001" s="18">
        <v>9794</v>
      </c>
      <c r="G1001" s="19">
        <v>29</v>
      </c>
      <c r="H1001" s="19">
        <v>7</v>
      </c>
      <c r="I1001" s="19">
        <v>6</v>
      </c>
      <c r="J1001" s="66">
        <f t="shared" si="146"/>
        <v>0.213740458015267</v>
      </c>
      <c r="K1001" s="67">
        <f t="shared" si="147"/>
        <v>3.41470238095238</v>
      </c>
      <c r="L1001" s="67">
        <f t="shared" si="148"/>
        <v>729.860050890585</v>
      </c>
      <c r="M1001" s="73">
        <f t="shared" si="149"/>
        <v>17.0725329893493</v>
      </c>
      <c r="N1001" s="66">
        <f t="shared" si="150"/>
        <v>0.00595238095238095</v>
      </c>
      <c r="O1001" s="52">
        <f t="shared" si="151"/>
        <v>9794</v>
      </c>
      <c r="P1001" s="52">
        <f t="shared" si="152"/>
        <v>573.67</v>
      </c>
      <c r="Q1001" s="68">
        <f t="shared" si="153"/>
        <v>19.781724137931</v>
      </c>
    </row>
    <row r="1002" s="2" customFormat="1" spans="1:17">
      <c r="A1002" s="61">
        <v>45649</v>
      </c>
      <c r="B1002" s="18">
        <v>598.78</v>
      </c>
      <c r="C1002" s="19">
        <v>734</v>
      </c>
      <c r="D1002" s="19">
        <v>161</v>
      </c>
      <c r="E1002" s="19">
        <v>1</v>
      </c>
      <c r="F1002" s="18">
        <v>26620</v>
      </c>
      <c r="G1002" s="19">
        <v>25</v>
      </c>
      <c r="H1002" s="19">
        <v>8</v>
      </c>
      <c r="I1002" s="19">
        <v>2</v>
      </c>
      <c r="J1002" s="66">
        <f t="shared" si="146"/>
        <v>0.219346049046322</v>
      </c>
      <c r="K1002" s="67">
        <f t="shared" si="147"/>
        <v>3.71913043478261</v>
      </c>
      <c r="L1002" s="67">
        <f t="shared" si="148"/>
        <v>815.776566757493</v>
      </c>
      <c r="M1002" s="73">
        <f t="shared" si="149"/>
        <v>44.4570626941448</v>
      </c>
      <c r="N1002" s="66">
        <f t="shared" si="150"/>
        <v>0.0062111801242236</v>
      </c>
      <c r="O1002" s="52">
        <f t="shared" si="151"/>
        <v>26620</v>
      </c>
      <c r="P1002" s="52">
        <f t="shared" si="152"/>
        <v>598.78</v>
      </c>
      <c r="Q1002" s="68">
        <f t="shared" si="153"/>
        <v>23.9512</v>
      </c>
    </row>
    <row r="1003" s="2" customFormat="1" spans="1:17">
      <c r="A1003" s="61">
        <v>45650</v>
      </c>
      <c r="B1003" s="18">
        <v>559.71</v>
      </c>
      <c r="C1003" s="19">
        <v>679</v>
      </c>
      <c r="D1003" s="19">
        <v>158</v>
      </c>
      <c r="E1003" s="19">
        <v>1</v>
      </c>
      <c r="F1003" s="18">
        <v>20934</v>
      </c>
      <c r="G1003" s="19">
        <v>37</v>
      </c>
      <c r="H1003" s="19">
        <v>8</v>
      </c>
      <c r="I1003" s="19">
        <v>4</v>
      </c>
      <c r="J1003" s="66">
        <f t="shared" si="146"/>
        <v>0.232695139911635</v>
      </c>
      <c r="K1003" s="67">
        <f t="shared" si="147"/>
        <v>3.54246835443038</v>
      </c>
      <c r="L1003" s="67">
        <f t="shared" si="148"/>
        <v>824.315169366716</v>
      </c>
      <c r="M1003" s="73">
        <f t="shared" si="149"/>
        <v>37.4015114970252</v>
      </c>
      <c r="N1003" s="66">
        <f t="shared" si="150"/>
        <v>0.00632911392405063</v>
      </c>
      <c r="O1003" s="52">
        <f t="shared" si="151"/>
        <v>20934</v>
      </c>
      <c r="P1003" s="52">
        <f t="shared" si="152"/>
        <v>559.71</v>
      </c>
      <c r="Q1003" s="68">
        <f t="shared" si="153"/>
        <v>15.1272972972973</v>
      </c>
    </row>
    <row r="1004" s="2" customFormat="1" spans="1:17">
      <c r="A1004" s="61">
        <v>45651</v>
      </c>
      <c r="B1004" s="18">
        <v>512.98</v>
      </c>
      <c r="C1004" s="19">
        <v>608</v>
      </c>
      <c r="D1004" s="19">
        <v>130</v>
      </c>
      <c r="E1004" s="19">
        <v>1</v>
      </c>
      <c r="F1004" s="18">
        <v>5578</v>
      </c>
      <c r="G1004" s="19">
        <v>33</v>
      </c>
      <c r="H1004" s="19">
        <v>6</v>
      </c>
      <c r="I1004" s="19">
        <v>1</v>
      </c>
      <c r="J1004" s="66">
        <f t="shared" si="146"/>
        <v>0.213815789473684</v>
      </c>
      <c r="K1004" s="67">
        <f t="shared" si="147"/>
        <v>3.946</v>
      </c>
      <c r="L1004" s="67">
        <f t="shared" si="148"/>
        <v>843.717105263158</v>
      </c>
      <c r="M1004" s="73">
        <f t="shared" si="149"/>
        <v>10.8737182736169</v>
      </c>
      <c r="N1004" s="66">
        <f t="shared" si="150"/>
        <v>0.00769230769230769</v>
      </c>
      <c r="O1004" s="52">
        <f t="shared" si="151"/>
        <v>5578</v>
      </c>
      <c r="P1004" s="52">
        <f t="shared" si="152"/>
        <v>512.98</v>
      </c>
      <c r="Q1004" s="68">
        <f t="shared" si="153"/>
        <v>15.5448484848485</v>
      </c>
    </row>
    <row r="1005" s="2" customFormat="1" spans="1:17">
      <c r="A1005" s="61">
        <v>45652</v>
      </c>
      <c r="B1005" s="18">
        <v>516.41</v>
      </c>
      <c r="C1005" s="19">
        <v>616</v>
      </c>
      <c r="D1005" s="19">
        <v>147</v>
      </c>
      <c r="E1005" s="19">
        <v>1</v>
      </c>
      <c r="F1005" s="18">
        <v>5706</v>
      </c>
      <c r="G1005" s="19">
        <v>23</v>
      </c>
      <c r="H1005" s="19">
        <v>6</v>
      </c>
      <c r="I1005" s="19">
        <v>5</v>
      </c>
      <c r="J1005" s="66">
        <f t="shared" si="146"/>
        <v>0.238636363636364</v>
      </c>
      <c r="K1005" s="67">
        <f t="shared" si="147"/>
        <v>3.51299319727891</v>
      </c>
      <c r="L1005" s="67">
        <f t="shared" si="148"/>
        <v>838.327922077922</v>
      </c>
      <c r="M1005" s="73">
        <f t="shared" si="149"/>
        <v>11.0493600046475</v>
      </c>
      <c r="N1005" s="66">
        <f t="shared" si="150"/>
        <v>0.00680272108843537</v>
      </c>
      <c r="O1005" s="52">
        <f t="shared" si="151"/>
        <v>5706</v>
      </c>
      <c r="P1005" s="52">
        <f t="shared" si="152"/>
        <v>516.41</v>
      </c>
      <c r="Q1005" s="68">
        <f t="shared" si="153"/>
        <v>22.4526086956522</v>
      </c>
    </row>
    <row r="1006" s="2" customFormat="1" spans="1:17">
      <c r="A1006" s="61">
        <v>45653</v>
      </c>
      <c r="B1006" s="18">
        <v>485.79</v>
      </c>
      <c r="C1006" s="19">
        <v>598</v>
      </c>
      <c r="D1006" s="19">
        <v>152</v>
      </c>
      <c r="E1006" s="19">
        <v>1</v>
      </c>
      <c r="F1006" s="18">
        <v>9522</v>
      </c>
      <c r="G1006" s="19">
        <v>33</v>
      </c>
      <c r="H1006" s="19">
        <v>3</v>
      </c>
      <c r="I1006" s="19">
        <v>4</v>
      </c>
      <c r="J1006" s="66">
        <f t="shared" si="146"/>
        <v>0.254180602006689</v>
      </c>
      <c r="K1006" s="67">
        <f t="shared" si="147"/>
        <v>3.19598684210526</v>
      </c>
      <c r="L1006" s="67">
        <f t="shared" si="148"/>
        <v>812.357859531773</v>
      </c>
      <c r="M1006" s="73">
        <f t="shared" si="149"/>
        <v>19.6010621873649</v>
      </c>
      <c r="N1006" s="66">
        <f t="shared" si="150"/>
        <v>0.00657894736842105</v>
      </c>
      <c r="O1006" s="52">
        <f t="shared" si="151"/>
        <v>9522</v>
      </c>
      <c r="P1006" s="52">
        <f t="shared" si="152"/>
        <v>485.79</v>
      </c>
      <c r="Q1006" s="68">
        <f t="shared" si="153"/>
        <v>14.7209090909091</v>
      </c>
    </row>
    <row r="1007" s="2" customFormat="1" spans="1:17">
      <c r="A1007" s="61">
        <v>45654</v>
      </c>
      <c r="B1007" s="18">
        <v>434.51</v>
      </c>
      <c r="C1007" s="19">
        <v>519</v>
      </c>
      <c r="D1007" s="19">
        <v>128</v>
      </c>
      <c r="E1007" s="19">
        <v>3</v>
      </c>
      <c r="F1007" s="18">
        <v>47455</v>
      </c>
      <c r="G1007" s="19">
        <v>29</v>
      </c>
      <c r="H1007" s="19">
        <v>0</v>
      </c>
      <c r="I1007" s="19">
        <v>4</v>
      </c>
      <c r="J1007" s="66">
        <f t="shared" si="146"/>
        <v>0.246628131021195</v>
      </c>
      <c r="K1007" s="67">
        <f t="shared" si="147"/>
        <v>3.394609375</v>
      </c>
      <c r="L1007" s="67">
        <f t="shared" si="148"/>
        <v>837.206165703276</v>
      </c>
      <c r="M1007" s="73">
        <f t="shared" si="149"/>
        <v>109.214977791075</v>
      </c>
      <c r="N1007" s="66">
        <f t="shared" si="150"/>
        <v>0.0234375</v>
      </c>
      <c r="O1007" s="52">
        <f t="shared" si="151"/>
        <v>15818.3333333333</v>
      </c>
      <c r="P1007" s="52">
        <f t="shared" si="152"/>
        <v>144.836666666667</v>
      </c>
      <c r="Q1007" s="68">
        <f t="shared" si="153"/>
        <v>14.9831034482759</v>
      </c>
    </row>
    <row r="1008" s="2" customFormat="1" spans="1:17">
      <c r="A1008" s="61">
        <v>45655</v>
      </c>
      <c r="B1008" s="18">
        <v>588.9</v>
      </c>
      <c r="C1008" s="19">
        <v>658</v>
      </c>
      <c r="D1008" s="19">
        <v>216</v>
      </c>
      <c r="E1008" s="19">
        <v>5</v>
      </c>
      <c r="F1008" s="18">
        <v>51643</v>
      </c>
      <c r="G1008" s="19">
        <v>47</v>
      </c>
      <c r="H1008" s="19">
        <v>2</v>
      </c>
      <c r="I1008" s="19">
        <v>6</v>
      </c>
      <c r="J1008" s="66">
        <f t="shared" si="146"/>
        <v>0.328267477203647</v>
      </c>
      <c r="K1008" s="67">
        <f t="shared" si="147"/>
        <v>2.72638888888889</v>
      </c>
      <c r="L1008" s="67">
        <f t="shared" si="148"/>
        <v>894.984802431611</v>
      </c>
      <c r="M1008" s="73">
        <f t="shared" si="149"/>
        <v>87.694005773476</v>
      </c>
      <c r="N1008" s="66">
        <f t="shared" si="150"/>
        <v>0.0231481481481481</v>
      </c>
      <c r="O1008" s="52">
        <f t="shared" si="151"/>
        <v>10328.6</v>
      </c>
      <c r="P1008" s="52">
        <f t="shared" si="152"/>
        <v>117.78</v>
      </c>
      <c r="Q1008" s="68">
        <f t="shared" si="153"/>
        <v>12.5297872340426</v>
      </c>
    </row>
    <row r="1009" s="2" customFormat="1" spans="1:17">
      <c r="A1009" s="61">
        <v>45656</v>
      </c>
      <c r="B1009" s="18">
        <v>597.92</v>
      </c>
      <c r="C1009" s="19">
        <v>614</v>
      </c>
      <c r="D1009" s="19">
        <v>170</v>
      </c>
      <c r="E1009" s="19">
        <v>1</v>
      </c>
      <c r="F1009" s="18">
        <v>13072</v>
      </c>
      <c r="G1009" s="19">
        <v>43</v>
      </c>
      <c r="H1009" s="19">
        <v>4</v>
      </c>
      <c r="I1009" s="19">
        <v>5</v>
      </c>
      <c r="J1009" s="66">
        <f t="shared" si="146"/>
        <v>0.276872964169381</v>
      </c>
      <c r="K1009" s="67">
        <f t="shared" si="147"/>
        <v>3.51717647058823</v>
      </c>
      <c r="L1009" s="67">
        <f t="shared" si="148"/>
        <v>973.811074918567</v>
      </c>
      <c r="M1009" s="73">
        <f t="shared" si="149"/>
        <v>21.8624565159219</v>
      </c>
      <c r="N1009" s="66">
        <f t="shared" si="150"/>
        <v>0.00588235294117647</v>
      </c>
      <c r="O1009" s="52">
        <f t="shared" si="151"/>
        <v>13072</v>
      </c>
      <c r="P1009" s="52">
        <f t="shared" si="152"/>
        <v>597.92</v>
      </c>
      <c r="Q1009" s="68">
        <f t="shared" si="153"/>
        <v>13.9051162790698</v>
      </c>
    </row>
    <row r="1010" s="2" customFormat="1" spans="1:17">
      <c r="A1010" s="61">
        <v>45657</v>
      </c>
      <c r="B1010" s="18">
        <v>498.87</v>
      </c>
      <c r="C1010" s="19">
        <v>548</v>
      </c>
      <c r="D1010" s="19">
        <v>120</v>
      </c>
      <c r="E1010" s="19">
        <v>2</v>
      </c>
      <c r="F1010" s="18">
        <v>20519</v>
      </c>
      <c r="G1010" s="19">
        <v>21</v>
      </c>
      <c r="H1010" s="19">
        <v>2</v>
      </c>
      <c r="I1010" s="19">
        <v>4</v>
      </c>
      <c r="J1010" s="66">
        <f t="shared" si="146"/>
        <v>0.218978102189781</v>
      </c>
      <c r="K1010" s="67">
        <f t="shared" si="147"/>
        <v>4.15725</v>
      </c>
      <c r="L1010" s="67">
        <f t="shared" si="148"/>
        <v>910.346715328467</v>
      </c>
      <c r="M1010" s="73">
        <f t="shared" si="149"/>
        <v>41.1309559604707</v>
      </c>
      <c r="N1010" s="66">
        <f t="shared" si="150"/>
        <v>0.0166666666666667</v>
      </c>
      <c r="O1010" s="52">
        <f t="shared" si="151"/>
        <v>10259.5</v>
      </c>
      <c r="P1010" s="52">
        <f t="shared" si="152"/>
        <v>249.435</v>
      </c>
      <c r="Q1010" s="68">
        <f t="shared" si="153"/>
        <v>23.7557142857143</v>
      </c>
    </row>
    <row r="1011" s="2" customFormat="1" spans="1:17">
      <c r="A1011" s="61">
        <v>45658</v>
      </c>
      <c r="B1011" s="18">
        <v>268.74</v>
      </c>
      <c r="C1011" s="19">
        <v>294</v>
      </c>
      <c r="D1011" s="19">
        <v>81</v>
      </c>
      <c r="E1011" s="19">
        <v>0</v>
      </c>
      <c r="F1011" s="18">
        <v>0</v>
      </c>
      <c r="G1011" s="19">
        <v>14</v>
      </c>
      <c r="H1011" s="19">
        <v>2</v>
      </c>
      <c r="I1011" s="19">
        <v>1</v>
      </c>
      <c r="J1011" s="66">
        <f t="shared" si="146"/>
        <v>0.275510204081633</v>
      </c>
      <c r="K1011" s="67">
        <f t="shared" si="147"/>
        <v>3.31777777777778</v>
      </c>
      <c r="L1011" s="67">
        <f t="shared" si="148"/>
        <v>914.081632653061</v>
      </c>
      <c r="M1011" s="73">
        <f t="shared" si="149"/>
        <v>0</v>
      </c>
      <c r="N1011" s="66">
        <f t="shared" si="150"/>
        <v>0</v>
      </c>
      <c r="O1011" s="52">
        <f t="shared" si="151"/>
        <v>0</v>
      </c>
      <c r="P1011" s="52">
        <f t="shared" si="152"/>
        <v>0</v>
      </c>
      <c r="Q1011" s="68">
        <f t="shared" si="153"/>
        <v>19.1957142857143</v>
      </c>
    </row>
    <row r="1012" s="2" customFormat="1" spans="1:17">
      <c r="A1012" s="61">
        <v>45659</v>
      </c>
      <c r="B1012" s="18">
        <v>498.85</v>
      </c>
      <c r="C1012" s="19">
        <v>574</v>
      </c>
      <c r="D1012" s="19">
        <v>157</v>
      </c>
      <c r="E1012" s="19">
        <v>1</v>
      </c>
      <c r="F1012" s="18">
        <v>13541.64</v>
      </c>
      <c r="G1012" s="19">
        <v>38</v>
      </c>
      <c r="H1012" s="19">
        <v>3</v>
      </c>
      <c r="I1012" s="19">
        <v>6</v>
      </c>
      <c r="J1012" s="66">
        <f t="shared" si="146"/>
        <v>0.273519163763066</v>
      </c>
      <c r="K1012" s="67">
        <f t="shared" si="147"/>
        <v>3.17738853503185</v>
      </c>
      <c r="L1012" s="67">
        <f t="shared" si="148"/>
        <v>869.076655052265</v>
      </c>
      <c r="M1012" s="73">
        <f t="shared" si="149"/>
        <v>27.1457151448331</v>
      </c>
      <c r="N1012" s="66">
        <f t="shared" si="150"/>
        <v>0.00636942675159236</v>
      </c>
      <c r="O1012" s="52">
        <f t="shared" si="151"/>
        <v>13541.64</v>
      </c>
      <c r="P1012" s="52">
        <f t="shared" si="152"/>
        <v>498.85</v>
      </c>
      <c r="Q1012" s="68">
        <f t="shared" si="153"/>
        <v>13.1276315789474</v>
      </c>
    </row>
    <row r="1013" s="2" customFormat="1" spans="1:17">
      <c r="A1013" s="61">
        <v>45660</v>
      </c>
      <c r="B1013" s="18">
        <v>560.63</v>
      </c>
      <c r="C1013" s="19">
        <v>602</v>
      </c>
      <c r="D1013" s="19">
        <v>167</v>
      </c>
      <c r="E1013" s="19">
        <v>3</v>
      </c>
      <c r="F1013" s="18">
        <v>35842</v>
      </c>
      <c r="G1013" s="19">
        <v>34</v>
      </c>
      <c r="H1013" s="19">
        <v>2</v>
      </c>
      <c r="I1013" s="19">
        <v>9</v>
      </c>
      <c r="J1013" s="66">
        <f t="shared" si="146"/>
        <v>0.277408637873754</v>
      </c>
      <c r="K1013" s="67">
        <f t="shared" si="147"/>
        <v>3.35706586826347</v>
      </c>
      <c r="L1013" s="67">
        <f t="shared" si="148"/>
        <v>931.279069767442</v>
      </c>
      <c r="M1013" s="73">
        <f t="shared" si="149"/>
        <v>63.9316483242067</v>
      </c>
      <c r="N1013" s="66">
        <f t="shared" si="150"/>
        <v>0.0179640718562874</v>
      </c>
      <c r="O1013" s="52">
        <f t="shared" si="151"/>
        <v>11947.3333333333</v>
      </c>
      <c r="P1013" s="52">
        <f t="shared" si="152"/>
        <v>186.876666666667</v>
      </c>
      <c r="Q1013" s="68">
        <f t="shared" si="153"/>
        <v>16.4891176470588</v>
      </c>
    </row>
    <row r="1014" s="2" customFormat="1" spans="1:17">
      <c r="A1014" s="61">
        <v>45661</v>
      </c>
      <c r="B1014" s="18">
        <v>597.65</v>
      </c>
      <c r="C1014" s="19">
        <v>730</v>
      </c>
      <c r="D1014" s="19">
        <v>205</v>
      </c>
      <c r="E1014" s="19">
        <v>1</v>
      </c>
      <c r="F1014" s="18">
        <v>9474</v>
      </c>
      <c r="G1014" s="19">
        <v>38</v>
      </c>
      <c r="H1014" s="19">
        <v>3</v>
      </c>
      <c r="I1014" s="19">
        <v>7</v>
      </c>
      <c r="J1014" s="66">
        <f t="shared" si="146"/>
        <v>0.280821917808219</v>
      </c>
      <c r="K1014" s="67">
        <f t="shared" si="147"/>
        <v>2.91536585365854</v>
      </c>
      <c r="L1014" s="67">
        <f t="shared" si="148"/>
        <v>818.698630136986</v>
      </c>
      <c r="M1014" s="73">
        <f t="shared" si="149"/>
        <v>15.8520873420899</v>
      </c>
      <c r="N1014" s="66">
        <f t="shared" si="150"/>
        <v>0.0048780487804878</v>
      </c>
      <c r="O1014" s="52">
        <f t="shared" si="151"/>
        <v>9474</v>
      </c>
      <c r="P1014" s="52">
        <f t="shared" si="152"/>
        <v>597.65</v>
      </c>
      <c r="Q1014" s="68">
        <f t="shared" si="153"/>
        <v>15.7276315789474</v>
      </c>
    </row>
    <row r="1015" s="2" customFormat="1" spans="1:17">
      <c r="A1015" s="61">
        <v>45662</v>
      </c>
      <c r="B1015" s="18">
        <v>644.92</v>
      </c>
      <c r="C1015" s="19">
        <v>749</v>
      </c>
      <c r="D1015" s="19">
        <v>196</v>
      </c>
      <c r="E1015" s="19">
        <v>1</v>
      </c>
      <c r="F1015" s="18">
        <v>9194.36</v>
      </c>
      <c r="G1015" s="19">
        <v>43</v>
      </c>
      <c r="H1015" s="19">
        <v>6</v>
      </c>
      <c r="I1015" s="19">
        <v>8</v>
      </c>
      <c r="J1015" s="66">
        <f t="shared" si="146"/>
        <v>0.261682242990654</v>
      </c>
      <c r="K1015" s="67">
        <f t="shared" si="147"/>
        <v>3.29040816326531</v>
      </c>
      <c r="L1015" s="67">
        <f t="shared" si="148"/>
        <v>861.041388518024</v>
      </c>
      <c r="M1015" s="73">
        <f t="shared" si="149"/>
        <v>14.2565899646468</v>
      </c>
      <c r="N1015" s="66">
        <f t="shared" si="150"/>
        <v>0.00510204081632653</v>
      </c>
      <c r="O1015" s="52">
        <f t="shared" si="151"/>
        <v>9194.36</v>
      </c>
      <c r="P1015" s="52">
        <f t="shared" si="152"/>
        <v>644.92</v>
      </c>
      <c r="Q1015" s="68">
        <f t="shared" si="153"/>
        <v>14.9981395348837</v>
      </c>
    </row>
    <row r="1016" s="2" customFormat="1" spans="1:17">
      <c r="A1016" s="61">
        <v>45663</v>
      </c>
      <c r="B1016" s="18">
        <v>476.51</v>
      </c>
      <c r="C1016" s="19">
        <v>573</v>
      </c>
      <c r="D1016" s="19">
        <v>145</v>
      </c>
      <c r="E1016" s="19">
        <v>0</v>
      </c>
      <c r="F1016" s="18">
        <v>0</v>
      </c>
      <c r="G1016" s="19">
        <v>23</v>
      </c>
      <c r="H1016" s="19">
        <v>2</v>
      </c>
      <c r="I1016" s="19">
        <v>9</v>
      </c>
      <c r="J1016" s="66">
        <f t="shared" si="146"/>
        <v>0.253054101221641</v>
      </c>
      <c r="K1016" s="67">
        <f t="shared" si="147"/>
        <v>3.28627586206897</v>
      </c>
      <c r="L1016" s="67">
        <f t="shared" si="148"/>
        <v>831.605584642234</v>
      </c>
      <c r="M1016" s="73">
        <f t="shared" si="149"/>
        <v>0</v>
      </c>
      <c r="N1016" s="66">
        <f t="shared" si="150"/>
        <v>0</v>
      </c>
      <c r="O1016" s="52">
        <f t="shared" si="151"/>
        <v>0</v>
      </c>
      <c r="P1016" s="52">
        <f t="shared" si="152"/>
        <v>0</v>
      </c>
      <c r="Q1016" s="68">
        <f t="shared" si="153"/>
        <v>20.7178260869565</v>
      </c>
    </row>
    <row r="1017" s="2" customFormat="1" spans="1:17">
      <c r="A1017" s="61">
        <v>45664</v>
      </c>
      <c r="B1017" s="18">
        <v>603.99</v>
      </c>
      <c r="C1017" s="19">
        <v>734</v>
      </c>
      <c r="D1017" s="19">
        <v>173</v>
      </c>
      <c r="E1017" s="19">
        <v>0</v>
      </c>
      <c r="F1017" s="18">
        <v>0</v>
      </c>
      <c r="G1017" s="19">
        <v>26</v>
      </c>
      <c r="H1017" s="19">
        <v>5</v>
      </c>
      <c r="I1017" s="19">
        <v>9</v>
      </c>
      <c r="J1017" s="66">
        <f t="shared" si="146"/>
        <v>0.235694822888283</v>
      </c>
      <c r="K1017" s="67">
        <f t="shared" si="147"/>
        <v>3.49127167630058</v>
      </c>
      <c r="L1017" s="67">
        <f t="shared" si="148"/>
        <v>822.874659400545</v>
      </c>
      <c r="M1017" s="73">
        <f t="shared" si="149"/>
        <v>0</v>
      </c>
      <c r="N1017" s="66">
        <f t="shared" si="150"/>
        <v>0</v>
      </c>
      <c r="O1017" s="52">
        <f t="shared" si="151"/>
        <v>0</v>
      </c>
      <c r="P1017" s="52">
        <f t="shared" si="152"/>
        <v>0</v>
      </c>
      <c r="Q1017" s="68">
        <f t="shared" si="153"/>
        <v>23.2303846153846</v>
      </c>
    </row>
    <row r="1018" s="2" customFormat="1" spans="1:17">
      <c r="A1018" s="61">
        <v>45665</v>
      </c>
      <c r="B1018" s="18">
        <v>498.75</v>
      </c>
      <c r="C1018" s="19">
        <v>566</v>
      </c>
      <c r="D1018" s="19">
        <v>152</v>
      </c>
      <c r="E1018" s="19">
        <v>0</v>
      </c>
      <c r="F1018" s="18">
        <v>0</v>
      </c>
      <c r="G1018" s="19">
        <v>28</v>
      </c>
      <c r="H1018" s="19">
        <v>2</v>
      </c>
      <c r="I1018" s="19">
        <v>9</v>
      </c>
      <c r="J1018" s="66">
        <f t="shared" si="146"/>
        <v>0.268551236749117</v>
      </c>
      <c r="K1018" s="67">
        <f t="shared" si="147"/>
        <v>3.28125</v>
      </c>
      <c r="L1018" s="67">
        <f t="shared" si="148"/>
        <v>881.183745583039</v>
      </c>
      <c r="M1018" s="73">
        <f t="shared" si="149"/>
        <v>0</v>
      </c>
      <c r="N1018" s="66">
        <f t="shared" si="150"/>
        <v>0</v>
      </c>
      <c r="O1018" s="52">
        <f t="shared" si="151"/>
        <v>0</v>
      </c>
      <c r="P1018" s="52">
        <f t="shared" si="152"/>
        <v>0</v>
      </c>
      <c r="Q1018" s="68">
        <f t="shared" si="153"/>
        <v>17.8125</v>
      </c>
    </row>
    <row r="1019" s="2" customFormat="1" spans="1:17">
      <c r="A1019" s="61">
        <v>45666</v>
      </c>
      <c r="B1019" s="18">
        <v>498.78</v>
      </c>
      <c r="C1019" s="19">
        <v>591</v>
      </c>
      <c r="D1019" s="19">
        <v>115</v>
      </c>
      <c r="E1019" s="19">
        <v>1</v>
      </c>
      <c r="F1019" s="18">
        <v>5998</v>
      </c>
      <c r="G1019" s="19">
        <v>32</v>
      </c>
      <c r="H1019" s="19">
        <v>4</v>
      </c>
      <c r="I1019" s="19">
        <v>2</v>
      </c>
      <c r="J1019" s="66">
        <f t="shared" si="146"/>
        <v>0.194585448392555</v>
      </c>
      <c r="K1019" s="67">
        <f t="shared" si="147"/>
        <v>4.33721739130435</v>
      </c>
      <c r="L1019" s="67">
        <f t="shared" si="148"/>
        <v>843.959390862944</v>
      </c>
      <c r="M1019" s="73">
        <f t="shared" si="149"/>
        <v>12.0253418340751</v>
      </c>
      <c r="N1019" s="66">
        <f t="shared" si="150"/>
        <v>0.00869565217391304</v>
      </c>
      <c r="O1019" s="52">
        <f t="shared" si="151"/>
        <v>5998</v>
      </c>
      <c r="P1019" s="52">
        <f t="shared" si="152"/>
        <v>498.78</v>
      </c>
      <c r="Q1019" s="68">
        <f t="shared" si="153"/>
        <v>15.586875</v>
      </c>
    </row>
    <row r="1020" s="2" customFormat="1" spans="1:17">
      <c r="A1020" s="61">
        <v>45667</v>
      </c>
      <c r="B1020" s="18">
        <v>442.69</v>
      </c>
      <c r="C1020" s="19">
        <v>471</v>
      </c>
      <c r="D1020" s="19">
        <v>102</v>
      </c>
      <c r="E1020" s="19">
        <v>0</v>
      </c>
      <c r="F1020" s="18">
        <v>0</v>
      </c>
      <c r="G1020" s="19">
        <v>27</v>
      </c>
      <c r="H1020" s="19">
        <v>2</v>
      </c>
      <c r="I1020" s="19">
        <v>2</v>
      </c>
      <c r="J1020" s="66">
        <f t="shared" si="146"/>
        <v>0.21656050955414</v>
      </c>
      <c r="K1020" s="67">
        <f t="shared" si="147"/>
        <v>4.34009803921569</v>
      </c>
      <c r="L1020" s="67">
        <f t="shared" si="148"/>
        <v>939.893842887474</v>
      </c>
      <c r="M1020" s="73">
        <f t="shared" si="149"/>
        <v>0</v>
      </c>
      <c r="N1020" s="66">
        <f t="shared" si="150"/>
        <v>0</v>
      </c>
      <c r="O1020" s="52">
        <f t="shared" si="151"/>
        <v>0</v>
      </c>
      <c r="P1020" s="52">
        <f t="shared" si="152"/>
        <v>0</v>
      </c>
      <c r="Q1020" s="68">
        <f t="shared" si="153"/>
        <v>16.3959259259259</v>
      </c>
    </row>
    <row r="1021" s="2" customFormat="1" spans="1:17">
      <c r="A1021" s="61">
        <v>45668</v>
      </c>
      <c r="B1021" s="18">
        <v>439.51</v>
      </c>
      <c r="C1021" s="19">
        <v>494</v>
      </c>
      <c r="D1021" s="19">
        <v>140</v>
      </c>
      <c r="E1021" s="19">
        <v>1</v>
      </c>
      <c r="F1021" s="18">
        <v>5276.32</v>
      </c>
      <c r="G1021" s="19">
        <v>26</v>
      </c>
      <c r="H1021" s="19">
        <v>3</v>
      </c>
      <c r="I1021" s="19">
        <v>6</v>
      </c>
      <c r="J1021" s="66">
        <f t="shared" si="146"/>
        <v>0.283400809716599</v>
      </c>
      <c r="K1021" s="67">
        <f t="shared" si="147"/>
        <v>3.13935714285714</v>
      </c>
      <c r="L1021" s="67">
        <f t="shared" si="148"/>
        <v>889.696356275304</v>
      </c>
      <c r="M1021" s="73">
        <f t="shared" si="149"/>
        <v>12.0050055743897</v>
      </c>
      <c r="N1021" s="66">
        <f t="shared" si="150"/>
        <v>0.00714285714285714</v>
      </c>
      <c r="O1021" s="52">
        <f t="shared" si="151"/>
        <v>5276.32</v>
      </c>
      <c r="P1021" s="52">
        <f t="shared" si="152"/>
        <v>439.51</v>
      </c>
      <c r="Q1021" s="68">
        <f t="shared" si="153"/>
        <v>16.9042307692308</v>
      </c>
    </row>
    <row r="1022" s="2" customFormat="1" spans="1:17">
      <c r="A1022" s="61">
        <v>45669</v>
      </c>
      <c r="B1022" s="18">
        <v>498.68</v>
      </c>
      <c r="C1022" s="19">
        <v>556</v>
      </c>
      <c r="D1022" s="19">
        <v>177</v>
      </c>
      <c r="E1022" s="19">
        <v>0</v>
      </c>
      <c r="F1022" s="18">
        <v>0</v>
      </c>
      <c r="G1022" s="19">
        <v>50</v>
      </c>
      <c r="H1022" s="19">
        <v>5</v>
      </c>
      <c r="I1022" s="19">
        <v>6</v>
      </c>
      <c r="J1022" s="66">
        <f t="shared" si="146"/>
        <v>0.318345323741007</v>
      </c>
      <c r="K1022" s="67">
        <f t="shared" si="147"/>
        <v>2.8174011299435</v>
      </c>
      <c r="L1022" s="67">
        <f t="shared" si="148"/>
        <v>896.906474820144</v>
      </c>
      <c r="M1022" s="73">
        <f t="shared" si="149"/>
        <v>0</v>
      </c>
      <c r="N1022" s="66">
        <f t="shared" si="150"/>
        <v>0</v>
      </c>
      <c r="O1022" s="52">
        <f t="shared" si="151"/>
        <v>0</v>
      </c>
      <c r="P1022" s="52">
        <f t="shared" si="152"/>
        <v>0</v>
      </c>
      <c r="Q1022" s="68">
        <f t="shared" si="153"/>
        <v>9.9736</v>
      </c>
    </row>
    <row r="1023" s="2" customFormat="1" spans="1:17">
      <c r="A1023" s="61">
        <v>45670</v>
      </c>
      <c r="B1023" s="18">
        <v>564.59</v>
      </c>
      <c r="C1023" s="19">
        <v>596</v>
      </c>
      <c r="D1023" s="19">
        <v>197</v>
      </c>
      <c r="E1023" s="19">
        <v>0</v>
      </c>
      <c r="F1023" s="18">
        <v>0</v>
      </c>
      <c r="G1023" s="19">
        <v>30</v>
      </c>
      <c r="H1023" s="19">
        <v>1</v>
      </c>
      <c r="I1023" s="19">
        <v>11</v>
      </c>
      <c r="J1023" s="66">
        <f t="shared" si="146"/>
        <v>0.330536912751678</v>
      </c>
      <c r="K1023" s="67">
        <f t="shared" si="147"/>
        <v>2.86593908629442</v>
      </c>
      <c r="L1023" s="67">
        <f t="shared" si="148"/>
        <v>947.298657718121</v>
      </c>
      <c r="M1023" s="73">
        <f t="shared" si="149"/>
        <v>0</v>
      </c>
      <c r="N1023" s="66">
        <f t="shared" si="150"/>
        <v>0</v>
      </c>
      <c r="O1023" s="52">
        <f t="shared" si="151"/>
        <v>0</v>
      </c>
      <c r="P1023" s="52">
        <f t="shared" si="152"/>
        <v>0</v>
      </c>
      <c r="Q1023" s="68">
        <f t="shared" si="153"/>
        <v>18.8196666666667</v>
      </c>
    </row>
    <row r="1024" s="2" customFormat="1" spans="1:17">
      <c r="A1024" s="61">
        <v>45671</v>
      </c>
      <c r="B1024" s="18">
        <v>529.3</v>
      </c>
      <c r="C1024" s="19">
        <v>558</v>
      </c>
      <c r="D1024" s="19">
        <v>177</v>
      </c>
      <c r="E1024" s="19">
        <v>1</v>
      </c>
      <c r="F1024" s="18">
        <v>3712</v>
      </c>
      <c r="G1024" s="19">
        <v>38</v>
      </c>
      <c r="H1024" s="19">
        <v>6</v>
      </c>
      <c r="I1024" s="19">
        <v>7</v>
      </c>
      <c r="J1024" s="66">
        <f t="shared" si="146"/>
        <v>0.317204301075269</v>
      </c>
      <c r="K1024" s="67">
        <f t="shared" si="147"/>
        <v>2.99039548022599</v>
      </c>
      <c r="L1024" s="67">
        <f t="shared" si="148"/>
        <v>948.566308243728</v>
      </c>
      <c r="M1024" s="73">
        <f t="shared" si="149"/>
        <v>7.01303608539581</v>
      </c>
      <c r="N1024" s="66">
        <f t="shared" si="150"/>
        <v>0.00564971751412429</v>
      </c>
      <c r="O1024" s="52">
        <f t="shared" si="151"/>
        <v>3712</v>
      </c>
      <c r="P1024" s="52">
        <f t="shared" si="152"/>
        <v>529.3</v>
      </c>
      <c r="Q1024" s="68">
        <f t="shared" si="153"/>
        <v>13.9289473684211</v>
      </c>
    </row>
    <row r="1025" s="2" customFormat="1" spans="1:17">
      <c r="A1025" s="61">
        <v>45672</v>
      </c>
      <c r="B1025" s="18">
        <v>624.56</v>
      </c>
      <c r="C1025" s="19">
        <v>649</v>
      </c>
      <c r="D1025" s="19">
        <v>201</v>
      </c>
      <c r="E1025" s="19">
        <v>0</v>
      </c>
      <c r="F1025" s="18">
        <v>0</v>
      </c>
      <c r="G1025" s="19">
        <v>28</v>
      </c>
      <c r="H1025" s="19">
        <v>2</v>
      </c>
      <c r="I1025" s="19">
        <v>8</v>
      </c>
      <c r="J1025" s="66">
        <f t="shared" si="146"/>
        <v>0.309707241910632</v>
      </c>
      <c r="K1025" s="67">
        <f t="shared" si="147"/>
        <v>3.10726368159204</v>
      </c>
      <c r="L1025" s="67">
        <f t="shared" si="148"/>
        <v>962.342064714946</v>
      </c>
      <c r="M1025" s="73">
        <f t="shared" si="149"/>
        <v>0</v>
      </c>
      <c r="N1025" s="66">
        <f t="shared" si="150"/>
        <v>0</v>
      </c>
      <c r="O1025" s="52">
        <f t="shared" si="151"/>
        <v>0</v>
      </c>
      <c r="P1025" s="52">
        <f t="shared" si="152"/>
        <v>0</v>
      </c>
      <c r="Q1025" s="68">
        <f t="shared" si="153"/>
        <v>22.3057142857143</v>
      </c>
    </row>
    <row r="1026" s="2" customFormat="1" spans="1:17">
      <c r="A1026" s="61">
        <v>45673</v>
      </c>
      <c r="B1026" s="18">
        <v>502.98</v>
      </c>
      <c r="C1026" s="19">
        <v>534</v>
      </c>
      <c r="D1026" s="19">
        <v>148</v>
      </c>
      <c r="E1026" s="19">
        <v>1</v>
      </c>
      <c r="F1026" s="18">
        <v>18822</v>
      </c>
      <c r="G1026" s="19">
        <v>20</v>
      </c>
      <c r="H1026" s="19">
        <v>3</v>
      </c>
      <c r="I1026" s="19">
        <v>5</v>
      </c>
      <c r="J1026" s="66">
        <f t="shared" si="146"/>
        <v>0.277153558052434</v>
      </c>
      <c r="K1026" s="67">
        <f t="shared" si="147"/>
        <v>3.39851351351351</v>
      </c>
      <c r="L1026" s="67">
        <f t="shared" si="148"/>
        <v>941.910112359551</v>
      </c>
      <c r="M1026" s="73">
        <f t="shared" si="149"/>
        <v>37.4209710127639</v>
      </c>
      <c r="N1026" s="66">
        <f t="shared" si="150"/>
        <v>0.00675675675675676</v>
      </c>
      <c r="O1026" s="52">
        <f t="shared" si="151"/>
        <v>18822</v>
      </c>
      <c r="P1026" s="52">
        <f t="shared" si="152"/>
        <v>502.98</v>
      </c>
      <c r="Q1026" s="68">
        <f t="shared" si="153"/>
        <v>25.149</v>
      </c>
    </row>
    <row r="1027" s="2" customFormat="1" spans="1:17">
      <c r="A1027" s="61">
        <v>45674</v>
      </c>
      <c r="B1027" s="18">
        <v>523.85</v>
      </c>
      <c r="C1027" s="19">
        <v>573</v>
      </c>
      <c r="D1027" s="19">
        <v>150</v>
      </c>
      <c r="E1027" s="19">
        <v>2</v>
      </c>
      <c r="F1027" s="18">
        <v>6167</v>
      </c>
      <c r="G1027" s="19">
        <v>30</v>
      </c>
      <c r="H1027" s="19">
        <v>1</v>
      </c>
      <c r="I1027" s="19">
        <v>5</v>
      </c>
      <c r="J1027" s="66">
        <f t="shared" si="146"/>
        <v>0.261780104712042</v>
      </c>
      <c r="K1027" s="67">
        <f t="shared" si="147"/>
        <v>3.49233333333333</v>
      </c>
      <c r="L1027" s="67">
        <f t="shared" si="148"/>
        <v>914.223385689354</v>
      </c>
      <c r="M1027" s="73">
        <f t="shared" si="149"/>
        <v>11.7724539467405</v>
      </c>
      <c r="N1027" s="66">
        <f t="shared" si="150"/>
        <v>0.0133333333333333</v>
      </c>
      <c r="O1027" s="52">
        <f t="shared" si="151"/>
        <v>3083.5</v>
      </c>
      <c r="P1027" s="52">
        <f t="shared" si="152"/>
        <v>261.925</v>
      </c>
      <c r="Q1027" s="68">
        <f t="shared" si="153"/>
        <v>17.4616666666667</v>
      </c>
    </row>
    <row r="1028" s="2" customFormat="1" spans="1:17">
      <c r="A1028" s="61">
        <v>45675</v>
      </c>
      <c r="B1028" s="18">
        <v>507.76</v>
      </c>
      <c r="C1028" s="19">
        <v>546</v>
      </c>
      <c r="D1028" s="19">
        <v>154</v>
      </c>
      <c r="E1028" s="19">
        <v>0</v>
      </c>
      <c r="F1028" s="18">
        <v>0</v>
      </c>
      <c r="G1028" s="19">
        <v>31</v>
      </c>
      <c r="H1028" s="19">
        <v>0</v>
      </c>
      <c r="I1028" s="19">
        <v>10</v>
      </c>
      <c r="J1028" s="66">
        <f t="shared" si="146"/>
        <v>0.282051282051282</v>
      </c>
      <c r="K1028" s="67">
        <f t="shared" si="147"/>
        <v>3.29714285714286</v>
      </c>
      <c r="L1028" s="67">
        <f t="shared" si="148"/>
        <v>929.96336996337</v>
      </c>
      <c r="M1028" s="73">
        <f t="shared" si="149"/>
        <v>0</v>
      </c>
      <c r="N1028" s="66">
        <f t="shared" si="150"/>
        <v>0</v>
      </c>
      <c r="O1028" s="52">
        <f t="shared" si="151"/>
        <v>0</v>
      </c>
      <c r="P1028" s="52">
        <f t="shared" si="152"/>
        <v>0</v>
      </c>
      <c r="Q1028" s="68">
        <f t="shared" si="153"/>
        <v>16.3793548387097</v>
      </c>
    </row>
    <row r="1029" s="2" customFormat="1" spans="1:17">
      <c r="A1029" s="61">
        <v>45676</v>
      </c>
      <c r="B1029" s="18">
        <v>485.88</v>
      </c>
      <c r="C1029" s="19">
        <v>512</v>
      </c>
      <c r="D1029" s="19">
        <v>132</v>
      </c>
      <c r="E1029" s="19">
        <v>2</v>
      </c>
      <c r="F1029" s="18">
        <v>12540.4</v>
      </c>
      <c r="G1029" s="19">
        <v>34</v>
      </c>
      <c r="H1029" s="19">
        <v>4</v>
      </c>
      <c r="I1029" s="19">
        <v>8</v>
      </c>
      <c r="J1029" s="66">
        <f t="shared" si="146"/>
        <v>0.2578125</v>
      </c>
      <c r="K1029" s="67">
        <f t="shared" si="147"/>
        <v>3.68090909090909</v>
      </c>
      <c r="L1029" s="67">
        <f t="shared" si="148"/>
        <v>948.984375</v>
      </c>
      <c r="M1029" s="73">
        <f t="shared" si="149"/>
        <v>25.8096649378447</v>
      </c>
      <c r="N1029" s="66">
        <f t="shared" si="150"/>
        <v>0.0151515151515152</v>
      </c>
      <c r="O1029" s="52">
        <f t="shared" si="151"/>
        <v>6270.2</v>
      </c>
      <c r="P1029" s="52">
        <f t="shared" si="152"/>
        <v>242.94</v>
      </c>
      <c r="Q1029" s="68">
        <f t="shared" si="153"/>
        <v>14.2905882352941</v>
      </c>
    </row>
    <row r="1030" s="2" customFormat="1" spans="1:17">
      <c r="A1030" s="61">
        <v>45677</v>
      </c>
      <c r="B1030" s="18">
        <v>603.13</v>
      </c>
      <c r="C1030" s="19">
        <v>587</v>
      </c>
      <c r="D1030" s="19">
        <v>155</v>
      </c>
      <c r="E1030" s="19">
        <v>0</v>
      </c>
      <c r="F1030" s="18">
        <v>0</v>
      </c>
      <c r="G1030" s="19">
        <v>35</v>
      </c>
      <c r="H1030" s="19">
        <v>2</v>
      </c>
      <c r="I1030" s="19">
        <v>4</v>
      </c>
      <c r="J1030" s="66">
        <f t="shared" si="146"/>
        <v>0.264054514480409</v>
      </c>
      <c r="K1030" s="67">
        <f t="shared" si="147"/>
        <v>3.89116129032258</v>
      </c>
      <c r="L1030" s="67">
        <f t="shared" si="148"/>
        <v>1027.47870528109</v>
      </c>
      <c r="M1030" s="73">
        <f t="shared" si="149"/>
        <v>0</v>
      </c>
      <c r="N1030" s="66">
        <f t="shared" si="150"/>
        <v>0</v>
      </c>
      <c r="O1030" s="52">
        <f t="shared" si="151"/>
        <v>0</v>
      </c>
      <c r="P1030" s="52">
        <f t="shared" si="152"/>
        <v>0</v>
      </c>
      <c r="Q1030" s="68">
        <f t="shared" si="153"/>
        <v>17.2322857142857</v>
      </c>
    </row>
    <row r="1031" s="2" customFormat="1" spans="1:17">
      <c r="A1031" s="61">
        <v>45678</v>
      </c>
      <c r="B1031" s="18">
        <v>556.3</v>
      </c>
      <c r="C1031" s="19">
        <v>589</v>
      </c>
      <c r="D1031" s="19">
        <v>157</v>
      </c>
      <c r="E1031" s="19">
        <v>1</v>
      </c>
      <c r="F1031" s="18">
        <v>9688</v>
      </c>
      <c r="G1031" s="19">
        <v>26</v>
      </c>
      <c r="H1031" s="19">
        <v>0</v>
      </c>
      <c r="I1031" s="19">
        <v>10</v>
      </c>
      <c r="J1031" s="66">
        <f t="shared" si="146"/>
        <v>0.266553480475382</v>
      </c>
      <c r="K1031" s="67">
        <f t="shared" si="147"/>
        <v>3.54331210191083</v>
      </c>
      <c r="L1031" s="67">
        <f t="shared" si="148"/>
        <v>944.482173174873</v>
      </c>
      <c r="M1031" s="73">
        <f t="shared" si="149"/>
        <v>17.4150638144886</v>
      </c>
      <c r="N1031" s="66">
        <f t="shared" si="150"/>
        <v>0.00636942675159236</v>
      </c>
      <c r="O1031" s="52">
        <f t="shared" si="151"/>
        <v>9688</v>
      </c>
      <c r="P1031" s="52">
        <f t="shared" si="152"/>
        <v>556.3</v>
      </c>
      <c r="Q1031" s="68">
        <f t="shared" si="153"/>
        <v>21.3961538461538</v>
      </c>
    </row>
    <row r="1032" s="2" customFormat="1" spans="1:17">
      <c r="A1032" s="61">
        <v>45679</v>
      </c>
      <c r="B1032" s="18">
        <v>576.02</v>
      </c>
      <c r="C1032" s="19">
        <v>583</v>
      </c>
      <c r="D1032" s="19">
        <v>171</v>
      </c>
      <c r="E1032" s="19">
        <v>0</v>
      </c>
      <c r="F1032" s="18">
        <v>0</v>
      </c>
      <c r="G1032" s="19">
        <v>40</v>
      </c>
      <c r="H1032" s="19">
        <v>3</v>
      </c>
      <c r="I1032" s="19">
        <v>2</v>
      </c>
      <c r="J1032" s="66">
        <f t="shared" si="146"/>
        <v>0.293310463121784</v>
      </c>
      <c r="K1032" s="67">
        <f t="shared" si="147"/>
        <v>3.36853801169591</v>
      </c>
      <c r="L1032" s="67">
        <f t="shared" si="148"/>
        <v>988.027444253859</v>
      </c>
      <c r="M1032" s="73">
        <f t="shared" si="149"/>
        <v>0</v>
      </c>
      <c r="N1032" s="66">
        <f t="shared" si="150"/>
        <v>0</v>
      </c>
      <c r="O1032" s="52">
        <f t="shared" si="151"/>
        <v>0</v>
      </c>
      <c r="P1032" s="52">
        <f t="shared" si="152"/>
        <v>0</v>
      </c>
      <c r="Q1032" s="68">
        <f t="shared" si="153"/>
        <v>14.4005</v>
      </c>
    </row>
    <row r="1033" s="2" customFormat="1" spans="1:17">
      <c r="A1033" s="61">
        <v>45680</v>
      </c>
      <c r="B1033" s="18">
        <v>510.18</v>
      </c>
      <c r="C1033" s="19">
        <v>508</v>
      </c>
      <c r="D1033" s="19">
        <v>146</v>
      </c>
      <c r="E1033" s="19">
        <v>3</v>
      </c>
      <c r="F1033" s="18">
        <v>24064</v>
      </c>
      <c r="G1033" s="19">
        <v>43</v>
      </c>
      <c r="H1033" s="19">
        <v>2</v>
      </c>
      <c r="I1033" s="19">
        <v>6</v>
      </c>
      <c r="J1033" s="66">
        <f t="shared" si="146"/>
        <v>0.28740157480315</v>
      </c>
      <c r="K1033" s="67">
        <f t="shared" si="147"/>
        <v>3.49438356164384</v>
      </c>
      <c r="L1033" s="67">
        <f t="shared" si="148"/>
        <v>1004.29133858268</v>
      </c>
      <c r="M1033" s="73">
        <f t="shared" si="149"/>
        <v>47.16766631385</v>
      </c>
      <c r="N1033" s="66">
        <f t="shared" si="150"/>
        <v>0.0205479452054795</v>
      </c>
      <c r="O1033" s="52">
        <f t="shared" si="151"/>
        <v>8021.33333333333</v>
      </c>
      <c r="P1033" s="52">
        <f t="shared" si="152"/>
        <v>170.06</v>
      </c>
      <c r="Q1033" s="68">
        <f t="shared" si="153"/>
        <v>11.8646511627907</v>
      </c>
    </row>
    <row r="1034" s="2" customFormat="1" spans="1:17">
      <c r="A1034" s="61">
        <v>45681</v>
      </c>
      <c r="B1034" s="18">
        <v>798.42</v>
      </c>
      <c r="C1034" s="19">
        <v>687</v>
      </c>
      <c r="D1034" s="19">
        <v>238</v>
      </c>
      <c r="E1034" s="19">
        <v>0</v>
      </c>
      <c r="F1034" s="18">
        <v>0</v>
      </c>
      <c r="G1034" s="19">
        <v>44</v>
      </c>
      <c r="H1034" s="19">
        <v>6</v>
      </c>
      <c r="I1034" s="19">
        <v>13</v>
      </c>
      <c r="J1034" s="66">
        <f t="shared" si="146"/>
        <v>0.346433770014556</v>
      </c>
      <c r="K1034" s="67">
        <f t="shared" si="147"/>
        <v>3.35470588235294</v>
      </c>
      <c r="L1034" s="67">
        <f t="shared" si="148"/>
        <v>1162.18340611354</v>
      </c>
      <c r="M1034" s="73">
        <f t="shared" si="149"/>
        <v>0</v>
      </c>
      <c r="N1034" s="66">
        <f t="shared" si="150"/>
        <v>0</v>
      </c>
      <c r="O1034" s="52">
        <f t="shared" si="151"/>
        <v>0</v>
      </c>
      <c r="P1034" s="52">
        <f t="shared" si="152"/>
        <v>0</v>
      </c>
      <c r="Q1034" s="68">
        <f t="shared" si="153"/>
        <v>18.1459090909091</v>
      </c>
    </row>
    <row r="1035" s="2" customFormat="1" spans="1:17">
      <c r="A1035" s="61">
        <v>45682</v>
      </c>
      <c r="B1035" s="18">
        <v>798.44</v>
      </c>
      <c r="C1035" s="19">
        <v>703</v>
      </c>
      <c r="D1035" s="19">
        <v>260</v>
      </c>
      <c r="E1035" s="19">
        <v>1</v>
      </c>
      <c r="F1035" s="18">
        <v>10197</v>
      </c>
      <c r="G1035" s="19">
        <v>38</v>
      </c>
      <c r="H1035" s="19">
        <v>9</v>
      </c>
      <c r="I1035" s="19">
        <v>10</v>
      </c>
      <c r="J1035" s="66">
        <f t="shared" si="146"/>
        <v>0.369843527738265</v>
      </c>
      <c r="K1035" s="67">
        <f t="shared" si="147"/>
        <v>3.07092307692308</v>
      </c>
      <c r="L1035" s="67">
        <f t="shared" si="148"/>
        <v>1135.76102418208</v>
      </c>
      <c r="M1035" s="73">
        <f t="shared" si="149"/>
        <v>12.7711537498121</v>
      </c>
      <c r="N1035" s="66">
        <f t="shared" si="150"/>
        <v>0.00384615384615385</v>
      </c>
      <c r="O1035" s="52">
        <f t="shared" si="151"/>
        <v>10197</v>
      </c>
      <c r="P1035" s="52">
        <f t="shared" si="152"/>
        <v>798.44</v>
      </c>
      <c r="Q1035" s="68">
        <f t="shared" si="153"/>
        <v>21.0115789473684</v>
      </c>
    </row>
    <row r="1036" s="2" customFormat="1" spans="1:17">
      <c r="A1036" s="61">
        <v>45683</v>
      </c>
      <c r="B1036" s="18">
        <v>798.34</v>
      </c>
      <c r="C1036" s="19">
        <v>698</v>
      </c>
      <c r="D1036" s="19">
        <v>236</v>
      </c>
      <c r="E1036" s="19">
        <v>2</v>
      </c>
      <c r="F1036" s="18">
        <v>12528</v>
      </c>
      <c r="G1036" s="19">
        <v>30</v>
      </c>
      <c r="H1036" s="19">
        <v>10</v>
      </c>
      <c r="I1036" s="19">
        <v>14</v>
      </c>
      <c r="J1036" s="66">
        <f t="shared" si="146"/>
        <v>0.33810888252149</v>
      </c>
      <c r="K1036" s="67">
        <f t="shared" si="147"/>
        <v>3.38279661016949</v>
      </c>
      <c r="L1036" s="67">
        <f t="shared" si="148"/>
        <v>1143.75358166189</v>
      </c>
      <c r="M1036" s="73">
        <f t="shared" si="149"/>
        <v>15.6925620662875</v>
      </c>
      <c r="N1036" s="66">
        <f t="shared" si="150"/>
        <v>0.00847457627118644</v>
      </c>
      <c r="O1036" s="52">
        <f t="shared" si="151"/>
        <v>6264</v>
      </c>
      <c r="P1036" s="52">
        <f t="shared" si="152"/>
        <v>399.17</v>
      </c>
      <c r="Q1036" s="68">
        <f t="shared" si="153"/>
        <v>26.6113333333333</v>
      </c>
    </row>
    <row r="1037" s="2" customFormat="1" spans="1:17">
      <c r="A1037" s="61">
        <v>45684</v>
      </c>
      <c r="B1037" s="18">
        <v>784.19</v>
      </c>
      <c r="C1037" s="19">
        <v>678</v>
      </c>
      <c r="D1037" s="19">
        <v>240</v>
      </c>
      <c r="E1037" s="19">
        <v>2</v>
      </c>
      <c r="F1037" s="18">
        <v>24576</v>
      </c>
      <c r="G1037" s="19">
        <v>51</v>
      </c>
      <c r="H1037" s="19">
        <v>7</v>
      </c>
      <c r="I1037" s="19">
        <v>18</v>
      </c>
      <c r="J1037" s="66">
        <f t="shared" si="146"/>
        <v>0.353982300884956</v>
      </c>
      <c r="K1037" s="67">
        <f t="shared" si="147"/>
        <v>3.26745833333333</v>
      </c>
      <c r="L1037" s="67">
        <f t="shared" si="148"/>
        <v>1156.62241887906</v>
      </c>
      <c r="M1037" s="73">
        <f t="shared" si="149"/>
        <v>31.3393437814815</v>
      </c>
      <c r="N1037" s="66">
        <f t="shared" si="150"/>
        <v>0.00833333333333333</v>
      </c>
      <c r="O1037" s="52">
        <f t="shared" si="151"/>
        <v>12288</v>
      </c>
      <c r="P1037" s="52">
        <f t="shared" si="152"/>
        <v>392.095</v>
      </c>
      <c r="Q1037" s="68">
        <f t="shared" si="153"/>
        <v>15.3762745098039</v>
      </c>
    </row>
    <row r="1038" s="2" customFormat="1" spans="1:17">
      <c r="A1038" s="61">
        <v>45685</v>
      </c>
      <c r="B1038" s="18">
        <v>592.83</v>
      </c>
      <c r="C1038" s="19">
        <v>555</v>
      </c>
      <c r="D1038" s="19">
        <v>143</v>
      </c>
      <c r="E1038" s="19">
        <v>1</v>
      </c>
      <c r="F1038" s="18">
        <v>12054</v>
      </c>
      <c r="G1038" s="19">
        <v>41</v>
      </c>
      <c r="H1038" s="19">
        <v>6</v>
      </c>
      <c r="I1038" s="19">
        <v>8</v>
      </c>
      <c r="J1038" s="66">
        <f t="shared" si="146"/>
        <v>0.257657657657658</v>
      </c>
      <c r="K1038" s="67">
        <f t="shared" si="147"/>
        <v>4.14566433566434</v>
      </c>
      <c r="L1038" s="67">
        <f t="shared" si="148"/>
        <v>1068.16216216216</v>
      </c>
      <c r="M1038" s="73">
        <f t="shared" si="149"/>
        <v>20.332979100248</v>
      </c>
      <c r="N1038" s="66">
        <f t="shared" si="150"/>
        <v>0.00699300699300699</v>
      </c>
      <c r="O1038" s="52">
        <f t="shared" si="151"/>
        <v>12054</v>
      </c>
      <c r="P1038" s="52">
        <f t="shared" si="152"/>
        <v>592.83</v>
      </c>
      <c r="Q1038" s="68">
        <f t="shared" si="153"/>
        <v>14.4592682926829</v>
      </c>
    </row>
    <row r="1039" s="2" customFormat="1" spans="1:17">
      <c r="A1039" s="61">
        <v>45686</v>
      </c>
      <c r="B1039" s="18">
        <v>576.97</v>
      </c>
      <c r="C1039" s="19">
        <v>577</v>
      </c>
      <c r="D1039" s="19">
        <v>177</v>
      </c>
      <c r="E1039" s="19">
        <v>0</v>
      </c>
      <c r="F1039" s="18">
        <v>0</v>
      </c>
      <c r="G1039" s="19">
        <v>41</v>
      </c>
      <c r="H1039" s="19">
        <v>5</v>
      </c>
      <c r="I1039" s="19">
        <v>9</v>
      </c>
      <c r="J1039" s="66">
        <f t="shared" si="146"/>
        <v>0.306759098786828</v>
      </c>
      <c r="K1039" s="67">
        <f t="shared" si="147"/>
        <v>3.25971751412429</v>
      </c>
      <c r="L1039" s="67">
        <f t="shared" si="148"/>
        <v>999.948006932409</v>
      </c>
      <c r="M1039" s="73">
        <f t="shared" si="149"/>
        <v>0</v>
      </c>
      <c r="N1039" s="66">
        <f t="shared" si="150"/>
        <v>0</v>
      </c>
      <c r="O1039" s="52">
        <f t="shared" si="151"/>
        <v>0</v>
      </c>
      <c r="P1039" s="52">
        <f t="shared" si="152"/>
        <v>0</v>
      </c>
      <c r="Q1039" s="68">
        <f t="shared" si="153"/>
        <v>14.0724390243902</v>
      </c>
    </row>
    <row r="1040" s="2" customFormat="1" spans="1:17">
      <c r="A1040" s="61">
        <v>45687</v>
      </c>
      <c r="B1040" s="18">
        <v>691.24</v>
      </c>
      <c r="C1040" s="19">
        <v>673</v>
      </c>
      <c r="D1040" s="19">
        <v>222</v>
      </c>
      <c r="E1040" s="19">
        <v>0</v>
      </c>
      <c r="F1040" s="18">
        <v>0</v>
      </c>
      <c r="G1040" s="19">
        <v>38</v>
      </c>
      <c r="H1040" s="19">
        <v>2</v>
      </c>
      <c r="I1040" s="19">
        <v>15</v>
      </c>
      <c r="J1040" s="66">
        <f t="shared" si="146"/>
        <v>0.329866270430906</v>
      </c>
      <c r="K1040" s="67">
        <f t="shared" si="147"/>
        <v>3.11369369369369</v>
      </c>
      <c r="L1040" s="67">
        <f t="shared" si="148"/>
        <v>1027.10252600297</v>
      </c>
      <c r="M1040" s="73">
        <f t="shared" si="149"/>
        <v>0</v>
      </c>
      <c r="N1040" s="66">
        <f t="shared" si="150"/>
        <v>0</v>
      </c>
      <c r="O1040" s="52">
        <f t="shared" si="151"/>
        <v>0</v>
      </c>
      <c r="P1040" s="52">
        <f t="shared" si="152"/>
        <v>0</v>
      </c>
      <c r="Q1040" s="68">
        <f t="shared" si="153"/>
        <v>18.1905263157895</v>
      </c>
    </row>
    <row r="1041" s="2" customFormat="1" spans="1:17">
      <c r="A1041" s="61">
        <v>45688</v>
      </c>
      <c r="B1041" s="18">
        <v>797.87</v>
      </c>
      <c r="C1041" s="19">
        <v>740</v>
      </c>
      <c r="D1041" s="19">
        <v>249</v>
      </c>
      <c r="E1041" s="19">
        <v>0</v>
      </c>
      <c r="F1041" s="18">
        <v>0</v>
      </c>
      <c r="G1041" s="19">
        <v>76</v>
      </c>
      <c r="H1041" s="19">
        <v>7</v>
      </c>
      <c r="I1041" s="19">
        <v>14</v>
      </c>
      <c r="J1041" s="66">
        <f t="shared" si="146"/>
        <v>0.336486486486486</v>
      </c>
      <c r="K1041" s="67">
        <f t="shared" si="147"/>
        <v>3.20429718875502</v>
      </c>
      <c r="L1041" s="67">
        <f t="shared" si="148"/>
        <v>1078.2027027027</v>
      </c>
      <c r="M1041" s="73">
        <f t="shared" si="149"/>
        <v>0</v>
      </c>
      <c r="N1041" s="66">
        <f t="shared" si="150"/>
        <v>0</v>
      </c>
      <c r="O1041" s="52">
        <f t="shared" si="151"/>
        <v>0</v>
      </c>
      <c r="P1041" s="52">
        <f t="shared" si="152"/>
        <v>0</v>
      </c>
      <c r="Q1041" s="68">
        <f t="shared" si="153"/>
        <v>10.4982894736842</v>
      </c>
    </row>
    <row r="1042" s="2" customFormat="1" spans="1:17">
      <c r="A1042" s="61">
        <v>45689</v>
      </c>
      <c r="B1042" s="18">
        <v>797.93</v>
      </c>
      <c r="C1042" s="19">
        <v>724</v>
      </c>
      <c r="D1042" s="19">
        <v>236</v>
      </c>
      <c r="E1042" s="19">
        <v>1</v>
      </c>
      <c r="F1042" s="18">
        <v>5998</v>
      </c>
      <c r="G1042" s="19">
        <v>44</v>
      </c>
      <c r="H1042" s="19">
        <v>6</v>
      </c>
      <c r="I1042" s="19">
        <v>15</v>
      </c>
      <c r="J1042" s="66">
        <f t="shared" si="146"/>
        <v>0.325966850828729</v>
      </c>
      <c r="K1042" s="67">
        <f t="shared" si="147"/>
        <v>3.3810593220339</v>
      </c>
      <c r="L1042" s="67">
        <f t="shared" si="148"/>
        <v>1102.11325966851</v>
      </c>
      <c r="M1042" s="73">
        <f t="shared" si="149"/>
        <v>7.5169501084055</v>
      </c>
      <c r="N1042" s="66">
        <f t="shared" si="150"/>
        <v>0.00423728813559322</v>
      </c>
      <c r="O1042" s="52">
        <f t="shared" si="151"/>
        <v>5998</v>
      </c>
      <c r="P1042" s="52">
        <f t="shared" si="152"/>
        <v>797.93</v>
      </c>
      <c r="Q1042" s="68">
        <f t="shared" si="153"/>
        <v>18.1347727272727</v>
      </c>
    </row>
    <row r="1043" s="2" customFormat="1" spans="1:17">
      <c r="A1043" s="61">
        <v>45690</v>
      </c>
      <c r="B1043" s="18">
        <v>797.85</v>
      </c>
      <c r="C1043" s="19">
        <v>797</v>
      </c>
      <c r="D1043" s="19">
        <v>243</v>
      </c>
      <c r="E1043" s="19">
        <v>0</v>
      </c>
      <c r="F1043" s="18">
        <v>0</v>
      </c>
      <c r="G1043" s="19">
        <v>37</v>
      </c>
      <c r="H1043" s="19">
        <v>8</v>
      </c>
      <c r="I1043" s="19">
        <v>16</v>
      </c>
      <c r="J1043" s="66">
        <f t="shared" si="146"/>
        <v>0.304893350062735</v>
      </c>
      <c r="K1043" s="67">
        <f t="shared" si="147"/>
        <v>3.28333333333333</v>
      </c>
      <c r="L1043" s="67">
        <f t="shared" si="148"/>
        <v>1001.06649937265</v>
      </c>
      <c r="M1043" s="73">
        <f t="shared" si="149"/>
        <v>0</v>
      </c>
      <c r="N1043" s="66">
        <f t="shared" si="150"/>
        <v>0</v>
      </c>
      <c r="O1043" s="52">
        <f t="shared" si="151"/>
        <v>0</v>
      </c>
      <c r="P1043" s="52">
        <f t="shared" si="152"/>
        <v>0</v>
      </c>
      <c r="Q1043" s="68">
        <f t="shared" si="153"/>
        <v>21.5635135135135</v>
      </c>
    </row>
    <row r="1044" s="2" customFormat="1" spans="1:17">
      <c r="A1044" s="61">
        <v>45691</v>
      </c>
      <c r="B1044" s="18">
        <v>598.09</v>
      </c>
      <c r="C1044" s="19">
        <v>616</v>
      </c>
      <c r="D1044" s="19">
        <v>159</v>
      </c>
      <c r="E1044" s="19">
        <v>2</v>
      </c>
      <c r="F1044" s="18">
        <v>14197</v>
      </c>
      <c r="G1044" s="19">
        <v>18</v>
      </c>
      <c r="H1044" s="19">
        <v>5</v>
      </c>
      <c r="I1044" s="19">
        <v>6</v>
      </c>
      <c r="J1044" s="66">
        <f t="shared" si="146"/>
        <v>0.258116883116883</v>
      </c>
      <c r="K1044" s="67">
        <f t="shared" si="147"/>
        <v>3.76157232704403</v>
      </c>
      <c r="L1044" s="67">
        <f t="shared" si="148"/>
        <v>970.925324675325</v>
      </c>
      <c r="M1044" s="73">
        <f t="shared" si="149"/>
        <v>23.7372301827484</v>
      </c>
      <c r="N1044" s="66">
        <f t="shared" si="150"/>
        <v>0.0125786163522013</v>
      </c>
      <c r="O1044" s="52">
        <f t="shared" si="151"/>
        <v>7098.5</v>
      </c>
      <c r="P1044" s="52">
        <f t="shared" si="152"/>
        <v>299.045</v>
      </c>
      <c r="Q1044" s="68">
        <f t="shared" si="153"/>
        <v>33.2272222222222</v>
      </c>
    </row>
    <row r="1045" s="2" customFormat="1" spans="1:17">
      <c r="A1045" s="61">
        <v>45692</v>
      </c>
      <c r="B1045" s="18">
        <v>598.15</v>
      </c>
      <c r="C1045" s="19">
        <v>613</v>
      </c>
      <c r="D1045" s="19">
        <v>167</v>
      </c>
      <c r="E1045" s="19">
        <v>3</v>
      </c>
      <c r="F1045" s="18">
        <v>81458</v>
      </c>
      <c r="G1045" s="19">
        <v>32</v>
      </c>
      <c r="H1045" s="19">
        <v>3</v>
      </c>
      <c r="I1045" s="19">
        <v>8</v>
      </c>
      <c r="J1045" s="66">
        <f t="shared" si="146"/>
        <v>0.272430668841762</v>
      </c>
      <c r="K1045" s="67">
        <f t="shared" si="147"/>
        <v>3.58173652694611</v>
      </c>
      <c r="L1045" s="67">
        <f t="shared" si="148"/>
        <v>975.774877650897</v>
      </c>
      <c r="M1045" s="73">
        <f t="shared" si="149"/>
        <v>136.183231630862</v>
      </c>
      <c r="N1045" s="66">
        <f t="shared" si="150"/>
        <v>0.0179640718562874</v>
      </c>
      <c r="O1045" s="52">
        <f t="shared" si="151"/>
        <v>27152.6666666667</v>
      </c>
      <c r="P1045" s="52">
        <f t="shared" si="152"/>
        <v>199.383333333333</v>
      </c>
      <c r="Q1045" s="68">
        <f t="shared" si="153"/>
        <v>18.6921875</v>
      </c>
    </row>
    <row r="1046" s="2" customFormat="1" spans="1:17">
      <c r="A1046" s="61">
        <v>45693</v>
      </c>
      <c r="B1046" s="18">
        <v>598.79</v>
      </c>
      <c r="C1046" s="19">
        <v>618</v>
      </c>
      <c r="D1046" s="19">
        <v>150</v>
      </c>
      <c r="E1046" s="19">
        <v>0</v>
      </c>
      <c r="F1046" s="18">
        <v>0</v>
      </c>
      <c r="G1046" s="19">
        <v>29</v>
      </c>
      <c r="H1046" s="19">
        <v>4</v>
      </c>
      <c r="I1046" s="19">
        <v>10</v>
      </c>
      <c r="J1046" s="66">
        <f t="shared" si="146"/>
        <v>0.242718446601942</v>
      </c>
      <c r="K1046" s="67">
        <f t="shared" si="147"/>
        <v>3.99193333333333</v>
      </c>
      <c r="L1046" s="67">
        <f t="shared" si="148"/>
        <v>968.915857605178</v>
      </c>
      <c r="M1046" s="73">
        <f t="shared" si="149"/>
        <v>0</v>
      </c>
      <c r="N1046" s="66">
        <f t="shared" si="150"/>
        <v>0</v>
      </c>
      <c r="O1046" s="52">
        <f t="shared" si="151"/>
        <v>0</v>
      </c>
      <c r="P1046" s="52">
        <f t="shared" si="152"/>
        <v>0</v>
      </c>
      <c r="Q1046" s="68">
        <f t="shared" si="153"/>
        <v>20.6479310344828</v>
      </c>
    </row>
    <row r="1047" s="2" customFormat="1" spans="1:17">
      <c r="A1047" s="61">
        <v>45694</v>
      </c>
      <c r="B1047" s="18">
        <v>598.73</v>
      </c>
      <c r="C1047" s="19">
        <v>612</v>
      </c>
      <c r="D1047" s="19">
        <v>160</v>
      </c>
      <c r="E1047" s="19">
        <v>0</v>
      </c>
      <c r="F1047" s="18">
        <v>0</v>
      </c>
      <c r="G1047" s="19">
        <v>48</v>
      </c>
      <c r="H1047" s="19">
        <v>2</v>
      </c>
      <c r="I1047" s="19">
        <v>8</v>
      </c>
      <c r="J1047" s="66">
        <f t="shared" si="146"/>
        <v>0.261437908496732</v>
      </c>
      <c r="K1047" s="67">
        <f t="shared" si="147"/>
        <v>3.7420625</v>
      </c>
      <c r="L1047" s="67">
        <f t="shared" si="148"/>
        <v>978.316993464052</v>
      </c>
      <c r="M1047" s="73">
        <f t="shared" si="149"/>
        <v>0</v>
      </c>
      <c r="N1047" s="66">
        <f t="shared" si="150"/>
        <v>0</v>
      </c>
      <c r="O1047" s="52">
        <f t="shared" si="151"/>
        <v>0</v>
      </c>
      <c r="P1047" s="52">
        <f t="shared" si="152"/>
        <v>0</v>
      </c>
      <c r="Q1047" s="68">
        <f t="shared" si="153"/>
        <v>12.4735416666667</v>
      </c>
    </row>
    <row r="1048" s="2" customFormat="1" spans="1:17">
      <c r="A1048" s="61">
        <v>45695</v>
      </c>
      <c r="B1048" s="18">
        <v>898.34</v>
      </c>
      <c r="C1048" s="19">
        <v>866</v>
      </c>
      <c r="D1048" s="19">
        <v>294</v>
      </c>
      <c r="E1048" s="19">
        <v>1</v>
      </c>
      <c r="F1048" s="18">
        <v>20027.28</v>
      </c>
      <c r="G1048" s="19">
        <v>66</v>
      </c>
      <c r="H1048" s="19">
        <v>10</v>
      </c>
      <c r="I1048" s="19">
        <v>15</v>
      </c>
      <c r="J1048" s="66">
        <f t="shared" si="146"/>
        <v>0.339491916859122</v>
      </c>
      <c r="K1048" s="67">
        <f t="shared" si="147"/>
        <v>3.05557823129252</v>
      </c>
      <c r="L1048" s="67">
        <f t="shared" si="148"/>
        <v>1037.3441108545</v>
      </c>
      <c r="M1048" s="73">
        <f t="shared" si="149"/>
        <v>22.293652737271</v>
      </c>
      <c r="N1048" s="66">
        <f t="shared" si="150"/>
        <v>0.00340136054421769</v>
      </c>
      <c r="O1048" s="52">
        <f t="shared" si="151"/>
        <v>20027.28</v>
      </c>
      <c r="P1048" s="52">
        <f t="shared" si="152"/>
        <v>898.34</v>
      </c>
      <c r="Q1048" s="68">
        <f t="shared" si="153"/>
        <v>13.6112121212121</v>
      </c>
    </row>
    <row r="1049" s="2" customFormat="1" spans="1:17">
      <c r="A1049" s="61">
        <v>45696</v>
      </c>
      <c r="B1049" s="18">
        <v>998.14</v>
      </c>
      <c r="C1049" s="19">
        <v>949</v>
      </c>
      <c r="D1049" s="19">
        <v>301</v>
      </c>
      <c r="E1049" s="19">
        <v>1</v>
      </c>
      <c r="F1049" s="18">
        <v>9843.12</v>
      </c>
      <c r="G1049" s="19">
        <v>47</v>
      </c>
      <c r="H1049" s="19">
        <v>4</v>
      </c>
      <c r="I1049" s="19">
        <v>16</v>
      </c>
      <c r="J1049" s="66">
        <f t="shared" si="146"/>
        <v>0.317175974710221</v>
      </c>
      <c r="K1049" s="67">
        <f t="shared" si="147"/>
        <v>3.31607973421927</v>
      </c>
      <c r="L1049" s="67">
        <f t="shared" si="148"/>
        <v>1051.78082191781</v>
      </c>
      <c r="M1049" s="73">
        <f t="shared" si="149"/>
        <v>9.86146231991504</v>
      </c>
      <c r="N1049" s="66">
        <f t="shared" si="150"/>
        <v>0.00332225913621262</v>
      </c>
      <c r="O1049" s="52">
        <f t="shared" si="151"/>
        <v>9843.12</v>
      </c>
      <c r="P1049" s="52">
        <f t="shared" si="152"/>
        <v>998.14</v>
      </c>
      <c r="Q1049" s="68">
        <f t="shared" si="153"/>
        <v>21.2370212765957</v>
      </c>
    </row>
    <row r="1050" s="2" customFormat="1" spans="1:17">
      <c r="A1050" s="61">
        <v>45697</v>
      </c>
      <c r="B1050" s="18">
        <v>998.26</v>
      </c>
      <c r="C1050" s="19">
        <v>963</v>
      </c>
      <c r="D1050" s="19">
        <v>352</v>
      </c>
      <c r="E1050" s="19">
        <v>4</v>
      </c>
      <c r="F1050" s="18">
        <v>50838.66</v>
      </c>
      <c r="G1050" s="19">
        <v>68</v>
      </c>
      <c r="H1050" s="19">
        <v>9</v>
      </c>
      <c r="I1050" s="19">
        <v>11</v>
      </c>
      <c r="J1050" s="66">
        <f t="shared" si="146"/>
        <v>0.36552440290758</v>
      </c>
      <c r="K1050" s="67">
        <f t="shared" si="147"/>
        <v>2.83596590909091</v>
      </c>
      <c r="L1050" s="67">
        <f t="shared" si="148"/>
        <v>1036.61474558671</v>
      </c>
      <c r="M1050" s="73">
        <f t="shared" si="149"/>
        <v>50.9272734558131</v>
      </c>
      <c r="N1050" s="66">
        <f t="shared" si="150"/>
        <v>0.0113636363636364</v>
      </c>
      <c r="O1050" s="52">
        <f t="shared" si="151"/>
        <v>12709.665</v>
      </c>
      <c r="P1050" s="52">
        <f t="shared" si="152"/>
        <v>249.565</v>
      </c>
      <c r="Q1050" s="68">
        <f t="shared" si="153"/>
        <v>14.6802941176471</v>
      </c>
    </row>
    <row r="1051" s="2" customFormat="1" spans="1:17">
      <c r="A1051" s="61">
        <v>45698</v>
      </c>
      <c r="B1051" s="18">
        <v>998.27</v>
      </c>
      <c r="C1051" s="19">
        <v>918</v>
      </c>
      <c r="D1051" s="19">
        <v>307</v>
      </c>
      <c r="E1051" s="19">
        <v>2</v>
      </c>
      <c r="F1051" s="18">
        <v>19556</v>
      </c>
      <c r="G1051" s="19">
        <v>78</v>
      </c>
      <c r="H1051" s="19">
        <v>8</v>
      </c>
      <c r="I1051" s="19">
        <v>10</v>
      </c>
      <c r="J1051" s="66">
        <f t="shared" si="146"/>
        <v>0.33442265795207</v>
      </c>
      <c r="K1051" s="67">
        <f t="shared" si="147"/>
        <v>3.25169381107492</v>
      </c>
      <c r="L1051" s="67">
        <f t="shared" si="148"/>
        <v>1087.44008714597</v>
      </c>
      <c r="M1051" s="73">
        <f t="shared" si="149"/>
        <v>19.5898905105833</v>
      </c>
      <c r="N1051" s="66">
        <f t="shared" si="150"/>
        <v>0.00651465798045603</v>
      </c>
      <c r="O1051" s="52">
        <f t="shared" si="151"/>
        <v>9778</v>
      </c>
      <c r="P1051" s="52">
        <f t="shared" si="152"/>
        <v>499.135</v>
      </c>
      <c r="Q1051" s="68">
        <f t="shared" si="153"/>
        <v>12.7983333333333</v>
      </c>
    </row>
    <row r="1052" s="2" customFormat="1" spans="1:17">
      <c r="A1052" s="61">
        <v>45699</v>
      </c>
      <c r="B1052" s="18">
        <v>998.11</v>
      </c>
      <c r="C1052" s="19">
        <v>988</v>
      </c>
      <c r="D1052" s="19">
        <v>338</v>
      </c>
      <c r="E1052" s="19">
        <v>0</v>
      </c>
      <c r="F1052" s="18">
        <v>0</v>
      </c>
      <c r="G1052" s="19">
        <v>54</v>
      </c>
      <c r="H1052" s="19">
        <v>16</v>
      </c>
      <c r="I1052" s="19">
        <v>2</v>
      </c>
      <c r="J1052" s="66">
        <f t="shared" si="146"/>
        <v>0.342105263157895</v>
      </c>
      <c r="K1052" s="67">
        <f t="shared" si="147"/>
        <v>2.95298816568047</v>
      </c>
      <c r="L1052" s="67">
        <f t="shared" si="148"/>
        <v>1010.23279352227</v>
      </c>
      <c r="M1052" s="73">
        <f t="shared" si="149"/>
        <v>0</v>
      </c>
      <c r="N1052" s="66">
        <f t="shared" si="150"/>
        <v>0</v>
      </c>
      <c r="O1052" s="52">
        <f t="shared" si="151"/>
        <v>0</v>
      </c>
      <c r="P1052" s="52">
        <f t="shared" si="152"/>
        <v>0</v>
      </c>
      <c r="Q1052" s="68">
        <f t="shared" si="153"/>
        <v>18.4835185185185</v>
      </c>
    </row>
    <row r="1053" s="2" customFormat="1" spans="1:17">
      <c r="A1053" s="61">
        <v>45700</v>
      </c>
      <c r="B1053" s="18">
        <v>722.72</v>
      </c>
      <c r="C1053" s="19">
        <v>746</v>
      </c>
      <c r="D1053" s="19">
        <v>228</v>
      </c>
      <c r="E1053" s="19">
        <v>3</v>
      </c>
      <c r="F1053" s="18">
        <v>24668</v>
      </c>
      <c r="G1053" s="19">
        <v>25</v>
      </c>
      <c r="H1053" s="19">
        <v>6</v>
      </c>
      <c r="I1053" s="19">
        <v>8</v>
      </c>
      <c r="J1053" s="66">
        <f t="shared" si="146"/>
        <v>0.305630026809651</v>
      </c>
      <c r="K1053" s="67">
        <f t="shared" si="147"/>
        <v>3.16982456140351</v>
      </c>
      <c r="L1053" s="67">
        <f t="shared" si="148"/>
        <v>968.793565683646</v>
      </c>
      <c r="M1053" s="73">
        <f t="shared" si="149"/>
        <v>34.1321673677219</v>
      </c>
      <c r="N1053" s="66">
        <f t="shared" si="150"/>
        <v>0.0131578947368421</v>
      </c>
      <c r="O1053" s="52">
        <f t="shared" si="151"/>
        <v>8222.66666666667</v>
      </c>
      <c r="P1053" s="52">
        <f t="shared" si="152"/>
        <v>240.906666666667</v>
      </c>
      <c r="Q1053" s="68">
        <f t="shared" si="153"/>
        <v>28.9088</v>
      </c>
    </row>
    <row r="1054" s="2" customFormat="1" spans="1:17">
      <c r="A1054" s="61">
        <v>45701</v>
      </c>
      <c r="B1054" s="18">
        <v>898.35</v>
      </c>
      <c r="C1054" s="19">
        <v>982</v>
      </c>
      <c r="D1054" s="19">
        <v>235</v>
      </c>
      <c r="E1054" s="19">
        <v>0</v>
      </c>
      <c r="F1054" s="18">
        <v>0</v>
      </c>
      <c r="G1054" s="19">
        <v>43</v>
      </c>
      <c r="H1054" s="19">
        <v>3</v>
      </c>
      <c r="I1054" s="19">
        <v>14</v>
      </c>
      <c r="J1054" s="66">
        <f t="shared" si="146"/>
        <v>0.239307535641548</v>
      </c>
      <c r="K1054" s="67">
        <f t="shared" si="147"/>
        <v>3.82276595744681</v>
      </c>
      <c r="L1054" s="67">
        <f t="shared" si="148"/>
        <v>914.816700610998</v>
      </c>
      <c r="M1054" s="73">
        <f t="shared" si="149"/>
        <v>0</v>
      </c>
      <c r="N1054" s="66">
        <f t="shared" si="150"/>
        <v>0</v>
      </c>
      <c r="O1054" s="52">
        <f t="shared" si="151"/>
        <v>0</v>
      </c>
      <c r="P1054" s="52">
        <f t="shared" si="152"/>
        <v>0</v>
      </c>
      <c r="Q1054" s="68">
        <f t="shared" si="153"/>
        <v>20.8918604651163</v>
      </c>
    </row>
    <row r="1055" s="2" customFormat="1" spans="1:17">
      <c r="A1055" s="61">
        <v>45702</v>
      </c>
      <c r="B1055" s="18">
        <v>798.45</v>
      </c>
      <c r="C1055" s="19">
        <v>773</v>
      </c>
      <c r="D1055" s="19">
        <v>233</v>
      </c>
      <c r="E1055" s="19">
        <v>0</v>
      </c>
      <c r="F1055" s="18">
        <v>0</v>
      </c>
      <c r="G1055" s="19">
        <v>36</v>
      </c>
      <c r="H1055" s="19">
        <v>14</v>
      </c>
      <c r="I1055" s="19">
        <v>7</v>
      </c>
      <c r="J1055" s="66">
        <f t="shared" si="146"/>
        <v>0.301423027166882</v>
      </c>
      <c r="K1055" s="67">
        <f t="shared" si="147"/>
        <v>3.42682403433476</v>
      </c>
      <c r="L1055" s="67">
        <f t="shared" si="148"/>
        <v>1032.92367399741</v>
      </c>
      <c r="M1055" s="73">
        <f t="shared" si="149"/>
        <v>0</v>
      </c>
      <c r="N1055" s="66">
        <f t="shared" si="150"/>
        <v>0</v>
      </c>
      <c r="O1055" s="52">
        <f t="shared" si="151"/>
        <v>0</v>
      </c>
      <c r="P1055" s="52">
        <f t="shared" si="152"/>
        <v>0</v>
      </c>
      <c r="Q1055" s="68">
        <f t="shared" si="153"/>
        <v>22.1791666666667</v>
      </c>
    </row>
    <row r="1056" s="2" customFormat="1" spans="1:17">
      <c r="A1056" s="61">
        <v>45703</v>
      </c>
      <c r="B1056" s="18">
        <v>598.85</v>
      </c>
      <c r="C1056" s="19">
        <v>636</v>
      </c>
      <c r="D1056" s="19">
        <v>181</v>
      </c>
      <c r="E1056" s="19">
        <v>1</v>
      </c>
      <c r="F1056" s="18">
        <v>17978</v>
      </c>
      <c r="G1056" s="19">
        <v>31</v>
      </c>
      <c r="H1056" s="19">
        <v>6</v>
      </c>
      <c r="I1056" s="19">
        <v>8</v>
      </c>
      <c r="J1056" s="66">
        <f t="shared" si="146"/>
        <v>0.284591194968553</v>
      </c>
      <c r="K1056" s="67">
        <f t="shared" si="147"/>
        <v>3.3085635359116</v>
      </c>
      <c r="L1056" s="67">
        <f t="shared" si="148"/>
        <v>941.588050314465</v>
      </c>
      <c r="M1056" s="73">
        <f t="shared" si="149"/>
        <v>30.0208733405694</v>
      </c>
      <c r="N1056" s="66">
        <f t="shared" si="150"/>
        <v>0.00552486187845304</v>
      </c>
      <c r="O1056" s="52">
        <f t="shared" si="151"/>
        <v>17978</v>
      </c>
      <c r="P1056" s="52">
        <f t="shared" si="152"/>
        <v>598.85</v>
      </c>
      <c r="Q1056" s="68">
        <f t="shared" si="153"/>
        <v>19.3177419354839</v>
      </c>
    </row>
    <row r="1057" s="2" customFormat="1" spans="1:17">
      <c r="A1057" s="61">
        <v>45704</v>
      </c>
      <c r="B1057" s="18">
        <v>798.47</v>
      </c>
      <c r="C1057" s="19">
        <v>792</v>
      </c>
      <c r="D1057" s="19">
        <v>234</v>
      </c>
      <c r="E1057" s="19">
        <v>3</v>
      </c>
      <c r="F1057" s="18">
        <v>30034.8</v>
      </c>
      <c r="G1057" s="19">
        <v>53</v>
      </c>
      <c r="H1057" s="19">
        <v>7</v>
      </c>
      <c r="I1057" s="19">
        <v>14</v>
      </c>
      <c r="J1057" s="66">
        <f t="shared" si="146"/>
        <v>0.295454545454545</v>
      </c>
      <c r="K1057" s="67">
        <f t="shared" si="147"/>
        <v>3.41226495726496</v>
      </c>
      <c r="L1057" s="67">
        <f t="shared" si="148"/>
        <v>1008.16919191919</v>
      </c>
      <c r="M1057" s="73">
        <f t="shared" si="149"/>
        <v>37.6154395280975</v>
      </c>
      <c r="N1057" s="66">
        <f t="shared" si="150"/>
        <v>0.0128205128205128</v>
      </c>
      <c r="O1057" s="52">
        <f t="shared" si="151"/>
        <v>10011.6</v>
      </c>
      <c r="P1057" s="52">
        <f t="shared" si="152"/>
        <v>266.156666666667</v>
      </c>
      <c r="Q1057" s="68">
        <f t="shared" si="153"/>
        <v>15.0654716981132</v>
      </c>
    </row>
    <row r="1058" s="2" customFormat="1" spans="1:17">
      <c r="A1058" s="61">
        <v>45705</v>
      </c>
      <c r="B1058" s="18">
        <v>798.65</v>
      </c>
      <c r="C1058" s="19">
        <v>768</v>
      </c>
      <c r="D1058" s="19">
        <v>217</v>
      </c>
      <c r="E1058" s="19">
        <v>2</v>
      </c>
      <c r="F1058" s="18">
        <v>24228</v>
      </c>
      <c r="G1058" s="19">
        <v>43</v>
      </c>
      <c r="H1058" s="19">
        <v>0</v>
      </c>
      <c r="I1058" s="19">
        <v>14</v>
      </c>
      <c r="J1058" s="66">
        <f t="shared" si="146"/>
        <v>0.282552083333333</v>
      </c>
      <c r="K1058" s="67">
        <f t="shared" si="147"/>
        <v>3.68041474654378</v>
      </c>
      <c r="L1058" s="67">
        <f t="shared" si="148"/>
        <v>1039.90885416667</v>
      </c>
      <c r="M1058" s="73">
        <f t="shared" si="149"/>
        <v>30.3361923245477</v>
      </c>
      <c r="N1058" s="66">
        <f t="shared" si="150"/>
        <v>0.00921658986175115</v>
      </c>
      <c r="O1058" s="52">
        <f t="shared" si="151"/>
        <v>12114</v>
      </c>
      <c r="P1058" s="52">
        <f t="shared" si="152"/>
        <v>399.325</v>
      </c>
      <c r="Q1058" s="68">
        <f t="shared" si="153"/>
        <v>18.5732558139535</v>
      </c>
    </row>
    <row r="1059" s="2" customFormat="1" spans="1:17">
      <c r="A1059" s="61">
        <v>45706</v>
      </c>
      <c r="B1059" s="18">
        <v>598.95</v>
      </c>
      <c r="C1059" s="19">
        <v>585</v>
      </c>
      <c r="D1059" s="19">
        <v>222</v>
      </c>
      <c r="E1059" s="19">
        <v>0</v>
      </c>
      <c r="F1059" s="18">
        <v>0</v>
      </c>
      <c r="G1059" s="19">
        <v>42</v>
      </c>
      <c r="H1059" s="19">
        <v>8</v>
      </c>
      <c r="I1059" s="19">
        <v>8</v>
      </c>
      <c r="J1059" s="66">
        <f t="shared" si="146"/>
        <v>0.379487179487179</v>
      </c>
      <c r="K1059" s="67">
        <f t="shared" si="147"/>
        <v>2.69797297297297</v>
      </c>
      <c r="L1059" s="67">
        <f t="shared" si="148"/>
        <v>1023.84615384615</v>
      </c>
      <c r="M1059" s="73">
        <f t="shared" si="149"/>
        <v>0</v>
      </c>
      <c r="N1059" s="66">
        <f t="shared" si="150"/>
        <v>0</v>
      </c>
      <c r="O1059" s="52">
        <f t="shared" si="151"/>
        <v>0</v>
      </c>
      <c r="P1059" s="52">
        <f t="shared" si="152"/>
        <v>0</v>
      </c>
      <c r="Q1059" s="68">
        <f t="shared" si="153"/>
        <v>14.2607142857143</v>
      </c>
    </row>
    <row r="1060" s="2" customFormat="1" spans="1:17">
      <c r="A1060" s="61">
        <v>45707</v>
      </c>
      <c r="B1060" s="18">
        <v>598.86</v>
      </c>
      <c r="C1060" s="19">
        <v>600</v>
      </c>
      <c r="D1060" s="19">
        <v>184</v>
      </c>
      <c r="E1060" s="19">
        <v>0</v>
      </c>
      <c r="F1060" s="18">
        <v>0</v>
      </c>
      <c r="G1060" s="19">
        <v>29</v>
      </c>
      <c r="H1060" s="19">
        <v>10</v>
      </c>
      <c r="I1060" s="19">
        <v>13</v>
      </c>
      <c r="J1060" s="66">
        <f t="shared" si="146"/>
        <v>0.306666666666667</v>
      </c>
      <c r="K1060" s="67">
        <f t="shared" si="147"/>
        <v>3.25467391304348</v>
      </c>
      <c r="L1060" s="67">
        <f t="shared" si="148"/>
        <v>998.1</v>
      </c>
      <c r="M1060" s="73">
        <f t="shared" si="149"/>
        <v>0</v>
      </c>
      <c r="N1060" s="66">
        <f t="shared" si="150"/>
        <v>0</v>
      </c>
      <c r="O1060" s="52">
        <f t="shared" si="151"/>
        <v>0</v>
      </c>
      <c r="P1060" s="52">
        <f t="shared" si="152"/>
        <v>0</v>
      </c>
      <c r="Q1060" s="68">
        <f t="shared" si="153"/>
        <v>20.6503448275862</v>
      </c>
    </row>
    <row r="1061" s="2" customFormat="1" spans="1:17">
      <c r="A1061" s="61">
        <v>45708</v>
      </c>
      <c r="B1061" s="18">
        <v>798.59</v>
      </c>
      <c r="C1061" s="19">
        <v>769</v>
      </c>
      <c r="D1061" s="19">
        <v>217</v>
      </c>
      <c r="E1061" s="19">
        <v>3</v>
      </c>
      <c r="F1061" s="18">
        <v>43216</v>
      </c>
      <c r="G1061" s="19">
        <v>47</v>
      </c>
      <c r="H1061" s="19">
        <v>5</v>
      </c>
      <c r="I1061" s="19">
        <v>18</v>
      </c>
      <c r="J1061" s="66">
        <f t="shared" si="146"/>
        <v>0.282184655396619</v>
      </c>
      <c r="K1061" s="67">
        <f t="shared" si="147"/>
        <v>3.68013824884793</v>
      </c>
      <c r="L1061" s="67">
        <f t="shared" si="148"/>
        <v>1038.47854356307</v>
      </c>
      <c r="M1061" s="73">
        <f t="shared" si="149"/>
        <v>54.1153783543495</v>
      </c>
      <c r="N1061" s="66">
        <f t="shared" si="150"/>
        <v>0.0138248847926267</v>
      </c>
      <c r="O1061" s="52">
        <f t="shared" si="151"/>
        <v>14405.3333333333</v>
      </c>
      <c r="P1061" s="52">
        <f t="shared" si="152"/>
        <v>266.196666666667</v>
      </c>
      <c r="Q1061" s="68">
        <f t="shared" si="153"/>
        <v>16.9912765957447</v>
      </c>
    </row>
    <row r="1062" s="2" customFormat="1" spans="1:17">
      <c r="A1062" s="61">
        <v>45709</v>
      </c>
      <c r="B1062" s="18">
        <v>898.34</v>
      </c>
      <c r="C1062" s="19">
        <v>876</v>
      </c>
      <c r="D1062" s="19">
        <v>266</v>
      </c>
      <c r="E1062" s="19">
        <v>1</v>
      </c>
      <c r="F1062" s="18">
        <v>8554</v>
      </c>
      <c r="G1062" s="19">
        <v>45</v>
      </c>
      <c r="H1062" s="19">
        <v>7</v>
      </c>
      <c r="I1062" s="19">
        <v>15</v>
      </c>
      <c r="J1062" s="66">
        <f t="shared" ref="J1062:J1125" si="154">D1062/C1062</f>
        <v>0.30365296803653</v>
      </c>
      <c r="K1062" s="67">
        <f t="shared" ref="K1062:K1125" si="155">B1062/D1062</f>
        <v>3.37721804511278</v>
      </c>
      <c r="L1062" s="67">
        <f t="shared" ref="L1062:L1125" si="156">B1062/C1062*1000</f>
        <v>1025.50228310502</v>
      </c>
      <c r="M1062" s="73">
        <f t="shared" ref="M1062:M1125" si="157">F1062/B1062</f>
        <v>9.52200725783111</v>
      </c>
      <c r="N1062" s="66">
        <f t="shared" ref="N1062:N1125" si="158">E1062/D1062</f>
        <v>0.0037593984962406</v>
      </c>
      <c r="O1062" s="52">
        <f t="shared" ref="O1062:O1125" si="159">IF(E1062=0,0,F1062/E1062)</f>
        <v>8554</v>
      </c>
      <c r="P1062" s="52">
        <f t="shared" ref="P1062:P1125" si="160">IF(E1062=0,0,B1062/E1062)</f>
        <v>898.34</v>
      </c>
      <c r="Q1062" s="68">
        <f t="shared" ref="Q1062:Q1125" si="161">B1062/G1062</f>
        <v>19.9631111111111</v>
      </c>
    </row>
    <row r="1063" s="2" customFormat="1" spans="1:17">
      <c r="A1063" s="61">
        <v>45710</v>
      </c>
      <c r="B1063" s="18">
        <v>957.88</v>
      </c>
      <c r="C1063" s="19">
        <v>907</v>
      </c>
      <c r="D1063" s="19">
        <v>323</v>
      </c>
      <c r="E1063" s="19">
        <v>1</v>
      </c>
      <c r="F1063" s="18">
        <v>11983</v>
      </c>
      <c r="G1063" s="19">
        <v>54</v>
      </c>
      <c r="H1063" s="19">
        <v>5</v>
      </c>
      <c r="I1063" s="19">
        <v>14</v>
      </c>
      <c r="J1063" s="66">
        <f t="shared" si="154"/>
        <v>0.356119073869901</v>
      </c>
      <c r="K1063" s="67">
        <f t="shared" si="155"/>
        <v>2.96557275541796</v>
      </c>
      <c r="L1063" s="67">
        <f t="shared" si="156"/>
        <v>1056.09702315325</v>
      </c>
      <c r="M1063" s="73">
        <f t="shared" si="157"/>
        <v>12.5099177349981</v>
      </c>
      <c r="N1063" s="66">
        <f t="shared" si="158"/>
        <v>0.00309597523219814</v>
      </c>
      <c r="O1063" s="52">
        <f t="shared" si="159"/>
        <v>11983</v>
      </c>
      <c r="P1063" s="52">
        <f t="shared" si="160"/>
        <v>957.88</v>
      </c>
      <c r="Q1063" s="68">
        <f t="shared" si="161"/>
        <v>17.7385185185185</v>
      </c>
    </row>
    <row r="1064" s="2" customFormat="1" spans="1:17">
      <c r="A1064" s="61">
        <v>45711</v>
      </c>
      <c r="B1064" s="18">
        <v>996.29</v>
      </c>
      <c r="C1064" s="19">
        <v>964</v>
      </c>
      <c r="D1064" s="19">
        <v>323</v>
      </c>
      <c r="E1064" s="19">
        <v>3</v>
      </c>
      <c r="F1064" s="18">
        <v>34083.8</v>
      </c>
      <c r="G1064" s="19">
        <v>58</v>
      </c>
      <c r="H1064" s="19">
        <v>5</v>
      </c>
      <c r="I1064" s="19">
        <v>12</v>
      </c>
      <c r="J1064" s="66">
        <f t="shared" si="154"/>
        <v>0.3350622406639</v>
      </c>
      <c r="K1064" s="67">
        <f t="shared" si="155"/>
        <v>3.08448916408669</v>
      </c>
      <c r="L1064" s="67">
        <f t="shared" si="156"/>
        <v>1033.49585062241</v>
      </c>
      <c r="M1064" s="73">
        <f t="shared" si="157"/>
        <v>34.2107217777956</v>
      </c>
      <c r="N1064" s="66">
        <f t="shared" si="158"/>
        <v>0.00928792569659443</v>
      </c>
      <c r="O1064" s="52">
        <f t="shared" si="159"/>
        <v>11361.2666666667</v>
      </c>
      <c r="P1064" s="52">
        <f t="shared" si="160"/>
        <v>332.096666666667</v>
      </c>
      <c r="Q1064" s="68">
        <f t="shared" si="161"/>
        <v>17.1774137931034</v>
      </c>
    </row>
    <row r="1065" s="2" customFormat="1" spans="1:17">
      <c r="A1065" s="61">
        <v>45712</v>
      </c>
      <c r="B1065" s="18">
        <v>1034.69</v>
      </c>
      <c r="C1065" s="19">
        <v>977</v>
      </c>
      <c r="D1065" s="19">
        <v>325</v>
      </c>
      <c r="E1065" s="19">
        <v>1</v>
      </c>
      <c r="F1065" s="18">
        <v>11172</v>
      </c>
      <c r="G1065" s="19">
        <v>51</v>
      </c>
      <c r="H1065" s="19">
        <v>5</v>
      </c>
      <c r="I1065" s="19">
        <v>11</v>
      </c>
      <c r="J1065" s="66">
        <f t="shared" si="154"/>
        <v>0.332650972364381</v>
      </c>
      <c r="K1065" s="67">
        <f t="shared" si="155"/>
        <v>3.18366153846154</v>
      </c>
      <c r="L1065" s="67">
        <f t="shared" si="156"/>
        <v>1059.04810644831</v>
      </c>
      <c r="M1065" s="73">
        <f t="shared" si="157"/>
        <v>10.7974369134717</v>
      </c>
      <c r="N1065" s="66">
        <f t="shared" si="158"/>
        <v>0.00307692307692308</v>
      </c>
      <c r="O1065" s="52">
        <f t="shared" si="159"/>
        <v>11172</v>
      </c>
      <c r="P1065" s="52">
        <f t="shared" si="160"/>
        <v>1034.69</v>
      </c>
      <c r="Q1065" s="68">
        <f t="shared" si="161"/>
        <v>20.2880392156863</v>
      </c>
    </row>
    <row r="1066" s="2" customFormat="1" spans="1:17">
      <c r="A1066" s="61">
        <v>45713</v>
      </c>
      <c r="B1066" s="18">
        <v>975.81</v>
      </c>
      <c r="C1066" s="19">
        <v>1044</v>
      </c>
      <c r="D1066" s="19">
        <v>322</v>
      </c>
      <c r="E1066" s="19">
        <v>0</v>
      </c>
      <c r="F1066" s="18">
        <v>0</v>
      </c>
      <c r="G1066" s="19">
        <v>81</v>
      </c>
      <c r="H1066" s="19">
        <v>7</v>
      </c>
      <c r="I1066" s="19">
        <v>8</v>
      </c>
      <c r="J1066" s="66">
        <f t="shared" si="154"/>
        <v>0.308429118773946</v>
      </c>
      <c r="K1066" s="67">
        <f t="shared" si="155"/>
        <v>3.03046583850932</v>
      </c>
      <c r="L1066" s="67">
        <f t="shared" si="156"/>
        <v>934.683908045977</v>
      </c>
      <c r="M1066" s="73">
        <f t="shared" si="157"/>
        <v>0</v>
      </c>
      <c r="N1066" s="66">
        <f t="shared" si="158"/>
        <v>0</v>
      </c>
      <c r="O1066" s="52">
        <f t="shared" si="159"/>
        <v>0</v>
      </c>
      <c r="P1066" s="52">
        <f t="shared" si="160"/>
        <v>0</v>
      </c>
      <c r="Q1066" s="68">
        <f t="shared" si="161"/>
        <v>12.047037037037</v>
      </c>
    </row>
    <row r="1067" s="2" customFormat="1" spans="1:17">
      <c r="A1067" s="61">
        <v>45714</v>
      </c>
      <c r="B1067" s="18">
        <v>1109.85</v>
      </c>
      <c r="C1067" s="19">
        <v>1143</v>
      </c>
      <c r="D1067" s="19">
        <v>303</v>
      </c>
      <c r="E1067" s="19">
        <v>1</v>
      </c>
      <c r="F1067" s="18">
        <v>7491.12</v>
      </c>
      <c r="G1067" s="19">
        <v>49</v>
      </c>
      <c r="H1067" s="19">
        <v>6</v>
      </c>
      <c r="I1067" s="19">
        <v>10</v>
      </c>
      <c r="J1067" s="66">
        <f t="shared" si="154"/>
        <v>0.26509186351706</v>
      </c>
      <c r="K1067" s="67">
        <f t="shared" si="155"/>
        <v>3.66287128712871</v>
      </c>
      <c r="L1067" s="67">
        <f t="shared" si="156"/>
        <v>970.997375328084</v>
      </c>
      <c r="M1067" s="73">
        <f t="shared" si="157"/>
        <v>6.74966887417219</v>
      </c>
      <c r="N1067" s="66">
        <f t="shared" si="158"/>
        <v>0.0033003300330033</v>
      </c>
      <c r="O1067" s="52">
        <f t="shared" si="159"/>
        <v>7491.12</v>
      </c>
      <c r="P1067" s="52">
        <f t="shared" si="160"/>
        <v>1109.85</v>
      </c>
      <c r="Q1067" s="68">
        <f t="shared" si="161"/>
        <v>22.65</v>
      </c>
    </row>
    <row r="1068" s="2" customFormat="1" spans="1:17">
      <c r="A1068" s="61">
        <v>45715</v>
      </c>
      <c r="B1068" s="18">
        <v>1042.54</v>
      </c>
      <c r="C1068" s="19">
        <v>1082</v>
      </c>
      <c r="D1068" s="19">
        <v>332</v>
      </c>
      <c r="E1068" s="19">
        <v>7</v>
      </c>
      <c r="F1068" s="18">
        <v>88354</v>
      </c>
      <c r="G1068" s="19">
        <v>71</v>
      </c>
      <c r="H1068" s="19">
        <v>13</v>
      </c>
      <c r="I1068" s="19">
        <v>14</v>
      </c>
      <c r="J1068" s="66">
        <f t="shared" si="154"/>
        <v>0.306839186691312</v>
      </c>
      <c r="K1068" s="67">
        <f t="shared" si="155"/>
        <v>3.14018072289157</v>
      </c>
      <c r="L1068" s="67">
        <f t="shared" si="156"/>
        <v>963.530499075786</v>
      </c>
      <c r="M1068" s="73">
        <f t="shared" si="157"/>
        <v>84.7487866173001</v>
      </c>
      <c r="N1068" s="66">
        <f t="shared" si="158"/>
        <v>0.0210843373493976</v>
      </c>
      <c r="O1068" s="52">
        <f t="shared" si="159"/>
        <v>12622</v>
      </c>
      <c r="P1068" s="52">
        <f t="shared" si="160"/>
        <v>148.934285714286</v>
      </c>
      <c r="Q1068" s="68">
        <f t="shared" si="161"/>
        <v>14.683661971831</v>
      </c>
    </row>
    <row r="1069" s="2" customFormat="1" spans="1:17">
      <c r="A1069" s="61">
        <v>45716</v>
      </c>
      <c r="B1069" s="18">
        <v>1021.49</v>
      </c>
      <c r="C1069" s="19">
        <v>1034</v>
      </c>
      <c r="D1069" s="19">
        <v>271</v>
      </c>
      <c r="E1069" s="19">
        <v>3</v>
      </c>
      <c r="F1069" s="18">
        <v>21805</v>
      </c>
      <c r="G1069" s="19">
        <v>44</v>
      </c>
      <c r="H1069" s="19">
        <v>5</v>
      </c>
      <c r="I1069" s="19">
        <v>14</v>
      </c>
      <c r="J1069" s="66">
        <f t="shared" si="154"/>
        <v>0.262088974854932</v>
      </c>
      <c r="K1069" s="67">
        <f t="shared" si="155"/>
        <v>3.76933579335793</v>
      </c>
      <c r="L1069" s="67">
        <f t="shared" si="156"/>
        <v>987.901353965184</v>
      </c>
      <c r="M1069" s="73">
        <f t="shared" si="157"/>
        <v>21.3462686859392</v>
      </c>
      <c r="N1069" s="66">
        <f t="shared" si="158"/>
        <v>0.011070110701107</v>
      </c>
      <c r="O1069" s="52">
        <f t="shared" si="159"/>
        <v>7268.33333333333</v>
      </c>
      <c r="P1069" s="52">
        <f t="shared" si="160"/>
        <v>340.496666666667</v>
      </c>
      <c r="Q1069" s="68">
        <f t="shared" si="161"/>
        <v>23.2156818181818</v>
      </c>
    </row>
    <row r="1070" s="2" customFormat="1" spans="1:17">
      <c r="A1070" s="61">
        <v>45717</v>
      </c>
      <c r="B1070" s="18">
        <v>801.03</v>
      </c>
      <c r="C1070" s="19">
        <v>945</v>
      </c>
      <c r="D1070" s="19">
        <v>220</v>
      </c>
      <c r="E1070" s="19">
        <v>3</v>
      </c>
      <c r="F1070" s="18">
        <v>27091</v>
      </c>
      <c r="G1070" s="19">
        <v>52</v>
      </c>
      <c r="H1070" s="19">
        <v>14</v>
      </c>
      <c r="I1070" s="19">
        <v>5</v>
      </c>
      <c r="J1070" s="66">
        <f t="shared" si="154"/>
        <v>0.232804232804233</v>
      </c>
      <c r="K1070" s="67">
        <f t="shared" si="155"/>
        <v>3.64104545454545</v>
      </c>
      <c r="L1070" s="67">
        <f t="shared" si="156"/>
        <v>847.650793650794</v>
      </c>
      <c r="M1070" s="73">
        <f t="shared" si="157"/>
        <v>33.8202064841517</v>
      </c>
      <c r="N1070" s="66">
        <f t="shared" si="158"/>
        <v>0.0136363636363636</v>
      </c>
      <c r="O1070" s="52">
        <f t="shared" si="159"/>
        <v>9030.33333333333</v>
      </c>
      <c r="P1070" s="52">
        <f t="shared" si="160"/>
        <v>267.01</v>
      </c>
      <c r="Q1070" s="68">
        <f t="shared" si="161"/>
        <v>15.4044230769231</v>
      </c>
    </row>
    <row r="1071" s="2" customFormat="1" spans="1:17">
      <c r="A1071" s="61">
        <v>45718</v>
      </c>
      <c r="B1071" s="18">
        <v>458.84</v>
      </c>
      <c r="C1071" s="19">
        <v>537</v>
      </c>
      <c r="D1071" s="19">
        <v>115</v>
      </c>
      <c r="E1071" s="19">
        <v>0</v>
      </c>
      <c r="F1071" s="18">
        <v>0</v>
      </c>
      <c r="G1071" s="19">
        <v>25</v>
      </c>
      <c r="H1071" s="19">
        <v>2</v>
      </c>
      <c r="I1071" s="19">
        <v>6</v>
      </c>
      <c r="J1071" s="66">
        <f t="shared" si="154"/>
        <v>0.21415270018622</v>
      </c>
      <c r="K1071" s="67">
        <f t="shared" si="155"/>
        <v>3.98991304347826</v>
      </c>
      <c r="L1071" s="67">
        <f t="shared" si="156"/>
        <v>854.450651769087</v>
      </c>
      <c r="M1071" s="73">
        <f t="shared" si="157"/>
        <v>0</v>
      </c>
      <c r="N1071" s="66">
        <f t="shared" si="158"/>
        <v>0</v>
      </c>
      <c r="O1071" s="52">
        <f t="shared" si="159"/>
        <v>0</v>
      </c>
      <c r="P1071" s="52">
        <f t="shared" si="160"/>
        <v>0</v>
      </c>
      <c r="Q1071" s="68">
        <f t="shared" si="161"/>
        <v>18.3536</v>
      </c>
    </row>
    <row r="1072" s="2" customFormat="1" spans="1:17">
      <c r="A1072" s="61">
        <v>45719</v>
      </c>
      <c r="B1072" s="18">
        <v>400.76</v>
      </c>
      <c r="C1072" s="19">
        <v>546</v>
      </c>
      <c r="D1072" s="19">
        <v>96</v>
      </c>
      <c r="E1072" s="19">
        <v>0</v>
      </c>
      <c r="F1072" s="18">
        <v>0</v>
      </c>
      <c r="G1072" s="19">
        <v>14</v>
      </c>
      <c r="H1072" s="19">
        <v>1</v>
      </c>
      <c r="I1072" s="19">
        <v>3</v>
      </c>
      <c r="J1072" s="66">
        <f t="shared" si="154"/>
        <v>0.175824175824176</v>
      </c>
      <c r="K1072" s="67">
        <f t="shared" si="155"/>
        <v>4.17458333333333</v>
      </c>
      <c r="L1072" s="67">
        <f t="shared" si="156"/>
        <v>733.992673992674</v>
      </c>
      <c r="M1072" s="73">
        <f t="shared" si="157"/>
        <v>0</v>
      </c>
      <c r="N1072" s="66">
        <f t="shared" si="158"/>
        <v>0</v>
      </c>
      <c r="O1072" s="52">
        <f t="shared" si="159"/>
        <v>0</v>
      </c>
      <c r="P1072" s="52">
        <f t="shared" si="160"/>
        <v>0</v>
      </c>
      <c r="Q1072" s="68">
        <f t="shared" si="161"/>
        <v>28.6257142857143</v>
      </c>
    </row>
    <row r="1073" s="2" customFormat="1" spans="1:17">
      <c r="A1073" s="61">
        <v>45720</v>
      </c>
      <c r="B1073" s="18">
        <v>917.77</v>
      </c>
      <c r="C1073" s="19">
        <v>1074</v>
      </c>
      <c r="D1073" s="19">
        <v>255</v>
      </c>
      <c r="E1073" s="19">
        <v>0</v>
      </c>
      <c r="F1073" s="18">
        <v>0</v>
      </c>
      <c r="G1073" s="19">
        <v>64</v>
      </c>
      <c r="H1073" s="19">
        <v>4</v>
      </c>
      <c r="I1073" s="19">
        <v>8</v>
      </c>
      <c r="J1073" s="66">
        <f t="shared" si="154"/>
        <v>0.237430167597765</v>
      </c>
      <c r="K1073" s="67">
        <f t="shared" si="155"/>
        <v>3.59909803921569</v>
      </c>
      <c r="L1073" s="67">
        <f t="shared" si="156"/>
        <v>854.534450651769</v>
      </c>
      <c r="M1073" s="73">
        <f t="shared" si="157"/>
        <v>0</v>
      </c>
      <c r="N1073" s="66">
        <f t="shared" si="158"/>
        <v>0</v>
      </c>
      <c r="O1073" s="52">
        <f t="shared" si="159"/>
        <v>0</v>
      </c>
      <c r="P1073" s="52">
        <f t="shared" si="160"/>
        <v>0</v>
      </c>
      <c r="Q1073" s="68">
        <f t="shared" si="161"/>
        <v>14.34015625</v>
      </c>
    </row>
    <row r="1074" s="2" customFormat="1" spans="1:17">
      <c r="A1074" s="61">
        <v>45721</v>
      </c>
      <c r="B1074" s="18">
        <v>902.71</v>
      </c>
      <c r="C1074" s="19">
        <v>969</v>
      </c>
      <c r="D1074" s="19">
        <v>252</v>
      </c>
      <c r="E1074" s="19">
        <v>3</v>
      </c>
      <c r="F1074" s="18">
        <v>24040</v>
      </c>
      <c r="G1074" s="19">
        <v>41</v>
      </c>
      <c r="H1074" s="19">
        <v>5</v>
      </c>
      <c r="I1074" s="19">
        <v>11</v>
      </c>
      <c r="J1074" s="66">
        <f t="shared" si="154"/>
        <v>0.260061919504644</v>
      </c>
      <c r="K1074" s="67">
        <f t="shared" si="155"/>
        <v>3.58218253968254</v>
      </c>
      <c r="L1074" s="67">
        <f t="shared" si="156"/>
        <v>931.589267285862</v>
      </c>
      <c r="M1074" s="73">
        <f t="shared" si="157"/>
        <v>26.6309224446389</v>
      </c>
      <c r="N1074" s="66">
        <f t="shared" si="158"/>
        <v>0.0119047619047619</v>
      </c>
      <c r="O1074" s="52">
        <f t="shared" si="159"/>
        <v>8013.33333333333</v>
      </c>
      <c r="P1074" s="52">
        <f t="shared" si="160"/>
        <v>300.903333333333</v>
      </c>
      <c r="Q1074" s="68">
        <f t="shared" si="161"/>
        <v>22.0173170731707</v>
      </c>
    </row>
    <row r="1075" s="2" customFormat="1" spans="1:17">
      <c r="A1075" s="61">
        <v>45722</v>
      </c>
      <c r="B1075" s="18">
        <v>835.49</v>
      </c>
      <c r="C1075" s="19">
        <v>886</v>
      </c>
      <c r="D1075" s="19">
        <v>206</v>
      </c>
      <c r="E1075" s="19">
        <v>1</v>
      </c>
      <c r="F1075" s="18">
        <v>5384</v>
      </c>
      <c r="G1075" s="19">
        <v>40</v>
      </c>
      <c r="H1075" s="19">
        <v>6</v>
      </c>
      <c r="I1075" s="19">
        <v>8</v>
      </c>
      <c r="J1075" s="66">
        <f t="shared" si="154"/>
        <v>0.232505643340858</v>
      </c>
      <c r="K1075" s="67">
        <f t="shared" si="155"/>
        <v>4.05577669902913</v>
      </c>
      <c r="L1075" s="67">
        <f t="shared" si="156"/>
        <v>942.990970654628</v>
      </c>
      <c r="M1075" s="73">
        <f t="shared" si="157"/>
        <v>6.44412261068355</v>
      </c>
      <c r="N1075" s="66">
        <f t="shared" si="158"/>
        <v>0.00485436893203883</v>
      </c>
      <c r="O1075" s="52">
        <f t="shared" si="159"/>
        <v>5384</v>
      </c>
      <c r="P1075" s="52">
        <f t="shared" si="160"/>
        <v>835.49</v>
      </c>
      <c r="Q1075" s="68">
        <f t="shared" si="161"/>
        <v>20.88725</v>
      </c>
    </row>
    <row r="1076" s="2" customFormat="1" spans="1:17">
      <c r="A1076" s="61">
        <v>45723</v>
      </c>
      <c r="B1076" s="18">
        <v>786.33</v>
      </c>
      <c r="C1076" s="19">
        <v>798</v>
      </c>
      <c r="D1076" s="19">
        <v>217</v>
      </c>
      <c r="E1076" s="19">
        <v>6</v>
      </c>
      <c r="F1076" s="18">
        <v>56084</v>
      </c>
      <c r="G1076" s="19">
        <v>42</v>
      </c>
      <c r="H1076" s="19">
        <v>2</v>
      </c>
      <c r="I1076" s="19">
        <v>6</v>
      </c>
      <c r="J1076" s="66">
        <f t="shared" si="154"/>
        <v>0.271929824561404</v>
      </c>
      <c r="K1076" s="67">
        <f t="shared" si="155"/>
        <v>3.62364055299539</v>
      </c>
      <c r="L1076" s="67">
        <f t="shared" si="156"/>
        <v>985.375939849624</v>
      </c>
      <c r="M1076" s="73">
        <f t="shared" si="157"/>
        <v>71.3237444838681</v>
      </c>
      <c r="N1076" s="66">
        <f t="shared" si="158"/>
        <v>0.0276497695852535</v>
      </c>
      <c r="O1076" s="52">
        <f t="shared" si="159"/>
        <v>9347.33333333333</v>
      </c>
      <c r="P1076" s="52">
        <f t="shared" si="160"/>
        <v>131.055</v>
      </c>
      <c r="Q1076" s="68">
        <f t="shared" si="161"/>
        <v>18.7221428571429</v>
      </c>
    </row>
    <row r="1077" s="2" customFormat="1" spans="1:17">
      <c r="A1077" s="61">
        <v>45724</v>
      </c>
      <c r="B1077" s="18">
        <v>776.79</v>
      </c>
      <c r="C1077" s="19">
        <v>847</v>
      </c>
      <c r="D1077" s="19">
        <v>226</v>
      </c>
      <c r="E1077" s="19">
        <v>6</v>
      </c>
      <c r="F1077" s="18">
        <v>76592</v>
      </c>
      <c r="G1077" s="19">
        <v>37</v>
      </c>
      <c r="H1077" s="19">
        <v>4</v>
      </c>
      <c r="I1077" s="19">
        <v>10</v>
      </c>
      <c r="J1077" s="66">
        <f t="shared" si="154"/>
        <v>0.266824085005903</v>
      </c>
      <c r="K1077" s="67">
        <f t="shared" si="155"/>
        <v>3.43712389380531</v>
      </c>
      <c r="L1077" s="67">
        <f t="shared" si="156"/>
        <v>917.107438016529</v>
      </c>
      <c r="M1077" s="73">
        <f t="shared" si="157"/>
        <v>98.6006513987049</v>
      </c>
      <c r="N1077" s="66">
        <f t="shared" si="158"/>
        <v>0.0265486725663717</v>
      </c>
      <c r="O1077" s="52">
        <f t="shared" si="159"/>
        <v>12765.3333333333</v>
      </c>
      <c r="P1077" s="52">
        <f t="shared" si="160"/>
        <v>129.465</v>
      </c>
      <c r="Q1077" s="68">
        <f t="shared" si="161"/>
        <v>20.9943243243243</v>
      </c>
    </row>
    <row r="1078" s="2" customFormat="1" spans="1:17">
      <c r="A1078" s="61">
        <v>45725</v>
      </c>
      <c r="B1078" s="18">
        <v>929.31</v>
      </c>
      <c r="C1078" s="19">
        <v>997</v>
      </c>
      <c r="D1078" s="19">
        <v>278</v>
      </c>
      <c r="E1078" s="19">
        <v>0</v>
      </c>
      <c r="F1078" s="18">
        <v>0</v>
      </c>
      <c r="G1078" s="19">
        <v>46</v>
      </c>
      <c r="H1078" s="19">
        <v>7</v>
      </c>
      <c r="I1078" s="19">
        <v>11</v>
      </c>
      <c r="J1078" s="66">
        <f t="shared" si="154"/>
        <v>0.278836509528586</v>
      </c>
      <c r="K1078" s="67">
        <f t="shared" si="155"/>
        <v>3.3428417266187</v>
      </c>
      <c r="L1078" s="67">
        <f t="shared" si="156"/>
        <v>932.106318956871</v>
      </c>
      <c r="M1078" s="73">
        <f t="shared" si="157"/>
        <v>0</v>
      </c>
      <c r="N1078" s="66">
        <f t="shared" si="158"/>
        <v>0</v>
      </c>
      <c r="O1078" s="52">
        <f t="shared" si="159"/>
        <v>0</v>
      </c>
      <c r="P1078" s="52">
        <f t="shared" si="160"/>
        <v>0</v>
      </c>
      <c r="Q1078" s="68">
        <f t="shared" si="161"/>
        <v>20.2023913043478</v>
      </c>
    </row>
    <row r="1079" s="2" customFormat="1" spans="1:17">
      <c r="A1079" s="61">
        <v>45726</v>
      </c>
      <c r="B1079" s="18">
        <v>876.06</v>
      </c>
      <c r="C1079" s="19">
        <v>902</v>
      </c>
      <c r="D1079" s="19">
        <v>278</v>
      </c>
      <c r="E1079" s="19">
        <v>2</v>
      </c>
      <c r="F1079" s="18">
        <v>12052</v>
      </c>
      <c r="G1079" s="19">
        <v>48</v>
      </c>
      <c r="H1079" s="19">
        <v>5</v>
      </c>
      <c r="I1079" s="19">
        <v>21</v>
      </c>
      <c r="J1079" s="66">
        <f t="shared" si="154"/>
        <v>0.30820399113082</v>
      </c>
      <c r="K1079" s="67">
        <f t="shared" si="155"/>
        <v>3.15129496402878</v>
      </c>
      <c r="L1079" s="67">
        <f t="shared" si="156"/>
        <v>971.241685144124</v>
      </c>
      <c r="M1079" s="73">
        <f t="shared" si="157"/>
        <v>13.7570486039769</v>
      </c>
      <c r="N1079" s="66">
        <f t="shared" si="158"/>
        <v>0.00719424460431655</v>
      </c>
      <c r="O1079" s="52">
        <f t="shared" si="159"/>
        <v>6026</v>
      </c>
      <c r="P1079" s="52">
        <f t="shared" si="160"/>
        <v>438.03</v>
      </c>
      <c r="Q1079" s="68">
        <f t="shared" si="161"/>
        <v>18.25125</v>
      </c>
    </row>
    <row r="1080" s="2" customFormat="1" spans="1:17">
      <c r="A1080" s="61">
        <v>45727</v>
      </c>
      <c r="B1080" s="18">
        <v>914.86</v>
      </c>
      <c r="C1080" s="19">
        <v>944</v>
      </c>
      <c r="D1080" s="19">
        <v>289</v>
      </c>
      <c r="E1080" s="19">
        <v>7</v>
      </c>
      <c r="F1080" s="18">
        <v>116196</v>
      </c>
      <c r="G1080" s="19">
        <v>44</v>
      </c>
      <c r="H1080" s="19">
        <v>4</v>
      </c>
      <c r="I1080" s="19">
        <v>12</v>
      </c>
      <c r="J1080" s="66">
        <f t="shared" si="154"/>
        <v>0.30614406779661</v>
      </c>
      <c r="K1080" s="67">
        <f t="shared" si="155"/>
        <v>3.16560553633218</v>
      </c>
      <c r="L1080" s="67">
        <f t="shared" si="156"/>
        <v>969.131355932203</v>
      </c>
      <c r="M1080" s="73">
        <f t="shared" si="157"/>
        <v>127.009597096824</v>
      </c>
      <c r="N1080" s="66">
        <f t="shared" si="158"/>
        <v>0.0242214532871972</v>
      </c>
      <c r="O1080" s="52">
        <f t="shared" si="159"/>
        <v>16599.4285714286</v>
      </c>
      <c r="P1080" s="52">
        <f t="shared" si="160"/>
        <v>130.694285714286</v>
      </c>
      <c r="Q1080" s="68">
        <f t="shared" si="161"/>
        <v>20.7922727272727</v>
      </c>
    </row>
    <row r="1081" s="2" customFormat="1" spans="1:17">
      <c r="A1081" s="61">
        <v>45728</v>
      </c>
      <c r="B1081" s="18">
        <v>984.46</v>
      </c>
      <c r="C1081" s="19">
        <v>905</v>
      </c>
      <c r="D1081" s="19">
        <v>253</v>
      </c>
      <c r="E1081" s="19">
        <v>3</v>
      </c>
      <c r="F1081" s="18">
        <v>24208</v>
      </c>
      <c r="G1081" s="19">
        <v>41</v>
      </c>
      <c r="H1081" s="19">
        <v>6</v>
      </c>
      <c r="I1081" s="19">
        <v>16</v>
      </c>
      <c r="J1081" s="66">
        <f t="shared" si="154"/>
        <v>0.279558011049724</v>
      </c>
      <c r="K1081" s="67">
        <f t="shared" si="155"/>
        <v>3.89114624505929</v>
      </c>
      <c r="L1081" s="67">
        <f t="shared" si="156"/>
        <v>1087.80110497238</v>
      </c>
      <c r="M1081" s="73">
        <f t="shared" si="157"/>
        <v>24.59013062999</v>
      </c>
      <c r="N1081" s="66">
        <f t="shared" si="158"/>
        <v>0.0118577075098814</v>
      </c>
      <c r="O1081" s="52">
        <f t="shared" si="159"/>
        <v>8069.33333333333</v>
      </c>
      <c r="P1081" s="52">
        <f t="shared" si="160"/>
        <v>328.153333333333</v>
      </c>
      <c r="Q1081" s="68">
        <f t="shared" si="161"/>
        <v>24.0112195121951</v>
      </c>
    </row>
    <row r="1082" s="2" customFormat="1" spans="1:17">
      <c r="A1082" s="61">
        <v>45729</v>
      </c>
      <c r="B1082" s="18">
        <v>1370.04</v>
      </c>
      <c r="C1082" s="19">
        <v>1310</v>
      </c>
      <c r="D1082" s="19">
        <v>427</v>
      </c>
      <c r="E1082" s="19">
        <v>2</v>
      </c>
      <c r="F1082" s="18">
        <v>13200</v>
      </c>
      <c r="G1082" s="19">
        <v>93</v>
      </c>
      <c r="H1082" s="19">
        <v>11</v>
      </c>
      <c r="I1082" s="19">
        <v>19</v>
      </c>
      <c r="J1082" s="66">
        <f t="shared" si="154"/>
        <v>0.325954198473282</v>
      </c>
      <c r="K1082" s="67">
        <f t="shared" si="155"/>
        <v>3.20852459016393</v>
      </c>
      <c r="L1082" s="67">
        <f t="shared" si="156"/>
        <v>1045.8320610687</v>
      </c>
      <c r="M1082" s="73">
        <f t="shared" si="157"/>
        <v>9.6347551896295</v>
      </c>
      <c r="N1082" s="66">
        <f t="shared" si="158"/>
        <v>0.00468384074941452</v>
      </c>
      <c r="O1082" s="52">
        <f t="shared" si="159"/>
        <v>6600</v>
      </c>
      <c r="P1082" s="52">
        <f t="shared" si="160"/>
        <v>685.02</v>
      </c>
      <c r="Q1082" s="68">
        <f t="shared" si="161"/>
        <v>14.7316129032258</v>
      </c>
    </row>
    <row r="1083" s="2" customFormat="1" spans="1:17">
      <c r="A1083" s="61">
        <v>45730</v>
      </c>
      <c r="B1083" s="18">
        <v>1548.2</v>
      </c>
      <c r="C1083" s="19">
        <v>1457</v>
      </c>
      <c r="D1083" s="19">
        <v>429</v>
      </c>
      <c r="E1083" s="19">
        <v>1</v>
      </c>
      <c r="F1083" s="18">
        <v>16396</v>
      </c>
      <c r="G1083" s="19">
        <v>67</v>
      </c>
      <c r="H1083" s="19">
        <v>14</v>
      </c>
      <c r="I1083" s="19">
        <v>22</v>
      </c>
      <c r="J1083" s="66">
        <f t="shared" si="154"/>
        <v>0.294440631434454</v>
      </c>
      <c r="K1083" s="67">
        <f t="shared" si="155"/>
        <v>3.60885780885781</v>
      </c>
      <c r="L1083" s="67">
        <f t="shared" si="156"/>
        <v>1062.59437199725</v>
      </c>
      <c r="M1083" s="73">
        <f t="shared" si="157"/>
        <v>10.5903630021961</v>
      </c>
      <c r="N1083" s="66">
        <f t="shared" si="158"/>
        <v>0.00233100233100233</v>
      </c>
      <c r="O1083" s="52">
        <f t="shared" si="159"/>
        <v>16396</v>
      </c>
      <c r="P1083" s="52">
        <f t="shared" si="160"/>
        <v>1548.2</v>
      </c>
      <c r="Q1083" s="68">
        <f t="shared" si="161"/>
        <v>23.1074626865672</v>
      </c>
    </row>
    <row r="1084" s="2" customFormat="1" spans="1:17">
      <c r="A1084" s="61">
        <v>45731</v>
      </c>
      <c r="B1084" s="18">
        <v>1285.35</v>
      </c>
      <c r="C1084" s="19">
        <v>1263</v>
      </c>
      <c r="D1084" s="19">
        <v>370</v>
      </c>
      <c r="E1084" s="19">
        <v>0</v>
      </c>
      <c r="F1084" s="18">
        <v>0</v>
      </c>
      <c r="G1084" s="19">
        <v>86</v>
      </c>
      <c r="H1084" s="19">
        <v>14</v>
      </c>
      <c r="I1084" s="19">
        <v>19</v>
      </c>
      <c r="J1084" s="66">
        <f t="shared" si="154"/>
        <v>0.292953285827395</v>
      </c>
      <c r="K1084" s="67">
        <f t="shared" si="155"/>
        <v>3.47391891891892</v>
      </c>
      <c r="L1084" s="67">
        <f t="shared" si="156"/>
        <v>1017.69596199525</v>
      </c>
      <c r="M1084" s="73">
        <f t="shared" si="157"/>
        <v>0</v>
      </c>
      <c r="N1084" s="66">
        <f t="shared" si="158"/>
        <v>0</v>
      </c>
      <c r="O1084" s="52">
        <f t="shared" si="159"/>
        <v>0</v>
      </c>
      <c r="P1084" s="52">
        <f t="shared" si="160"/>
        <v>0</v>
      </c>
      <c r="Q1084" s="68">
        <f t="shared" si="161"/>
        <v>14.9459302325581</v>
      </c>
    </row>
    <row r="1085" s="2" customFormat="1" spans="1:17">
      <c r="A1085" s="61">
        <v>45732</v>
      </c>
      <c r="B1085" s="18">
        <v>1375.58</v>
      </c>
      <c r="C1085" s="19">
        <v>1321</v>
      </c>
      <c r="D1085" s="19">
        <v>436</v>
      </c>
      <c r="E1085" s="19">
        <v>1</v>
      </c>
      <c r="F1085" s="18">
        <v>4798</v>
      </c>
      <c r="G1085" s="19">
        <v>79</v>
      </c>
      <c r="H1085" s="19">
        <v>11</v>
      </c>
      <c r="I1085" s="19">
        <v>25</v>
      </c>
      <c r="J1085" s="66">
        <f t="shared" si="154"/>
        <v>0.33005299015897</v>
      </c>
      <c r="K1085" s="67">
        <f t="shared" si="155"/>
        <v>3.155</v>
      </c>
      <c r="L1085" s="67">
        <f t="shared" si="156"/>
        <v>1041.31718395155</v>
      </c>
      <c r="M1085" s="73">
        <f t="shared" si="157"/>
        <v>3.48798325070152</v>
      </c>
      <c r="N1085" s="66">
        <f t="shared" si="158"/>
        <v>0.00229357798165138</v>
      </c>
      <c r="O1085" s="52">
        <f t="shared" si="159"/>
        <v>4798</v>
      </c>
      <c r="P1085" s="52">
        <f t="shared" si="160"/>
        <v>1375.58</v>
      </c>
      <c r="Q1085" s="68">
        <f t="shared" si="161"/>
        <v>17.4124050632911</v>
      </c>
    </row>
    <row r="1086" s="2" customFormat="1" spans="1:17">
      <c r="A1086" s="61">
        <v>45733</v>
      </c>
      <c r="B1086" s="18">
        <v>1276.07</v>
      </c>
      <c r="C1086" s="19">
        <v>1257</v>
      </c>
      <c r="D1086" s="19">
        <v>366</v>
      </c>
      <c r="E1086" s="19">
        <v>2</v>
      </c>
      <c r="F1086" s="18">
        <v>13762</v>
      </c>
      <c r="G1086" s="19">
        <v>66</v>
      </c>
      <c r="H1086" s="19">
        <v>7</v>
      </c>
      <c r="I1086" s="19">
        <v>10</v>
      </c>
      <c r="J1086" s="66">
        <f t="shared" si="154"/>
        <v>0.291169451073986</v>
      </c>
      <c r="K1086" s="67">
        <f t="shared" si="155"/>
        <v>3.48653005464481</v>
      </c>
      <c r="L1086" s="67">
        <f t="shared" si="156"/>
        <v>1015.17104216388</v>
      </c>
      <c r="M1086" s="73">
        <f t="shared" si="157"/>
        <v>10.7846748219142</v>
      </c>
      <c r="N1086" s="66">
        <f t="shared" si="158"/>
        <v>0.00546448087431694</v>
      </c>
      <c r="O1086" s="52">
        <f t="shared" si="159"/>
        <v>6881</v>
      </c>
      <c r="P1086" s="52">
        <f t="shared" si="160"/>
        <v>638.035</v>
      </c>
      <c r="Q1086" s="68">
        <f t="shared" si="161"/>
        <v>19.3343939393939</v>
      </c>
    </row>
    <row r="1087" s="2" customFormat="1" spans="1:17">
      <c r="A1087" s="61">
        <v>45734</v>
      </c>
      <c r="B1087" s="18">
        <v>1042.58</v>
      </c>
      <c r="C1087" s="19">
        <v>1050</v>
      </c>
      <c r="D1087" s="19">
        <v>309</v>
      </c>
      <c r="E1087" s="19">
        <v>3</v>
      </c>
      <c r="F1087" s="18">
        <v>47962</v>
      </c>
      <c r="G1087" s="19">
        <v>64</v>
      </c>
      <c r="H1087" s="19">
        <v>6</v>
      </c>
      <c r="I1087" s="19">
        <v>7</v>
      </c>
      <c r="J1087" s="66">
        <f t="shared" si="154"/>
        <v>0.294285714285714</v>
      </c>
      <c r="K1087" s="67">
        <f t="shared" si="155"/>
        <v>3.37404530744337</v>
      </c>
      <c r="L1087" s="67">
        <f t="shared" si="156"/>
        <v>992.933333333333</v>
      </c>
      <c r="M1087" s="73">
        <f t="shared" si="157"/>
        <v>46.0031844079111</v>
      </c>
      <c r="N1087" s="66">
        <f t="shared" si="158"/>
        <v>0.00970873786407767</v>
      </c>
      <c r="O1087" s="52">
        <f t="shared" si="159"/>
        <v>15987.3333333333</v>
      </c>
      <c r="P1087" s="52">
        <f t="shared" si="160"/>
        <v>347.526666666667</v>
      </c>
      <c r="Q1087" s="68">
        <f t="shared" si="161"/>
        <v>16.2903125</v>
      </c>
    </row>
    <row r="1088" s="2" customFormat="1" spans="1:17">
      <c r="A1088" s="61">
        <v>45735</v>
      </c>
      <c r="B1088" s="18">
        <v>1047.94</v>
      </c>
      <c r="C1088" s="19">
        <v>1031</v>
      </c>
      <c r="D1088" s="19">
        <v>264</v>
      </c>
      <c r="E1088" s="19">
        <v>4</v>
      </c>
      <c r="F1088" s="18">
        <v>32433.02</v>
      </c>
      <c r="G1088" s="19">
        <v>61</v>
      </c>
      <c r="H1088" s="19">
        <v>6</v>
      </c>
      <c r="I1088" s="19">
        <v>10</v>
      </c>
      <c r="J1088" s="66">
        <f t="shared" si="154"/>
        <v>0.256062075654704</v>
      </c>
      <c r="K1088" s="67">
        <f t="shared" si="155"/>
        <v>3.9694696969697</v>
      </c>
      <c r="L1088" s="67">
        <f t="shared" si="156"/>
        <v>1016.43064985451</v>
      </c>
      <c r="M1088" s="73">
        <f t="shared" si="157"/>
        <v>30.9493100750043</v>
      </c>
      <c r="N1088" s="66">
        <f t="shared" si="158"/>
        <v>0.0151515151515152</v>
      </c>
      <c r="O1088" s="52">
        <f t="shared" si="159"/>
        <v>8108.255</v>
      </c>
      <c r="P1088" s="52">
        <f t="shared" si="160"/>
        <v>261.985</v>
      </c>
      <c r="Q1088" s="68">
        <f t="shared" si="161"/>
        <v>17.1793442622951</v>
      </c>
    </row>
    <row r="1089" s="2" customFormat="1" spans="1:17">
      <c r="A1089" s="61">
        <v>45736</v>
      </c>
      <c r="B1089" s="18">
        <v>1049.93</v>
      </c>
      <c r="C1089" s="19">
        <v>1154</v>
      </c>
      <c r="D1089" s="19">
        <v>234</v>
      </c>
      <c r="E1089" s="19">
        <v>3</v>
      </c>
      <c r="F1089" s="18">
        <v>35085</v>
      </c>
      <c r="G1089" s="19">
        <v>49</v>
      </c>
      <c r="H1089" s="19">
        <v>5</v>
      </c>
      <c r="I1089" s="19">
        <v>11</v>
      </c>
      <c r="J1089" s="66">
        <f t="shared" si="154"/>
        <v>0.202772963604853</v>
      </c>
      <c r="K1089" s="67">
        <f t="shared" si="155"/>
        <v>4.48688034188034</v>
      </c>
      <c r="L1089" s="67">
        <f t="shared" si="156"/>
        <v>909.818024263432</v>
      </c>
      <c r="M1089" s="73">
        <f t="shared" si="157"/>
        <v>33.4165134818512</v>
      </c>
      <c r="N1089" s="66">
        <f t="shared" si="158"/>
        <v>0.0128205128205128</v>
      </c>
      <c r="O1089" s="52">
        <f t="shared" si="159"/>
        <v>11695</v>
      </c>
      <c r="P1089" s="52">
        <f t="shared" si="160"/>
        <v>349.976666666667</v>
      </c>
      <c r="Q1089" s="68">
        <f t="shared" si="161"/>
        <v>21.4271428571429</v>
      </c>
    </row>
    <row r="1090" s="2" customFormat="1" spans="1:17">
      <c r="A1090" s="61">
        <v>45737</v>
      </c>
      <c r="B1090" s="18">
        <v>837.48</v>
      </c>
      <c r="C1090" s="19">
        <v>708</v>
      </c>
      <c r="D1090" s="19">
        <v>214</v>
      </c>
      <c r="E1090" s="19">
        <v>0</v>
      </c>
      <c r="F1090" s="18">
        <v>0</v>
      </c>
      <c r="G1090" s="19">
        <v>44</v>
      </c>
      <c r="H1090" s="19">
        <v>3</v>
      </c>
      <c r="I1090" s="19">
        <v>8</v>
      </c>
      <c r="J1090" s="66">
        <f t="shared" si="154"/>
        <v>0.30225988700565</v>
      </c>
      <c r="K1090" s="67">
        <f t="shared" si="155"/>
        <v>3.91345794392523</v>
      </c>
      <c r="L1090" s="67">
        <f t="shared" si="156"/>
        <v>1182.8813559322</v>
      </c>
      <c r="M1090" s="73">
        <f t="shared" si="157"/>
        <v>0</v>
      </c>
      <c r="N1090" s="66">
        <f t="shared" si="158"/>
        <v>0</v>
      </c>
      <c r="O1090" s="52">
        <f t="shared" si="159"/>
        <v>0</v>
      </c>
      <c r="P1090" s="52">
        <f t="shared" si="160"/>
        <v>0</v>
      </c>
      <c r="Q1090" s="68">
        <f t="shared" si="161"/>
        <v>19.0336363636364</v>
      </c>
    </row>
    <row r="1091" s="2" customFormat="1" spans="1:17">
      <c r="A1091" s="61">
        <v>45738</v>
      </c>
      <c r="B1091" s="18">
        <v>722.68</v>
      </c>
      <c r="C1091" s="19">
        <v>601</v>
      </c>
      <c r="D1091" s="19">
        <v>189</v>
      </c>
      <c r="E1091" s="19">
        <v>0</v>
      </c>
      <c r="F1091" s="18">
        <v>0</v>
      </c>
      <c r="G1091" s="19">
        <v>42</v>
      </c>
      <c r="H1091" s="19">
        <v>4</v>
      </c>
      <c r="I1091" s="19">
        <v>7</v>
      </c>
      <c r="J1091" s="66">
        <f t="shared" si="154"/>
        <v>0.314475873544093</v>
      </c>
      <c r="K1091" s="67">
        <f t="shared" si="155"/>
        <v>3.8237037037037</v>
      </c>
      <c r="L1091" s="67">
        <f t="shared" si="156"/>
        <v>1202.46256239601</v>
      </c>
      <c r="M1091" s="73">
        <f t="shared" si="157"/>
        <v>0</v>
      </c>
      <c r="N1091" s="66">
        <f t="shared" si="158"/>
        <v>0</v>
      </c>
      <c r="O1091" s="52">
        <f t="shared" si="159"/>
        <v>0</v>
      </c>
      <c r="P1091" s="52">
        <f t="shared" si="160"/>
        <v>0</v>
      </c>
      <c r="Q1091" s="68">
        <f t="shared" si="161"/>
        <v>17.2066666666667</v>
      </c>
    </row>
    <row r="1092" s="2" customFormat="1" spans="1:17">
      <c r="A1092" s="61">
        <v>45739</v>
      </c>
      <c r="B1092" s="18">
        <v>760.83</v>
      </c>
      <c r="C1092" s="19">
        <v>652</v>
      </c>
      <c r="D1092" s="19">
        <v>204</v>
      </c>
      <c r="E1092" s="19">
        <v>0</v>
      </c>
      <c r="F1092" s="18">
        <v>0</v>
      </c>
      <c r="G1092" s="19">
        <v>38</v>
      </c>
      <c r="H1092" s="19">
        <v>1</v>
      </c>
      <c r="I1092" s="19">
        <v>12</v>
      </c>
      <c r="J1092" s="66">
        <f t="shared" si="154"/>
        <v>0.312883435582822</v>
      </c>
      <c r="K1092" s="67">
        <f t="shared" si="155"/>
        <v>3.72955882352941</v>
      </c>
      <c r="L1092" s="67">
        <f t="shared" si="156"/>
        <v>1166.91717791411</v>
      </c>
      <c r="M1092" s="73">
        <f t="shared" si="157"/>
        <v>0</v>
      </c>
      <c r="N1092" s="66">
        <f t="shared" si="158"/>
        <v>0</v>
      </c>
      <c r="O1092" s="52">
        <f t="shared" si="159"/>
        <v>0</v>
      </c>
      <c r="P1092" s="52">
        <f t="shared" si="160"/>
        <v>0</v>
      </c>
      <c r="Q1092" s="68">
        <f t="shared" si="161"/>
        <v>20.0218421052632</v>
      </c>
    </row>
    <row r="1093" s="2" customFormat="1" spans="1:17">
      <c r="A1093" s="61">
        <v>45740</v>
      </c>
      <c r="B1093" s="18">
        <v>929.91</v>
      </c>
      <c r="C1093" s="19">
        <v>933</v>
      </c>
      <c r="D1093" s="19">
        <v>199</v>
      </c>
      <c r="E1093" s="19">
        <v>0</v>
      </c>
      <c r="F1093" s="18">
        <v>0</v>
      </c>
      <c r="G1093" s="19">
        <v>57</v>
      </c>
      <c r="H1093" s="19">
        <v>4</v>
      </c>
      <c r="I1093" s="19">
        <v>7</v>
      </c>
      <c r="J1093" s="66">
        <f t="shared" si="154"/>
        <v>0.213290460878885</v>
      </c>
      <c r="K1093" s="67">
        <f t="shared" si="155"/>
        <v>4.67291457286432</v>
      </c>
      <c r="L1093" s="67">
        <f t="shared" si="156"/>
        <v>996.688102893891</v>
      </c>
      <c r="M1093" s="73">
        <f t="shared" si="157"/>
        <v>0</v>
      </c>
      <c r="N1093" s="66">
        <f t="shared" si="158"/>
        <v>0</v>
      </c>
      <c r="O1093" s="52">
        <f t="shared" si="159"/>
        <v>0</v>
      </c>
      <c r="P1093" s="52">
        <f t="shared" si="160"/>
        <v>0</v>
      </c>
      <c r="Q1093" s="68">
        <f t="shared" si="161"/>
        <v>16.3142105263158</v>
      </c>
    </row>
    <row r="1094" s="2" customFormat="1" spans="1:17">
      <c r="A1094" s="61">
        <v>45741</v>
      </c>
      <c r="B1094" s="18">
        <v>878.04</v>
      </c>
      <c r="C1094" s="19">
        <v>950</v>
      </c>
      <c r="D1094" s="19">
        <v>191</v>
      </c>
      <c r="E1094" s="19">
        <v>0</v>
      </c>
      <c r="F1094" s="18">
        <v>0</v>
      </c>
      <c r="G1094" s="19">
        <v>47</v>
      </c>
      <c r="H1094" s="19">
        <v>4</v>
      </c>
      <c r="I1094" s="19">
        <v>6</v>
      </c>
      <c r="J1094" s="66">
        <f t="shared" si="154"/>
        <v>0.201052631578947</v>
      </c>
      <c r="K1094" s="67">
        <f t="shared" si="155"/>
        <v>4.59706806282723</v>
      </c>
      <c r="L1094" s="67">
        <f t="shared" si="156"/>
        <v>924.252631578947</v>
      </c>
      <c r="M1094" s="73">
        <f t="shared" si="157"/>
        <v>0</v>
      </c>
      <c r="N1094" s="66">
        <f t="shared" si="158"/>
        <v>0</v>
      </c>
      <c r="O1094" s="52">
        <f t="shared" si="159"/>
        <v>0</v>
      </c>
      <c r="P1094" s="52">
        <f t="shared" si="160"/>
        <v>0</v>
      </c>
      <c r="Q1094" s="68">
        <f t="shared" si="161"/>
        <v>18.6817021276596</v>
      </c>
    </row>
    <row r="1095" s="2" customFormat="1" spans="1:17">
      <c r="A1095" s="61">
        <v>45742</v>
      </c>
      <c r="B1095" s="18">
        <v>874.19</v>
      </c>
      <c r="C1095" s="19">
        <v>850</v>
      </c>
      <c r="D1095" s="19">
        <v>184</v>
      </c>
      <c r="E1095" s="19">
        <v>1</v>
      </c>
      <c r="F1095" s="18">
        <v>16384</v>
      </c>
      <c r="G1095" s="19">
        <v>41</v>
      </c>
      <c r="H1095" s="19">
        <v>3</v>
      </c>
      <c r="I1095" s="19">
        <v>8</v>
      </c>
      <c r="J1095" s="66">
        <f t="shared" si="154"/>
        <v>0.216470588235294</v>
      </c>
      <c r="K1095" s="67">
        <f t="shared" si="155"/>
        <v>4.75103260869565</v>
      </c>
      <c r="L1095" s="67">
        <f t="shared" si="156"/>
        <v>1028.45882352941</v>
      </c>
      <c r="M1095" s="73">
        <f t="shared" si="157"/>
        <v>18.7419210926686</v>
      </c>
      <c r="N1095" s="66">
        <f t="shared" si="158"/>
        <v>0.00543478260869565</v>
      </c>
      <c r="O1095" s="52">
        <f t="shared" si="159"/>
        <v>16384</v>
      </c>
      <c r="P1095" s="52">
        <f t="shared" si="160"/>
        <v>874.19</v>
      </c>
      <c r="Q1095" s="68">
        <f t="shared" si="161"/>
        <v>21.3217073170732</v>
      </c>
    </row>
    <row r="1096" s="2" customFormat="1" spans="1:17">
      <c r="A1096" s="61">
        <v>45743</v>
      </c>
      <c r="B1096" s="18">
        <v>809.04</v>
      </c>
      <c r="C1096" s="19">
        <v>787</v>
      </c>
      <c r="D1096" s="19">
        <v>205</v>
      </c>
      <c r="E1096" s="19">
        <v>4</v>
      </c>
      <c r="F1096" s="18">
        <v>42676</v>
      </c>
      <c r="G1096" s="19">
        <v>39</v>
      </c>
      <c r="H1096" s="19">
        <v>4</v>
      </c>
      <c r="I1096" s="19">
        <v>10</v>
      </c>
      <c r="J1096" s="66">
        <f t="shared" si="154"/>
        <v>0.260482846251588</v>
      </c>
      <c r="K1096" s="67">
        <f t="shared" si="155"/>
        <v>3.94653658536585</v>
      </c>
      <c r="L1096" s="67">
        <f t="shared" si="156"/>
        <v>1028.00508259212</v>
      </c>
      <c r="M1096" s="73">
        <f t="shared" si="157"/>
        <v>52.748937011767</v>
      </c>
      <c r="N1096" s="66">
        <f t="shared" si="158"/>
        <v>0.0195121951219512</v>
      </c>
      <c r="O1096" s="52">
        <f t="shared" si="159"/>
        <v>10669</v>
      </c>
      <c r="P1096" s="52">
        <f t="shared" si="160"/>
        <v>202.26</v>
      </c>
      <c r="Q1096" s="68">
        <f t="shared" si="161"/>
        <v>20.7446153846154</v>
      </c>
    </row>
    <row r="1097" s="2" customFormat="1" spans="1:17">
      <c r="A1097" s="61">
        <v>45744</v>
      </c>
      <c r="B1097" s="18">
        <v>784.85</v>
      </c>
      <c r="C1097" s="19">
        <v>787</v>
      </c>
      <c r="D1097" s="19">
        <v>166</v>
      </c>
      <c r="E1097" s="19">
        <v>1</v>
      </c>
      <c r="F1097" s="18">
        <v>15792</v>
      </c>
      <c r="G1097" s="19">
        <v>37</v>
      </c>
      <c r="H1097" s="19">
        <v>1</v>
      </c>
      <c r="I1097" s="19">
        <v>10</v>
      </c>
      <c r="J1097" s="66">
        <f t="shared" si="154"/>
        <v>0.210927573062262</v>
      </c>
      <c r="K1097" s="67">
        <f t="shared" si="155"/>
        <v>4.72801204819277</v>
      </c>
      <c r="L1097" s="67">
        <f t="shared" si="156"/>
        <v>997.268106734435</v>
      </c>
      <c r="M1097" s="73">
        <f t="shared" si="157"/>
        <v>20.1210422373702</v>
      </c>
      <c r="N1097" s="66">
        <f t="shared" si="158"/>
        <v>0.00602409638554217</v>
      </c>
      <c r="O1097" s="52">
        <f t="shared" si="159"/>
        <v>15792</v>
      </c>
      <c r="P1097" s="52">
        <f t="shared" si="160"/>
        <v>784.85</v>
      </c>
      <c r="Q1097" s="68">
        <f t="shared" si="161"/>
        <v>21.2121621621622</v>
      </c>
    </row>
    <row r="1098" s="2" customFormat="1" spans="1:17">
      <c r="A1098" s="61">
        <v>45745</v>
      </c>
      <c r="B1098" s="18">
        <v>797.76</v>
      </c>
      <c r="C1098" s="19">
        <v>783</v>
      </c>
      <c r="D1098" s="19">
        <v>208</v>
      </c>
      <c r="E1098" s="19">
        <v>4</v>
      </c>
      <c r="F1098" s="18">
        <v>38504</v>
      </c>
      <c r="G1098" s="19">
        <v>41</v>
      </c>
      <c r="H1098" s="19">
        <v>1</v>
      </c>
      <c r="I1098" s="19">
        <v>10</v>
      </c>
      <c r="J1098" s="66">
        <f t="shared" si="154"/>
        <v>0.265644955300128</v>
      </c>
      <c r="K1098" s="67">
        <f t="shared" si="155"/>
        <v>3.83538461538461</v>
      </c>
      <c r="L1098" s="67">
        <f t="shared" si="156"/>
        <v>1018.85057471264</v>
      </c>
      <c r="M1098" s="73">
        <f t="shared" si="157"/>
        <v>48.2651423987164</v>
      </c>
      <c r="N1098" s="66">
        <f t="shared" si="158"/>
        <v>0.0192307692307692</v>
      </c>
      <c r="O1098" s="52">
        <f t="shared" si="159"/>
        <v>9626</v>
      </c>
      <c r="P1098" s="52">
        <f t="shared" si="160"/>
        <v>199.44</v>
      </c>
      <c r="Q1098" s="68">
        <f t="shared" si="161"/>
        <v>19.4575609756098</v>
      </c>
    </row>
    <row r="1099" s="2" customFormat="1" spans="1:17">
      <c r="A1099" s="61">
        <v>45746</v>
      </c>
      <c r="B1099" s="18">
        <v>841.7</v>
      </c>
      <c r="C1099" s="19">
        <v>804</v>
      </c>
      <c r="D1099" s="19">
        <v>219</v>
      </c>
      <c r="E1099" s="19">
        <v>1</v>
      </c>
      <c r="F1099" s="18">
        <v>10114</v>
      </c>
      <c r="G1099" s="19">
        <v>51</v>
      </c>
      <c r="H1099" s="19">
        <v>2</v>
      </c>
      <c r="I1099" s="19">
        <v>16</v>
      </c>
      <c r="J1099" s="66">
        <f t="shared" si="154"/>
        <v>0.272388059701493</v>
      </c>
      <c r="K1099" s="67">
        <f t="shared" si="155"/>
        <v>3.84337899543379</v>
      </c>
      <c r="L1099" s="67">
        <f t="shared" si="156"/>
        <v>1046.89054726368</v>
      </c>
      <c r="M1099" s="73">
        <f t="shared" si="157"/>
        <v>12.0161577759297</v>
      </c>
      <c r="N1099" s="66">
        <f t="shared" si="158"/>
        <v>0.0045662100456621</v>
      </c>
      <c r="O1099" s="52">
        <f t="shared" si="159"/>
        <v>10114</v>
      </c>
      <c r="P1099" s="52">
        <f t="shared" si="160"/>
        <v>841.7</v>
      </c>
      <c r="Q1099" s="68">
        <f t="shared" si="161"/>
        <v>16.5039215686275</v>
      </c>
    </row>
    <row r="1100" s="2" customFormat="1" spans="1:17">
      <c r="A1100" s="61">
        <v>45747</v>
      </c>
      <c r="B1100" s="18">
        <v>799.53</v>
      </c>
      <c r="C1100" s="19">
        <v>785</v>
      </c>
      <c r="D1100" s="19">
        <v>175</v>
      </c>
      <c r="E1100" s="19">
        <v>2</v>
      </c>
      <c r="F1100" s="18">
        <v>31364</v>
      </c>
      <c r="G1100" s="19">
        <v>35</v>
      </c>
      <c r="H1100" s="19">
        <v>4</v>
      </c>
      <c r="I1100" s="19">
        <v>6</v>
      </c>
      <c r="J1100" s="66">
        <f t="shared" si="154"/>
        <v>0.222929936305732</v>
      </c>
      <c r="K1100" s="67">
        <f t="shared" si="155"/>
        <v>4.56874285714286</v>
      </c>
      <c r="L1100" s="67">
        <f t="shared" si="156"/>
        <v>1018.50955414013</v>
      </c>
      <c r="M1100" s="73">
        <f t="shared" si="157"/>
        <v>39.2280464773054</v>
      </c>
      <c r="N1100" s="66">
        <f t="shared" si="158"/>
        <v>0.0114285714285714</v>
      </c>
      <c r="O1100" s="52">
        <f t="shared" si="159"/>
        <v>15682</v>
      </c>
      <c r="P1100" s="52">
        <f t="shared" si="160"/>
        <v>399.765</v>
      </c>
      <c r="Q1100" s="68">
        <f t="shared" si="161"/>
        <v>22.8437142857143</v>
      </c>
    </row>
    <row r="1101" s="2" customFormat="1" spans="1:17">
      <c r="A1101" s="61">
        <v>45748</v>
      </c>
      <c r="B1101" s="18">
        <v>812.64</v>
      </c>
      <c r="C1101" s="19">
        <v>748</v>
      </c>
      <c r="D1101" s="19">
        <v>217</v>
      </c>
      <c r="E1101" s="19">
        <v>3</v>
      </c>
      <c r="F1101" s="18">
        <v>36286</v>
      </c>
      <c r="G1101" s="19">
        <v>49</v>
      </c>
      <c r="H1101" s="19">
        <v>3</v>
      </c>
      <c r="I1101" s="19">
        <v>10</v>
      </c>
      <c r="J1101" s="66">
        <f t="shared" si="154"/>
        <v>0.290106951871658</v>
      </c>
      <c r="K1101" s="67">
        <f t="shared" si="155"/>
        <v>3.74488479262673</v>
      </c>
      <c r="L1101" s="67">
        <f t="shared" si="156"/>
        <v>1086.41711229947</v>
      </c>
      <c r="M1101" s="73">
        <f t="shared" si="157"/>
        <v>44.6519984248868</v>
      </c>
      <c r="N1101" s="66">
        <f t="shared" si="158"/>
        <v>0.0138248847926267</v>
      </c>
      <c r="O1101" s="52">
        <f t="shared" si="159"/>
        <v>12095.3333333333</v>
      </c>
      <c r="P1101" s="52">
        <f t="shared" si="160"/>
        <v>270.88</v>
      </c>
      <c r="Q1101" s="68">
        <f t="shared" si="161"/>
        <v>16.5844897959184</v>
      </c>
    </row>
    <row r="1102" s="2" customFormat="1" spans="1:17">
      <c r="A1102" s="61">
        <v>45749</v>
      </c>
      <c r="B1102" s="18">
        <v>684.81</v>
      </c>
      <c r="C1102" s="19">
        <v>561</v>
      </c>
      <c r="D1102" s="19">
        <v>166</v>
      </c>
      <c r="E1102" s="19">
        <v>0</v>
      </c>
      <c r="F1102" s="18">
        <v>0</v>
      </c>
      <c r="G1102" s="19">
        <v>41</v>
      </c>
      <c r="H1102" s="19">
        <v>0</v>
      </c>
      <c r="I1102" s="19">
        <v>9</v>
      </c>
      <c r="J1102" s="66">
        <f t="shared" si="154"/>
        <v>0.295900178253119</v>
      </c>
      <c r="K1102" s="67">
        <f t="shared" si="155"/>
        <v>4.12536144578313</v>
      </c>
      <c r="L1102" s="67">
        <f t="shared" si="156"/>
        <v>1220.69518716578</v>
      </c>
      <c r="M1102" s="73">
        <f t="shared" si="157"/>
        <v>0</v>
      </c>
      <c r="N1102" s="66">
        <f t="shared" si="158"/>
        <v>0</v>
      </c>
      <c r="O1102" s="52">
        <f t="shared" si="159"/>
        <v>0</v>
      </c>
      <c r="P1102" s="52">
        <f t="shared" si="160"/>
        <v>0</v>
      </c>
      <c r="Q1102" s="68">
        <f t="shared" si="161"/>
        <v>16.7026829268293</v>
      </c>
    </row>
    <row r="1103" s="2" customFormat="1" spans="1:17">
      <c r="A1103" s="61">
        <v>45750</v>
      </c>
      <c r="B1103" s="18">
        <v>695.01</v>
      </c>
      <c r="C1103" s="19">
        <v>535</v>
      </c>
      <c r="D1103" s="19">
        <v>151</v>
      </c>
      <c r="E1103" s="19">
        <v>1</v>
      </c>
      <c r="F1103" s="18">
        <v>12674</v>
      </c>
      <c r="G1103" s="19">
        <v>34</v>
      </c>
      <c r="H1103" s="19">
        <v>3</v>
      </c>
      <c r="I1103" s="19">
        <v>8</v>
      </c>
      <c r="J1103" s="66">
        <f t="shared" si="154"/>
        <v>0.282242990654206</v>
      </c>
      <c r="K1103" s="67">
        <f t="shared" si="155"/>
        <v>4.60271523178808</v>
      </c>
      <c r="L1103" s="67">
        <f t="shared" si="156"/>
        <v>1299.08411214953</v>
      </c>
      <c r="M1103" s="73">
        <f t="shared" si="157"/>
        <v>18.2357088387217</v>
      </c>
      <c r="N1103" s="66">
        <f t="shared" si="158"/>
        <v>0.00662251655629139</v>
      </c>
      <c r="O1103" s="52">
        <f t="shared" si="159"/>
        <v>12674</v>
      </c>
      <c r="P1103" s="52">
        <f t="shared" si="160"/>
        <v>695.01</v>
      </c>
      <c r="Q1103" s="68">
        <f t="shared" si="161"/>
        <v>20.4414705882353</v>
      </c>
    </row>
    <row r="1104" s="2" customFormat="1" spans="1:17">
      <c r="A1104" s="61">
        <v>45751</v>
      </c>
      <c r="B1104" s="18">
        <v>630.72</v>
      </c>
      <c r="C1104" s="19">
        <v>562</v>
      </c>
      <c r="D1104" s="19">
        <v>177</v>
      </c>
      <c r="E1104" s="19">
        <v>2</v>
      </c>
      <c r="F1104" s="18">
        <v>13986</v>
      </c>
      <c r="G1104" s="19">
        <v>47</v>
      </c>
      <c r="H1104" s="19">
        <v>4</v>
      </c>
      <c r="I1104" s="19">
        <v>8</v>
      </c>
      <c r="J1104" s="66">
        <f t="shared" si="154"/>
        <v>0.314946619217082</v>
      </c>
      <c r="K1104" s="67">
        <f t="shared" si="155"/>
        <v>3.56338983050847</v>
      </c>
      <c r="L1104" s="67">
        <f t="shared" si="156"/>
        <v>1122.27758007117</v>
      </c>
      <c r="M1104" s="73">
        <f t="shared" si="157"/>
        <v>22.1746575342466</v>
      </c>
      <c r="N1104" s="66">
        <f t="shared" si="158"/>
        <v>0.0112994350282486</v>
      </c>
      <c r="O1104" s="52">
        <f t="shared" si="159"/>
        <v>6993</v>
      </c>
      <c r="P1104" s="52">
        <f t="shared" si="160"/>
        <v>315.36</v>
      </c>
      <c r="Q1104" s="68">
        <f t="shared" si="161"/>
        <v>13.4195744680851</v>
      </c>
    </row>
    <row r="1105" s="2" customFormat="1" spans="1:17">
      <c r="A1105" s="61">
        <v>45752</v>
      </c>
      <c r="B1105" s="18">
        <v>577.75</v>
      </c>
      <c r="C1105" s="19">
        <v>529</v>
      </c>
      <c r="D1105" s="19">
        <v>142</v>
      </c>
      <c r="E1105" s="19">
        <v>0</v>
      </c>
      <c r="F1105" s="18">
        <v>0</v>
      </c>
      <c r="G1105" s="19">
        <v>33</v>
      </c>
      <c r="H1105" s="19">
        <v>3</v>
      </c>
      <c r="I1105" s="19">
        <v>9</v>
      </c>
      <c r="J1105" s="66">
        <f t="shared" si="154"/>
        <v>0.268431001890359</v>
      </c>
      <c r="K1105" s="67">
        <f t="shared" si="155"/>
        <v>4.06866197183099</v>
      </c>
      <c r="L1105" s="67">
        <f t="shared" si="156"/>
        <v>1092.1550094518</v>
      </c>
      <c r="M1105" s="73">
        <f t="shared" si="157"/>
        <v>0</v>
      </c>
      <c r="N1105" s="66">
        <f t="shared" si="158"/>
        <v>0</v>
      </c>
      <c r="O1105" s="52">
        <f t="shared" si="159"/>
        <v>0</v>
      </c>
      <c r="P1105" s="52">
        <f t="shared" si="160"/>
        <v>0</v>
      </c>
      <c r="Q1105" s="68">
        <f t="shared" si="161"/>
        <v>17.5075757575758</v>
      </c>
    </row>
    <row r="1106" s="2" customFormat="1" spans="1:17">
      <c r="A1106" s="61">
        <v>45753</v>
      </c>
      <c r="B1106" s="18">
        <v>619.6</v>
      </c>
      <c r="C1106" s="19">
        <v>602</v>
      </c>
      <c r="D1106" s="19">
        <v>174</v>
      </c>
      <c r="E1106" s="19">
        <v>3</v>
      </c>
      <c r="F1106" s="18">
        <v>46909</v>
      </c>
      <c r="G1106" s="19">
        <v>39</v>
      </c>
      <c r="H1106" s="19">
        <v>2</v>
      </c>
      <c r="I1106" s="19">
        <v>11</v>
      </c>
      <c r="J1106" s="66">
        <f t="shared" si="154"/>
        <v>0.289036544850498</v>
      </c>
      <c r="K1106" s="67">
        <f t="shared" si="155"/>
        <v>3.56091954022988</v>
      </c>
      <c r="L1106" s="67">
        <f t="shared" si="156"/>
        <v>1029.23588039867</v>
      </c>
      <c r="M1106" s="73">
        <f t="shared" si="157"/>
        <v>75.708521626856</v>
      </c>
      <c r="N1106" s="66">
        <f t="shared" si="158"/>
        <v>0.0172413793103448</v>
      </c>
      <c r="O1106" s="52">
        <f t="shared" si="159"/>
        <v>15636.3333333333</v>
      </c>
      <c r="P1106" s="52">
        <f t="shared" si="160"/>
        <v>206.533333333333</v>
      </c>
      <c r="Q1106" s="68">
        <f t="shared" si="161"/>
        <v>15.8871794871795</v>
      </c>
    </row>
    <row r="1107" s="2" customFormat="1" spans="1:17">
      <c r="A1107" s="61">
        <v>45754</v>
      </c>
      <c r="B1107" s="18">
        <v>860.49</v>
      </c>
      <c r="C1107" s="19">
        <v>731</v>
      </c>
      <c r="D1107" s="19">
        <v>249</v>
      </c>
      <c r="E1107" s="19">
        <v>1</v>
      </c>
      <c r="F1107" s="18">
        <v>12642</v>
      </c>
      <c r="G1107" s="19">
        <v>36</v>
      </c>
      <c r="H1107" s="19">
        <v>4</v>
      </c>
      <c r="I1107" s="19">
        <v>9</v>
      </c>
      <c r="J1107" s="66">
        <f t="shared" si="154"/>
        <v>0.3406292749658</v>
      </c>
      <c r="K1107" s="67">
        <f t="shared" si="155"/>
        <v>3.45578313253012</v>
      </c>
      <c r="L1107" s="67">
        <f t="shared" si="156"/>
        <v>1177.14090287278</v>
      </c>
      <c r="M1107" s="73">
        <f t="shared" si="157"/>
        <v>14.6916291880208</v>
      </c>
      <c r="N1107" s="66">
        <f t="shared" si="158"/>
        <v>0.00401606425702811</v>
      </c>
      <c r="O1107" s="52">
        <f t="shared" si="159"/>
        <v>12642</v>
      </c>
      <c r="P1107" s="52">
        <f t="shared" si="160"/>
        <v>860.49</v>
      </c>
      <c r="Q1107" s="68">
        <f t="shared" si="161"/>
        <v>23.9025</v>
      </c>
    </row>
    <row r="1108" s="2" customFormat="1" spans="1:17">
      <c r="A1108" s="61">
        <v>45755</v>
      </c>
      <c r="B1108" s="18">
        <v>907.53</v>
      </c>
      <c r="C1108" s="19">
        <v>714</v>
      </c>
      <c r="D1108" s="19">
        <v>225</v>
      </c>
      <c r="E1108" s="19">
        <v>3</v>
      </c>
      <c r="F1108" s="18">
        <v>31872</v>
      </c>
      <c r="G1108" s="19">
        <v>49</v>
      </c>
      <c r="H1108" s="19">
        <v>2</v>
      </c>
      <c r="I1108" s="19">
        <v>7</v>
      </c>
      <c r="J1108" s="66">
        <f t="shared" si="154"/>
        <v>0.315126050420168</v>
      </c>
      <c r="K1108" s="67">
        <f t="shared" si="155"/>
        <v>4.03346666666667</v>
      </c>
      <c r="L1108" s="67">
        <f t="shared" si="156"/>
        <v>1271.05042016807</v>
      </c>
      <c r="M1108" s="73">
        <f t="shared" si="157"/>
        <v>35.1195001818122</v>
      </c>
      <c r="N1108" s="66">
        <f t="shared" si="158"/>
        <v>0.0133333333333333</v>
      </c>
      <c r="O1108" s="52">
        <f t="shared" si="159"/>
        <v>10624</v>
      </c>
      <c r="P1108" s="52">
        <f t="shared" si="160"/>
        <v>302.51</v>
      </c>
      <c r="Q1108" s="68">
        <f t="shared" si="161"/>
        <v>18.5210204081633</v>
      </c>
    </row>
    <row r="1109" s="2" customFormat="1" spans="1:17">
      <c r="A1109" s="61">
        <v>45756</v>
      </c>
      <c r="B1109" s="18">
        <v>859.52</v>
      </c>
      <c r="C1109" s="19">
        <v>676</v>
      </c>
      <c r="D1109" s="19">
        <v>221</v>
      </c>
      <c r="E1109" s="19">
        <v>1</v>
      </c>
      <c r="F1109" s="18">
        <v>11474</v>
      </c>
      <c r="G1109" s="19">
        <v>45</v>
      </c>
      <c r="H1109" s="19">
        <v>4</v>
      </c>
      <c r="I1109" s="19">
        <v>10</v>
      </c>
      <c r="J1109" s="66">
        <f t="shared" si="154"/>
        <v>0.326923076923077</v>
      </c>
      <c r="K1109" s="67">
        <f t="shared" si="155"/>
        <v>3.88923076923077</v>
      </c>
      <c r="L1109" s="67">
        <f t="shared" si="156"/>
        <v>1271.47928994083</v>
      </c>
      <c r="M1109" s="73">
        <f t="shared" si="157"/>
        <v>13.3493112434847</v>
      </c>
      <c r="N1109" s="66">
        <f t="shared" si="158"/>
        <v>0.00452488687782805</v>
      </c>
      <c r="O1109" s="52">
        <f t="shared" si="159"/>
        <v>11474</v>
      </c>
      <c r="P1109" s="52">
        <f t="shared" si="160"/>
        <v>859.52</v>
      </c>
      <c r="Q1109" s="68">
        <f t="shared" si="161"/>
        <v>19.1004444444444</v>
      </c>
    </row>
    <row r="1110" s="2" customFormat="1" spans="1:17">
      <c r="A1110" s="61">
        <v>45757</v>
      </c>
      <c r="B1110" s="18">
        <v>809.2</v>
      </c>
      <c r="C1110" s="19">
        <v>661</v>
      </c>
      <c r="D1110" s="19">
        <v>208</v>
      </c>
      <c r="E1110" s="19">
        <v>0</v>
      </c>
      <c r="F1110" s="18">
        <v>0</v>
      </c>
      <c r="G1110" s="19">
        <v>68</v>
      </c>
      <c r="H1110" s="19">
        <v>6</v>
      </c>
      <c r="I1110" s="19">
        <v>5</v>
      </c>
      <c r="J1110" s="66">
        <f t="shared" si="154"/>
        <v>0.314674735249622</v>
      </c>
      <c r="K1110" s="67">
        <f t="shared" si="155"/>
        <v>3.89038461538462</v>
      </c>
      <c r="L1110" s="67">
        <f t="shared" si="156"/>
        <v>1224.20574886536</v>
      </c>
      <c r="M1110" s="73">
        <f t="shared" si="157"/>
        <v>0</v>
      </c>
      <c r="N1110" s="66">
        <f t="shared" si="158"/>
        <v>0</v>
      </c>
      <c r="O1110" s="52">
        <f t="shared" si="159"/>
        <v>0</v>
      </c>
      <c r="P1110" s="52">
        <f t="shared" si="160"/>
        <v>0</v>
      </c>
      <c r="Q1110" s="68">
        <f t="shared" si="161"/>
        <v>11.9</v>
      </c>
    </row>
    <row r="1111" s="2" customFormat="1" spans="1:17">
      <c r="A1111" s="61">
        <v>45758</v>
      </c>
      <c r="B1111" s="18">
        <v>750.32</v>
      </c>
      <c r="C1111" s="19">
        <v>629</v>
      </c>
      <c r="D1111" s="19">
        <v>167</v>
      </c>
      <c r="E1111" s="19">
        <v>0</v>
      </c>
      <c r="F1111" s="18">
        <v>0</v>
      </c>
      <c r="G1111" s="19">
        <v>44</v>
      </c>
      <c r="H1111" s="19">
        <v>4</v>
      </c>
      <c r="I1111" s="19">
        <v>7</v>
      </c>
      <c r="J1111" s="66">
        <f t="shared" si="154"/>
        <v>0.26550079491256</v>
      </c>
      <c r="K1111" s="67">
        <f t="shared" si="155"/>
        <v>4.49293413173653</v>
      </c>
      <c r="L1111" s="67">
        <f t="shared" si="156"/>
        <v>1192.87758346582</v>
      </c>
      <c r="M1111" s="73">
        <f t="shared" si="157"/>
        <v>0</v>
      </c>
      <c r="N1111" s="66">
        <f t="shared" si="158"/>
        <v>0</v>
      </c>
      <c r="O1111" s="52">
        <f t="shared" si="159"/>
        <v>0</v>
      </c>
      <c r="P1111" s="52">
        <f t="shared" si="160"/>
        <v>0</v>
      </c>
      <c r="Q1111" s="68">
        <f t="shared" si="161"/>
        <v>17.0527272727273</v>
      </c>
    </row>
    <row r="1112" s="2" customFormat="1" spans="1:17">
      <c r="A1112" s="61">
        <v>45759</v>
      </c>
      <c r="B1112" s="18">
        <v>680.72</v>
      </c>
      <c r="C1112" s="19">
        <v>648</v>
      </c>
      <c r="D1112" s="19">
        <v>174</v>
      </c>
      <c r="E1112" s="19">
        <v>2</v>
      </c>
      <c r="F1112" s="18">
        <v>48520</v>
      </c>
      <c r="G1112" s="19">
        <v>39</v>
      </c>
      <c r="H1112" s="19">
        <v>3</v>
      </c>
      <c r="I1112" s="19">
        <v>8</v>
      </c>
      <c r="J1112" s="66">
        <f t="shared" si="154"/>
        <v>0.268518518518519</v>
      </c>
      <c r="K1112" s="67">
        <f t="shared" si="155"/>
        <v>3.91218390804598</v>
      </c>
      <c r="L1112" s="67">
        <f t="shared" si="156"/>
        <v>1050.49382716049</v>
      </c>
      <c r="M1112" s="73">
        <f t="shared" si="157"/>
        <v>71.2774709131508</v>
      </c>
      <c r="N1112" s="66">
        <f t="shared" si="158"/>
        <v>0.0114942528735632</v>
      </c>
      <c r="O1112" s="52">
        <f t="shared" si="159"/>
        <v>24260</v>
      </c>
      <c r="P1112" s="52">
        <f t="shared" si="160"/>
        <v>340.36</v>
      </c>
      <c r="Q1112" s="68">
        <f t="shared" si="161"/>
        <v>17.454358974359</v>
      </c>
    </row>
    <row r="1113" s="2" customFormat="1" spans="1:17">
      <c r="A1113" s="61">
        <v>45760</v>
      </c>
      <c r="B1113" s="18">
        <v>932.64</v>
      </c>
      <c r="C1113" s="19">
        <v>833</v>
      </c>
      <c r="D1113" s="19">
        <v>253</v>
      </c>
      <c r="E1113" s="19">
        <v>0</v>
      </c>
      <c r="F1113" s="18">
        <v>0</v>
      </c>
      <c r="G1113" s="19">
        <v>54</v>
      </c>
      <c r="H1113" s="19">
        <v>5</v>
      </c>
      <c r="I1113" s="19">
        <v>13</v>
      </c>
      <c r="J1113" s="66">
        <f t="shared" si="154"/>
        <v>0.303721488595438</v>
      </c>
      <c r="K1113" s="67">
        <f t="shared" si="155"/>
        <v>3.68632411067194</v>
      </c>
      <c r="L1113" s="67">
        <f t="shared" si="156"/>
        <v>1119.61584633854</v>
      </c>
      <c r="M1113" s="73">
        <f t="shared" si="157"/>
        <v>0</v>
      </c>
      <c r="N1113" s="66">
        <f t="shared" si="158"/>
        <v>0</v>
      </c>
      <c r="O1113" s="52">
        <f t="shared" si="159"/>
        <v>0</v>
      </c>
      <c r="P1113" s="52">
        <f t="shared" si="160"/>
        <v>0</v>
      </c>
      <c r="Q1113" s="68">
        <f t="shared" si="161"/>
        <v>17.2711111111111</v>
      </c>
    </row>
    <row r="1114" s="2" customFormat="1" spans="1:17">
      <c r="A1114" s="61">
        <v>45761</v>
      </c>
      <c r="B1114" s="18">
        <v>934.82</v>
      </c>
      <c r="C1114" s="19">
        <v>863</v>
      </c>
      <c r="D1114" s="19">
        <v>222</v>
      </c>
      <c r="E1114" s="19">
        <v>0</v>
      </c>
      <c r="F1114" s="18">
        <v>0</v>
      </c>
      <c r="G1114" s="19">
        <v>56</v>
      </c>
      <c r="H1114" s="19">
        <v>6</v>
      </c>
      <c r="I1114" s="19">
        <v>6</v>
      </c>
      <c r="J1114" s="66">
        <f t="shared" si="154"/>
        <v>0.257242178447277</v>
      </c>
      <c r="K1114" s="67">
        <f t="shared" si="155"/>
        <v>4.2109009009009</v>
      </c>
      <c r="L1114" s="67">
        <f t="shared" si="156"/>
        <v>1083.22132097335</v>
      </c>
      <c r="M1114" s="73">
        <f t="shared" si="157"/>
        <v>0</v>
      </c>
      <c r="N1114" s="66">
        <f t="shared" si="158"/>
        <v>0</v>
      </c>
      <c r="O1114" s="52">
        <f t="shared" si="159"/>
        <v>0</v>
      </c>
      <c r="P1114" s="52">
        <f t="shared" si="160"/>
        <v>0</v>
      </c>
      <c r="Q1114" s="68">
        <f t="shared" si="161"/>
        <v>16.6932142857143</v>
      </c>
    </row>
    <row r="1115" s="2" customFormat="1" spans="1:17">
      <c r="A1115" s="61">
        <v>45762</v>
      </c>
      <c r="B1115" s="18">
        <v>396.31</v>
      </c>
      <c r="C1115" s="19">
        <v>363</v>
      </c>
      <c r="D1115" s="19">
        <v>100</v>
      </c>
      <c r="E1115" s="19">
        <v>0</v>
      </c>
      <c r="F1115" s="18">
        <v>0</v>
      </c>
      <c r="G1115" s="19">
        <v>11</v>
      </c>
      <c r="H1115" s="19">
        <v>0</v>
      </c>
      <c r="I1115" s="19">
        <v>4</v>
      </c>
      <c r="J1115" s="66">
        <f t="shared" si="154"/>
        <v>0.275482093663912</v>
      </c>
      <c r="K1115" s="67">
        <f t="shared" si="155"/>
        <v>3.9631</v>
      </c>
      <c r="L1115" s="67">
        <f t="shared" si="156"/>
        <v>1091.76308539945</v>
      </c>
      <c r="M1115" s="73">
        <f t="shared" si="157"/>
        <v>0</v>
      </c>
      <c r="N1115" s="66">
        <f t="shared" si="158"/>
        <v>0</v>
      </c>
      <c r="O1115" s="52">
        <f t="shared" si="159"/>
        <v>0</v>
      </c>
      <c r="P1115" s="52">
        <f t="shared" si="160"/>
        <v>0</v>
      </c>
      <c r="Q1115" s="68">
        <f t="shared" si="161"/>
        <v>36.0281818181818</v>
      </c>
    </row>
    <row r="1116" s="2" customFormat="1" spans="1:17">
      <c r="A1116" s="61">
        <v>45763</v>
      </c>
      <c r="B1116" s="18">
        <v>815.46</v>
      </c>
      <c r="C1116" s="19">
        <v>703</v>
      </c>
      <c r="D1116" s="19">
        <v>218</v>
      </c>
      <c r="E1116" s="19">
        <v>1</v>
      </c>
      <c r="F1116" s="18">
        <v>23238</v>
      </c>
      <c r="G1116" s="19">
        <v>58</v>
      </c>
      <c r="H1116" s="19">
        <v>4</v>
      </c>
      <c r="I1116" s="19">
        <v>8</v>
      </c>
      <c r="J1116" s="66">
        <f t="shared" si="154"/>
        <v>0.310099573257468</v>
      </c>
      <c r="K1116" s="67">
        <f t="shared" si="155"/>
        <v>3.74064220183486</v>
      </c>
      <c r="L1116" s="67">
        <f t="shared" si="156"/>
        <v>1159.97155049787</v>
      </c>
      <c r="M1116" s="73">
        <f t="shared" si="157"/>
        <v>28.4967993525127</v>
      </c>
      <c r="N1116" s="66">
        <f t="shared" si="158"/>
        <v>0.00458715596330275</v>
      </c>
      <c r="O1116" s="52">
        <f t="shared" si="159"/>
        <v>23238</v>
      </c>
      <c r="P1116" s="52">
        <f t="shared" si="160"/>
        <v>815.46</v>
      </c>
      <c r="Q1116" s="68">
        <f t="shared" si="161"/>
        <v>14.0596551724138</v>
      </c>
    </row>
    <row r="1117" s="2" customFormat="1" spans="1:17">
      <c r="A1117" s="61">
        <v>45764</v>
      </c>
      <c r="B1117" s="18">
        <v>828.85</v>
      </c>
      <c r="C1117" s="19">
        <v>723</v>
      </c>
      <c r="D1117" s="19">
        <v>204</v>
      </c>
      <c r="E1117" s="19">
        <v>5</v>
      </c>
      <c r="F1117" s="18">
        <v>84582</v>
      </c>
      <c r="G1117" s="19">
        <v>34</v>
      </c>
      <c r="H1117" s="19">
        <v>1</v>
      </c>
      <c r="I1117" s="19">
        <v>6</v>
      </c>
      <c r="J1117" s="66">
        <f t="shared" si="154"/>
        <v>0.282157676348548</v>
      </c>
      <c r="K1117" s="67">
        <f t="shared" si="155"/>
        <v>4.06299019607843</v>
      </c>
      <c r="L1117" s="67">
        <f t="shared" si="156"/>
        <v>1146.40387275242</v>
      </c>
      <c r="M1117" s="73">
        <f t="shared" si="157"/>
        <v>102.047415093201</v>
      </c>
      <c r="N1117" s="66">
        <f t="shared" si="158"/>
        <v>0.0245098039215686</v>
      </c>
      <c r="O1117" s="52">
        <f t="shared" si="159"/>
        <v>16916.4</v>
      </c>
      <c r="P1117" s="52">
        <f t="shared" si="160"/>
        <v>165.77</v>
      </c>
      <c r="Q1117" s="68">
        <f t="shared" si="161"/>
        <v>24.3779411764706</v>
      </c>
    </row>
    <row r="1118" s="2" customFormat="1" spans="1:17">
      <c r="A1118" s="61">
        <v>45765</v>
      </c>
      <c r="B1118" s="18">
        <v>706.23</v>
      </c>
      <c r="C1118" s="19">
        <v>631</v>
      </c>
      <c r="D1118" s="19">
        <v>156</v>
      </c>
      <c r="E1118" s="19">
        <v>4</v>
      </c>
      <c r="F1118" s="18">
        <v>52114</v>
      </c>
      <c r="G1118" s="19">
        <v>41</v>
      </c>
      <c r="H1118" s="19">
        <v>4</v>
      </c>
      <c r="I1118" s="19">
        <v>6</v>
      </c>
      <c r="J1118" s="66">
        <f t="shared" si="154"/>
        <v>0.247226624405705</v>
      </c>
      <c r="K1118" s="67">
        <f t="shared" si="155"/>
        <v>4.52711538461539</v>
      </c>
      <c r="L1118" s="67">
        <f t="shared" si="156"/>
        <v>1119.2234548336</v>
      </c>
      <c r="M1118" s="73">
        <f t="shared" si="157"/>
        <v>73.7918241932515</v>
      </c>
      <c r="N1118" s="66">
        <f t="shared" si="158"/>
        <v>0.0256410256410256</v>
      </c>
      <c r="O1118" s="52">
        <f t="shared" si="159"/>
        <v>13028.5</v>
      </c>
      <c r="P1118" s="52">
        <f t="shared" si="160"/>
        <v>176.5575</v>
      </c>
      <c r="Q1118" s="68">
        <f t="shared" si="161"/>
        <v>17.2251219512195</v>
      </c>
    </row>
    <row r="1119" s="2" customFormat="1" spans="1:17">
      <c r="A1119" s="61">
        <v>45766</v>
      </c>
      <c r="B1119" s="18">
        <v>705.7</v>
      </c>
      <c r="C1119" s="19">
        <v>723</v>
      </c>
      <c r="D1119" s="19">
        <v>156</v>
      </c>
      <c r="E1119" s="19">
        <v>2</v>
      </c>
      <c r="F1119" s="18">
        <v>42280</v>
      </c>
      <c r="G1119" s="19">
        <v>50</v>
      </c>
      <c r="H1119" s="19">
        <v>1</v>
      </c>
      <c r="I1119" s="19">
        <v>5</v>
      </c>
      <c r="J1119" s="66">
        <f t="shared" si="154"/>
        <v>0.215767634854772</v>
      </c>
      <c r="K1119" s="67">
        <f t="shared" si="155"/>
        <v>4.52371794871795</v>
      </c>
      <c r="L1119" s="67">
        <f t="shared" si="156"/>
        <v>976.071922544952</v>
      </c>
      <c r="M1119" s="73">
        <f t="shared" si="157"/>
        <v>59.9121439705257</v>
      </c>
      <c r="N1119" s="66">
        <f t="shared" si="158"/>
        <v>0.0128205128205128</v>
      </c>
      <c r="O1119" s="52">
        <f t="shared" si="159"/>
        <v>21140</v>
      </c>
      <c r="P1119" s="52">
        <f t="shared" si="160"/>
        <v>352.85</v>
      </c>
      <c r="Q1119" s="68">
        <f t="shared" si="161"/>
        <v>14.114</v>
      </c>
    </row>
    <row r="1120" s="2" customFormat="1" spans="1:17">
      <c r="A1120" s="61">
        <v>45767</v>
      </c>
      <c r="B1120" s="18">
        <v>855.03</v>
      </c>
      <c r="C1120" s="19">
        <v>801</v>
      </c>
      <c r="D1120" s="19">
        <v>218</v>
      </c>
      <c r="E1120" s="19">
        <v>2</v>
      </c>
      <c r="F1120" s="18">
        <v>33659</v>
      </c>
      <c r="G1120" s="19">
        <v>50</v>
      </c>
      <c r="H1120" s="19">
        <v>2</v>
      </c>
      <c r="I1120" s="19">
        <v>12</v>
      </c>
      <c r="J1120" s="66">
        <f t="shared" si="154"/>
        <v>0.272159800249688</v>
      </c>
      <c r="K1120" s="67">
        <f t="shared" si="155"/>
        <v>3.92215596330275</v>
      </c>
      <c r="L1120" s="67">
        <f t="shared" si="156"/>
        <v>1067.4531835206</v>
      </c>
      <c r="M1120" s="73">
        <f t="shared" si="157"/>
        <v>39.3658702033847</v>
      </c>
      <c r="N1120" s="66">
        <f t="shared" si="158"/>
        <v>0.00917431192660551</v>
      </c>
      <c r="O1120" s="52">
        <f t="shared" si="159"/>
        <v>16829.5</v>
      </c>
      <c r="P1120" s="52">
        <f t="shared" si="160"/>
        <v>427.515</v>
      </c>
      <c r="Q1120" s="68">
        <f t="shared" si="161"/>
        <v>17.1006</v>
      </c>
    </row>
    <row r="1121" s="2" customFormat="1" spans="1:17">
      <c r="A1121" s="61">
        <v>45768</v>
      </c>
      <c r="B1121" s="18">
        <v>806.46</v>
      </c>
      <c r="C1121" s="19">
        <v>724</v>
      </c>
      <c r="D1121" s="19">
        <v>213</v>
      </c>
      <c r="E1121" s="19">
        <v>4</v>
      </c>
      <c r="F1121" s="18">
        <v>34826</v>
      </c>
      <c r="G1121" s="19">
        <v>32</v>
      </c>
      <c r="H1121" s="19">
        <v>2</v>
      </c>
      <c r="I1121" s="19">
        <v>3</v>
      </c>
      <c r="J1121" s="66">
        <f t="shared" si="154"/>
        <v>0.294198895027624</v>
      </c>
      <c r="K1121" s="67">
        <f t="shared" si="155"/>
        <v>3.78619718309859</v>
      </c>
      <c r="L1121" s="67">
        <f t="shared" si="156"/>
        <v>1113.89502762431</v>
      </c>
      <c r="M1121" s="73">
        <f t="shared" si="157"/>
        <v>43.1837908885748</v>
      </c>
      <c r="N1121" s="66">
        <f t="shared" si="158"/>
        <v>0.0187793427230047</v>
      </c>
      <c r="O1121" s="52">
        <f t="shared" si="159"/>
        <v>8706.5</v>
      </c>
      <c r="P1121" s="52">
        <f t="shared" si="160"/>
        <v>201.615</v>
      </c>
      <c r="Q1121" s="68">
        <f t="shared" si="161"/>
        <v>25.201875</v>
      </c>
    </row>
    <row r="1122" s="2" customFormat="1" spans="1:17">
      <c r="A1122" s="61">
        <v>45769</v>
      </c>
      <c r="B1122" s="18">
        <v>769</v>
      </c>
      <c r="C1122" s="19">
        <v>662</v>
      </c>
      <c r="D1122" s="19">
        <v>188</v>
      </c>
      <c r="E1122" s="19">
        <v>2</v>
      </c>
      <c r="F1122" s="18">
        <v>13350</v>
      </c>
      <c r="G1122" s="19">
        <v>32</v>
      </c>
      <c r="H1122" s="19">
        <v>6</v>
      </c>
      <c r="I1122" s="19">
        <v>8</v>
      </c>
      <c r="J1122" s="66">
        <f t="shared" si="154"/>
        <v>0.283987915407855</v>
      </c>
      <c r="K1122" s="67">
        <f t="shared" si="155"/>
        <v>4.09042553191489</v>
      </c>
      <c r="L1122" s="67">
        <f t="shared" si="156"/>
        <v>1161.63141993958</v>
      </c>
      <c r="M1122" s="73">
        <f t="shared" si="157"/>
        <v>17.3602080624187</v>
      </c>
      <c r="N1122" s="66">
        <f t="shared" si="158"/>
        <v>0.0106382978723404</v>
      </c>
      <c r="O1122" s="52">
        <f t="shared" si="159"/>
        <v>6675</v>
      </c>
      <c r="P1122" s="52">
        <f t="shared" si="160"/>
        <v>384.5</v>
      </c>
      <c r="Q1122" s="68">
        <f t="shared" si="161"/>
        <v>24.03125</v>
      </c>
    </row>
    <row r="1123" s="2" customFormat="1" spans="1:17">
      <c r="A1123" s="61">
        <v>45770</v>
      </c>
      <c r="B1123" s="18">
        <v>498.03</v>
      </c>
      <c r="C1123" s="19">
        <v>422</v>
      </c>
      <c r="D1123" s="19">
        <v>137</v>
      </c>
      <c r="E1123" s="19">
        <v>0</v>
      </c>
      <c r="F1123" s="18">
        <v>0</v>
      </c>
      <c r="G1123" s="19">
        <v>19</v>
      </c>
      <c r="H1123" s="19">
        <v>1</v>
      </c>
      <c r="I1123" s="19">
        <v>8</v>
      </c>
      <c r="J1123" s="66">
        <f t="shared" si="154"/>
        <v>0.324644549763033</v>
      </c>
      <c r="K1123" s="67">
        <f t="shared" si="155"/>
        <v>3.63525547445255</v>
      </c>
      <c r="L1123" s="67">
        <f t="shared" si="156"/>
        <v>1180.16587677725</v>
      </c>
      <c r="M1123" s="73">
        <f t="shared" si="157"/>
        <v>0</v>
      </c>
      <c r="N1123" s="66">
        <f t="shared" si="158"/>
        <v>0</v>
      </c>
      <c r="O1123" s="52">
        <f t="shared" si="159"/>
        <v>0</v>
      </c>
      <c r="P1123" s="52">
        <f t="shared" si="160"/>
        <v>0</v>
      </c>
      <c r="Q1123" s="68">
        <f t="shared" si="161"/>
        <v>26.2121052631579</v>
      </c>
    </row>
    <row r="1124" s="2" customFormat="1" spans="1:17">
      <c r="A1124" s="61">
        <v>45771</v>
      </c>
      <c r="B1124" s="18">
        <v>498.53</v>
      </c>
      <c r="C1124" s="19">
        <v>407</v>
      </c>
      <c r="D1124" s="19">
        <v>143</v>
      </c>
      <c r="E1124" s="19">
        <v>2</v>
      </c>
      <c r="F1124" s="18">
        <v>12672</v>
      </c>
      <c r="G1124" s="19">
        <v>18</v>
      </c>
      <c r="H1124" s="19">
        <v>1</v>
      </c>
      <c r="I1124" s="19">
        <v>3</v>
      </c>
      <c r="J1124" s="66">
        <f t="shared" si="154"/>
        <v>0.351351351351351</v>
      </c>
      <c r="K1124" s="67">
        <f t="shared" si="155"/>
        <v>3.48622377622378</v>
      </c>
      <c r="L1124" s="67">
        <f t="shared" si="156"/>
        <v>1224.88943488943</v>
      </c>
      <c r="M1124" s="73">
        <f t="shared" si="157"/>
        <v>25.4187310693439</v>
      </c>
      <c r="N1124" s="66">
        <f t="shared" si="158"/>
        <v>0.013986013986014</v>
      </c>
      <c r="O1124" s="52">
        <f t="shared" si="159"/>
        <v>6336</v>
      </c>
      <c r="P1124" s="52">
        <f t="shared" si="160"/>
        <v>249.265</v>
      </c>
      <c r="Q1124" s="68">
        <f t="shared" si="161"/>
        <v>27.6961111111111</v>
      </c>
    </row>
    <row r="1125" s="2" customFormat="1" spans="1:17">
      <c r="A1125" s="61">
        <v>45772</v>
      </c>
      <c r="B1125" s="18">
        <v>721.09</v>
      </c>
      <c r="C1125" s="19">
        <v>597</v>
      </c>
      <c r="D1125" s="19">
        <v>215</v>
      </c>
      <c r="E1125" s="19">
        <v>7</v>
      </c>
      <c r="F1125" s="18">
        <v>73516</v>
      </c>
      <c r="G1125" s="19">
        <v>41</v>
      </c>
      <c r="H1125" s="19">
        <v>2</v>
      </c>
      <c r="I1125" s="19">
        <v>9</v>
      </c>
      <c r="J1125" s="66">
        <f t="shared" si="154"/>
        <v>0.360134003350084</v>
      </c>
      <c r="K1125" s="67">
        <f t="shared" si="155"/>
        <v>3.35390697674419</v>
      </c>
      <c r="L1125" s="67">
        <f t="shared" si="156"/>
        <v>1207.85594639866</v>
      </c>
      <c r="M1125" s="73">
        <f t="shared" si="157"/>
        <v>101.951212747369</v>
      </c>
      <c r="N1125" s="66">
        <f t="shared" si="158"/>
        <v>0.0325581395348837</v>
      </c>
      <c r="O1125" s="52">
        <f t="shared" si="159"/>
        <v>10502.2857142857</v>
      </c>
      <c r="P1125" s="52">
        <f t="shared" si="160"/>
        <v>103.012857142857</v>
      </c>
      <c r="Q1125" s="68">
        <f t="shared" si="161"/>
        <v>17.5875609756098</v>
      </c>
    </row>
    <row r="1126" s="2" customFormat="1" spans="1:17">
      <c r="A1126" s="61">
        <v>45773</v>
      </c>
      <c r="B1126" s="18">
        <v>667.07</v>
      </c>
      <c r="C1126" s="19">
        <v>667</v>
      </c>
      <c r="D1126" s="19">
        <v>194</v>
      </c>
      <c r="E1126" s="19">
        <v>5</v>
      </c>
      <c r="F1126" s="18">
        <v>95464</v>
      </c>
      <c r="G1126" s="19">
        <v>40</v>
      </c>
      <c r="H1126" s="19">
        <v>5</v>
      </c>
      <c r="I1126" s="19">
        <v>14</v>
      </c>
      <c r="J1126" s="66">
        <f t="shared" ref="J1126:J1189" si="162">D1126/C1126</f>
        <v>0.290854572713643</v>
      </c>
      <c r="K1126" s="67">
        <f t="shared" ref="K1126:K1189" si="163">B1126/D1126</f>
        <v>3.43850515463918</v>
      </c>
      <c r="L1126" s="67">
        <f t="shared" ref="L1126:L1189" si="164">B1126/C1126*1000</f>
        <v>1000.10494752624</v>
      </c>
      <c r="M1126" s="73">
        <f t="shared" ref="M1126:M1189" si="165">F1126/B1126</f>
        <v>143.109418801625</v>
      </c>
      <c r="N1126" s="66">
        <f t="shared" ref="N1126:N1189" si="166">E1126/D1126</f>
        <v>0.0257731958762887</v>
      </c>
      <c r="O1126" s="52">
        <f t="shared" ref="O1126:O1189" si="167">IF(E1126=0,0,F1126/E1126)</f>
        <v>19092.8</v>
      </c>
      <c r="P1126" s="52">
        <f t="shared" ref="P1126:P1189" si="168">IF(E1126=0,0,B1126/E1126)</f>
        <v>133.414</v>
      </c>
      <c r="Q1126" s="68">
        <f t="shared" ref="Q1126:Q1189" si="169">B1126/G1126</f>
        <v>16.67675</v>
      </c>
    </row>
    <row r="1127" s="2" customFormat="1" spans="1:17">
      <c r="A1127" s="61">
        <v>45774</v>
      </c>
      <c r="B1127" s="18">
        <v>786.04</v>
      </c>
      <c r="C1127" s="19">
        <v>656</v>
      </c>
      <c r="D1127" s="19">
        <v>202</v>
      </c>
      <c r="E1127" s="19">
        <v>2</v>
      </c>
      <c r="F1127" s="18">
        <v>23036</v>
      </c>
      <c r="G1127" s="19">
        <v>51</v>
      </c>
      <c r="H1127" s="19">
        <v>1</v>
      </c>
      <c r="I1127" s="19">
        <v>6</v>
      </c>
      <c r="J1127" s="66">
        <f t="shared" si="162"/>
        <v>0.307926829268293</v>
      </c>
      <c r="K1127" s="67">
        <f t="shared" si="163"/>
        <v>3.89128712871287</v>
      </c>
      <c r="L1127" s="67">
        <f t="shared" si="164"/>
        <v>1198.23170731707</v>
      </c>
      <c r="M1127" s="73">
        <f t="shared" si="165"/>
        <v>29.3063966210371</v>
      </c>
      <c r="N1127" s="66">
        <f t="shared" si="166"/>
        <v>0.0099009900990099</v>
      </c>
      <c r="O1127" s="52">
        <f t="shared" si="167"/>
        <v>11518</v>
      </c>
      <c r="P1127" s="52">
        <f t="shared" si="168"/>
        <v>393.02</v>
      </c>
      <c r="Q1127" s="68">
        <f t="shared" si="169"/>
        <v>15.4125490196078</v>
      </c>
    </row>
    <row r="1128" s="2" customFormat="1" spans="1:17">
      <c r="A1128" s="61">
        <v>45775</v>
      </c>
      <c r="B1128" s="18">
        <v>751</v>
      </c>
      <c r="C1128" s="19">
        <v>597</v>
      </c>
      <c r="D1128" s="19">
        <v>155</v>
      </c>
      <c r="E1128" s="19">
        <v>1</v>
      </c>
      <c r="F1128" s="18">
        <v>8624</v>
      </c>
      <c r="G1128" s="19">
        <v>34</v>
      </c>
      <c r="H1128" s="19">
        <v>0</v>
      </c>
      <c r="I1128" s="19">
        <v>4</v>
      </c>
      <c r="J1128" s="66">
        <f t="shared" si="162"/>
        <v>0.25963149078727</v>
      </c>
      <c r="K1128" s="67">
        <f t="shared" si="163"/>
        <v>4.84516129032258</v>
      </c>
      <c r="L1128" s="67">
        <f t="shared" si="164"/>
        <v>1257.95644891122</v>
      </c>
      <c r="M1128" s="73">
        <f t="shared" si="165"/>
        <v>11.4833555259654</v>
      </c>
      <c r="N1128" s="66">
        <f t="shared" si="166"/>
        <v>0.00645161290322581</v>
      </c>
      <c r="O1128" s="52">
        <f t="shared" si="167"/>
        <v>8624</v>
      </c>
      <c r="P1128" s="52">
        <f t="shared" si="168"/>
        <v>751</v>
      </c>
      <c r="Q1128" s="68">
        <f t="shared" si="169"/>
        <v>22.0882352941176</v>
      </c>
    </row>
    <row r="1129" s="2" customFormat="1" spans="1:17">
      <c r="A1129" s="61">
        <v>45776</v>
      </c>
      <c r="B1129" s="18">
        <v>713.77</v>
      </c>
      <c r="C1129" s="19">
        <v>561</v>
      </c>
      <c r="D1129" s="19">
        <v>163</v>
      </c>
      <c r="E1129" s="19">
        <v>1</v>
      </c>
      <c r="F1129" s="18">
        <v>13534</v>
      </c>
      <c r="G1129" s="19">
        <v>32</v>
      </c>
      <c r="H1129" s="19">
        <v>2</v>
      </c>
      <c r="I1129" s="19">
        <v>8</v>
      </c>
      <c r="J1129" s="66">
        <f t="shared" si="162"/>
        <v>0.290552584670232</v>
      </c>
      <c r="K1129" s="67">
        <f t="shared" si="163"/>
        <v>4.37895705521472</v>
      </c>
      <c r="L1129" s="67">
        <f t="shared" si="164"/>
        <v>1272.31729055258</v>
      </c>
      <c r="M1129" s="73">
        <f t="shared" si="165"/>
        <v>18.9612900514171</v>
      </c>
      <c r="N1129" s="66">
        <f t="shared" si="166"/>
        <v>0.00613496932515337</v>
      </c>
      <c r="O1129" s="52">
        <f t="shared" si="167"/>
        <v>13534</v>
      </c>
      <c r="P1129" s="52">
        <f t="shared" si="168"/>
        <v>713.77</v>
      </c>
      <c r="Q1129" s="68">
        <f t="shared" si="169"/>
        <v>22.3053125</v>
      </c>
    </row>
    <row r="1130" s="2" customFormat="1" spans="1:17">
      <c r="A1130" s="61">
        <v>45777</v>
      </c>
      <c r="B1130" s="18">
        <v>656.21</v>
      </c>
      <c r="C1130" s="19">
        <v>505</v>
      </c>
      <c r="D1130" s="19">
        <v>137</v>
      </c>
      <c r="E1130" s="19">
        <v>0</v>
      </c>
      <c r="F1130" s="18">
        <v>0</v>
      </c>
      <c r="G1130" s="19">
        <v>26</v>
      </c>
      <c r="H1130" s="19">
        <v>1</v>
      </c>
      <c r="I1130" s="19">
        <v>2</v>
      </c>
      <c r="J1130" s="66">
        <f t="shared" si="162"/>
        <v>0.271287128712871</v>
      </c>
      <c r="K1130" s="67">
        <f t="shared" si="163"/>
        <v>4.78985401459854</v>
      </c>
      <c r="L1130" s="67">
        <f t="shared" si="164"/>
        <v>1299.42574257426</v>
      </c>
      <c r="M1130" s="73">
        <f t="shared" si="165"/>
        <v>0</v>
      </c>
      <c r="N1130" s="66">
        <f t="shared" si="166"/>
        <v>0</v>
      </c>
      <c r="O1130" s="52">
        <f t="shared" si="167"/>
        <v>0</v>
      </c>
      <c r="P1130" s="52">
        <f t="shared" si="168"/>
        <v>0</v>
      </c>
      <c r="Q1130" s="68">
        <f t="shared" si="169"/>
        <v>25.2388461538462</v>
      </c>
    </row>
    <row r="1131" s="2" customFormat="1" spans="1:17">
      <c r="A1131" s="61">
        <v>45778</v>
      </c>
      <c r="B1131" s="18">
        <v>606.75</v>
      </c>
      <c r="C1131" s="19">
        <v>512</v>
      </c>
      <c r="D1131" s="19">
        <v>161</v>
      </c>
      <c r="E1131" s="19">
        <v>0</v>
      </c>
      <c r="F1131" s="18">
        <v>0</v>
      </c>
      <c r="G1131" s="19">
        <v>33</v>
      </c>
      <c r="H1131" s="19">
        <v>1</v>
      </c>
      <c r="I1131" s="19">
        <v>5</v>
      </c>
      <c r="J1131" s="66">
        <f t="shared" si="162"/>
        <v>0.314453125</v>
      </c>
      <c r="K1131" s="67">
        <f t="shared" si="163"/>
        <v>3.76863354037267</v>
      </c>
      <c r="L1131" s="67">
        <f t="shared" si="164"/>
        <v>1185.05859375</v>
      </c>
      <c r="M1131" s="73">
        <f t="shared" si="165"/>
        <v>0</v>
      </c>
      <c r="N1131" s="66">
        <f t="shared" si="166"/>
        <v>0</v>
      </c>
      <c r="O1131" s="52">
        <f t="shared" si="167"/>
        <v>0</v>
      </c>
      <c r="P1131" s="52">
        <f t="shared" si="168"/>
        <v>0</v>
      </c>
      <c r="Q1131" s="68">
        <f t="shared" si="169"/>
        <v>18.3863636363636</v>
      </c>
    </row>
    <row r="1132" s="2" customFormat="1" spans="1:17">
      <c r="A1132" s="61">
        <v>45779</v>
      </c>
      <c r="B1132" s="18">
        <v>574.94</v>
      </c>
      <c r="C1132" s="19">
        <v>547</v>
      </c>
      <c r="D1132" s="19">
        <v>162</v>
      </c>
      <c r="E1132" s="19">
        <v>3</v>
      </c>
      <c r="F1132" s="18">
        <v>29336</v>
      </c>
      <c r="G1132" s="19">
        <v>33</v>
      </c>
      <c r="H1132" s="19">
        <v>1</v>
      </c>
      <c r="I1132" s="19">
        <v>8</v>
      </c>
      <c r="J1132" s="66">
        <f t="shared" si="162"/>
        <v>0.296160877513711</v>
      </c>
      <c r="K1132" s="67">
        <f t="shared" si="163"/>
        <v>3.54901234567901</v>
      </c>
      <c r="L1132" s="67">
        <f t="shared" si="164"/>
        <v>1051.07861060329</v>
      </c>
      <c r="M1132" s="73">
        <f t="shared" si="165"/>
        <v>51.0244547257105</v>
      </c>
      <c r="N1132" s="66">
        <f t="shared" si="166"/>
        <v>0.0185185185185185</v>
      </c>
      <c r="O1132" s="52">
        <f t="shared" si="167"/>
        <v>9778.66666666667</v>
      </c>
      <c r="P1132" s="52">
        <f t="shared" si="168"/>
        <v>191.646666666667</v>
      </c>
      <c r="Q1132" s="68">
        <f t="shared" si="169"/>
        <v>17.4224242424242</v>
      </c>
    </row>
    <row r="1133" s="2" customFormat="1" spans="1:17">
      <c r="A1133" s="61">
        <v>45780</v>
      </c>
      <c r="B1133" s="18">
        <v>701.38</v>
      </c>
      <c r="C1133" s="19">
        <v>594</v>
      </c>
      <c r="D1133" s="19">
        <v>178</v>
      </c>
      <c r="E1133" s="19">
        <v>4</v>
      </c>
      <c r="F1133" s="18">
        <v>60277</v>
      </c>
      <c r="G1133" s="19">
        <v>53</v>
      </c>
      <c r="H1133" s="19">
        <v>7</v>
      </c>
      <c r="I1133" s="19">
        <v>14</v>
      </c>
      <c r="J1133" s="66">
        <f t="shared" si="162"/>
        <v>0.2996632996633</v>
      </c>
      <c r="K1133" s="67">
        <f t="shared" si="163"/>
        <v>3.94033707865169</v>
      </c>
      <c r="L1133" s="67">
        <f t="shared" si="164"/>
        <v>1180.77441077441</v>
      </c>
      <c r="M1133" s="73">
        <f t="shared" si="165"/>
        <v>85.9405742963871</v>
      </c>
      <c r="N1133" s="66">
        <f t="shared" si="166"/>
        <v>0.0224719101123595</v>
      </c>
      <c r="O1133" s="52">
        <f t="shared" si="167"/>
        <v>15069.25</v>
      </c>
      <c r="P1133" s="52">
        <f t="shared" si="168"/>
        <v>175.345</v>
      </c>
      <c r="Q1133" s="68">
        <f t="shared" si="169"/>
        <v>13.2335849056604</v>
      </c>
    </row>
    <row r="1134" s="2" customFormat="1" spans="1:17">
      <c r="A1134" s="61">
        <v>45781</v>
      </c>
      <c r="B1134" s="18">
        <v>739.52</v>
      </c>
      <c r="C1134" s="19">
        <v>703</v>
      </c>
      <c r="D1134" s="19">
        <v>157</v>
      </c>
      <c r="E1134" s="19">
        <v>1</v>
      </c>
      <c r="F1134" s="18">
        <v>15792</v>
      </c>
      <c r="G1134" s="19">
        <v>42</v>
      </c>
      <c r="H1134" s="19">
        <v>10</v>
      </c>
      <c r="I1134" s="19">
        <v>7</v>
      </c>
      <c r="J1134" s="66">
        <f t="shared" si="162"/>
        <v>0.223328591749644</v>
      </c>
      <c r="K1134" s="67">
        <f t="shared" si="163"/>
        <v>4.71031847133758</v>
      </c>
      <c r="L1134" s="67">
        <f t="shared" si="164"/>
        <v>1051.94879089616</v>
      </c>
      <c r="M1134" s="73">
        <f t="shared" si="165"/>
        <v>21.3543920380788</v>
      </c>
      <c r="N1134" s="66">
        <f t="shared" si="166"/>
        <v>0.00636942675159236</v>
      </c>
      <c r="O1134" s="52">
        <f t="shared" si="167"/>
        <v>15792</v>
      </c>
      <c r="P1134" s="52">
        <f t="shared" si="168"/>
        <v>739.52</v>
      </c>
      <c r="Q1134" s="68">
        <f t="shared" si="169"/>
        <v>17.607619047619</v>
      </c>
    </row>
    <row r="1135" s="2" customFormat="1" spans="1:17">
      <c r="A1135" s="61">
        <v>45782</v>
      </c>
      <c r="B1135" s="18">
        <v>956.68</v>
      </c>
      <c r="C1135" s="19">
        <v>842</v>
      </c>
      <c r="D1135" s="19">
        <v>242</v>
      </c>
      <c r="E1135" s="19">
        <v>3</v>
      </c>
      <c r="F1135" s="18">
        <v>14896</v>
      </c>
      <c r="G1135" s="19">
        <v>40</v>
      </c>
      <c r="H1135" s="19">
        <v>2</v>
      </c>
      <c r="I1135" s="19">
        <v>11</v>
      </c>
      <c r="J1135" s="66">
        <f t="shared" si="162"/>
        <v>0.287410926365796</v>
      </c>
      <c r="K1135" s="67">
        <f t="shared" si="163"/>
        <v>3.95322314049587</v>
      </c>
      <c r="L1135" s="67">
        <f t="shared" si="164"/>
        <v>1136.19952494062</v>
      </c>
      <c r="M1135" s="73">
        <f t="shared" si="165"/>
        <v>15.5705146966593</v>
      </c>
      <c r="N1135" s="66">
        <f t="shared" si="166"/>
        <v>0.012396694214876</v>
      </c>
      <c r="O1135" s="52">
        <f t="shared" si="167"/>
        <v>4965.33333333333</v>
      </c>
      <c r="P1135" s="52">
        <f t="shared" si="168"/>
        <v>318.893333333333</v>
      </c>
      <c r="Q1135" s="68">
        <f t="shared" si="169"/>
        <v>23.917</v>
      </c>
    </row>
    <row r="1136" s="2" customFormat="1" spans="1:17">
      <c r="A1136" s="61">
        <v>45783</v>
      </c>
      <c r="B1136" s="18">
        <v>1145.46</v>
      </c>
      <c r="C1136" s="19">
        <v>1139</v>
      </c>
      <c r="D1136" s="19">
        <v>243</v>
      </c>
      <c r="E1136" s="19">
        <v>8</v>
      </c>
      <c r="F1136" s="18">
        <v>85453</v>
      </c>
      <c r="G1136" s="19">
        <v>56</v>
      </c>
      <c r="H1136" s="19">
        <v>2</v>
      </c>
      <c r="I1136" s="19">
        <v>14</v>
      </c>
      <c r="J1136" s="66">
        <f t="shared" si="162"/>
        <v>0.213345039508341</v>
      </c>
      <c r="K1136" s="67">
        <f t="shared" si="163"/>
        <v>4.71382716049383</v>
      </c>
      <c r="L1136" s="67">
        <f t="shared" si="164"/>
        <v>1005.67164179104</v>
      </c>
      <c r="M1136" s="73">
        <f t="shared" si="165"/>
        <v>74.6014701517294</v>
      </c>
      <c r="N1136" s="66">
        <f t="shared" si="166"/>
        <v>0.0329218106995885</v>
      </c>
      <c r="O1136" s="52">
        <f t="shared" si="167"/>
        <v>10681.625</v>
      </c>
      <c r="P1136" s="52">
        <f t="shared" si="168"/>
        <v>143.1825</v>
      </c>
      <c r="Q1136" s="68">
        <f t="shared" si="169"/>
        <v>20.4546428571429</v>
      </c>
    </row>
    <row r="1137" s="2" customFormat="1" spans="1:17">
      <c r="A1137" s="61">
        <v>45784</v>
      </c>
      <c r="B1137" s="18">
        <v>999.83</v>
      </c>
      <c r="C1137" s="19">
        <v>1000</v>
      </c>
      <c r="D1137" s="19">
        <v>253</v>
      </c>
      <c r="E1137" s="19">
        <v>2</v>
      </c>
      <c r="F1137" s="18">
        <v>14198</v>
      </c>
      <c r="G1137" s="19">
        <v>72</v>
      </c>
      <c r="H1137" s="19">
        <v>5</v>
      </c>
      <c r="I1137" s="19">
        <v>13</v>
      </c>
      <c r="J1137" s="66">
        <f t="shared" si="162"/>
        <v>0.253</v>
      </c>
      <c r="K1137" s="67">
        <f t="shared" si="163"/>
        <v>3.95189723320158</v>
      </c>
      <c r="L1137" s="67">
        <f t="shared" si="164"/>
        <v>999.83</v>
      </c>
      <c r="M1137" s="73">
        <f t="shared" si="165"/>
        <v>14.200414070392</v>
      </c>
      <c r="N1137" s="66">
        <f t="shared" si="166"/>
        <v>0.00790513833992095</v>
      </c>
      <c r="O1137" s="52">
        <f t="shared" si="167"/>
        <v>7099</v>
      </c>
      <c r="P1137" s="52">
        <f t="shared" si="168"/>
        <v>499.915</v>
      </c>
      <c r="Q1137" s="68">
        <f t="shared" si="169"/>
        <v>13.8865277777778</v>
      </c>
    </row>
    <row r="1138" s="2" customFormat="1" spans="1:17">
      <c r="A1138" s="61">
        <v>45785</v>
      </c>
      <c r="B1138" s="18">
        <v>819.33</v>
      </c>
      <c r="C1138" s="19">
        <v>687</v>
      </c>
      <c r="D1138" s="19">
        <v>217</v>
      </c>
      <c r="E1138" s="19">
        <v>6</v>
      </c>
      <c r="F1138" s="18">
        <v>72598</v>
      </c>
      <c r="G1138" s="19">
        <v>35</v>
      </c>
      <c r="H1138" s="19">
        <v>3</v>
      </c>
      <c r="I1138" s="19">
        <v>14</v>
      </c>
      <c r="J1138" s="66">
        <f t="shared" si="162"/>
        <v>0.315866084425036</v>
      </c>
      <c r="K1138" s="67">
        <f t="shared" si="163"/>
        <v>3.77571428571429</v>
      </c>
      <c r="L1138" s="67">
        <f t="shared" si="164"/>
        <v>1192.62008733624</v>
      </c>
      <c r="M1138" s="73">
        <f t="shared" si="165"/>
        <v>88.6065443716207</v>
      </c>
      <c r="N1138" s="66">
        <f t="shared" si="166"/>
        <v>0.0276497695852535</v>
      </c>
      <c r="O1138" s="52">
        <f t="shared" si="167"/>
        <v>12099.6666666667</v>
      </c>
      <c r="P1138" s="52">
        <f t="shared" si="168"/>
        <v>136.555</v>
      </c>
      <c r="Q1138" s="68">
        <f t="shared" si="169"/>
        <v>23.4094285714286</v>
      </c>
    </row>
    <row r="1139" s="2" customFormat="1" spans="1:17">
      <c r="A1139" s="61">
        <v>45786</v>
      </c>
      <c r="B1139" s="18">
        <v>723</v>
      </c>
      <c r="C1139" s="19">
        <v>597</v>
      </c>
      <c r="D1139" s="19">
        <v>179</v>
      </c>
      <c r="E1139" s="19">
        <v>4</v>
      </c>
      <c r="F1139" s="18">
        <v>39063</v>
      </c>
      <c r="G1139" s="19">
        <v>37</v>
      </c>
      <c r="H1139" s="19">
        <v>6</v>
      </c>
      <c r="I1139" s="19">
        <v>5</v>
      </c>
      <c r="J1139" s="66">
        <f t="shared" si="162"/>
        <v>0.299832495812395</v>
      </c>
      <c r="K1139" s="67">
        <f t="shared" si="163"/>
        <v>4.0391061452514</v>
      </c>
      <c r="L1139" s="67">
        <f t="shared" si="164"/>
        <v>1211.05527638191</v>
      </c>
      <c r="M1139" s="73">
        <f t="shared" si="165"/>
        <v>54.0290456431535</v>
      </c>
      <c r="N1139" s="66">
        <f t="shared" si="166"/>
        <v>0.0223463687150838</v>
      </c>
      <c r="O1139" s="52">
        <f t="shared" si="167"/>
        <v>9765.75</v>
      </c>
      <c r="P1139" s="52">
        <f t="shared" si="168"/>
        <v>180.75</v>
      </c>
      <c r="Q1139" s="68">
        <f t="shared" si="169"/>
        <v>19.5405405405405</v>
      </c>
    </row>
    <row r="1140" s="2" customFormat="1" spans="1:17">
      <c r="A1140" s="61">
        <v>45787</v>
      </c>
      <c r="B1140" s="18">
        <v>743.17</v>
      </c>
      <c r="C1140" s="19">
        <v>625</v>
      </c>
      <c r="D1140" s="19">
        <v>161</v>
      </c>
      <c r="E1140" s="19">
        <v>1</v>
      </c>
      <c r="F1140" s="18">
        <v>13092</v>
      </c>
      <c r="G1140" s="19">
        <v>34</v>
      </c>
      <c r="H1140" s="19">
        <v>2</v>
      </c>
      <c r="I1140" s="19">
        <v>13</v>
      </c>
      <c r="J1140" s="66">
        <f t="shared" si="162"/>
        <v>0.2576</v>
      </c>
      <c r="K1140" s="67">
        <f t="shared" si="163"/>
        <v>4.61596273291925</v>
      </c>
      <c r="L1140" s="67">
        <f t="shared" si="164"/>
        <v>1189.072</v>
      </c>
      <c r="M1140" s="73">
        <f t="shared" si="165"/>
        <v>17.61642692789</v>
      </c>
      <c r="N1140" s="66">
        <f t="shared" si="166"/>
        <v>0.0062111801242236</v>
      </c>
      <c r="O1140" s="52">
        <f t="shared" si="167"/>
        <v>13092</v>
      </c>
      <c r="P1140" s="52">
        <f t="shared" si="168"/>
        <v>743.17</v>
      </c>
      <c r="Q1140" s="68">
        <f t="shared" si="169"/>
        <v>21.8579411764706</v>
      </c>
    </row>
    <row r="1141" s="2" customFormat="1" spans="1:17">
      <c r="A1141" s="61">
        <v>45788</v>
      </c>
      <c r="B1141" s="18">
        <v>755.43</v>
      </c>
      <c r="C1141" s="19">
        <v>700</v>
      </c>
      <c r="D1141" s="19">
        <v>166</v>
      </c>
      <c r="E1141" s="19">
        <v>1</v>
      </c>
      <c r="F1141" s="18">
        <v>5976</v>
      </c>
      <c r="G1141" s="19">
        <v>57</v>
      </c>
      <c r="H1141" s="19">
        <v>7</v>
      </c>
      <c r="I1141" s="19">
        <v>8</v>
      </c>
      <c r="J1141" s="66">
        <f t="shared" si="162"/>
        <v>0.237142857142857</v>
      </c>
      <c r="K1141" s="67">
        <f t="shared" si="163"/>
        <v>4.55078313253012</v>
      </c>
      <c r="L1141" s="67">
        <f t="shared" si="164"/>
        <v>1079.18571428571</v>
      </c>
      <c r="M1141" s="73">
        <f t="shared" si="165"/>
        <v>7.91072634128907</v>
      </c>
      <c r="N1141" s="66">
        <f t="shared" si="166"/>
        <v>0.00602409638554217</v>
      </c>
      <c r="O1141" s="52">
        <f t="shared" si="167"/>
        <v>5976</v>
      </c>
      <c r="P1141" s="52">
        <f t="shared" si="168"/>
        <v>755.43</v>
      </c>
      <c r="Q1141" s="68">
        <f t="shared" si="169"/>
        <v>13.2531578947368</v>
      </c>
    </row>
    <row r="1142" s="2" customFormat="1" spans="1:17">
      <c r="A1142" s="61">
        <v>45789</v>
      </c>
      <c r="B1142" s="18">
        <v>795.63</v>
      </c>
      <c r="C1142" s="19">
        <v>666</v>
      </c>
      <c r="D1142" s="19">
        <v>207</v>
      </c>
      <c r="E1142" s="19">
        <v>0</v>
      </c>
      <c r="F1142" s="18">
        <v>0</v>
      </c>
      <c r="G1142" s="19">
        <v>76</v>
      </c>
      <c r="H1142" s="19">
        <v>10</v>
      </c>
      <c r="I1142" s="19">
        <v>13</v>
      </c>
      <c r="J1142" s="66">
        <f t="shared" si="162"/>
        <v>0.310810810810811</v>
      </c>
      <c r="K1142" s="67">
        <f t="shared" si="163"/>
        <v>3.8436231884058</v>
      </c>
      <c r="L1142" s="67">
        <f t="shared" si="164"/>
        <v>1194.63963963964</v>
      </c>
      <c r="M1142" s="73">
        <f t="shared" si="165"/>
        <v>0</v>
      </c>
      <c r="N1142" s="66">
        <f t="shared" si="166"/>
        <v>0</v>
      </c>
      <c r="O1142" s="52">
        <f t="shared" si="167"/>
        <v>0</v>
      </c>
      <c r="P1142" s="52">
        <f t="shared" si="168"/>
        <v>0</v>
      </c>
      <c r="Q1142" s="68">
        <f t="shared" si="169"/>
        <v>10.4688157894737</v>
      </c>
    </row>
    <row r="1143" s="2" customFormat="1" spans="1:17">
      <c r="A1143" s="61">
        <v>45790</v>
      </c>
      <c r="B1143" s="18">
        <v>1123.24</v>
      </c>
      <c r="C1143" s="19">
        <v>791</v>
      </c>
      <c r="D1143" s="19">
        <v>275</v>
      </c>
      <c r="E1143" s="19">
        <v>5</v>
      </c>
      <c r="F1143" s="18">
        <v>57606</v>
      </c>
      <c r="G1143" s="19">
        <v>58</v>
      </c>
      <c r="H1143" s="19">
        <v>14</v>
      </c>
      <c r="I1143" s="19">
        <v>12</v>
      </c>
      <c r="J1143" s="66">
        <f t="shared" si="162"/>
        <v>0.347661188369153</v>
      </c>
      <c r="K1143" s="67">
        <f t="shared" si="163"/>
        <v>4.08450909090909</v>
      </c>
      <c r="L1143" s="67">
        <f t="shared" si="164"/>
        <v>1420.02528445006</v>
      </c>
      <c r="M1143" s="73">
        <f t="shared" si="165"/>
        <v>51.2855667533208</v>
      </c>
      <c r="N1143" s="66">
        <f t="shared" si="166"/>
        <v>0.0181818181818182</v>
      </c>
      <c r="O1143" s="52">
        <f t="shared" si="167"/>
        <v>11521.2</v>
      </c>
      <c r="P1143" s="52">
        <f t="shared" si="168"/>
        <v>224.648</v>
      </c>
      <c r="Q1143" s="68">
        <f t="shared" si="169"/>
        <v>19.3662068965517</v>
      </c>
    </row>
    <row r="1144" s="2" customFormat="1" spans="1:17">
      <c r="A1144" s="61">
        <v>45791</v>
      </c>
      <c r="B1144" s="18">
        <v>1126.59</v>
      </c>
      <c r="C1144" s="19">
        <v>775</v>
      </c>
      <c r="D1144" s="19">
        <v>303</v>
      </c>
      <c r="E1144" s="19">
        <v>7</v>
      </c>
      <c r="F1144" s="18">
        <v>83966</v>
      </c>
      <c r="G1144" s="19">
        <v>87</v>
      </c>
      <c r="H1144" s="19">
        <v>14</v>
      </c>
      <c r="I1144" s="19">
        <v>20</v>
      </c>
      <c r="J1144" s="66">
        <f t="shared" si="162"/>
        <v>0.390967741935484</v>
      </c>
      <c r="K1144" s="67">
        <f t="shared" si="163"/>
        <v>3.71811881188119</v>
      </c>
      <c r="L1144" s="67">
        <f t="shared" si="164"/>
        <v>1453.66451612903</v>
      </c>
      <c r="M1144" s="73">
        <f t="shared" si="165"/>
        <v>74.5311071463443</v>
      </c>
      <c r="N1144" s="66">
        <f t="shared" si="166"/>
        <v>0.0231023102310231</v>
      </c>
      <c r="O1144" s="52">
        <f t="shared" si="167"/>
        <v>11995.1428571429</v>
      </c>
      <c r="P1144" s="52">
        <f t="shared" si="168"/>
        <v>160.941428571429</v>
      </c>
      <c r="Q1144" s="68">
        <f t="shared" si="169"/>
        <v>12.9493103448276</v>
      </c>
    </row>
    <row r="1145" s="2" customFormat="1" spans="1:17">
      <c r="A1145" s="61">
        <v>45792</v>
      </c>
      <c r="B1145" s="18">
        <v>1333.2</v>
      </c>
      <c r="C1145" s="19">
        <v>993</v>
      </c>
      <c r="D1145" s="19">
        <v>339</v>
      </c>
      <c r="E1145" s="19">
        <v>9</v>
      </c>
      <c r="F1145" s="18">
        <v>100656</v>
      </c>
      <c r="G1145" s="19">
        <v>94</v>
      </c>
      <c r="H1145" s="19">
        <v>4</v>
      </c>
      <c r="I1145" s="19">
        <v>16</v>
      </c>
      <c r="J1145" s="66">
        <f t="shared" si="162"/>
        <v>0.341389728096677</v>
      </c>
      <c r="K1145" s="67">
        <f t="shared" si="163"/>
        <v>3.93274336283186</v>
      </c>
      <c r="L1145" s="67">
        <f t="shared" si="164"/>
        <v>1342.59818731118</v>
      </c>
      <c r="M1145" s="73">
        <f t="shared" si="165"/>
        <v>75.4995499549955</v>
      </c>
      <c r="N1145" s="66">
        <f t="shared" si="166"/>
        <v>0.0265486725663717</v>
      </c>
      <c r="O1145" s="52">
        <f t="shared" si="167"/>
        <v>11184</v>
      </c>
      <c r="P1145" s="52">
        <f t="shared" si="168"/>
        <v>148.133333333333</v>
      </c>
      <c r="Q1145" s="68">
        <f t="shared" si="169"/>
        <v>14.1829787234043</v>
      </c>
    </row>
    <row r="1146" s="2" customFormat="1" spans="1:17">
      <c r="A1146" s="61">
        <v>45793</v>
      </c>
      <c r="B1146" s="18">
        <v>1060.49</v>
      </c>
      <c r="C1146" s="19">
        <v>769</v>
      </c>
      <c r="D1146" s="19">
        <v>258</v>
      </c>
      <c r="E1146" s="19">
        <v>6</v>
      </c>
      <c r="F1146" s="18">
        <v>57736</v>
      </c>
      <c r="G1146" s="19">
        <v>64</v>
      </c>
      <c r="H1146" s="19">
        <v>5</v>
      </c>
      <c r="I1146" s="19">
        <v>7</v>
      </c>
      <c r="J1146" s="66">
        <f t="shared" si="162"/>
        <v>0.335500650195059</v>
      </c>
      <c r="K1146" s="67">
        <f t="shared" si="163"/>
        <v>4.11042635658915</v>
      </c>
      <c r="L1146" s="67">
        <f t="shared" si="164"/>
        <v>1379.05071521456</v>
      </c>
      <c r="M1146" s="73">
        <f t="shared" si="165"/>
        <v>54.4427575931881</v>
      </c>
      <c r="N1146" s="66">
        <f t="shared" si="166"/>
        <v>0.0232558139534884</v>
      </c>
      <c r="O1146" s="52">
        <f t="shared" si="167"/>
        <v>9622.66666666667</v>
      </c>
      <c r="P1146" s="52">
        <f t="shared" si="168"/>
        <v>176.748333333333</v>
      </c>
      <c r="Q1146" s="68">
        <f t="shared" si="169"/>
        <v>16.57015625</v>
      </c>
    </row>
    <row r="1147" s="2" customFormat="1" spans="1:17">
      <c r="A1147" s="61">
        <v>45794</v>
      </c>
      <c r="B1147" s="18">
        <v>1002.72</v>
      </c>
      <c r="C1147" s="19">
        <v>763</v>
      </c>
      <c r="D1147" s="19">
        <v>207</v>
      </c>
      <c r="E1147" s="19">
        <v>9</v>
      </c>
      <c r="F1147" s="18">
        <v>102882</v>
      </c>
      <c r="G1147" s="19">
        <v>91</v>
      </c>
      <c r="H1147" s="19">
        <v>3</v>
      </c>
      <c r="I1147" s="19">
        <v>11</v>
      </c>
      <c r="J1147" s="66">
        <f t="shared" si="162"/>
        <v>0.27129750982962</v>
      </c>
      <c r="K1147" s="67">
        <f t="shared" si="163"/>
        <v>4.84405797101449</v>
      </c>
      <c r="L1147" s="67">
        <f t="shared" si="164"/>
        <v>1314.18086500655</v>
      </c>
      <c r="M1147" s="73">
        <f t="shared" si="165"/>
        <v>102.602920057444</v>
      </c>
      <c r="N1147" s="66">
        <f t="shared" si="166"/>
        <v>0.0434782608695652</v>
      </c>
      <c r="O1147" s="52">
        <f t="shared" si="167"/>
        <v>11431.3333333333</v>
      </c>
      <c r="P1147" s="52">
        <f t="shared" si="168"/>
        <v>111.413333333333</v>
      </c>
      <c r="Q1147" s="68">
        <f t="shared" si="169"/>
        <v>11.0189010989011</v>
      </c>
    </row>
    <row r="1148" s="2" customFormat="1" spans="1:17">
      <c r="A1148" s="61">
        <v>45795</v>
      </c>
      <c r="B1148" s="18">
        <v>1080.23</v>
      </c>
      <c r="C1148" s="19">
        <v>858</v>
      </c>
      <c r="D1148" s="19">
        <v>197</v>
      </c>
      <c r="E1148" s="19">
        <v>3</v>
      </c>
      <c r="F1148" s="18">
        <v>42367</v>
      </c>
      <c r="G1148" s="19">
        <v>50</v>
      </c>
      <c r="H1148" s="19">
        <v>6</v>
      </c>
      <c r="I1148" s="19">
        <v>8</v>
      </c>
      <c r="J1148" s="66">
        <f t="shared" si="162"/>
        <v>0.22960372960373</v>
      </c>
      <c r="K1148" s="67">
        <f t="shared" si="163"/>
        <v>5.48340101522843</v>
      </c>
      <c r="L1148" s="67">
        <f t="shared" si="164"/>
        <v>1259.00932400932</v>
      </c>
      <c r="M1148" s="73">
        <f t="shared" si="165"/>
        <v>39.2203512214991</v>
      </c>
      <c r="N1148" s="66">
        <f t="shared" si="166"/>
        <v>0.0152284263959391</v>
      </c>
      <c r="O1148" s="52">
        <f t="shared" si="167"/>
        <v>14122.3333333333</v>
      </c>
      <c r="P1148" s="52">
        <f t="shared" si="168"/>
        <v>360.076666666667</v>
      </c>
      <c r="Q1148" s="68">
        <f t="shared" si="169"/>
        <v>21.6046</v>
      </c>
    </row>
    <row r="1149" s="2" customFormat="1" spans="1:17">
      <c r="A1149" s="61">
        <v>45796</v>
      </c>
      <c r="B1149" s="18">
        <v>983.25</v>
      </c>
      <c r="C1149" s="19">
        <v>749</v>
      </c>
      <c r="D1149" s="19">
        <v>202</v>
      </c>
      <c r="E1149" s="19">
        <v>4</v>
      </c>
      <c r="F1149" s="18">
        <v>57193</v>
      </c>
      <c r="G1149" s="19">
        <v>73</v>
      </c>
      <c r="H1149" s="19">
        <v>4</v>
      </c>
      <c r="I1149" s="19">
        <v>13</v>
      </c>
      <c r="J1149" s="66">
        <f t="shared" si="162"/>
        <v>0.269692923898531</v>
      </c>
      <c r="K1149" s="67">
        <f t="shared" si="163"/>
        <v>4.86757425742574</v>
      </c>
      <c r="L1149" s="67">
        <f t="shared" si="164"/>
        <v>1312.75033377837</v>
      </c>
      <c r="M1149" s="73">
        <f t="shared" si="165"/>
        <v>58.1673023137554</v>
      </c>
      <c r="N1149" s="66">
        <f t="shared" si="166"/>
        <v>0.0198019801980198</v>
      </c>
      <c r="O1149" s="52">
        <f t="shared" si="167"/>
        <v>14298.25</v>
      </c>
      <c r="P1149" s="52">
        <f t="shared" si="168"/>
        <v>245.8125</v>
      </c>
      <c r="Q1149" s="68">
        <f t="shared" si="169"/>
        <v>13.4691780821918</v>
      </c>
    </row>
    <row r="1150" s="2" customFormat="1" spans="1:17">
      <c r="A1150" s="61">
        <v>45797</v>
      </c>
      <c r="B1150" s="18">
        <v>1023.99</v>
      </c>
      <c r="C1150" s="19">
        <v>790</v>
      </c>
      <c r="D1150" s="19">
        <v>199</v>
      </c>
      <c r="E1150" s="19">
        <v>4</v>
      </c>
      <c r="F1150" s="18">
        <v>42432</v>
      </c>
      <c r="G1150" s="19">
        <v>62</v>
      </c>
      <c r="H1150" s="19">
        <v>5</v>
      </c>
      <c r="I1150" s="19">
        <v>9</v>
      </c>
      <c r="J1150" s="66">
        <f t="shared" si="162"/>
        <v>0.251898734177215</v>
      </c>
      <c r="K1150" s="67">
        <f t="shared" si="163"/>
        <v>5.1456783919598</v>
      </c>
      <c r="L1150" s="67">
        <f t="shared" si="164"/>
        <v>1296.18987341772</v>
      </c>
      <c r="M1150" s="73">
        <f t="shared" si="165"/>
        <v>41.4379046670378</v>
      </c>
      <c r="N1150" s="66">
        <f t="shared" si="166"/>
        <v>0.0201005025125628</v>
      </c>
      <c r="O1150" s="52">
        <f t="shared" si="167"/>
        <v>10608</v>
      </c>
      <c r="P1150" s="52">
        <f t="shared" si="168"/>
        <v>255.9975</v>
      </c>
      <c r="Q1150" s="68">
        <f t="shared" si="169"/>
        <v>16.5159677419355</v>
      </c>
    </row>
    <row r="1151" s="2" customFormat="1" spans="1:17">
      <c r="A1151" s="61">
        <v>45798</v>
      </c>
      <c r="B1151" s="18">
        <v>1111.98</v>
      </c>
      <c r="C1151" s="19">
        <v>249</v>
      </c>
      <c r="D1151" s="19">
        <v>840</v>
      </c>
      <c r="E1151" s="19">
        <v>1</v>
      </c>
      <c r="F1151" s="18">
        <v>5976</v>
      </c>
      <c r="G1151" s="19">
        <v>93</v>
      </c>
      <c r="H1151" s="19">
        <v>7</v>
      </c>
      <c r="I1151" s="19">
        <v>12</v>
      </c>
      <c r="J1151" s="66">
        <f t="shared" si="162"/>
        <v>3.37349397590361</v>
      </c>
      <c r="K1151" s="67">
        <f t="shared" si="163"/>
        <v>1.32378571428571</v>
      </c>
      <c r="L1151" s="67">
        <f t="shared" si="164"/>
        <v>4465.78313253012</v>
      </c>
      <c r="M1151" s="73">
        <f t="shared" si="165"/>
        <v>5.37419737765068</v>
      </c>
      <c r="N1151" s="66">
        <f t="shared" si="166"/>
        <v>0.00119047619047619</v>
      </c>
      <c r="O1151" s="52">
        <f t="shared" si="167"/>
        <v>5976</v>
      </c>
      <c r="P1151" s="52">
        <f t="shared" si="168"/>
        <v>1111.98</v>
      </c>
      <c r="Q1151" s="68">
        <f t="shared" si="169"/>
        <v>11.9567741935484</v>
      </c>
    </row>
    <row r="1152" s="2" customFormat="1" spans="1:17">
      <c r="A1152" s="61">
        <v>45799</v>
      </c>
      <c r="B1152" s="18">
        <v>937.36</v>
      </c>
      <c r="C1152" s="19">
        <v>677</v>
      </c>
      <c r="D1152" s="19">
        <v>175</v>
      </c>
      <c r="E1152" s="19">
        <v>8</v>
      </c>
      <c r="F1152" s="18">
        <v>87112</v>
      </c>
      <c r="G1152" s="19">
        <v>57</v>
      </c>
      <c r="H1152" s="19">
        <v>10</v>
      </c>
      <c r="I1152" s="19">
        <v>8</v>
      </c>
      <c r="J1152" s="66">
        <f t="shared" si="162"/>
        <v>0.258493353028065</v>
      </c>
      <c r="K1152" s="67">
        <f t="shared" si="163"/>
        <v>5.35634285714286</v>
      </c>
      <c r="L1152" s="67">
        <f t="shared" si="164"/>
        <v>1384.57902511078</v>
      </c>
      <c r="M1152" s="73">
        <f t="shared" si="165"/>
        <v>92.9333447128104</v>
      </c>
      <c r="N1152" s="66">
        <f t="shared" si="166"/>
        <v>0.0457142857142857</v>
      </c>
      <c r="O1152" s="52">
        <f t="shared" si="167"/>
        <v>10889</v>
      </c>
      <c r="P1152" s="52">
        <f t="shared" si="168"/>
        <v>117.17</v>
      </c>
      <c r="Q1152" s="68">
        <f t="shared" si="169"/>
        <v>16.4449122807018</v>
      </c>
    </row>
    <row r="1153" s="2" customFormat="1" spans="1:17">
      <c r="A1153" s="61">
        <v>45800</v>
      </c>
      <c r="B1153" s="18">
        <v>919.91</v>
      </c>
      <c r="C1153" s="19">
        <v>662</v>
      </c>
      <c r="D1153" s="19">
        <v>188</v>
      </c>
      <c r="E1153" s="19">
        <v>2</v>
      </c>
      <c r="F1153" s="18">
        <v>23091</v>
      </c>
      <c r="G1153" s="19">
        <v>43</v>
      </c>
      <c r="H1153" s="19">
        <v>3</v>
      </c>
      <c r="I1153" s="19">
        <v>6</v>
      </c>
      <c r="J1153" s="66">
        <f t="shared" si="162"/>
        <v>0.283987915407855</v>
      </c>
      <c r="K1153" s="67">
        <f t="shared" si="163"/>
        <v>4.89313829787234</v>
      </c>
      <c r="L1153" s="67">
        <f t="shared" si="164"/>
        <v>1389.59214501511</v>
      </c>
      <c r="M1153" s="73">
        <f t="shared" si="165"/>
        <v>25.1013686121468</v>
      </c>
      <c r="N1153" s="66">
        <f t="shared" si="166"/>
        <v>0.0106382978723404</v>
      </c>
      <c r="O1153" s="52">
        <f t="shared" si="167"/>
        <v>11545.5</v>
      </c>
      <c r="P1153" s="52">
        <f t="shared" si="168"/>
        <v>459.955</v>
      </c>
      <c r="Q1153" s="68">
        <f t="shared" si="169"/>
        <v>21.3932558139535</v>
      </c>
    </row>
    <row r="1154" s="2" customFormat="1" spans="1:17">
      <c r="A1154" s="61">
        <v>45801</v>
      </c>
      <c r="B1154" s="18">
        <v>928.48</v>
      </c>
      <c r="C1154" s="19">
        <v>734</v>
      </c>
      <c r="D1154" s="19">
        <v>193</v>
      </c>
      <c r="E1154" s="19">
        <v>1</v>
      </c>
      <c r="F1154" s="18">
        <v>10198</v>
      </c>
      <c r="G1154" s="19">
        <v>51</v>
      </c>
      <c r="H1154" s="19">
        <v>7</v>
      </c>
      <c r="I1154" s="19">
        <v>4</v>
      </c>
      <c r="J1154" s="66">
        <f t="shared" si="162"/>
        <v>0.262942779291553</v>
      </c>
      <c r="K1154" s="67">
        <f t="shared" si="163"/>
        <v>4.81077720207254</v>
      </c>
      <c r="L1154" s="67">
        <f t="shared" si="164"/>
        <v>1264.9591280654</v>
      </c>
      <c r="M1154" s="73">
        <f t="shared" si="165"/>
        <v>10.9835429950026</v>
      </c>
      <c r="N1154" s="66">
        <f t="shared" si="166"/>
        <v>0.00518134715025907</v>
      </c>
      <c r="O1154" s="52">
        <f t="shared" si="167"/>
        <v>10198</v>
      </c>
      <c r="P1154" s="52">
        <f t="shared" si="168"/>
        <v>928.48</v>
      </c>
      <c r="Q1154" s="68">
        <f t="shared" si="169"/>
        <v>18.2054901960784</v>
      </c>
    </row>
    <row r="1155" s="2" customFormat="1" spans="1:17">
      <c r="A1155" s="61">
        <v>45802</v>
      </c>
      <c r="B1155" s="18">
        <v>1182.81</v>
      </c>
      <c r="C1155" s="19">
        <v>822</v>
      </c>
      <c r="D1155" s="19">
        <v>263</v>
      </c>
      <c r="E1155" s="19">
        <v>7</v>
      </c>
      <c r="F1155" s="18">
        <v>92910</v>
      </c>
      <c r="G1155" s="19">
        <v>64</v>
      </c>
      <c r="H1155" s="19">
        <v>7</v>
      </c>
      <c r="I1155" s="19">
        <v>15</v>
      </c>
      <c r="J1155" s="66">
        <f t="shared" si="162"/>
        <v>0.319951338199513</v>
      </c>
      <c r="K1155" s="67">
        <f t="shared" si="163"/>
        <v>4.49737642585551</v>
      </c>
      <c r="L1155" s="67">
        <f t="shared" si="164"/>
        <v>1438.94160583942</v>
      </c>
      <c r="M1155" s="73">
        <f t="shared" si="165"/>
        <v>78.5502320744667</v>
      </c>
      <c r="N1155" s="66">
        <f t="shared" si="166"/>
        <v>0.026615969581749</v>
      </c>
      <c r="O1155" s="52">
        <f t="shared" si="167"/>
        <v>13272.8571428571</v>
      </c>
      <c r="P1155" s="52">
        <f t="shared" si="168"/>
        <v>168.972857142857</v>
      </c>
      <c r="Q1155" s="68">
        <f t="shared" si="169"/>
        <v>18.48140625</v>
      </c>
    </row>
    <row r="1156" s="2" customFormat="1" spans="1:17">
      <c r="A1156" s="61">
        <v>45803</v>
      </c>
      <c r="B1156" s="18">
        <v>1190.57</v>
      </c>
      <c r="C1156" s="19">
        <v>833</v>
      </c>
      <c r="D1156" s="19">
        <v>244</v>
      </c>
      <c r="E1156" s="19">
        <v>3</v>
      </c>
      <c r="F1156" s="18">
        <v>28544</v>
      </c>
      <c r="G1156" s="19">
        <v>75</v>
      </c>
      <c r="H1156" s="19">
        <v>9</v>
      </c>
      <c r="I1156" s="19">
        <v>16</v>
      </c>
      <c r="J1156" s="66">
        <f t="shared" si="162"/>
        <v>0.292917166866747</v>
      </c>
      <c r="K1156" s="67">
        <f t="shared" si="163"/>
        <v>4.87938524590164</v>
      </c>
      <c r="L1156" s="67">
        <f t="shared" si="164"/>
        <v>1429.25570228091</v>
      </c>
      <c r="M1156" s="73">
        <f t="shared" si="165"/>
        <v>23.9750707644238</v>
      </c>
      <c r="N1156" s="66">
        <f t="shared" si="166"/>
        <v>0.0122950819672131</v>
      </c>
      <c r="O1156" s="52">
        <f t="shared" si="167"/>
        <v>9514.66666666667</v>
      </c>
      <c r="P1156" s="52">
        <f t="shared" si="168"/>
        <v>396.856666666667</v>
      </c>
      <c r="Q1156" s="68">
        <f t="shared" si="169"/>
        <v>15.8742666666667</v>
      </c>
    </row>
    <row r="1157" s="2" customFormat="1" spans="1:17">
      <c r="A1157" s="61">
        <v>45804</v>
      </c>
      <c r="B1157" s="18">
        <v>1182.67</v>
      </c>
      <c r="C1157" s="19">
        <v>795</v>
      </c>
      <c r="D1157" s="19">
        <v>246</v>
      </c>
      <c r="E1157" s="19">
        <v>1</v>
      </c>
      <c r="F1157" s="18">
        <v>6376</v>
      </c>
      <c r="G1157" s="19">
        <v>59</v>
      </c>
      <c r="H1157" s="19">
        <v>10</v>
      </c>
      <c r="I1157" s="19">
        <v>18</v>
      </c>
      <c r="J1157" s="66">
        <f t="shared" si="162"/>
        <v>0.309433962264151</v>
      </c>
      <c r="K1157" s="67">
        <f t="shared" si="163"/>
        <v>4.80760162601626</v>
      </c>
      <c r="L1157" s="67">
        <f t="shared" si="164"/>
        <v>1487.63522012579</v>
      </c>
      <c r="M1157" s="73">
        <f t="shared" si="165"/>
        <v>5.39119111840158</v>
      </c>
      <c r="N1157" s="66">
        <f t="shared" si="166"/>
        <v>0.0040650406504065</v>
      </c>
      <c r="O1157" s="52">
        <f t="shared" si="167"/>
        <v>6376</v>
      </c>
      <c r="P1157" s="52">
        <f t="shared" si="168"/>
        <v>1182.67</v>
      </c>
      <c r="Q1157" s="68">
        <f t="shared" si="169"/>
        <v>20.0452542372881</v>
      </c>
    </row>
    <row r="1158" s="2" customFormat="1" spans="1:17">
      <c r="A1158" s="61">
        <v>45805</v>
      </c>
      <c r="B1158" s="18">
        <v>1127.29</v>
      </c>
      <c r="C1158" s="19">
        <v>778</v>
      </c>
      <c r="D1158" s="19">
        <v>248</v>
      </c>
      <c r="E1158" s="19">
        <v>3</v>
      </c>
      <c r="F1158" s="18">
        <v>39073</v>
      </c>
      <c r="G1158" s="19">
        <v>79</v>
      </c>
      <c r="H1158" s="19">
        <v>6</v>
      </c>
      <c r="I1158" s="19">
        <v>10</v>
      </c>
      <c r="J1158" s="66">
        <f t="shared" si="162"/>
        <v>0.318766066838046</v>
      </c>
      <c r="K1158" s="67">
        <f t="shared" si="163"/>
        <v>4.54552419354839</v>
      </c>
      <c r="L1158" s="67">
        <f t="shared" si="164"/>
        <v>1448.9588688946</v>
      </c>
      <c r="M1158" s="73">
        <f t="shared" si="165"/>
        <v>34.661001162079</v>
      </c>
      <c r="N1158" s="66">
        <f t="shared" si="166"/>
        <v>0.0120967741935484</v>
      </c>
      <c r="O1158" s="52">
        <f t="shared" si="167"/>
        <v>13024.3333333333</v>
      </c>
      <c r="P1158" s="52">
        <f t="shared" si="168"/>
        <v>375.763333333333</v>
      </c>
      <c r="Q1158" s="68">
        <f t="shared" si="169"/>
        <v>14.2694936708861</v>
      </c>
    </row>
    <row r="1159" s="2" customFormat="1" spans="1:17">
      <c r="A1159" s="61">
        <v>45806</v>
      </c>
      <c r="B1159" s="18">
        <v>1110.18</v>
      </c>
      <c r="C1159" s="19">
        <v>726</v>
      </c>
      <c r="D1159" s="19">
        <v>224</v>
      </c>
      <c r="E1159" s="19">
        <v>1</v>
      </c>
      <c r="F1159" s="18">
        <v>16884</v>
      </c>
      <c r="G1159" s="19">
        <v>75</v>
      </c>
      <c r="H1159" s="19">
        <v>3</v>
      </c>
      <c r="I1159" s="19">
        <v>9</v>
      </c>
      <c r="J1159" s="66">
        <f t="shared" si="162"/>
        <v>0.308539944903581</v>
      </c>
      <c r="K1159" s="67">
        <f t="shared" si="163"/>
        <v>4.95616071428571</v>
      </c>
      <c r="L1159" s="67">
        <f t="shared" si="164"/>
        <v>1529.17355371901</v>
      </c>
      <c r="M1159" s="73">
        <f t="shared" si="165"/>
        <v>15.2083445927687</v>
      </c>
      <c r="N1159" s="66">
        <f t="shared" si="166"/>
        <v>0.00446428571428571</v>
      </c>
      <c r="O1159" s="52">
        <f t="shared" si="167"/>
        <v>16884</v>
      </c>
      <c r="P1159" s="52">
        <f t="shared" si="168"/>
        <v>1110.18</v>
      </c>
      <c r="Q1159" s="68">
        <f t="shared" si="169"/>
        <v>14.8024</v>
      </c>
    </row>
    <row r="1160" s="2" customFormat="1" spans="1:17">
      <c r="A1160" s="61">
        <v>45807</v>
      </c>
      <c r="B1160" s="18">
        <v>1033.81</v>
      </c>
      <c r="C1160" s="19">
        <v>687</v>
      </c>
      <c r="D1160" s="19">
        <v>189</v>
      </c>
      <c r="E1160" s="19">
        <v>1</v>
      </c>
      <c r="F1160" s="18">
        <v>5976</v>
      </c>
      <c r="G1160" s="19">
        <v>50</v>
      </c>
      <c r="H1160" s="19">
        <v>5</v>
      </c>
      <c r="I1160" s="19">
        <v>8</v>
      </c>
      <c r="J1160" s="66">
        <f t="shared" si="162"/>
        <v>0.275109170305677</v>
      </c>
      <c r="K1160" s="67">
        <f t="shared" si="163"/>
        <v>5.46989417989418</v>
      </c>
      <c r="L1160" s="67">
        <f t="shared" si="164"/>
        <v>1504.81804949054</v>
      </c>
      <c r="M1160" s="73">
        <f t="shared" si="165"/>
        <v>5.78055929039185</v>
      </c>
      <c r="N1160" s="66">
        <f t="shared" si="166"/>
        <v>0.00529100529100529</v>
      </c>
      <c r="O1160" s="52">
        <f t="shared" si="167"/>
        <v>5976</v>
      </c>
      <c r="P1160" s="52">
        <f t="shared" si="168"/>
        <v>1033.81</v>
      </c>
      <c r="Q1160" s="68">
        <f t="shared" si="169"/>
        <v>20.6762</v>
      </c>
    </row>
    <row r="1161" s="2" customFormat="1" spans="1:17">
      <c r="A1161" s="61">
        <v>45808</v>
      </c>
      <c r="B1161" s="18">
        <v>1006.53</v>
      </c>
      <c r="C1161" s="19">
        <v>711</v>
      </c>
      <c r="D1161" s="19">
        <v>192</v>
      </c>
      <c r="E1161" s="19">
        <v>1</v>
      </c>
      <c r="F1161" s="18">
        <v>14434</v>
      </c>
      <c r="G1161" s="19">
        <v>49</v>
      </c>
      <c r="H1161" s="19">
        <v>1</v>
      </c>
      <c r="I1161" s="19">
        <v>7</v>
      </c>
      <c r="J1161" s="66">
        <f t="shared" si="162"/>
        <v>0.270042194092827</v>
      </c>
      <c r="K1161" s="67">
        <f t="shared" si="163"/>
        <v>5.24234375</v>
      </c>
      <c r="L1161" s="67">
        <f t="shared" si="164"/>
        <v>1415.65400843882</v>
      </c>
      <c r="M1161" s="73">
        <f t="shared" si="165"/>
        <v>14.3403574657487</v>
      </c>
      <c r="N1161" s="66">
        <f t="shared" si="166"/>
        <v>0.00520833333333333</v>
      </c>
      <c r="O1161" s="52">
        <f t="shared" si="167"/>
        <v>14434</v>
      </c>
      <c r="P1161" s="52">
        <f t="shared" si="168"/>
        <v>1006.53</v>
      </c>
      <c r="Q1161" s="68">
        <f t="shared" si="169"/>
        <v>20.5414285714286</v>
      </c>
    </row>
    <row r="1162" s="2" customFormat="1" spans="1:17">
      <c r="A1162" s="61">
        <v>45809</v>
      </c>
      <c r="B1162" s="18">
        <v>1105.19</v>
      </c>
      <c r="C1162" s="19">
        <v>795</v>
      </c>
      <c r="D1162" s="19">
        <v>225</v>
      </c>
      <c r="E1162" s="19">
        <v>3</v>
      </c>
      <c r="F1162" s="18">
        <v>40442</v>
      </c>
      <c r="G1162" s="19">
        <v>76</v>
      </c>
      <c r="H1162" s="19">
        <v>3</v>
      </c>
      <c r="I1162" s="19">
        <v>10</v>
      </c>
      <c r="J1162" s="66">
        <f t="shared" si="162"/>
        <v>0.283018867924528</v>
      </c>
      <c r="K1162" s="67">
        <f t="shared" si="163"/>
        <v>4.91195555555556</v>
      </c>
      <c r="L1162" s="67">
        <f t="shared" si="164"/>
        <v>1390.17610062893</v>
      </c>
      <c r="M1162" s="73">
        <f t="shared" si="165"/>
        <v>36.5928030474398</v>
      </c>
      <c r="N1162" s="66">
        <f t="shared" si="166"/>
        <v>0.0133333333333333</v>
      </c>
      <c r="O1162" s="52">
        <f t="shared" si="167"/>
        <v>13480.6666666667</v>
      </c>
      <c r="P1162" s="52">
        <f t="shared" si="168"/>
        <v>368.396666666667</v>
      </c>
      <c r="Q1162" s="68">
        <f t="shared" si="169"/>
        <v>14.5419736842105</v>
      </c>
    </row>
    <row r="1163" s="2" customFormat="1" spans="1:17">
      <c r="A1163" s="61">
        <v>45810</v>
      </c>
      <c r="B1163" s="18">
        <v>1167.48</v>
      </c>
      <c r="C1163" s="19">
        <v>857</v>
      </c>
      <c r="D1163" s="19">
        <v>241</v>
      </c>
      <c r="E1163" s="19">
        <v>2</v>
      </c>
      <c r="F1163" s="18">
        <v>22194</v>
      </c>
      <c r="G1163" s="19">
        <v>61</v>
      </c>
      <c r="H1163" s="19">
        <v>10</v>
      </c>
      <c r="I1163" s="19">
        <v>13</v>
      </c>
      <c r="J1163" s="66">
        <f t="shared" si="162"/>
        <v>0.281213535589265</v>
      </c>
      <c r="K1163" s="67">
        <f t="shared" si="163"/>
        <v>4.8443153526971</v>
      </c>
      <c r="L1163" s="67">
        <f t="shared" si="164"/>
        <v>1362.28704784131</v>
      </c>
      <c r="M1163" s="73">
        <f t="shared" si="165"/>
        <v>19.0101757631822</v>
      </c>
      <c r="N1163" s="66">
        <f t="shared" si="166"/>
        <v>0.00829875518672199</v>
      </c>
      <c r="O1163" s="52">
        <f t="shared" si="167"/>
        <v>11097</v>
      </c>
      <c r="P1163" s="52">
        <f t="shared" si="168"/>
        <v>583.74</v>
      </c>
      <c r="Q1163" s="68">
        <f t="shared" si="169"/>
        <v>19.1390163934426</v>
      </c>
    </row>
    <row r="1164" s="2" customFormat="1" spans="1:17">
      <c r="A1164" s="61">
        <v>45811</v>
      </c>
      <c r="B1164" s="18">
        <v>1188.44</v>
      </c>
      <c r="C1164" s="19">
        <v>775</v>
      </c>
      <c r="D1164" s="19">
        <v>222</v>
      </c>
      <c r="E1164" s="19">
        <v>1</v>
      </c>
      <c r="F1164" s="18">
        <v>7836</v>
      </c>
      <c r="G1164" s="19">
        <v>70</v>
      </c>
      <c r="H1164" s="19">
        <v>4</v>
      </c>
      <c r="I1164" s="19">
        <v>7</v>
      </c>
      <c r="J1164" s="66">
        <f t="shared" si="162"/>
        <v>0.286451612903226</v>
      </c>
      <c r="K1164" s="67">
        <f t="shared" si="163"/>
        <v>5.35333333333333</v>
      </c>
      <c r="L1164" s="67">
        <f t="shared" si="164"/>
        <v>1533.47096774194</v>
      </c>
      <c r="M1164" s="73">
        <f t="shared" si="165"/>
        <v>6.59351755242166</v>
      </c>
      <c r="N1164" s="66">
        <f t="shared" si="166"/>
        <v>0.0045045045045045</v>
      </c>
      <c r="O1164" s="52">
        <f t="shared" si="167"/>
        <v>7836</v>
      </c>
      <c r="P1164" s="52">
        <f t="shared" si="168"/>
        <v>1188.44</v>
      </c>
      <c r="Q1164" s="68">
        <f t="shared" si="169"/>
        <v>16.9777142857143</v>
      </c>
    </row>
    <row r="1165" s="2" customFormat="1" spans="1:17">
      <c r="A1165" s="61">
        <v>45812</v>
      </c>
      <c r="B1165" s="18">
        <v>1191.81</v>
      </c>
      <c r="C1165" s="19">
        <v>789</v>
      </c>
      <c r="D1165" s="19">
        <v>223</v>
      </c>
      <c r="E1165" s="19">
        <v>2</v>
      </c>
      <c r="F1165" s="18">
        <v>40690</v>
      </c>
      <c r="G1165" s="19">
        <v>96</v>
      </c>
      <c r="H1165" s="19">
        <v>4</v>
      </c>
      <c r="I1165" s="19">
        <v>6</v>
      </c>
      <c r="J1165" s="66">
        <f t="shared" si="162"/>
        <v>0.282636248415716</v>
      </c>
      <c r="K1165" s="67">
        <f t="shared" si="163"/>
        <v>5.34443946188341</v>
      </c>
      <c r="L1165" s="67">
        <f t="shared" si="164"/>
        <v>1510.53231939163</v>
      </c>
      <c r="M1165" s="73">
        <f t="shared" si="165"/>
        <v>34.1413480336631</v>
      </c>
      <c r="N1165" s="66">
        <f t="shared" si="166"/>
        <v>0.00896860986547085</v>
      </c>
      <c r="O1165" s="52">
        <f t="shared" si="167"/>
        <v>20345</v>
      </c>
      <c r="P1165" s="52">
        <f t="shared" si="168"/>
        <v>595.905</v>
      </c>
      <c r="Q1165" s="68">
        <f t="shared" si="169"/>
        <v>12.4146875</v>
      </c>
    </row>
    <row r="1166" s="2" customFormat="1" spans="1:17">
      <c r="A1166" s="61">
        <v>45813</v>
      </c>
      <c r="B1166" s="18">
        <v>1183.74</v>
      </c>
      <c r="C1166" s="19">
        <v>821</v>
      </c>
      <c r="D1166" s="19">
        <v>304</v>
      </c>
      <c r="E1166" s="19">
        <v>6</v>
      </c>
      <c r="F1166" s="18">
        <v>88917</v>
      </c>
      <c r="G1166" s="19">
        <v>97</v>
      </c>
      <c r="H1166" s="19">
        <v>5</v>
      </c>
      <c r="I1166" s="19">
        <v>15</v>
      </c>
      <c r="J1166" s="66">
        <f t="shared" si="162"/>
        <v>0.370280146163216</v>
      </c>
      <c r="K1166" s="67">
        <f t="shared" si="163"/>
        <v>3.89388157894737</v>
      </c>
      <c r="L1166" s="67">
        <f t="shared" si="164"/>
        <v>1441.82704019488</v>
      </c>
      <c r="M1166" s="73">
        <f t="shared" si="165"/>
        <v>75.1153124841604</v>
      </c>
      <c r="N1166" s="66">
        <f t="shared" si="166"/>
        <v>0.0197368421052632</v>
      </c>
      <c r="O1166" s="52">
        <f t="shared" si="167"/>
        <v>14819.5</v>
      </c>
      <c r="P1166" s="52">
        <f t="shared" si="168"/>
        <v>197.29</v>
      </c>
      <c r="Q1166" s="68">
        <f t="shared" si="169"/>
        <v>12.2035051546392</v>
      </c>
    </row>
    <row r="1167" s="2" customFormat="1" spans="1:17">
      <c r="A1167" s="61">
        <v>45814</v>
      </c>
      <c r="B1167" s="18">
        <v>998.14</v>
      </c>
      <c r="C1167" s="19">
        <v>699</v>
      </c>
      <c r="D1167" s="19">
        <v>245</v>
      </c>
      <c r="E1167" s="19">
        <v>5</v>
      </c>
      <c r="F1167" s="18">
        <v>56370</v>
      </c>
      <c r="G1167" s="19">
        <v>66</v>
      </c>
      <c r="H1167" s="19">
        <v>7</v>
      </c>
      <c r="I1167" s="19">
        <v>8</v>
      </c>
      <c r="J1167" s="66">
        <f t="shared" si="162"/>
        <v>0.350500715307582</v>
      </c>
      <c r="K1167" s="67">
        <f t="shared" si="163"/>
        <v>4.07404081632653</v>
      </c>
      <c r="L1167" s="67">
        <f t="shared" si="164"/>
        <v>1427.95422031474</v>
      </c>
      <c r="M1167" s="73">
        <f t="shared" si="165"/>
        <v>56.4750435810608</v>
      </c>
      <c r="N1167" s="66">
        <f t="shared" si="166"/>
        <v>0.0204081632653061</v>
      </c>
      <c r="O1167" s="52">
        <f t="shared" si="167"/>
        <v>11274</v>
      </c>
      <c r="P1167" s="52">
        <f t="shared" si="168"/>
        <v>199.628</v>
      </c>
      <c r="Q1167" s="68">
        <f t="shared" si="169"/>
        <v>15.1233333333333</v>
      </c>
    </row>
    <row r="1168" s="2" customFormat="1" spans="1:17">
      <c r="A1168" s="61">
        <v>45815</v>
      </c>
      <c r="B1168" s="18">
        <v>975.41</v>
      </c>
      <c r="C1168" s="19">
        <v>707</v>
      </c>
      <c r="D1168" s="19">
        <v>212</v>
      </c>
      <c r="E1168" s="19">
        <v>6</v>
      </c>
      <c r="F1168" s="18">
        <v>62007</v>
      </c>
      <c r="G1168" s="19">
        <v>68</v>
      </c>
      <c r="H1168" s="19">
        <v>6</v>
      </c>
      <c r="I1168" s="19">
        <v>8</v>
      </c>
      <c r="J1168" s="66">
        <f t="shared" si="162"/>
        <v>0.2998585572843</v>
      </c>
      <c r="K1168" s="67">
        <f t="shared" si="163"/>
        <v>4.60099056603774</v>
      </c>
      <c r="L1168" s="67">
        <f t="shared" si="164"/>
        <v>1379.64639321075</v>
      </c>
      <c r="M1168" s="73">
        <f t="shared" si="165"/>
        <v>63.5701909966066</v>
      </c>
      <c r="N1168" s="66">
        <f t="shared" si="166"/>
        <v>0.0283018867924528</v>
      </c>
      <c r="O1168" s="52">
        <f t="shared" si="167"/>
        <v>10334.5</v>
      </c>
      <c r="P1168" s="52">
        <f t="shared" si="168"/>
        <v>162.568333333333</v>
      </c>
      <c r="Q1168" s="68">
        <f t="shared" si="169"/>
        <v>14.3442647058824</v>
      </c>
    </row>
    <row r="1169" s="2" customFormat="1" spans="1:17">
      <c r="A1169" s="61">
        <v>45816</v>
      </c>
      <c r="B1169" s="18">
        <v>1126.92</v>
      </c>
      <c r="C1169" s="19">
        <v>787</v>
      </c>
      <c r="D1169" s="19">
        <v>261</v>
      </c>
      <c r="E1169" s="19">
        <v>5</v>
      </c>
      <c r="F1169" s="18">
        <v>125013</v>
      </c>
      <c r="G1169" s="19">
        <v>88</v>
      </c>
      <c r="H1169" s="19">
        <v>12</v>
      </c>
      <c r="I1169" s="19">
        <v>16</v>
      </c>
      <c r="J1169" s="66">
        <f t="shared" si="162"/>
        <v>0.331639135959339</v>
      </c>
      <c r="K1169" s="67">
        <f t="shared" si="163"/>
        <v>4.31770114942529</v>
      </c>
      <c r="L1169" s="67">
        <f t="shared" si="164"/>
        <v>1431.91867852605</v>
      </c>
      <c r="M1169" s="73">
        <f t="shared" si="165"/>
        <v>110.933340432329</v>
      </c>
      <c r="N1169" s="66">
        <f t="shared" si="166"/>
        <v>0.0191570881226054</v>
      </c>
      <c r="O1169" s="52">
        <f t="shared" si="167"/>
        <v>25002.6</v>
      </c>
      <c r="P1169" s="52">
        <f t="shared" si="168"/>
        <v>225.384</v>
      </c>
      <c r="Q1169" s="68">
        <f t="shared" si="169"/>
        <v>12.8059090909091</v>
      </c>
    </row>
    <row r="1170" s="2" customFormat="1" spans="1:17">
      <c r="A1170" s="61">
        <v>45817</v>
      </c>
      <c r="B1170" s="18">
        <v>997.62</v>
      </c>
      <c r="C1170" s="19">
        <v>694</v>
      </c>
      <c r="D1170" s="19">
        <v>238</v>
      </c>
      <c r="E1170" s="19">
        <v>4</v>
      </c>
      <c r="F1170" s="18">
        <v>27352</v>
      </c>
      <c r="G1170" s="19">
        <v>60</v>
      </c>
      <c r="H1170" s="19">
        <v>3</v>
      </c>
      <c r="I1170" s="19">
        <v>13</v>
      </c>
      <c r="J1170" s="66">
        <f t="shared" si="162"/>
        <v>0.342939481268012</v>
      </c>
      <c r="K1170" s="67">
        <f t="shared" si="163"/>
        <v>4.19168067226891</v>
      </c>
      <c r="L1170" s="67">
        <f t="shared" si="164"/>
        <v>1437.49279538905</v>
      </c>
      <c r="M1170" s="73">
        <f t="shared" si="165"/>
        <v>27.4172530622882</v>
      </c>
      <c r="N1170" s="66">
        <f t="shared" si="166"/>
        <v>0.0168067226890756</v>
      </c>
      <c r="O1170" s="52">
        <f t="shared" si="167"/>
        <v>6838</v>
      </c>
      <c r="P1170" s="52">
        <f t="shared" si="168"/>
        <v>249.405</v>
      </c>
      <c r="Q1170" s="68">
        <f t="shared" si="169"/>
        <v>16.627</v>
      </c>
    </row>
    <row r="1171" s="2" customFormat="1" spans="1:17">
      <c r="A1171" s="61">
        <v>45818</v>
      </c>
      <c r="B1171" s="18">
        <v>1095</v>
      </c>
      <c r="C1171" s="19">
        <v>775</v>
      </c>
      <c r="D1171" s="19">
        <v>232</v>
      </c>
      <c r="E1171" s="19">
        <v>5</v>
      </c>
      <c r="F1171" s="18">
        <v>54685</v>
      </c>
      <c r="G1171" s="19">
        <v>66</v>
      </c>
      <c r="H1171" s="19">
        <v>8</v>
      </c>
      <c r="I1171" s="19">
        <v>8</v>
      </c>
      <c r="J1171" s="66">
        <f t="shared" si="162"/>
        <v>0.299354838709677</v>
      </c>
      <c r="K1171" s="67">
        <f t="shared" si="163"/>
        <v>4.7198275862069</v>
      </c>
      <c r="L1171" s="67">
        <f t="shared" si="164"/>
        <v>1412.90322580645</v>
      </c>
      <c r="M1171" s="73">
        <f t="shared" si="165"/>
        <v>49.9406392694064</v>
      </c>
      <c r="N1171" s="66">
        <f t="shared" si="166"/>
        <v>0.021551724137931</v>
      </c>
      <c r="O1171" s="52">
        <f t="shared" si="167"/>
        <v>10937</v>
      </c>
      <c r="P1171" s="52">
        <f t="shared" si="168"/>
        <v>219</v>
      </c>
      <c r="Q1171" s="68">
        <f t="shared" si="169"/>
        <v>16.5909090909091</v>
      </c>
    </row>
    <row r="1172" s="2" customFormat="1" spans="1:17">
      <c r="A1172" s="61">
        <v>45819</v>
      </c>
      <c r="B1172" s="18">
        <v>1133.9</v>
      </c>
      <c r="C1172" s="19">
        <v>803</v>
      </c>
      <c r="D1172" s="19">
        <v>239</v>
      </c>
      <c r="E1172" s="19">
        <v>1</v>
      </c>
      <c r="F1172" s="18">
        <v>5976</v>
      </c>
      <c r="G1172" s="19">
        <v>65</v>
      </c>
      <c r="H1172" s="19">
        <v>2</v>
      </c>
      <c r="I1172" s="19">
        <v>11</v>
      </c>
      <c r="J1172" s="66">
        <f t="shared" si="162"/>
        <v>0.297633872976339</v>
      </c>
      <c r="K1172" s="67">
        <f t="shared" si="163"/>
        <v>4.74435146443515</v>
      </c>
      <c r="L1172" s="67">
        <f t="shared" si="164"/>
        <v>1412.0797011208</v>
      </c>
      <c r="M1172" s="73">
        <f t="shared" si="165"/>
        <v>5.27030602345886</v>
      </c>
      <c r="N1172" s="66">
        <f t="shared" si="166"/>
        <v>0.00418410041841004</v>
      </c>
      <c r="O1172" s="52">
        <f t="shared" si="167"/>
        <v>5976</v>
      </c>
      <c r="P1172" s="52">
        <f t="shared" si="168"/>
        <v>1133.9</v>
      </c>
      <c r="Q1172" s="68">
        <f t="shared" si="169"/>
        <v>17.4446153846154</v>
      </c>
    </row>
    <row r="1173" s="2" customFormat="1" spans="1:17">
      <c r="A1173" s="61">
        <v>45820</v>
      </c>
      <c r="B1173" s="18">
        <v>969.97</v>
      </c>
      <c r="C1173" s="19">
        <v>682</v>
      </c>
      <c r="D1173" s="19">
        <v>218</v>
      </c>
      <c r="E1173" s="19">
        <v>1</v>
      </c>
      <c r="F1173" s="18">
        <v>22252</v>
      </c>
      <c r="G1173" s="19">
        <v>66</v>
      </c>
      <c r="H1173" s="19">
        <v>6</v>
      </c>
      <c r="I1173" s="19">
        <v>10</v>
      </c>
      <c r="J1173" s="66">
        <f t="shared" si="162"/>
        <v>0.319648093841642</v>
      </c>
      <c r="K1173" s="67">
        <f t="shared" si="163"/>
        <v>4.44940366972477</v>
      </c>
      <c r="L1173" s="67">
        <f t="shared" si="164"/>
        <v>1422.24340175953</v>
      </c>
      <c r="M1173" s="73">
        <f t="shared" si="165"/>
        <v>22.9409156984237</v>
      </c>
      <c r="N1173" s="66">
        <f t="shared" si="166"/>
        <v>0.00458715596330275</v>
      </c>
      <c r="O1173" s="52">
        <f t="shared" si="167"/>
        <v>22252</v>
      </c>
      <c r="P1173" s="52">
        <f t="shared" si="168"/>
        <v>969.97</v>
      </c>
      <c r="Q1173" s="68">
        <f t="shared" si="169"/>
        <v>14.6965151515152</v>
      </c>
    </row>
    <row r="1174" s="2" customFormat="1" spans="1:17">
      <c r="A1174" s="61">
        <v>45821</v>
      </c>
      <c r="B1174" s="18">
        <v>827.61</v>
      </c>
      <c r="C1174" s="19">
        <v>604</v>
      </c>
      <c r="D1174" s="19">
        <v>191</v>
      </c>
      <c r="E1174" s="19">
        <v>3</v>
      </c>
      <c r="F1174" s="18">
        <v>48665</v>
      </c>
      <c r="G1174" s="19">
        <v>51</v>
      </c>
      <c r="H1174" s="19">
        <v>7</v>
      </c>
      <c r="I1174" s="19">
        <v>9</v>
      </c>
      <c r="J1174" s="66">
        <f t="shared" si="162"/>
        <v>0.316225165562914</v>
      </c>
      <c r="K1174" s="67">
        <f t="shared" si="163"/>
        <v>4.33303664921466</v>
      </c>
      <c r="L1174" s="67">
        <f t="shared" si="164"/>
        <v>1370.21523178808</v>
      </c>
      <c r="M1174" s="73">
        <f t="shared" si="165"/>
        <v>58.8018511134472</v>
      </c>
      <c r="N1174" s="66">
        <f t="shared" si="166"/>
        <v>0.0157068062827225</v>
      </c>
      <c r="O1174" s="52">
        <f t="shared" si="167"/>
        <v>16221.6666666667</v>
      </c>
      <c r="P1174" s="52">
        <f t="shared" si="168"/>
        <v>275.87</v>
      </c>
      <c r="Q1174" s="68">
        <f t="shared" si="169"/>
        <v>16.2276470588235</v>
      </c>
    </row>
    <row r="1175" s="2" customFormat="1" spans="1:17">
      <c r="A1175" s="61">
        <v>45822</v>
      </c>
      <c r="B1175" s="18">
        <v>849.27</v>
      </c>
      <c r="C1175" s="19">
        <v>648</v>
      </c>
      <c r="D1175" s="19">
        <v>193</v>
      </c>
      <c r="E1175" s="19">
        <v>6</v>
      </c>
      <c r="F1175" s="18">
        <v>122560</v>
      </c>
      <c r="G1175" s="19">
        <v>57</v>
      </c>
      <c r="H1175" s="19">
        <v>7</v>
      </c>
      <c r="I1175" s="19">
        <v>13</v>
      </c>
      <c r="J1175" s="66">
        <f t="shared" si="162"/>
        <v>0.297839506172839</v>
      </c>
      <c r="K1175" s="67">
        <f t="shared" si="163"/>
        <v>4.40036269430052</v>
      </c>
      <c r="L1175" s="67">
        <f t="shared" si="164"/>
        <v>1310.60185185185</v>
      </c>
      <c r="M1175" s="73">
        <f t="shared" si="165"/>
        <v>144.312173984716</v>
      </c>
      <c r="N1175" s="66">
        <f t="shared" si="166"/>
        <v>0.0310880829015544</v>
      </c>
      <c r="O1175" s="52">
        <f t="shared" si="167"/>
        <v>20426.6666666667</v>
      </c>
      <c r="P1175" s="52">
        <f t="shared" si="168"/>
        <v>141.545</v>
      </c>
      <c r="Q1175" s="68">
        <f t="shared" si="169"/>
        <v>14.8994736842105</v>
      </c>
    </row>
    <row r="1176" s="2" customFormat="1" spans="1:17">
      <c r="A1176" s="61">
        <v>45823</v>
      </c>
      <c r="B1176" s="18">
        <v>1196.03</v>
      </c>
      <c r="C1176" s="19">
        <v>837</v>
      </c>
      <c r="D1176" s="19">
        <v>292</v>
      </c>
      <c r="E1176" s="19">
        <v>1</v>
      </c>
      <c r="F1176" s="18">
        <v>28028</v>
      </c>
      <c r="G1176" s="19">
        <v>71</v>
      </c>
      <c r="H1176" s="19">
        <v>5</v>
      </c>
      <c r="I1176" s="19">
        <v>15</v>
      </c>
      <c r="J1176" s="66">
        <f t="shared" si="162"/>
        <v>0.348864994026284</v>
      </c>
      <c r="K1176" s="67">
        <f t="shared" si="163"/>
        <v>4.09599315068493</v>
      </c>
      <c r="L1176" s="67">
        <f t="shared" si="164"/>
        <v>1428.9486260454</v>
      </c>
      <c r="M1176" s="73">
        <f t="shared" si="165"/>
        <v>23.434194794445</v>
      </c>
      <c r="N1176" s="66">
        <f t="shared" si="166"/>
        <v>0.00342465753424658</v>
      </c>
      <c r="O1176" s="52">
        <f t="shared" si="167"/>
        <v>28028</v>
      </c>
      <c r="P1176" s="52">
        <f t="shared" si="168"/>
        <v>1196.03</v>
      </c>
      <c r="Q1176" s="68">
        <f t="shared" si="169"/>
        <v>16.8454929577465</v>
      </c>
    </row>
    <row r="1177" s="2" customFormat="1" spans="1:17">
      <c r="A1177" s="61">
        <v>45824</v>
      </c>
      <c r="B1177" s="18">
        <v>1190.71</v>
      </c>
      <c r="C1177" s="19">
        <v>786</v>
      </c>
      <c r="D1177" s="19">
        <v>267</v>
      </c>
      <c r="E1177" s="19">
        <v>3</v>
      </c>
      <c r="F1177" s="18">
        <v>52797</v>
      </c>
      <c r="G1177" s="19">
        <v>71</v>
      </c>
      <c r="H1177" s="19">
        <v>9</v>
      </c>
      <c r="I1177" s="19">
        <v>15</v>
      </c>
      <c r="J1177" s="66">
        <f t="shared" si="162"/>
        <v>0.33969465648855</v>
      </c>
      <c r="K1177" s="67">
        <f t="shared" si="163"/>
        <v>4.45958801498127</v>
      </c>
      <c r="L1177" s="67">
        <f t="shared" si="164"/>
        <v>1514.89821882952</v>
      </c>
      <c r="M1177" s="73">
        <f t="shared" si="165"/>
        <v>44.3407714724828</v>
      </c>
      <c r="N1177" s="66">
        <f t="shared" si="166"/>
        <v>0.0112359550561798</v>
      </c>
      <c r="O1177" s="52">
        <f t="shared" si="167"/>
        <v>17599</v>
      </c>
      <c r="P1177" s="52">
        <f t="shared" si="168"/>
        <v>396.903333333333</v>
      </c>
      <c r="Q1177" s="68">
        <f t="shared" si="169"/>
        <v>16.7705633802817</v>
      </c>
    </row>
    <row r="1178" s="2" customFormat="1" spans="1:17">
      <c r="A1178" s="61">
        <v>45825</v>
      </c>
      <c r="B1178" s="18">
        <v>1378.66</v>
      </c>
      <c r="C1178" s="19">
        <v>919</v>
      </c>
      <c r="D1178" s="19">
        <v>320</v>
      </c>
      <c r="E1178" s="19">
        <v>4</v>
      </c>
      <c r="F1178" s="18">
        <v>82515</v>
      </c>
      <c r="G1178" s="19">
        <v>104</v>
      </c>
      <c r="H1178" s="19">
        <v>10</v>
      </c>
      <c r="I1178" s="19">
        <v>15</v>
      </c>
      <c r="J1178" s="66">
        <f t="shared" si="162"/>
        <v>0.348204570184984</v>
      </c>
      <c r="K1178" s="67">
        <f t="shared" si="163"/>
        <v>4.3083125</v>
      </c>
      <c r="L1178" s="67">
        <f t="shared" si="164"/>
        <v>1500.17410228509</v>
      </c>
      <c r="M1178" s="73">
        <f t="shared" si="165"/>
        <v>59.8515950270553</v>
      </c>
      <c r="N1178" s="66">
        <f t="shared" si="166"/>
        <v>0.0125</v>
      </c>
      <c r="O1178" s="52">
        <f t="shared" si="167"/>
        <v>20628.75</v>
      </c>
      <c r="P1178" s="52">
        <f t="shared" si="168"/>
        <v>344.665</v>
      </c>
      <c r="Q1178" s="68">
        <f t="shared" si="169"/>
        <v>13.2563461538462</v>
      </c>
    </row>
    <row r="1179" s="2" customFormat="1" spans="1:17">
      <c r="A1179" s="61">
        <v>45826</v>
      </c>
      <c r="B1179" s="18">
        <v>1396.65</v>
      </c>
      <c r="C1179" s="19">
        <v>1010</v>
      </c>
      <c r="D1179" s="19">
        <v>325</v>
      </c>
      <c r="E1179" s="19">
        <v>12</v>
      </c>
      <c r="F1179" s="18">
        <v>124016</v>
      </c>
      <c r="G1179" s="19">
        <v>93</v>
      </c>
      <c r="H1179" s="19">
        <v>12</v>
      </c>
      <c r="I1179" s="19">
        <v>15</v>
      </c>
      <c r="J1179" s="66">
        <f t="shared" si="162"/>
        <v>0.321782178217822</v>
      </c>
      <c r="K1179" s="67">
        <f t="shared" si="163"/>
        <v>4.29738461538462</v>
      </c>
      <c r="L1179" s="67">
        <f t="shared" si="164"/>
        <v>1382.82178217822</v>
      </c>
      <c r="M1179" s="73">
        <f t="shared" si="165"/>
        <v>88.7953316865356</v>
      </c>
      <c r="N1179" s="66">
        <f t="shared" si="166"/>
        <v>0.0369230769230769</v>
      </c>
      <c r="O1179" s="52">
        <f t="shared" si="167"/>
        <v>10334.6666666667</v>
      </c>
      <c r="P1179" s="52">
        <f t="shared" si="168"/>
        <v>116.3875</v>
      </c>
      <c r="Q1179" s="68">
        <f t="shared" si="169"/>
        <v>15.0177419354839</v>
      </c>
    </row>
    <row r="1180" s="2" customFormat="1" spans="1:17">
      <c r="A1180" s="61">
        <v>45827</v>
      </c>
      <c r="B1180" s="18">
        <v>932.72</v>
      </c>
      <c r="C1180" s="19">
        <v>619</v>
      </c>
      <c r="D1180" s="19">
        <v>176</v>
      </c>
      <c r="E1180" s="19">
        <v>6</v>
      </c>
      <c r="F1180" s="18">
        <v>114762</v>
      </c>
      <c r="G1180" s="19">
        <v>56</v>
      </c>
      <c r="H1180" s="19">
        <v>4</v>
      </c>
      <c r="I1180" s="19">
        <v>7</v>
      </c>
      <c r="J1180" s="66">
        <f t="shared" si="162"/>
        <v>0.284329563812601</v>
      </c>
      <c r="K1180" s="67">
        <f t="shared" si="163"/>
        <v>5.29954545454545</v>
      </c>
      <c r="L1180" s="67">
        <f t="shared" si="164"/>
        <v>1506.81744749596</v>
      </c>
      <c r="M1180" s="73">
        <f t="shared" si="165"/>
        <v>123.040140663865</v>
      </c>
      <c r="N1180" s="66">
        <f t="shared" si="166"/>
        <v>0.0340909090909091</v>
      </c>
      <c r="O1180" s="52">
        <f t="shared" si="167"/>
        <v>19127</v>
      </c>
      <c r="P1180" s="52">
        <f t="shared" si="168"/>
        <v>155.453333333333</v>
      </c>
      <c r="Q1180" s="68">
        <f t="shared" si="169"/>
        <v>16.6557142857143</v>
      </c>
    </row>
    <row r="1181" s="2" customFormat="1" spans="1:17">
      <c r="A1181" s="61">
        <v>45828</v>
      </c>
      <c r="B1181" s="18">
        <v>574.06</v>
      </c>
      <c r="C1181" s="19">
        <v>383</v>
      </c>
      <c r="D1181" s="19">
        <v>134</v>
      </c>
      <c r="E1181" s="19">
        <v>3</v>
      </c>
      <c r="F1181" s="18">
        <v>38699</v>
      </c>
      <c r="G1181" s="19">
        <v>49</v>
      </c>
      <c r="H1181" s="19">
        <v>3</v>
      </c>
      <c r="I1181" s="19">
        <v>6</v>
      </c>
      <c r="J1181" s="66">
        <f t="shared" si="162"/>
        <v>0.349869451697128</v>
      </c>
      <c r="K1181" s="67">
        <f t="shared" si="163"/>
        <v>4.28402985074627</v>
      </c>
      <c r="L1181" s="67">
        <f t="shared" si="164"/>
        <v>1498.85117493473</v>
      </c>
      <c r="M1181" s="73">
        <f t="shared" si="165"/>
        <v>67.4128139915688</v>
      </c>
      <c r="N1181" s="66">
        <f t="shared" si="166"/>
        <v>0.0223880597014925</v>
      </c>
      <c r="O1181" s="52">
        <f t="shared" si="167"/>
        <v>12899.6666666667</v>
      </c>
      <c r="P1181" s="52">
        <f t="shared" si="168"/>
        <v>191.353333333333</v>
      </c>
      <c r="Q1181" s="68">
        <f t="shared" si="169"/>
        <v>11.7155102040816</v>
      </c>
    </row>
    <row r="1182" s="2" customFormat="1" spans="1:17">
      <c r="A1182" s="61">
        <v>45829</v>
      </c>
      <c r="B1182" s="18">
        <v>998.69</v>
      </c>
      <c r="C1182" s="19">
        <v>687</v>
      </c>
      <c r="D1182" s="19">
        <v>291</v>
      </c>
      <c r="E1182" s="19">
        <v>1</v>
      </c>
      <c r="F1182" s="18">
        <v>29156</v>
      </c>
      <c r="G1182" s="19">
        <v>73</v>
      </c>
      <c r="H1182" s="19">
        <v>4</v>
      </c>
      <c r="I1182" s="19">
        <v>11</v>
      </c>
      <c r="J1182" s="66">
        <f t="shared" si="162"/>
        <v>0.423580786026201</v>
      </c>
      <c r="K1182" s="67">
        <f t="shared" si="163"/>
        <v>3.43192439862543</v>
      </c>
      <c r="L1182" s="67">
        <f t="shared" si="164"/>
        <v>1453.69723435226</v>
      </c>
      <c r="M1182" s="73">
        <f t="shared" si="165"/>
        <v>29.1942444602429</v>
      </c>
      <c r="N1182" s="66">
        <f t="shared" si="166"/>
        <v>0.00343642611683849</v>
      </c>
      <c r="O1182" s="52">
        <f t="shared" si="167"/>
        <v>29156</v>
      </c>
      <c r="P1182" s="52">
        <f t="shared" si="168"/>
        <v>998.69</v>
      </c>
      <c r="Q1182" s="68">
        <f t="shared" si="169"/>
        <v>13.6806849315068</v>
      </c>
    </row>
    <row r="1183" s="2" customFormat="1" spans="1:17">
      <c r="A1183" s="61">
        <v>45830</v>
      </c>
      <c r="B1183" s="18">
        <v>996.43</v>
      </c>
      <c r="C1183" s="19">
        <v>721</v>
      </c>
      <c r="D1183" s="19">
        <v>287</v>
      </c>
      <c r="E1183" s="19">
        <v>2</v>
      </c>
      <c r="F1183" s="18">
        <v>31962</v>
      </c>
      <c r="G1183" s="19">
        <v>66</v>
      </c>
      <c r="H1183" s="19">
        <v>4</v>
      </c>
      <c r="I1183" s="19">
        <v>13</v>
      </c>
      <c r="J1183" s="66">
        <f t="shared" si="162"/>
        <v>0.398058252427184</v>
      </c>
      <c r="K1183" s="67">
        <f t="shared" si="163"/>
        <v>3.47188153310105</v>
      </c>
      <c r="L1183" s="67">
        <f t="shared" si="164"/>
        <v>1382.01109570042</v>
      </c>
      <c r="M1183" s="73">
        <f t="shared" si="165"/>
        <v>32.0765131519525</v>
      </c>
      <c r="N1183" s="66">
        <f t="shared" si="166"/>
        <v>0.00696864111498258</v>
      </c>
      <c r="O1183" s="52">
        <f t="shared" si="167"/>
        <v>15981</v>
      </c>
      <c r="P1183" s="52">
        <f t="shared" si="168"/>
        <v>498.215</v>
      </c>
      <c r="Q1183" s="68">
        <f t="shared" si="169"/>
        <v>15.0974242424242</v>
      </c>
    </row>
    <row r="1184" s="2" customFormat="1" spans="1:17">
      <c r="A1184" s="61">
        <v>45831</v>
      </c>
      <c r="B1184" s="18">
        <v>968.9</v>
      </c>
      <c r="C1184" s="19">
        <v>752</v>
      </c>
      <c r="D1184" s="19">
        <v>311</v>
      </c>
      <c r="E1184" s="19">
        <v>8</v>
      </c>
      <c r="F1184" s="18">
        <v>67558</v>
      </c>
      <c r="G1184" s="19">
        <v>71</v>
      </c>
      <c r="H1184" s="19">
        <v>2</v>
      </c>
      <c r="I1184" s="19">
        <v>12</v>
      </c>
      <c r="J1184" s="66">
        <f t="shared" si="162"/>
        <v>0.413563829787234</v>
      </c>
      <c r="K1184" s="67">
        <f t="shared" si="163"/>
        <v>3.11543408360129</v>
      </c>
      <c r="L1184" s="67">
        <f t="shared" si="164"/>
        <v>1288.43085106383</v>
      </c>
      <c r="M1184" s="73">
        <f t="shared" si="165"/>
        <v>69.7264939622252</v>
      </c>
      <c r="N1184" s="66">
        <f t="shared" si="166"/>
        <v>0.0257234726688103</v>
      </c>
      <c r="O1184" s="52">
        <f t="shared" si="167"/>
        <v>8444.75</v>
      </c>
      <c r="P1184" s="52">
        <f t="shared" si="168"/>
        <v>121.1125</v>
      </c>
      <c r="Q1184" s="68">
        <f t="shared" si="169"/>
        <v>13.6464788732394</v>
      </c>
    </row>
    <row r="1185" s="2" customFormat="1" spans="1:17">
      <c r="A1185" s="61">
        <v>45832</v>
      </c>
      <c r="B1185" s="18">
        <v>854.68</v>
      </c>
      <c r="C1185" s="19">
        <v>716</v>
      </c>
      <c r="D1185" s="19">
        <v>213</v>
      </c>
      <c r="E1185" s="19">
        <v>3</v>
      </c>
      <c r="F1185" s="18">
        <v>28936</v>
      </c>
      <c r="G1185" s="19">
        <v>68</v>
      </c>
      <c r="H1185" s="19">
        <v>7</v>
      </c>
      <c r="I1185" s="19">
        <v>7</v>
      </c>
      <c r="J1185" s="66">
        <f t="shared" si="162"/>
        <v>0.297486033519553</v>
      </c>
      <c r="K1185" s="67">
        <f t="shared" si="163"/>
        <v>4.01258215962441</v>
      </c>
      <c r="L1185" s="67">
        <f t="shared" si="164"/>
        <v>1193.68715083799</v>
      </c>
      <c r="M1185" s="73">
        <f t="shared" si="165"/>
        <v>33.8559460850845</v>
      </c>
      <c r="N1185" s="66">
        <f t="shared" si="166"/>
        <v>0.0140845070422535</v>
      </c>
      <c r="O1185" s="52">
        <f t="shared" si="167"/>
        <v>9645.33333333333</v>
      </c>
      <c r="P1185" s="52">
        <f t="shared" si="168"/>
        <v>284.893333333333</v>
      </c>
      <c r="Q1185" s="68">
        <f t="shared" si="169"/>
        <v>12.5688235294118</v>
      </c>
    </row>
    <row r="1186" s="2" customFormat="1" spans="1:17">
      <c r="A1186" s="61">
        <v>45833</v>
      </c>
      <c r="B1186" s="18">
        <v>828.38</v>
      </c>
      <c r="C1186" s="19">
        <v>677</v>
      </c>
      <c r="D1186" s="19">
        <v>239</v>
      </c>
      <c r="E1186" s="19">
        <v>3</v>
      </c>
      <c r="F1186" s="18">
        <v>29040</v>
      </c>
      <c r="G1186" s="19">
        <v>77</v>
      </c>
      <c r="H1186" s="19">
        <v>3</v>
      </c>
      <c r="I1186" s="19">
        <v>14</v>
      </c>
      <c r="J1186" s="66">
        <f t="shared" si="162"/>
        <v>0.353028064992614</v>
      </c>
      <c r="K1186" s="67">
        <f t="shared" si="163"/>
        <v>3.46602510460251</v>
      </c>
      <c r="L1186" s="67">
        <f t="shared" si="164"/>
        <v>1223.60413589365</v>
      </c>
      <c r="M1186" s="73">
        <f t="shared" si="165"/>
        <v>35.0563750935561</v>
      </c>
      <c r="N1186" s="66">
        <f t="shared" si="166"/>
        <v>0.0125523012552301</v>
      </c>
      <c r="O1186" s="52">
        <f t="shared" si="167"/>
        <v>9680</v>
      </c>
      <c r="P1186" s="52">
        <f t="shared" si="168"/>
        <v>276.126666666667</v>
      </c>
      <c r="Q1186" s="68">
        <f t="shared" si="169"/>
        <v>10.7581818181818</v>
      </c>
    </row>
    <row r="1187" s="2" customFormat="1" spans="1:17">
      <c r="A1187" s="61">
        <v>45834</v>
      </c>
      <c r="B1187" s="18">
        <v>890.54</v>
      </c>
      <c r="C1187" s="19">
        <v>732</v>
      </c>
      <c r="D1187" s="19">
        <v>233</v>
      </c>
      <c r="E1187" s="19">
        <v>2</v>
      </c>
      <c r="F1187" s="18">
        <v>38960</v>
      </c>
      <c r="G1187" s="19">
        <v>75</v>
      </c>
      <c r="H1187" s="19">
        <v>4</v>
      </c>
      <c r="I1187" s="19">
        <v>10</v>
      </c>
      <c r="J1187" s="66">
        <f t="shared" si="162"/>
        <v>0.318306010928962</v>
      </c>
      <c r="K1187" s="67">
        <f t="shared" si="163"/>
        <v>3.82206008583691</v>
      </c>
      <c r="L1187" s="67">
        <f t="shared" si="164"/>
        <v>1216.58469945355</v>
      </c>
      <c r="M1187" s="73">
        <f t="shared" si="165"/>
        <v>43.7487367215397</v>
      </c>
      <c r="N1187" s="66">
        <f t="shared" si="166"/>
        <v>0.00858369098712446</v>
      </c>
      <c r="O1187" s="52">
        <f t="shared" si="167"/>
        <v>19480</v>
      </c>
      <c r="P1187" s="52">
        <f t="shared" si="168"/>
        <v>445.27</v>
      </c>
      <c r="Q1187" s="68">
        <f t="shared" si="169"/>
        <v>11.8738666666667</v>
      </c>
    </row>
    <row r="1188" s="2" customFormat="1" spans="1:17">
      <c r="A1188" s="61">
        <v>45835</v>
      </c>
      <c r="B1188" s="18">
        <v>723.96</v>
      </c>
      <c r="C1188" s="19">
        <v>588</v>
      </c>
      <c r="D1188" s="19">
        <v>182</v>
      </c>
      <c r="E1188" s="19">
        <v>6</v>
      </c>
      <c r="F1188" s="18">
        <v>92481</v>
      </c>
      <c r="G1188" s="19">
        <v>33</v>
      </c>
      <c r="H1188" s="19">
        <v>8</v>
      </c>
      <c r="I1188" s="19">
        <v>6</v>
      </c>
      <c r="J1188" s="66">
        <f t="shared" si="162"/>
        <v>0.30952380952381</v>
      </c>
      <c r="K1188" s="67">
        <f t="shared" si="163"/>
        <v>3.9778021978022</v>
      </c>
      <c r="L1188" s="67">
        <f t="shared" si="164"/>
        <v>1231.22448979592</v>
      </c>
      <c r="M1188" s="73">
        <f t="shared" si="165"/>
        <v>127.743245483176</v>
      </c>
      <c r="N1188" s="66">
        <f t="shared" si="166"/>
        <v>0.032967032967033</v>
      </c>
      <c r="O1188" s="52">
        <f t="shared" si="167"/>
        <v>15413.5</v>
      </c>
      <c r="P1188" s="52">
        <f t="shared" si="168"/>
        <v>120.66</v>
      </c>
      <c r="Q1188" s="68">
        <f t="shared" si="169"/>
        <v>21.9381818181818</v>
      </c>
    </row>
    <row r="1189" s="2" customFormat="1" spans="1:17">
      <c r="A1189" s="61">
        <v>45836</v>
      </c>
      <c r="B1189" s="18">
        <v>824.86</v>
      </c>
      <c r="C1189" s="19">
        <v>714</v>
      </c>
      <c r="D1189" s="19">
        <v>221</v>
      </c>
      <c r="E1189" s="19">
        <v>2</v>
      </c>
      <c r="F1189" s="18">
        <v>28064</v>
      </c>
      <c r="G1189" s="19">
        <v>61</v>
      </c>
      <c r="H1189" s="19">
        <v>9</v>
      </c>
      <c r="I1189" s="19">
        <v>9</v>
      </c>
      <c r="J1189" s="66">
        <f t="shared" si="162"/>
        <v>0.30952380952381</v>
      </c>
      <c r="K1189" s="67">
        <f t="shared" si="163"/>
        <v>3.73239819004525</v>
      </c>
      <c r="L1189" s="67">
        <f t="shared" si="164"/>
        <v>1155.26610644258</v>
      </c>
      <c r="M1189" s="73">
        <f t="shared" si="165"/>
        <v>34.0227432534006</v>
      </c>
      <c r="N1189" s="66">
        <f t="shared" si="166"/>
        <v>0.00904977375565611</v>
      </c>
      <c r="O1189" s="52">
        <f t="shared" si="167"/>
        <v>14032</v>
      </c>
      <c r="P1189" s="52">
        <f t="shared" si="168"/>
        <v>412.43</v>
      </c>
      <c r="Q1189" s="68">
        <f t="shared" si="169"/>
        <v>13.5222950819672</v>
      </c>
    </row>
    <row r="1190" s="2" customFormat="1" spans="1:17">
      <c r="A1190" s="61">
        <v>45837</v>
      </c>
      <c r="B1190" s="18">
        <v>856.16</v>
      </c>
      <c r="C1190" s="19">
        <v>761</v>
      </c>
      <c r="D1190" s="19">
        <v>225</v>
      </c>
      <c r="E1190" s="19">
        <v>4</v>
      </c>
      <c r="F1190" s="18">
        <v>97812.99</v>
      </c>
      <c r="G1190" s="19">
        <v>53</v>
      </c>
      <c r="H1190" s="19">
        <v>4</v>
      </c>
      <c r="I1190" s="19">
        <v>9</v>
      </c>
      <c r="J1190" s="66">
        <f t="shared" ref="J1190:J1239" si="170">D1190/C1190</f>
        <v>0.295663600525624</v>
      </c>
      <c r="K1190" s="67">
        <f t="shared" ref="K1190:K1239" si="171">B1190/D1190</f>
        <v>3.80515555555556</v>
      </c>
      <c r="L1190" s="67">
        <f t="shared" ref="L1190:L1243" si="172">B1190/C1190*1000</f>
        <v>1125.04599211564</v>
      </c>
      <c r="M1190" s="73">
        <f t="shared" ref="M1190:M1253" si="173">F1190/B1190</f>
        <v>114.246157260325</v>
      </c>
      <c r="N1190" s="66">
        <f t="shared" ref="N1190:N1253" si="174">E1190/D1190</f>
        <v>0.0177777777777778</v>
      </c>
      <c r="O1190" s="52">
        <f t="shared" ref="O1190:O1253" si="175">IF(E1190=0,0,F1190/E1190)</f>
        <v>24453.2475</v>
      </c>
      <c r="P1190" s="52">
        <f t="shared" ref="P1190:P1253" si="176">IF(E1190=0,0,B1190/E1190)</f>
        <v>214.04</v>
      </c>
      <c r="Q1190" s="68">
        <f t="shared" ref="Q1190:Q1253" si="177">B1190/G1190</f>
        <v>16.1539622641509</v>
      </c>
    </row>
    <row r="1191" s="2" customFormat="1" spans="1:17">
      <c r="A1191" s="61">
        <v>45838</v>
      </c>
      <c r="B1191" s="18">
        <v>1062.67</v>
      </c>
      <c r="C1191" s="19">
        <v>824</v>
      </c>
      <c r="D1191" s="19">
        <v>256</v>
      </c>
      <c r="E1191" s="19">
        <v>1</v>
      </c>
      <c r="F1191" s="18">
        <v>9214</v>
      </c>
      <c r="G1191" s="19">
        <v>60</v>
      </c>
      <c r="H1191" s="19">
        <v>6</v>
      </c>
      <c r="I1191" s="19">
        <v>8</v>
      </c>
      <c r="J1191" s="66">
        <f t="shared" si="170"/>
        <v>0.310679611650485</v>
      </c>
      <c r="K1191" s="67">
        <f t="shared" si="171"/>
        <v>4.1510546875</v>
      </c>
      <c r="L1191" s="67">
        <f t="shared" si="172"/>
        <v>1289.64805825243</v>
      </c>
      <c r="M1191" s="73">
        <f t="shared" si="173"/>
        <v>8.67061270196768</v>
      </c>
      <c r="N1191" s="66">
        <f t="shared" si="174"/>
        <v>0.00390625</v>
      </c>
      <c r="O1191" s="52">
        <f t="shared" si="175"/>
        <v>9214</v>
      </c>
      <c r="P1191" s="52">
        <f t="shared" si="176"/>
        <v>1062.67</v>
      </c>
      <c r="Q1191" s="68">
        <f t="shared" si="177"/>
        <v>17.7111666666667</v>
      </c>
    </row>
    <row r="1192" s="2" customFormat="1" spans="1:17">
      <c r="A1192" s="61">
        <v>45839</v>
      </c>
      <c r="B1192" s="18">
        <v>1005.16</v>
      </c>
      <c r="C1192" s="19">
        <v>862</v>
      </c>
      <c r="D1192" s="19">
        <v>233</v>
      </c>
      <c r="E1192" s="19">
        <v>1</v>
      </c>
      <c r="F1192" s="18">
        <v>20826.99</v>
      </c>
      <c r="G1192" s="19">
        <v>52</v>
      </c>
      <c r="H1192" s="19">
        <v>4</v>
      </c>
      <c r="I1192" s="19">
        <v>8</v>
      </c>
      <c r="J1192" s="66">
        <f t="shared" si="170"/>
        <v>0.27030162412993</v>
      </c>
      <c r="K1192" s="67">
        <f t="shared" si="171"/>
        <v>4.31399141630901</v>
      </c>
      <c r="L1192" s="67">
        <f t="shared" si="172"/>
        <v>1166.0788863109</v>
      </c>
      <c r="M1192" s="73">
        <f t="shared" si="173"/>
        <v>20.7200744160134</v>
      </c>
      <c r="N1192" s="66">
        <f t="shared" si="174"/>
        <v>0.00429184549356223</v>
      </c>
      <c r="O1192" s="52">
        <f t="shared" si="175"/>
        <v>20826.99</v>
      </c>
      <c r="P1192" s="52">
        <f t="shared" si="176"/>
        <v>1005.16</v>
      </c>
      <c r="Q1192" s="68">
        <f t="shared" si="177"/>
        <v>19.33</v>
      </c>
    </row>
    <row r="1193" s="2" customFormat="1" spans="1:17">
      <c r="A1193" s="61">
        <v>45840</v>
      </c>
      <c r="B1193" s="18">
        <v>868.6</v>
      </c>
      <c r="C1193" s="19">
        <v>926</v>
      </c>
      <c r="D1193" s="19">
        <v>212</v>
      </c>
      <c r="E1193" s="19">
        <v>3</v>
      </c>
      <c r="F1193" s="18">
        <v>33293</v>
      </c>
      <c r="G1193" s="19">
        <v>70</v>
      </c>
      <c r="H1193" s="19">
        <v>6</v>
      </c>
      <c r="I1193" s="19">
        <v>4</v>
      </c>
      <c r="J1193" s="66">
        <f t="shared" si="170"/>
        <v>0.228941684665227</v>
      </c>
      <c r="K1193" s="67">
        <f t="shared" si="171"/>
        <v>4.09716981132075</v>
      </c>
      <c r="L1193" s="67">
        <f t="shared" si="172"/>
        <v>938.012958963283</v>
      </c>
      <c r="M1193" s="73">
        <f t="shared" si="173"/>
        <v>38.3294957402717</v>
      </c>
      <c r="N1193" s="66">
        <f t="shared" si="174"/>
        <v>0.0141509433962264</v>
      </c>
      <c r="O1193" s="52">
        <f t="shared" si="175"/>
        <v>11097.6666666667</v>
      </c>
      <c r="P1193" s="52">
        <f t="shared" si="176"/>
        <v>289.533333333333</v>
      </c>
      <c r="Q1193" s="68">
        <f t="shared" si="177"/>
        <v>12.4085714285714</v>
      </c>
    </row>
    <row r="1194" s="2" customFormat="1" spans="1:17">
      <c r="A1194" s="61">
        <v>45841</v>
      </c>
      <c r="B1194" s="18">
        <v>1486.04</v>
      </c>
      <c r="C1194" s="19">
        <v>3792</v>
      </c>
      <c r="D1194" s="19">
        <v>90</v>
      </c>
      <c r="E1194" s="19">
        <v>0</v>
      </c>
      <c r="F1194" s="18">
        <v>0</v>
      </c>
      <c r="G1194" s="19">
        <v>30</v>
      </c>
      <c r="H1194" s="19">
        <v>2</v>
      </c>
      <c r="I1194" s="19">
        <v>2</v>
      </c>
      <c r="J1194" s="66">
        <f t="shared" si="170"/>
        <v>0.0237341772151899</v>
      </c>
      <c r="K1194" s="67">
        <f t="shared" si="171"/>
        <v>16.5115555555556</v>
      </c>
      <c r="L1194" s="67">
        <f t="shared" si="172"/>
        <v>391.888185654008</v>
      </c>
      <c r="M1194" s="73">
        <f t="shared" si="173"/>
        <v>0</v>
      </c>
      <c r="N1194" s="66">
        <f t="shared" si="174"/>
        <v>0</v>
      </c>
      <c r="O1194" s="52">
        <f t="shared" si="175"/>
        <v>0</v>
      </c>
      <c r="P1194" s="52">
        <f t="shared" si="176"/>
        <v>0</v>
      </c>
      <c r="Q1194" s="68">
        <f t="shared" si="177"/>
        <v>49.5346666666667</v>
      </c>
    </row>
    <row r="1195" s="2" customFormat="1" spans="1:17">
      <c r="A1195" s="61">
        <v>45842</v>
      </c>
      <c r="B1195" s="18">
        <v>1960.84</v>
      </c>
      <c r="C1195" s="19">
        <v>4510</v>
      </c>
      <c r="D1195" s="19">
        <v>215</v>
      </c>
      <c r="E1195" s="19">
        <v>4</v>
      </c>
      <c r="F1195" s="18">
        <v>35762</v>
      </c>
      <c r="G1195" s="19">
        <v>55</v>
      </c>
      <c r="H1195" s="19">
        <v>4</v>
      </c>
      <c r="I1195" s="19">
        <v>9</v>
      </c>
      <c r="J1195" s="66">
        <f t="shared" si="170"/>
        <v>0.0476718403547672</v>
      </c>
      <c r="K1195" s="67">
        <f t="shared" si="171"/>
        <v>9.12018604651163</v>
      </c>
      <c r="L1195" s="67">
        <f t="shared" si="172"/>
        <v>434.776053215078</v>
      </c>
      <c r="M1195" s="73">
        <f t="shared" si="173"/>
        <v>18.2381020379021</v>
      </c>
      <c r="N1195" s="66">
        <f t="shared" si="174"/>
        <v>0.0186046511627907</v>
      </c>
      <c r="O1195" s="52">
        <f t="shared" si="175"/>
        <v>8940.5</v>
      </c>
      <c r="P1195" s="52">
        <f t="shared" si="176"/>
        <v>490.21</v>
      </c>
      <c r="Q1195" s="68">
        <f t="shared" si="177"/>
        <v>35.6516363636364</v>
      </c>
    </row>
    <row r="1196" s="2" customFormat="1" spans="1:17">
      <c r="A1196" s="61">
        <v>45843</v>
      </c>
      <c r="B1196" s="18">
        <v>1494.78</v>
      </c>
      <c r="C1196" s="19">
        <v>3349</v>
      </c>
      <c r="D1196" s="19">
        <v>158</v>
      </c>
      <c r="E1196" s="19">
        <v>2</v>
      </c>
      <c r="F1196" s="18">
        <v>36288</v>
      </c>
      <c r="G1196" s="19">
        <v>64</v>
      </c>
      <c r="H1196" s="19">
        <v>5</v>
      </c>
      <c r="I1196" s="19">
        <v>4</v>
      </c>
      <c r="J1196" s="66">
        <f t="shared" si="170"/>
        <v>0.0471782621678113</v>
      </c>
      <c r="K1196" s="67">
        <f t="shared" si="171"/>
        <v>9.46063291139241</v>
      </c>
      <c r="L1196" s="67">
        <f t="shared" si="172"/>
        <v>446.336219767095</v>
      </c>
      <c r="M1196" s="73">
        <f t="shared" si="173"/>
        <v>24.2764821579095</v>
      </c>
      <c r="N1196" s="66">
        <f t="shared" si="174"/>
        <v>0.0126582278481013</v>
      </c>
      <c r="O1196" s="52">
        <f t="shared" si="175"/>
        <v>18144</v>
      </c>
      <c r="P1196" s="52">
        <f t="shared" si="176"/>
        <v>747.39</v>
      </c>
      <c r="Q1196" s="68">
        <f t="shared" si="177"/>
        <v>23.3559375</v>
      </c>
    </row>
    <row r="1197" s="2" customFormat="1" spans="1:17">
      <c r="A1197" s="61">
        <v>45844</v>
      </c>
      <c r="B1197" s="18">
        <v>1496.92</v>
      </c>
      <c r="C1197" s="19">
        <v>3123</v>
      </c>
      <c r="D1197" s="19">
        <v>196</v>
      </c>
      <c r="E1197" s="19">
        <v>5</v>
      </c>
      <c r="F1197" s="18">
        <v>99967</v>
      </c>
      <c r="G1197" s="19">
        <v>42</v>
      </c>
      <c r="H1197" s="19">
        <v>5</v>
      </c>
      <c r="I1197" s="19">
        <v>6</v>
      </c>
      <c r="J1197" s="66">
        <f t="shared" si="170"/>
        <v>0.0627601665065642</v>
      </c>
      <c r="K1197" s="67">
        <f t="shared" si="171"/>
        <v>7.63734693877551</v>
      </c>
      <c r="L1197" s="67">
        <f t="shared" si="172"/>
        <v>479.321165545949</v>
      </c>
      <c r="M1197" s="73">
        <f t="shared" si="173"/>
        <v>66.7817919461294</v>
      </c>
      <c r="N1197" s="66">
        <f t="shared" si="174"/>
        <v>0.0255102040816327</v>
      </c>
      <c r="O1197" s="52">
        <f t="shared" si="175"/>
        <v>19993.4</v>
      </c>
      <c r="P1197" s="52">
        <f t="shared" si="176"/>
        <v>299.384</v>
      </c>
      <c r="Q1197" s="68">
        <f t="shared" si="177"/>
        <v>35.6409523809524</v>
      </c>
    </row>
    <row r="1198" s="2" customFormat="1" spans="1:17">
      <c r="A1198" s="61">
        <v>45845</v>
      </c>
      <c r="B1198" s="18">
        <v>1366.78</v>
      </c>
      <c r="C1198" s="19">
        <v>2221</v>
      </c>
      <c r="D1198" s="19">
        <v>214</v>
      </c>
      <c r="E1198" s="19">
        <v>7</v>
      </c>
      <c r="F1198" s="18">
        <v>93870</v>
      </c>
      <c r="G1198" s="19">
        <v>53</v>
      </c>
      <c r="H1198" s="19">
        <v>5</v>
      </c>
      <c r="I1198" s="19">
        <v>13</v>
      </c>
      <c r="J1198" s="66">
        <f t="shared" si="170"/>
        <v>0.0963529941467807</v>
      </c>
      <c r="K1198" s="67">
        <f t="shared" si="171"/>
        <v>6.38682242990654</v>
      </c>
      <c r="L1198" s="67">
        <f t="shared" si="172"/>
        <v>615.389464205313</v>
      </c>
      <c r="M1198" s="73">
        <f t="shared" si="173"/>
        <v>68.6796704663516</v>
      </c>
      <c r="N1198" s="66">
        <f t="shared" si="174"/>
        <v>0.0327102803738318</v>
      </c>
      <c r="O1198" s="52">
        <f t="shared" si="175"/>
        <v>13410</v>
      </c>
      <c r="P1198" s="52">
        <f t="shared" si="176"/>
        <v>195.254285714286</v>
      </c>
      <c r="Q1198" s="68">
        <f t="shared" si="177"/>
        <v>25.7883018867925</v>
      </c>
    </row>
    <row r="1199" s="2" customFormat="1" spans="1:17">
      <c r="A1199" s="61">
        <v>45846</v>
      </c>
      <c r="B1199" s="18">
        <v>1184.46</v>
      </c>
      <c r="C1199" s="19">
        <v>1621</v>
      </c>
      <c r="D1199" s="19">
        <v>237</v>
      </c>
      <c r="E1199" s="19">
        <v>5</v>
      </c>
      <c r="F1199" s="18">
        <v>73434</v>
      </c>
      <c r="G1199" s="19">
        <v>67</v>
      </c>
      <c r="H1199" s="19">
        <v>4</v>
      </c>
      <c r="I1199" s="19">
        <v>6</v>
      </c>
      <c r="J1199" s="66">
        <f t="shared" si="170"/>
        <v>0.146206045650833</v>
      </c>
      <c r="K1199" s="67">
        <f t="shared" si="171"/>
        <v>4.99772151898734</v>
      </c>
      <c r="L1199" s="67">
        <f t="shared" si="172"/>
        <v>730.697100555213</v>
      </c>
      <c r="M1199" s="73">
        <f t="shared" si="173"/>
        <v>61.9978724482042</v>
      </c>
      <c r="N1199" s="66">
        <f t="shared" si="174"/>
        <v>0.0210970464135021</v>
      </c>
      <c r="O1199" s="52">
        <f t="shared" si="175"/>
        <v>14686.8</v>
      </c>
      <c r="P1199" s="52">
        <f t="shared" si="176"/>
        <v>236.892</v>
      </c>
      <c r="Q1199" s="68">
        <f t="shared" si="177"/>
        <v>17.6785074626866</v>
      </c>
    </row>
    <row r="1200" s="2" customFormat="1" spans="1:17">
      <c r="A1200" s="61">
        <v>45847</v>
      </c>
      <c r="B1200" s="18">
        <v>1275.66</v>
      </c>
      <c r="C1200" s="19">
        <v>1904</v>
      </c>
      <c r="D1200" s="19">
        <v>242</v>
      </c>
      <c r="E1200" s="19">
        <v>2</v>
      </c>
      <c r="F1200" s="18">
        <v>14298</v>
      </c>
      <c r="G1200" s="19">
        <v>36</v>
      </c>
      <c r="H1200" s="19">
        <v>1</v>
      </c>
      <c r="I1200" s="19">
        <v>14</v>
      </c>
      <c r="J1200" s="66">
        <f t="shared" si="170"/>
        <v>0.127100840336134</v>
      </c>
      <c r="K1200" s="67">
        <f t="shared" si="171"/>
        <v>5.27132231404959</v>
      </c>
      <c r="L1200" s="67">
        <f t="shared" si="172"/>
        <v>669.989495798319</v>
      </c>
      <c r="M1200" s="73">
        <f t="shared" si="173"/>
        <v>11.2083156954047</v>
      </c>
      <c r="N1200" s="66">
        <f t="shared" si="174"/>
        <v>0.00826446280991736</v>
      </c>
      <c r="O1200" s="52">
        <f t="shared" si="175"/>
        <v>7149</v>
      </c>
      <c r="P1200" s="52">
        <f t="shared" si="176"/>
        <v>637.83</v>
      </c>
      <c r="Q1200" s="68">
        <f t="shared" si="177"/>
        <v>35.435</v>
      </c>
    </row>
    <row r="1201" s="2" customFormat="1" spans="1:17">
      <c r="A1201" s="61">
        <v>45848</v>
      </c>
      <c r="B1201" s="18">
        <v>1982.72</v>
      </c>
      <c r="C1201" s="19">
        <v>4490</v>
      </c>
      <c r="D1201" s="19">
        <v>187</v>
      </c>
      <c r="E1201" s="19">
        <v>0</v>
      </c>
      <c r="F1201" s="18">
        <v>0</v>
      </c>
      <c r="G1201" s="19">
        <v>45</v>
      </c>
      <c r="H1201" s="19">
        <v>3</v>
      </c>
      <c r="I1201" s="19">
        <v>5</v>
      </c>
      <c r="J1201" s="66">
        <f t="shared" si="170"/>
        <v>0.0416481069042316</v>
      </c>
      <c r="K1201" s="67">
        <f t="shared" si="171"/>
        <v>10.6027807486631</v>
      </c>
      <c r="L1201" s="67">
        <f t="shared" si="172"/>
        <v>441.58574610245</v>
      </c>
      <c r="M1201" s="73">
        <f t="shared" si="173"/>
        <v>0</v>
      </c>
      <c r="N1201" s="66">
        <f t="shared" si="174"/>
        <v>0</v>
      </c>
      <c r="O1201" s="52">
        <f t="shared" si="175"/>
        <v>0</v>
      </c>
      <c r="P1201" s="52">
        <f t="shared" si="176"/>
        <v>0</v>
      </c>
      <c r="Q1201" s="68">
        <f t="shared" si="177"/>
        <v>44.0604444444444</v>
      </c>
    </row>
    <row r="1202" s="2" customFormat="1" spans="1:17">
      <c r="A1202" s="61">
        <v>45849</v>
      </c>
      <c r="B1202" s="18">
        <v>1786.37</v>
      </c>
      <c r="C1202" s="19">
        <v>4045</v>
      </c>
      <c r="D1202" s="19">
        <v>200</v>
      </c>
      <c r="E1202" s="19">
        <v>1</v>
      </c>
      <c r="F1202" s="18">
        <v>29208</v>
      </c>
      <c r="G1202" s="19">
        <v>41</v>
      </c>
      <c r="H1202" s="19">
        <v>3</v>
      </c>
      <c r="I1202" s="19">
        <v>7</v>
      </c>
      <c r="J1202" s="66">
        <f t="shared" si="170"/>
        <v>0.0494437577255871</v>
      </c>
      <c r="K1202" s="67">
        <f t="shared" si="171"/>
        <v>8.93185</v>
      </c>
      <c r="L1202" s="67">
        <f t="shared" si="172"/>
        <v>441.624227441285</v>
      </c>
      <c r="M1202" s="73">
        <f t="shared" si="173"/>
        <v>16.3504761051742</v>
      </c>
      <c r="N1202" s="66">
        <f t="shared" si="174"/>
        <v>0.005</v>
      </c>
      <c r="O1202" s="52">
        <f t="shared" si="175"/>
        <v>29208</v>
      </c>
      <c r="P1202" s="52">
        <f t="shared" si="176"/>
        <v>1786.37</v>
      </c>
      <c r="Q1202" s="68">
        <f t="shared" si="177"/>
        <v>43.57</v>
      </c>
    </row>
    <row r="1203" s="2" customFormat="1" spans="1:17">
      <c r="A1203" s="61">
        <v>45850</v>
      </c>
      <c r="B1203" s="18">
        <v>1996.33</v>
      </c>
      <c r="C1203" s="19">
        <v>4606</v>
      </c>
      <c r="D1203" s="19">
        <v>198</v>
      </c>
      <c r="E1203" s="19">
        <v>4</v>
      </c>
      <c r="F1203" s="18">
        <v>56664</v>
      </c>
      <c r="G1203" s="19">
        <v>54</v>
      </c>
      <c r="H1203" s="19">
        <v>3</v>
      </c>
      <c r="I1203" s="19">
        <v>13</v>
      </c>
      <c r="J1203" s="66">
        <f t="shared" si="170"/>
        <v>0.0429874077290491</v>
      </c>
      <c r="K1203" s="67">
        <f t="shared" si="171"/>
        <v>10.0824747474747</v>
      </c>
      <c r="L1203" s="67">
        <f t="shared" si="172"/>
        <v>433.419452887538</v>
      </c>
      <c r="M1203" s="73">
        <f t="shared" si="173"/>
        <v>28.3840847955999</v>
      </c>
      <c r="N1203" s="66">
        <f t="shared" si="174"/>
        <v>0.0202020202020202</v>
      </c>
      <c r="O1203" s="52">
        <f t="shared" si="175"/>
        <v>14166</v>
      </c>
      <c r="P1203" s="52">
        <f t="shared" si="176"/>
        <v>499.0825</v>
      </c>
      <c r="Q1203" s="68">
        <f t="shared" si="177"/>
        <v>36.9690740740741</v>
      </c>
    </row>
    <row r="1204" s="2" customFormat="1" spans="1:17">
      <c r="A1204" s="61">
        <v>45851</v>
      </c>
      <c r="B1204" s="18">
        <v>1990.83</v>
      </c>
      <c r="C1204" s="19">
        <v>4531</v>
      </c>
      <c r="D1204" s="19">
        <v>202</v>
      </c>
      <c r="E1204" s="19">
        <v>1</v>
      </c>
      <c r="F1204" s="18">
        <v>12214</v>
      </c>
      <c r="G1204" s="19">
        <v>38</v>
      </c>
      <c r="H1204" s="19">
        <v>0</v>
      </c>
      <c r="I1204" s="19">
        <v>8</v>
      </c>
      <c r="J1204" s="66">
        <f t="shared" si="170"/>
        <v>0.0445817700286912</v>
      </c>
      <c r="K1204" s="67">
        <f t="shared" si="171"/>
        <v>9.85559405940594</v>
      </c>
      <c r="L1204" s="67">
        <f t="shared" si="172"/>
        <v>439.379827852571</v>
      </c>
      <c r="M1204" s="73">
        <f t="shared" si="173"/>
        <v>6.13512956907421</v>
      </c>
      <c r="N1204" s="66">
        <f t="shared" si="174"/>
        <v>0.00495049504950495</v>
      </c>
      <c r="O1204" s="52">
        <f t="shared" si="175"/>
        <v>12214</v>
      </c>
      <c r="P1204" s="52">
        <f t="shared" si="176"/>
        <v>1990.83</v>
      </c>
      <c r="Q1204" s="68">
        <f t="shared" si="177"/>
        <v>52.3902631578947</v>
      </c>
    </row>
    <row r="1205" s="2" customFormat="1" spans="1:17">
      <c r="A1205" s="61">
        <v>45852</v>
      </c>
      <c r="B1205" s="18">
        <v>1986.13</v>
      </c>
      <c r="C1205" s="19">
        <v>3956</v>
      </c>
      <c r="D1205" s="19">
        <v>274</v>
      </c>
      <c r="E1205" s="19">
        <v>2</v>
      </c>
      <c r="F1205" s="18">
        <v>26985</v>
      </c>
      <c r="G1205" s="19">
        <v>51</v>
      </c>
      <c r="H1205" s="19">
        <v>4</v>
      </c>
      <c r="I1205" s="19">
        <v>19</v>
      </c>
      <c r="J1205" s="66">
        <f t="shared" si="170"/>
        <v>0.0692618806875632</v>
      </c>
      <c r="K1205" s="67">
        <f t="shared" si="171"/>
        <v>7.2486496350365</v>
      </c>
      <c r="L1205" s="67">
        <f t="shared" si="172"/>
        <v>502.055106167846</v>
      </c>
      <c r="M1205" s="73">
        <f t="shared" si="173"/>
        <v>13.5867239304577</v>
      </c>
      <c r="N1205" s="66">
        <f t="shared" si="174"/>
        <v>0.0072992700729927</v>
      </c>
      <c r="O1205" s="52">
        <f t="shared" si="175"/>
        <v>13492.5</v>
      </c>
      <c r="P1205" s="52">
        <f t="shared" si="176"/>
        <v>993.065</v>
      </c>
      <c r="Q1205" s="68">
        <f t="shared" si="177"/>
        <v>38.9437254901961</v>
      </c>
    </row>
    <row r="1206" s="2" customFormat="1" spans="1:17">
      <c r="A1206" s="61">
        <v>45853</v>
      </c>
      <c r="B1206" s="18">
        <v>1983.73</v>
      </c>
      <c r="C1206" s="19">
        <v>4636</v>
      </c>
      <c r="D1206" s="19">
        <v>236</v>
      </c>
      <c r="E1206" s="19">
        <v>1</v>
      </c>
      <c r="F1206" s="18">
        <v>12074</v>
      </c>
      <c r="G1206" s="19">
        <v>43</v>
      </c>
      <c r="H1206" s="19">
        <v>4</v>
      </c>
      <c r="I1206" s="19">
        <v>5</v>
      </c>
      <c r="J1206" s="66">
        <f t="shared" si="170"/>
        <v>0.0509059534081104</v>
      </c>
      <c r="K1206" s="67">
        <f t="shared" si="171"/>
        <v>8.40563559322034</v>
      </c>
      <c r="L1206" s="67">
        <f t="shared" si="172"/>
        <v>427.896893874029</v>
      </c>
      <c r="M1206" s="73">
        <f t="shared" si="173"/>
        <v>6.08651378967904</v>
      </c>
      <c r="N1206" s="66">
        <f t="shared" si="174"/>
        <v>0.00423728813559322</v>
      </c>
      <c r="O1206" s="52">
        <f t="shared" si="175"/>
        <v>12074</v>
      </c>
      <c r="P1206" s="52">
        <f t="shared" si="176"/>
        <v>1983.73</v>
      </c>
      <c r="Q1206" s="68">
        <f t="shared" si="177"/>
        <v>46.1332558139535</v>
      </c>
    </row>
    <row r="1207" s="2" customFormat="1" spans="1:17">
      <c r="A1207" s="61">
        <v>45854</v>
      </c>
      <c r="B1207" s="18">
        <v>1988.79</v>
      </c>
      <c r="C1207" s="19">
        <v>4254</v>
      </c>
      <c r="D1207" s="19">
        <v>272</v>
      </c>
      <c r="E1207" s="19">
        <v>0</v>
      </c>
      <c r="F1207" s="18">
        <v>0</v>
      </c>
      <c r="G1207" s="19">
        <v>65</v>
      </c>
      <c r="H1207" s="19">
        <v>1</v>
      </c>
      <c r="I1207" s="19">
        <v>13</v>
      </c>
      <c r="J1207" s="66">
        <f t="shared" si="170"/>
        <v>0.0639398213446168</v>
      </c>
      <c r="K1207" s="67">
        <f t="shared" si="171"/>
        <v>7.31172794117647</v>
      </c>
      <c r="L1207" s="67">
        <f t="shared" si="172"/>
        <v>467.510578279267</v>
      </c>
      <c r="M1207" s="73">
        <f t="shared" si="173"/>
        <v>0</v>
      </c>
      <c r="N1207" s="66">
        <f t="shared" si="174"/>
        <v>0</v>
      </c>
      <c r="O1207" s="52">
        <f t="shared" si="175"/>
        <v>0</v>
      </c>
      <c r="P1207" s="52">
        <f t="shared" si="176"/>
        <v>0</v>
      </c>
      <c r="Q1207" s="68">
        <f t="shared" si="177"/>
        <v>30.5967692307692</v>
      </c>
    </row>
    <row r="1208" s="2" customFormat="1" spans="1:17">
      <c r="A1208" s="61">
        <v>45855</v>
      </c>
      <c r="B1208" s="18">
        <v>1989.9</v>
      </c>
      <c r="C1208" s="19">
        <v>4426</v>
      </c>
      <c r="D1208" s="19">
        <v>266</v>
      </c>
      <c r="E1208" s="19">
        <v>0</v>
      </c>
      <c r="F1208" s="18">
        <v>0</v>
      </c>
      <c r="G1208" s="19">
        <v>80</v>
      </c>
      <c r="H1208" s="19">
        <v>10</v>
      </c>
      <c r="I1208" s="19">
        <v>6</v>
      </c>
      <c r="J1208" s="66">
        <f t="shared" si="170"/>
        <v>0.0600994125621329</v>
      </c>
      <c r="K1208" s="67">
        <f t="shared" si="171"/>
        <v>7.48082706766917</v>
      </c>
      <c r="L1208" s="67">
        <f t="shared" si="172"/>
        <v>449.59331224582</v>
      </c>
      <c r="M1208" s="73">
        <f t="shared" si="173"/>
        <v>0</v>
      </c>
      <c r="N1208" s="66">
        <f t="shared" si="174"/>
        <v>0</v>
      </c>
      <c r="O1208" s="52">
        <f t="shared" si="175"/>
        <v>0</v>
      </c>
      <c r="P1208" s="52">
        <f t="shared" si="176"/>
        <v>0</v>
      </c>
      <c r="Q1208" s="68">
        <f t="shared" si="177"/>
        <v>24.87375</v>
      </c>
    </row>
    <row r="1209" s="2" customFormat="1" spans="1:17">
      <c r="A1209" s="61">
        <v>45856</v>
      </c>
      <c r="B1209" s="18">
        <v>1486.88</v>
      </c>
      <c r="C1209" s="19">
        <v>2778</v>
      </c>
      <c r="D1209" s="19">
        <v>212</v>
      </c>
      <c r="E1209" s="19">
        <v>3</v>
      </c>
      <c r="F1209" s="18">
        <v>35768</v>
      </c>
      <c r="G1209" s="19">
        <v>52</v>
      </c>
      <c r="H1209" s="19">
        <v>5</v>
      </c>
      <c r="I1209" s="19">
        <v>6</v>
      </c>
      <c r="J1209" s="66">
        <f t="shared" si="170"/>
        <v>0.0763138948884089</v>
      </c>
      <c r="K1209" s="67">
        <f t="shared" si="171"/>
        <v>7.01358490566038</v>
      </c>
      <c r="L1209" s="67">
        <f t="shared" si="172"/>
        <v>535.233981281498</v>
      </c>
      <c r="M1209" s="73">
        <f t="shared" si="173"/>
        <v>24.0557408802324</v>
      </c>
      <c r="N1209" s="66">
        <f t="shared" si="174"/>
        <v>0.0141509433962264</v>
      </c>
      <c r="O1209" s="52">
        <f t="shared" si="175"/>
        <v>11922.6666666667</v>
      </c>
      <c r="P1209" s="52">
        <f t="shared" si="176"/>
        <v>495.626666666667</v>
      </c>
      <c r="Q1209" s="68">
        <f t="shared" si="177"/>
        <v>28.5938461538462</v>
      </c>
    </row>
    <row r="1210" s="2" customFormat="1" spans="1:17">
      <c r="A1210" s="61">
        <v>45857</v>
      </c>
      <c r="B1210" s="18">
        <v>1490.51</v>
      </c>
      <c r="C1210" s="19">
        <v>2986</v>
      </c>
      <c r="D1210" s="19">
        <v>225</v>
      </c>
      <c r="E1210" s="19">
        <v>2</v>
      </c>
      <c r="F1210" s="18">
        <v>31154</v>
      </c>
      <c r="G1210" s="19">
        <v>52</v>
      </c>
      <c r="H1210" s="19">
        <v>3</v>
      </c>
      <c r="I1210" s="19">
        <v>7</v>
      </c>
      <c r="J1210" s="66">
        <f t="shared" si="170"/>
        <v>0.0753516409912927</v>
      </c>
      <c r="K1210" s="67">
        <f t="shared" si="171"/>
        <v>6.62448888888889</v>
      </c>
      <c r="L1210" s="67">
        <f t="shared" si="172"/>
        <v>499.166108506363</v>
      </c>
      <c r="M1210" s="73">
        <f t="shared" si="173"/>
        <v>20.9015706033505</v>
      </c>
      <c r="N1210" s="66">
        <f t="shared" si="174"/>
        <v>0.00888888888888889</v>
      </c>
      <c r="O1210" s="52">
        <f t="shared" si="175"/>
        <v>15577</v>
      </c>
      <c r="P1210" s="52">
        <f t="shared" si="176"/>
        <v>745.255</v>
      </c>
      <c r="Q1210" s="68">
        <f t="shared" si="177"/>
        <v>28.6636538461538</v>
      </c>
    </row>
    <row r="1211" s="2" customFormat="1" spans="1:17">
      <c r="A1211" s="61">
        <v>45858</v>
      </c>
      <c r="B1211" s="18">
        <v>1486.09</v>
      </c>
      <c r="C1211" s="19">
        <v>3519</v>
      </c>
      <c r="D1211" s="19">
        <v>137</v>
      </c>
      <c r="E1211" s="19">
        <v>0</v>
      </c>
      <c r="F1211" s="18">
        <v>0</v>
      </c>
      <c r="G1211" s="19">
        <v>30</v>
      </c>
      <c r="H1211" s="19">
        <v>5</v>
      </c>
      <c r="I1211" s="19">
        <v>6</v>
      </c>
      <c r="J1211" s="66">
        <f t="shared" si="170"/>
        <v>0.0389315146348394</v>
      </c>
      <c r="K1211" s="67">
        <f t="shared" si="171"/>
        <v>10.8473722627737</v>
      </c>
      <c r="L1211" s="67">
        <f t="shared" si="172"/>
        <v>422.304631997727</v>
      </c>
      <c r="M1211" s="73">
        <f t="shared" si="173"/>
        <v>0</v>
      </c>
      <c r="N1211" s="66">
        <f t="shared" si="174"/>
        <v>0</v>
      </c>
      <c r="O1211" s="52">
        <f t="shared" si="175"/>
        <v>0</v>
      </c>
      <c r="P1211" s="52">
        <f t="shared" si="176"/>
        <v>0</v>
      </c>
      <c r="Q1211" s="68">
        <f t="shared" si="177"/>
        <v>49.5363333333333</v>
      </c>
    </row>
    <row r="1212" s="2" customFormat="1" spans="1:17">
      <c r="A1212" s="61">
        <v>45859</v>
      </c>
      <c r="B1212" s="18">
        <v>1372.37</v>
      </c>
      <c r="C1212" s="19">
        <v>3143</v>
      </c>
      <c r="D1212" s="19">
        <v>187</v>
      </c>
      <c r="E1212" s="19">
        <v>0</v>
      </c>
      <c r="F1212" s="18">
        <v>0</v>
      </c>
      <c r="G1212" s="19">
        <v>52</v>
      </c>
      <c r="H1212" s="19">
        <v>2</v>
      </c>
      <c r="I1212" s="19">
        <v>6</v>
      </c>
      <c r="J1212" s="66">
        <f t="shared" si="170"/>
        <v>0.0594972955774737</v>
      </c>
      <c r="K1212" s="67">
        <f t="shared" si="171"/>
        <v>7.33887700534759</v>
      </c>
      <c r="L1212" s="67">
        <f t="shared" si="172"/>
        <v>436.643334393891</v>
      </c>
      <c r="M1212" s="73">
        <f t="shared" si="173"/>
        <v>0</v>
      </c>
      <c r="N1212" s="66">
        <f t="shared" si="174"/>
        <v>0</v>
      </c>
      <c r="O1212" s="52">
        <f t="shared" si="175"/>
        <v>0</v>
      </c>
      <c r="P1212" s="52">
        <f t="shared" si="176"/>
        <v>0</v>
      </c>
      <c r="Q1212" s="68">
        <f t="shared" si="177"/>
        <v>26.3917307692308</v>
      </c>
    </row>
    <row r="1213" s="2" customFormat="1" spans="1:17">
      <c r="A1213" s="61">
        <v>45860</v>
      </c>
      <c r="B1213" s="18">
        <v>1493.52</v>
      </c>
      <c r="C1213" s="19">
        <v>3438</v>
      </c>
      <c r="D1213" s="19">
        <v>145</v>
      </c>
      <c r="E1213" s="19">
        <v>1</v>
      </c>
      <c r="F1213" s="18">
        <v>16934</v>
      </c>
      <c r="G1213" s="19">
        <v>31</v>
      </c>
      <c r="H1213" s="19">
        <v>3</v>
      </c>
      <c r="I1213" s="19">
        <v>5</v>
      </c>
      <c r="J1213" s="66">
        <f t="shared" si="170"/>
        <v>0.0421756835369401</v>
      </c>
      <c r="K1213" s="67">
        <f t="shared" si="171"/>
        <v>10.3001379310345</v>
      </c>
      <c r="L1213" s="67">
        <f t="shared" si="172"/>
        <v>434.415357766143</v>
      </c>
      <c r="M1213" s="73">
        <f t="shared" si="173"/>
        <v>11.3383148535005</v>
      </c>
      <c r="N1213" s="66">
        <f t="shared" si="174"/>
        <v>0.00689655172413793</v>
      </c>
      <c r="O1213" s="52">
        <f t="shared" si="175"/>
        <v>16934</v>
      </c>
      <c r="P1213" s="52">
        <f t="shared" si="176"/>
        <v>1493.52</v>
      </c>
      <c r="Q1213" s="68">
        <f t="shared" si="177"/>
        <v>48.178064516129</v>
      </c>
    </row>
    <row r="1214" s="2" customFormat="1" spans="1:17">
      <c r="A1214" s="61">
        <v>45861</v>
      </c>
      <c r="B1214" s="18">
        <v>1490.25</v>
      </c>
      <c r="C1214" s="19">
        <v>3336</v>
      </c>
      <c r="D1214" s="19">
        <v>169</v>
      </c>
      <c r="E1214" s="19">
        <v>0</v>
      </c>
      <c r="F1214" s="18">
        <v>0</v>
      </c>
      <c r="G1214" s="19">
        <v>41</v>
      </c>
      <c r="H1214" s="19">
        <v>2</v>
      </c>
      <c r="I1214" s="19">
        <v>8</v>
      </c>
      <c r="J1214" s="66">
        <f t="shared" si="170"/>
        <v>0.0506594724220623</v>
      </c>
      <c r="K1214" s="67">
        <f t="shared" si="171"/>
        <v>8.81804733727811</v>
      </c>
      <c r="L1214" s="67">
        <f t="shared" si="172"/>
        <v>446.717625899281</v>
      </c>
      <c r="M1214" s="73">
        <f t="shared" si="173"/>
        <v>0</v>
      </c>
      <c r="N1214" s="66">
        <f t="shared" si="174"/>
        <v>0</v>
      </c>
      <c r="O1214" s="52">
        <f t="shared" si="175"/>
        <v>0</v>
      </c>
      <c r="P1214" s="52">
        <f t="shared" si="176"/>
        <v>0</v>
      </c>
      <c r="Q1214" s="68">
        <f t="shared" si="177"/>
        <v>36.3475609756098</v>
      </c>
    </row>
    <row r="1215" s="2" customFormat="1" spans="1:17">
      <c r="A1215" s="61">
        <v>45862</v>
      </c>
      <c r="B1215" s="18">
        <v>1492.28</v>
      </c>
      <c r="C1215" s="19">
        <v>3462</v>
      </c>
      <c r="D1215" s="19">
        <v>165</v>
      </c>
      <c r="E1215" s="19">
        <v>0</v>
      </c>
      <c r="F1215" s="18">
        <v>0</v>
      </c>
      <c r="G1215" s="19">
        <v>31</v>
      </c>
      <c r="H1215" s="19">
        <v>2</v>
      </c>
      <c r="I1215" s="19">
        <v>9</v>
      </c>
      <c r="J1215" s="66">
        <f t="shared" si="170"/>
        <v>0.0476603119584055</v>
      </c>
      <c r="K1215" s="67">
        <f t="shared" si="171"/>
        <v>9.04412121212121</v>
      </c>
      <c r="L1215" s="67">
        <f t="shared" si="172"/>
        <v>431.04563835933</v>
      </c>
      <c r="M1215" s="73">
        <f t="shared" si="173"/>
        <v>0</v>
      </c>
      <c r="N1215" s="66">
        <f t="shared" si="174"/>
        <v>0</v>
      </c>
      <c r="O1215" s="52">
        <f t="shared" si="175"/>
        <v>0</v>
      </c>
      <c r="P1215" s="52">
        <f t="shared" si="176"/>
        <v>0</v>
      </c>
      <c r="Q1215" s="68">
        <f t="shared" si="177"/>
        <v>48.138064516129</v>
      </c>
    </row>
    <row r="1216" s="2" customFormat="1" spans="1:17">
      <c r="A1216" s="61">
        <v>45863</v>
      </c>
      <c r="B1216" s="18">
        <v>1987.43</v>
      </c>
      <c r="C1216" s="19">
        <v>4732</v>
      </c>
      <c r="D1216" s="19">
        <v>222</v>
      </c>
      <c r="E1216" s="19">
        <v>0</v>
      </c>
      <c r="F1216" s="18">
        <v>0</v>
      </c>
      <c r="G1216" s="19">
        <v>38</v>
      </c>
      <c r="H1216" s="19">
        <v>6</v>
      </c>
      <c r="I1216" s="19">
        <v>3</v>
      </c>
      <c r="J1216" s="66">
        <f t="shared" si="170"/>
        <v>0.0469146238377008</v>
      </c>
      <c r="K1216" s="67">
        <f t="shared" si="171"/>
        <v>8.95238738738739</v>
      </c>
      <c r="L1216" s="67">
        <f t="shared" si="172"/>
        <v>419.997886728656</v>
      </c>
      <c r="M1216" s="73">
        <f t="shared" si="173"/>
        <v>0</v>
      </c>
      <c r="N1216" s="66">
        <f t="shared" si="174"/>
        <v>0</v>
      </c>
      <c r="O1216" s="52">
        <f t="shared" si="175"/>
        <v>0</v>
      </c>
      <c r="P1216" s="52">
        <f t="shared" si="176"/>
        <v>0</v>
      </c>
      <c r="Q1216" s="68">
        <f t="shared" si="177"/>
        <v>52.3007894736842</v>
      </c>
    </row>
    <row r="1217" s="2" customFormat="1" spans="1:17">
      <c r="A1217" s="61">
        <v>45864</v>
      </c>
      <c r="B1217" s="18">
        <v>1980.92</v>
      </c>
      <c r="C1217" s="19">
        <v>5194</v>
      </c>
      <c r="D1217" s="19">
        <v>177</v>
      </c>
      <c r="E1217" s="19">
        <v>8</v>
      </c>
      <c r="F1217" s="18">
        <v>128775</v>
      </c>
      <c r="G1217" s="19">
        <v>48</v>
      </c>
      <c r="H1217" s="19">
        <v>2</v>
      </c>
      <c r="I1217" s="19">
        <v>4</v>
      </c>
      <c r="J1217" s="66">
        <f t="shared" si="170"/>
        <v>0.0340777820562187</v>
      </c>
      <c r="K1217" s="67">
        <f t="shared" si="171"/>
        <v>11.1916384180791</v>
      </c>
      <c r="L1217" s="67">
        <f t="shared" si="172"/>
        <v>381.386214863304</v>
      </c>
      <c r="M1217" s="73">
        <f t="shared" si="173"/>
        <v>65.0076732023504</v>
      </c>
      <c r="N1217" s="66">
        <f t="shared" si="174"/>
        <v>0.0451977401129944</v>
      </c>
      <c r="O1217" s="52">
        <f t="shared" si="175"/>
        <v>16096.875</v>
      </c>
      <c r="P1217" s="52">
        <f t="shared" si="176"/>
        <v>247.615</v>
      </c>
      <c r="Q1217" s="68">
        <f t="shared" si="177"/>
        <v>41.2691666666667</v>
      </c>
    </row>
    <row r="1218" s="2" customFormat="1" spans="1:17">
      <c r="A1218" s="61">
        <v>45865</v>
      </c>
      <c r="B1218" s="18">
        <v>1981.62</v>
      </c>
      <c r="C1218" s="19">
        <v>4832</v>
      </c>
      <c r="D1218" s="19">
        <v>190</v>
      </c>
      <c r="E1218" s="19">
        <v>1</v>
      </c>
      <c r="F1218" s="18">
        <v>11584</v>
      </c>
      <c r="G1218" s="19">
        <v>36</v>
      </c>
      <c r="H1218" s="19">
        <v>5</v>
      </c>
      <c r="I1218" s="19">
        <v>3</v>
      </c>
      <c r="J1218" s="66">
        <f t="shared" si="170"/>
        <v>0.0393211920529801</v>
      </c>
      <c r="K1218" s="67">
        <f t="shared" si="171"/>
        <v>10.4295789473684</v>
      </c>
      <c r="L1218" s="67">
        <f t="shared" si="172"/>
        <v>410.103476821192</v>
      </c>
      <c r="M1218" s="73">
        <f t="shared" si="173"/>
        <v>5.84572218689759</v>
      </c>
      <c r="N1218" s="66">
        <f t="shared" si="174"/>
        <v>0.00526315789473684</v>
      </c>
      <c r="O1218" s="52">
        <f t="shared" si="175"/>
        <v>11584</v>
      </c>
      <c r="P1218" s="52">
        <f t="shared" si="176"/>
        <v>1981.62</v>
      </c>
      <c r="Q1218" s="68">
        <f t="shared" si="177"/>
        <v>55.045</v>
      </c>
    </row>
    <row r="1219" s="2" customFormat="1" spans="1:17">
      <c r="A1219" s="61">
        <v>45866</v>
      </c>
      <c r="B1219" s="18">
        <v>1984.1</v>
      </c>
      <c r="C1219" s="19">
        <v>4708</v>
      </c>
      <c r="D1219" s="19">
        <v>206</v>
      </c>
      <c r="E1219" s="19">
        <v>0</v>
      </c>
      <c r="F1219" s="18">
        <v>0</v>
      </c>
      <c r="G1219" s="19">
        <v>46</v>
      </c>
      <c r="H1219" s="19">
        <v>6</v>
      </c>
      <c r="I1219" s="19">
        <v>8</v>
      </c>
      <c r="J1219" s="66">
        <f t="shared" si="170"/>
        <v>0.0437553101104503</v>
      </c>
      <c r="K1219" s="67">
        <f t="shared" si="171"/>
        <v>9.63155339805825</v>
      </c>
      <c r="L1219" s="67">
        <f t="shared" si="172"/>
        <v>421.4316057774</v>
      </c>
      <c r="M1219" s="73">
        <f t="shared" si="173"/>
        <v>0</v>
      </c>
      <c r="N1219" s="66">
        <f t="shared" si="174"/>
        <v>0</v>
      </c>
      <c r="O1219" s="52">
        <f t="shared" si="175"/>
        <v>0</v>
      </c>
      <c r="P1219" s="52">
        <f t="shared" si="176"/>
        <v>0</v>
      </c>
      <c r="Q1219" s="68">
        <f t="shared" si="177"/>
        <v>43.1326086956522</v>
      </c>
    </row>
    <row r="1220" s="2" customFormat="1" spans="1:17">
      <c r="A1220" s="61">
        <v>45867</v>
      </c>
      <c r="B1220" s="18">
        <v>1985.44</v>
      </c>
      <c r="C1220" s="19">
        <v>4726</v>
      </c>
      <c r="D1220" s="19">
        <v>194</v>
      </c>
      <c r="E1220" s="19">
        <v>0</v>
      </c>
      <c r="F1220" s="18">
        <v>0</v>
      </c>
      <c r="G1220" s="19">
        <v>58</v>
      </c>
      <c r="H1220" s="19">
        <v>1</v>
      </c>
      <c r="I1220" s="19">
        <v>8</v>
      </c>
      <c r="J1220" s="66">
        <f t="shared" si="170"/>
        <v>0.0410495133305121</v>
      </c>
      <c r="K1220" s="67">
        <f t="shared" si="171"/>
        <v>10.2342268041237</v>
      </c>
      <c r="L1220" s="67">
        <f t="shared" si="172"/>
        <v>420.11002962336</v>
      </c>
      <c r="M1220" s="73">
        <f t="shared" si="173"/>
        <v>0</v>
      </c>
      <c r="N1220" s="66">
        <f t="shared" si="174"/>
        <v>0</v>
      </c>
      <c r="O1220" s="52">
        <f t="shared" si="175"/>
        <v>0</v>
      </c>
      <c r="P1220" s="52">
        <f t="shared" si="176"/>
        <v>0</v>
      </c>
      <c r="Q1220" s="68">
        <f t="shared" si="177"/>
        <v>34.231724137931</v>
      </c>
    </row>
    <row r="1221" s="2" customFormat="1" spans="1:17">
      <c r="A1221" s="61">
        <v>45868</v>
      </c>
      <c r="B1221" s="18">
        <v>1981.61</v>
      </c>
      <c r="C1221" s="19">
        <v>5030</v>
      </c>
      <c r="D1221" s="19">
        <v>157</v>
      </c>
      <c r="E1221" s="19">
        <v>3</v>
      </c>
      <c r="F1221" s="18">
        <v>23625</v>
      </c>
      <c r="G1221" s="19">
        <v>32</v>
      </c>
      <c r="H1221" s="19">
        <v>5</v>
      </c>
      <c r="I1221" s="19">
        <v>9</v>
      </c>
      <c r="J1221" s="66">
        <f t="shared" si="170"/>
        <v>0.0312127236580517</v>
      </c>
      <c r="K1221" s="67">
        <f t="shared" si="171"/>
        <v>12.6217197452229</v>
      </c>
      <c r="L1221" s="67">
        <f t="shared" si="172"/>
        <v>393.958250497018</v>
      </c>
      <c r="M1221" s="73">
        <f t="shared" si="173"/>
        <v>11.922123929532</v>
      </c>
      <c r="N1221" s="66">
        <f t="shared" si="174"/>
        <v>0.0191082802547771</v>
      </c>
      <c r="O1221" s="52">
        <f t="shared" si="175"/>
        <v>7875</v>
      </c>
      <c r="P1221" s="52">
        <f t="shared" si="176"/>
        <v>660.536666666667</v>
      </c>
      <c r="Q1221" s="68">
        <f t="shared" si="177"/>
        <v>61.9253125</v>
      </c>
    </row>
    <row r="1222" s="2" customFormat="1" spans="1:17">
      <c r="A1222" s="61">
        <v>45869</v>
      </c>
      <c r="B1222" s="18">
        <v>1490.25</v>
      </c>
      <c r="C1222" s="19">
        <v>3639</v>
      </c>
      <c r="D1222" s="19">
        <v>145</v>
      </c>
      <c r="E1222" s="19">
        <v>1</v>
      </c>
      <c r="F1222" s="18">
        <v>12464</v>
      </c>
      <c r="G1222" s="19">
        <v>36</v>
      </c>
      <c r="H1222" s="19">
        <v>1</v>
      </c>
      <c r="I1222" s="19">
        <v>4</v>
      </c>
      <c r="J1222" s="66">
        <f t="shared" si="170"/>
        <v>0.0398461115691124</v>
      </c>
      <c r="K1222" s="67">
        <f t="shared" si="171"/>
        <v>10.2775862068966</v>
      </c>
      <c r="L1222" s="67">
        <f t="shared" si="172"/>
        <v>409.521846661171</v>
      </c>
      <c r="M1222" s="73">
        <f t="shared" si="173"/>
        <v>8.36369736621372</v>
      </c>
      <c r="N1222" s="66">
        <f t="shared" si="174"/>
        <v>0.00689655172413793</v>
      </c>
      <c r="O1222" s="52">
        <f t="shared" si="175"/>
        <v>12464</v>
      </c>
      <c r="P1222" s="52">
        <f t="shared" si="176"/>
        <v>1490.25</v>
      </c>
      <c r="Q1222" s="68">
        <f t="shared" si="177"/>
        <v>41.3958333333333</v>
      </c>
    </row>
    <row r="1223" s="2" customFormat="1" spans="1:17">
      <c r="A1223" s="61">
        <v>45870</v>
      </c>
      <c r="B1223" s="18">
        <v>1465.05</v>
      </c>
      <c r="C1223" s="19">
        <v>3688</v>
      </c>
      <c r="D1223" s="19">
        <v>127</v>
      </c>
      <c r="E1223" s="19">
        <v>4</v>
      </c>
      <c r="F1223" s="18">
        <v>53264</v>
      </c>
      <c r="G1223" s="19">
        <v>29</v>
      </c>
      <c r="H1223" s="19">
        <v>1</v>
      </c>
      <c r="I1223" s="19">
        <v>9</v>
      </c>
      <c r="J1223" s="66">
        <f t="shared" si="170"/>
        <v>0.0344360086767896</v>
      </c>
      <c r="K1223" s="67">
        <f t="shared" si="171"/>
        <v>11.5358267716535</v>
      </c>
      <c r="L1223" s="67">
        <f t="shared" si="172"/>
        <v>397.247830802603</v>
      </c>
      <c r="M1223" s="73">
        <f t="shared" si="173"/>
        <v>36.3564383468141</v>
      </c>
      <c r="N1223" s="66">
        <f t="shared" si="174"/>
        <v>0.031496062992126</v>
      </c>
      <c r="O1223" s="52">
        <f t="shared" si="175"/>
        <v>13316</v>
      </c>
      <c r="P1223" s="52">
        <f t="shared" si="176"/>
        <v>366.2625</v>
      </c>
      <c r="Q1223" s="68">
        <f t="shared" si="177"/>
        <v>50.5189655172414</v>
      </c>
    </row>
    <row r="1224" s="2" customFormat="1" spans="1:17">
      <c r="A1224" s="61">
        <v>45871</v>
      </c>
      <c r="B1224" s="18">
        <v>1238.97</v>
      </c>
      <c r="C1224" s="19">
        <v>3196</v>
      </c>
      <c r="D1224" s="19">
        <v>128</v>
      </c>
      <c r="E1224" s="19">
        <v>1</v>
      </c>
      <c r="F1224" s="18">
        <v>10198</v>
      </c>
      <c r="G1224" s="19">
        <v>30</v>
      </c>
      <c r="H1224" s="19">
        <v>2</v>
      </c>
      <c r="I1224" s="19">
        <v>3</v>
      </c>
      <c r="J1224" s="66">
        <f t="shared" si="170"/>
        <v>0.0400500625782228</v>
      </c>
      <c r="K1224" s="67">
        <f t="shared" si="171"/>
        <v>9.679453125</v>
      </c>
      <c r="L1224" s="67">
        <f t="shared" si="172"/>
        <v>387.662703379224</v>
      </c>
      <c r="M1224" s="73">
        <f t="shared" si="173"/>
        <v>8.23103061413916</v>
      </c>
      <c r="N1224" s="66">
        <f t="shared" si="174"/>
        <v>0.0078125</v>
      </c>
      <c r="O1224" s="52">
        <f t="shared" si="175"/>
        <v>10198</v>
      </c>
      <c r="P1224" s="52">
        <f t="shared" si="176"/>
        <v>1238.97</v>
      </c>
      <c r="Q1224" s="68">
        <f t="shared" si="177"/>
        <v>41.299</v>
      </c>
    </row>
    <row r="1225" s="2" customFormat="1" spans="1:17">
      <c r="A1225" s="61">
        <v>45872</v>
      </c>
      <c r="B1225" s="18">
        <v>1474.68</v>
      </c>
      <c r="C1225" s="19">
        <v>3518</v>
      </c>
      <c r="D1225" s="19">
        <v>143</v>
      </c>
      <c r="E1225" s="19">
        <v>0</v>
      </c>
      <c r="F1225" s="18">
        <v>0</v>
      </c>
      <c r="G1225" s="19">
        <v>27</v>
      </c>
      <c r="H1225" s="19">
        <v>6</v>
      </c>
      <c r="I1225" s="19">
        <v>6</v>
      </c>
      <c r="J1225" s="66">
        <f t="shared" si="170"/>
        <v>0.0406480955088118</v>
      </c>
      <c r="K1225" s="67">
        <f t="shared" si="171"/>
        <v>10.3124475524476</v>
      </c>
      <c r="L1225" s="67">
        <f t="shared" si="172"/>
        <v>419.181353041501</v>
      </c>
      <c r="M1225" s="73">
        <f t="shared" si="173"/>
        <v>0</v>
      </c>
      <c r="N1225" s="66">
        <f t="shared" si="174"/>
        <v>0</v>
      </c>
      <c r="O1225" s="52">
        <f t="shared" si="175"/>
        <v>0</v>
      </c>
      <c r="P1225" s="52">
        <f t="shared" si="176"/>
        <v>0</v>
      </c>
      <c r="Q1225" s="68">
        <f t="shared" si="177"/>
        <v>54.6177777777778</v>
      </c>
    </row>
    <row r="1226" s="2" customFormat="1" spans="1:17">
      <c r="A1226" s="61">
        <v>45873</v>
      </c>
      <c r="B1226" s="18">
        <v>1483.64</v>
      </c>
      <c r="C1226" s="19">
        <v>3583</v>
      </c>
      <c r="D1226" s="19">
        <v>161</v>
      </c>
      <c r="E1226" s="19">
        <v>3</v>
      </c>
      <c r="F1226" s="18">
        <v>22252</v>
      </c>
      <c r="G1226" s="19">
        <v>42</v>
      </c>
      <c r="H1226" s="19">
        <v>6</v>
      </c>
      <c r="I1226" s="19">
        <v>6</v>
      </c>
      <c r="J1226" s="66">
        <f t="shared" si="170"/>
        <v>0.0449344125034887</v>
      </c>
      <c r="K1226" s="67">
        <f t="shared" si="171"/>
        <v>9.21515527950311</v>
      </c>
      <c r="L1226" s="67">
        <f t="shared" si="172"/>
        <v>414.077588612894</v>
      </c>
      <c r="M1226" s="73">
        <f t="shared" si="173"/>
        <v>14.9982475533148</v>
      </c>
      <c r="N1226" s="66">
        <f t="shared" si="174"/>
        <v>0.0186335403726708</v>
      </c>
      <c r="O1226" s="52">
        <f t="shared" si="175"/>
        <v>7417.33333333333</v>
      </c>
      <c r="P1226" s="52">
        <f t="shared" si="176"/>
        <v>494.546666666667</v>
      </c>
      <c r="Q1226" s="68">
        <f t="shared" si="177"/>
        <v>35.3247619047619</v>
      </c>
    </row>
    <row r="1227" s="2" customFormat="1" spans="1:17">
      <c r="A1227" s="61">
        <v>45874</v>
      </c>
      <c r="B1227" s="18">
        <v>1977.11</v>
      </c>
      <c r="C1227" s="19">
        <v>4992</v>
      </c>
      <c r="D1227" s="19">
        <v>191</v>
      </c>
      <c r="E1227" s="19">
        <v>0</v>
      </c>
      <c r="F1227" s="18">
        <v>0</v>
      </c>
      <c r="G1227" s="19">
        <v>56</v>
      </c>
      <c r="H1227" s="19">
        <v>4</v>
      </c>
      <c r="I1227" s="19">
        <v>3</v>
      </c>
      <c r="J1227" s="66">
        <f t="shared" si="170"/>
        <v>0.038261217948718</v>
      </c>
      <c r="K1227" s="67">
        <f t="shared" si="171"/>
        <v>10.3513612565445</v>
      </c>
      <c r="L1227" s="67">
        <f t="shared" si="172"/>
        <v>396.055689102564</v>
      </c>
      <c r="M1227" s="73">
        <f t="shared" si="173"/>
        <v>0</v>
      </c>
      <c r="N1227" s="66">
        <f t="shared" si="174"/>
        <v>0</v>
      </c>
      <c r="O1227" s="52">
        <f t="shared" si="175"/>
        <v>0</v>
      </c>
      <c r="P1227" s="52">
        <f t="shared" si="176"/>
        <v>0</v>
      </c>
      <c r="Q1227" s="68">
        <f t="shared" si="177"/>
        <v>35.3055357142857</v>
      </c>
    </row>
    <row r="1228" s="2" customFormat="1" spans="1:17">
      <c r="A1228" s="61">
        <v>45875</v>
      </c>
      <c r="B1228" s="18">
        <v>1976.19</v>
      </c>
      <c r="C1228" s="19">
        <v>4870</v>
      </c>
      <c r="D1228" s="19">
        <v>210</v>
      </c>
      <c r="E1228" s="19">
        <v>0</v>
      </c>
      <c r="F1228" s="18">
        <v>0</v>
      </c>
      <c r="G1228" s="19">
        <v>33</v>
      </c>
      <c r="H1228" s="19">
        <v>7</v>
      </c>
      <c r="I1228" s="19">
        <v>9</v>
      </c>
      <c r="J1228" s="66">
        <f t="shared" si="170"/>
        <v>0.0431211498973306</v>
      </c>
      <c r="K1228" s="67">
        <f t="shared" si="171"/>
        <v>9.41042857142857</v>
      </c>
      <c r="L1228" s="67">
        <f t="shared" si="172"/>
        <v>405.788501026694</v>
      </c>
      <c r="M1228" s="73">
        <f t="shared" si="173"/>
        <v>0</v>
      </c>
      <c r="N1228" s="66">
        <f t="shared" si="174"/>
        <v>0</v>
      </c>
      <c r="O1228" s="52">
        <f t="shared" si="175"/>
        <v>0</v>
      </c>
      <c r="P1228" s="52">
        <f t="shared" si="176"/>
        <v>0</v>
      </c>
      <c r="Q1228" s="68">
        <f t="shared" si="177"/>
        <v>59.8845454545455</v>
      </c>
    </row>
    <row r="1229" s="2" customFormat="1" spans="1:17">
      <c r="A1229" s="61">
        <v>45876</v>
      </c>
      <c r="B1229" s="18">
        <v>1975.2</v>
      </c>
      <c r="C1229" s="19">
        <v>4434</v>
      </c>
      <c r="D1229" s="19">
        <v>237</v>
      </c>
      <c r="E1229" s="19">
        <v>1</v>
      </c>
      <c r="F1229" s="18">
        <v>12464</v>
      </c>
      <c r="G1229" s="19">
        <v>58</v>
      </c>
      <c r="H1229" s="19">
        <v>6</v>
      </c>
      <c r="I1229" s="19">
        <v>8</v>
      </c>
      <c r="J1229" s="66">
        <f t="shared" si="170"/>
        <v>0.0534506089309878</v>
      </c>
      <c r="K1229" s="67">
        <f t="shared" si="171"/>
        <v>8.33417721518987</v>
      </c>
      <c r="L1229" s="67">
        <f t="shared" si="172"/>
        <v>445.466847090663</v>
      </c>
      <c r="M1229" s="73">
        <f t="shared" si="173"/>
        <v>6.3102470635885</v>
      </c>
      <c r="N1229" s="66">
        <f t="shared" si="174"/>
        <v>0.00421940928270042</v>
      </c>
      <c r="O1229" s="52">
        <f t="shared" si="175"/>
        <v>12464</v>
      </c>
      <c r="P1229" s="52">
        <f t="shared" si="176"/>
        <v>1975.2</v>
      </c>
      <c r="Q1229" s="68">
        <f t="shared" si="177"/>
        <v>34.0551724137931</v>
      </c>
    </row>
    <row r="1230" s="2" customFormat="1" spans="1:17">
      <c r="A1230" s="61">
        <v>45877</v>
      </c>
      <c r="B1230" s="18">
        <v>1972.91</v>
      </c>
      <c r="C1230" s="19">
        <v>5033</v>
      </c>
      <c r="D1230" s="19">
        <v>167</v>
      </c>
      <c r="E1230" s="19">
        <v>2</v>
      </c>
      <c r="F1230" s="18">
        <v>19438</v>
      </c>
      <c r="G1230" s="19">
        <v>35</v>
      </c>
      <c r="H1230" s="19">
        <v>2</v>
      </c>
      <c r="I1230" s="19">
        <v>9</v>
      </c>
      <c r="J1230" s="66">
        <f t="shared" si="170"/>
        <v>0.0331810053645937</v>
      </c>
      <c r="K1230" s="67">
        <f t="shared" si="171"/>
        <v>11.8138323353293</v>
      </c>
      <c r="L1230" s="67">
        <f t="shared" si="172"/>
        <v>391.994834094973</v>
      </c>
      <c r="M1230" s="73">
        <f t="shared" si="173"/>
        <v>9.8524514549574</v>
      </c>
      <c r="N1230" s="66">
        <f t="shared" si="174"/>
        <v>0.0119760479041916</v>
      </c>
      <c r="O1230" s="52">
        <f t="shared" si="175"/>
        <v>9719</v>
      </c>
      <c r="P1230" s="52">
        <f t="shared" si="176"/>
        <v>986.455</v>
      </c>
      <c r="Q1230" s="68">
        <f t="shared" si="177"/>
        <v>56.3688571428571</v>
      </c>
    </row>
    <row r="1231" s="2" customFormat="1" spans="1:17">
      <c r="A1231" s="61">
        <v>45878</v>
      </c>
      <c r="B1231" s="18">
        <v>1978.2</v>
      </c>
      <c r="C1231" s="19">
        <v>5063</v>
      </c>
      <c r="D1231" s="19">
        <v>153</v>
      </c>
      <c r="E1231" s="19">
        <v>3</v>
      </c>
      <c r="F1231" s="18">
        <v>38026</v>
      </c>
      <c r="G1231" s="19">
        <v>52</v>
      </c>
      <c r="H1231" s="19">
        <v>5</v>
      </c>
      <c r="I1231" s="19">
        <v>5</v>
      </c>
      <c r="J1231" s="66">
        <f t="shared" si="170"/>
        <v>0.0302192376061624</v>
      </c>
      <c r="K1231" s="67">
        <f t="shared" si="171"/>
        <v>12.9294117647059</v>
      </c>
      <c r="L1231" s="67">
        <f t="shared" si="172"/>
        <v>390.716966225558</v>
      </c>
      <c r="M1231" s="73">
        <f t="shared" si="173"/>
        <v>19.222525528258</v>
      </c>
      <c r="N1231" s="66">
        <f t="shared" si="174"/>
        <v>0.0196078431372549</v>
      </c>
      <c r="O1231" s="52">
        <f t="shared" si="175"/>
        <v>12675.3333333333</v>
      </c>
      <c r="P1231" s="52">
        <f t="shared" si="176"/>
        <v>659.4</v>
      </c>
      <c r="Q1231" s="68">
        <f t="shared" si="177"/>
        <v>38.0423076923077</v>
      </c>
    </row>
    <row r="1232" s="2" customFormat="1" spans="1:17">
      <c r="A1232" s="61">
        <v>45879</v>
      </c>
      <c r="B1232" s="18">
        <v>1978.84</v>
      </c>
      <c r="C1232" s="19">
        <v>4749</v>
      </c>
      <c r="D1232" s="19">
        <v>188</v>
      </c>
      <c r="E1232" s="19">
        <v>2</v>
      </c>
      <c r="F1232" s="18">
        <v>40006</v>
      </c>
      <c r="G1232" s="19">
        <v>59</v>
      </c>
      <c r="H1232" s="19">
        <v>4</v>
      </c>
      <c r="I1232" s="19">
        <v>13</v>
      </c>
      <c r="J1232" s="66">
        <f t="shared" si="170"/>
        <v>0.0395872815329543</v>
      </c>
      <c r="K1232" s="67">
        <f t="shared" si="171"/>
        <v>10.5257446808511</v>
      </c>
      <c r="L1232" s="67">
        <f t="shared" si="172"/>
        <v>416.685618024847</v>
      </c>
      <c r="M1232" s="73">
        <f t="shared" si="173"/>
        <v>20.2168947464171</v>
      </c>
      <c r="N1232" s="66">
        <f t="shared" si="174"/>
        <v>0.0106382978723404</v>
      </c>
      <c r="O1232" s="52">
        <f t="shared" si="175"/>
        <v>20003</v>
      </c>
      <c r="P1232" s="52">
        <f t="shared" si="176"/>
        <v>989.42</v>
      </c>
      <c r="Q1232" s="68">
        <f t="shared" si="177"/>
        <v>33.5396610169492</v>
      </c>
    </row>
    <row r="1233" s="2" customFormat="1" spans="1:17">
      <c r="A1233" s="61">
        <v>45880</v>
      </c>
      <c r="B1233" s="18">
        <v>1977.35</v>
      </c>
      <c r="C1233" s="19">
        <v>4549</v>
      </c>
      <c r="D1233" s="19">
        <v>210</v>
      </c>
      <c r="E1233" s="19">
        <v>4</v>
      </c>
      <c r="F1233" s="18">
        <v>61880</v>
      </c>
      <c r="G1233" s="19">
        <v>58</v>
      </c>
      <c r="H1233" s="19">
        <v>3</v>
      </c>
      <c r="I1233" s="19">
        <v>10</v>
      </c>
      <c r="J1233" s="66">
        <f t="shared" si="170"/>
        <v>0.0461639920861728</v>
      </c>
      <c r="K1233" s="67">
        <f t="shared" si="171"/>
        <v>9.41595238095238</v>
      </c>
      <c r="L1233" s="67">
        <f t="shared" si="172"/>
        <v>434.677951198066</v>
      </c>
      <c r="M1233" s="73">
        <f t="shared" si="173"/>
        <v>31.2944091840089</v>
      </c>
      <c r="N1233" s="66">
        <f t="shared" si="174"/>
        <v>0.019047619047619</v>
      </c>
      <c r="O1233" s="52">
        <f t="shared" si="175"/>
        <v>15470</v>
      </c>
      <c r="P1233" s="52">
        <f t="shared" si="176"/>
        <v>494.3375</v>
      </c>
      <c r="Q1233" s="68">
        <f t="shared" si="177"/>
        <v>34.0922413793103</v>
      </c>
    </row>
    <row r="1234" s="2" customFormat="1" spans="1:17">
      <c r="A1234" s="61">
        <v>45881</v>
      </c>
      <c r="B1234" s="18">
        <v>1960.02</v>
      </c>
      <c r="C1234" s="19">
        <v>4958</v>
      </c>
      <c r="D1234" s="19">
        <v>202</v>
      </c>
      <c r="E1234" s="19">
        <v>4</v>
      </c>
      <c r="F1234" s="18">
        <v>47622</v>
      </c>
      <c r="G1234" s="19">
        <v>57</v>
      </c>
      <c r="H1234" s="19">
        <v>1</v>
      </c>
      <c r="I1234" s="19">
        <v>9</v>
      </c>
      <c r="J1234" s="66">
        <f t="shared" si="170"/>
        <v>0.0407422347720855</v>
      </c>
      <c r="K1234" s="67">
        <f t="shared" si="171"/>
        <v>9.70306930693069</v>
      </c>
      <c r="L1234" s="67">
        <f t="shared" si="172"/>
        <v>395.324727712787</v>
      </c>
      <c r="M1234" s="73">
        <f t="shared" si="173"/>
        <v>24.2966908500934</v>
      </c>
      <c r="N1234" s="66">
        <f t="shared" si="174"/>
        <v>0.0198019801980198</v>
      </c>
      <c r="O1234" s="52">
        <f t="shared" si="175"/>
        <v>11905.5</v>
      </c>
      <c r="P1234" s="52">
        <f t="shared" si="176"/>
        <v>490.005</v>
      </c>
      <c r="Q1234" s="68">
        <f t="shared" si="177"/>
        <v>34.3863157894737</v>
      </c>
    </row>
    <row r="1235" s="2" customFormat="1" spans="1:17">
      <c r="A1235" s="61">
        <v>45882</v>
      </c>
      <c r="B1235" s="18">
        <v>1125.19</v>
      </c>
      <c r="C1235" s="19">
        <v>3155</v>
      </c>
      <c r="D1235" s="19">
        <v>106</v>
      </c>
      <c r="E1235" s="19">
        <v>0</v>
      </c>
      <c r="F1235" s="18">
        <v>0</v>
      </c>
      <c r="G1235" s="19">
        <v>27</v>
      </c>
      <c r="H1235" s="19">
        <v>2</v>
      </c>
      <c r="I1235" s="19">
        <v>3</v>
      </c>
      <c r="J1235" s="66">
        <f t="shared" si="170"/>
        <v>0.0335974643423138</v>
      </c>
      <c r="K1235" s="67">
        <f t="shared" si="171"/>
        <v>10.615</v>
      </c>
      <c r="L1235" s="67">
        <f t="shared" si="172"/>
        <v>356.637083993661</v>
      </c>
      <c r="M1235" s="73">
        <f t="shared" si="173"/>
        <v>0</v>
      </c>
      <c r="N1235" s="66">
        <f t="shared" si="174"/>
        <v>0</v>
      </c>
      <c r="O1235" s="52">
        <f t="shared" si="175"/>
        <v>0</v>
      </c>
      <c r="P1235" s="52">
        <f t="shared" si="176"/>
        <v>0</v>
      </c>
      <c r="Q1235" s="68">
        <f t="shared" si="177"/>
        <v>41.6737037037037</v>
      </c>
    </row>
    <row r="1236" s="2" customFormat="1" spans="1:17">
      <c r="A1236" s="61">
        <v>45883</v>
      </c>
      <c r="B1236" s="18">
        <v>2126.51</v>
      </c>
      <c r="C1236" s="19">
        <v>5423</v>
      </c>
      <c r="D1236" s="19">
        <v>240</v>
      </c>
      <c r="E1236" s="19">
        <v>7</v>
      </c>
      <c r="F1236" s="18">
        <v>47525</v>
      </c>
      <c r="G1236" s="19">
        <v>48</v>
      </c>
      <c r="H1236" s="19">
        <v>4</v>
      </c>
      <c r="I1236" s="19">
        <v>6</v>
      </c>
      <c r="J1236" s="66">
        <f t="shared" si="170"/>
        <v>0.0442559468928637</v>
      </c>
      <c r="K1236" s="67">
        <f t="shared" si="171"/>
        <v>8.86045833333333</v>
      </c>
      <c r="L1236" s="67">
        <f t="shared" si="172"/>
        <v>392.127973446432</v>
      </c>
      <c r="M1236" s="73">
        <f t="shared" si="173"/>
        <v>22.3488250701854</v>
      </c>
      <c r="N1236" s="66">
        <f t="shared" si="174"/>
        <v>0.0291666666666667</v>
      </c>
      <c r="O1236" s="52">
        <f t="shared" si="175"/>
        <v>6789.28571428571</v>
      </c>
      <c r="P1236" s="52">
        <f t="shared" si="176"/>
        <v>303.787142857143</v>
      </c>
      <c r="Q1236" s="68">
        <f t="shared" si="177"/>
        <v>44.3022916666667</v>
      </c>
    </row>
    <row r="1237" s="2" customFormat="1" spans="1:17">
      <c r="A1237" s="61">
        <v>45884</v>
      </c>
      <c r="B1237" s="18">
        <v>2688.98</v>
      </c>
      <c r="C1237" s="19">
        <v>7359</v>
      </c>
      <c r="D1237" s="19">
        <v>244</v>
      </c>
      <c r="E1237" s="19">
        <v>1</v>
      </c>
      <c r="F1237" s="18">
        <v>11652</v>
      </c>
      <c r="G1237" s="19">
        <v>59</v>
      </c>
      <c r="H1237" s="19">
        <v>3</v>
      </c>
      <c r="I1237" s="19">
        <v>5</v>
      </c>
      <c r="J1237" s="66">
        <f t="shared" si="170"/>
        <v>0.0331566788965892</v>
      </c>
      <c r="K1237" s="67">
        <f t="shared" si="171"/>
        <v>11.0204098360656</v>
      </c>
      <c r="L1237" s="67">
        <f t="shared" si="172"/>
        <v>365.40019024324</v>
      </c>
      <c r="M1237" s="73">
        <f t="shared" si="173"/>
        <v>4.33324160090443</v>
      </c>
      <c r="N1237" s="66">
        <f t="shared" si="174"/>
        <v>0.00409836065573771</v>
      </c>
      <c r="O1237" s="52">
        <f t="shared" si="175"/>
        <v>11652</v>
      </c>
      <c r="P1237" s="52">
        <f t="shared" si="176"/>
        <v>2688.98</v>
      </c>
      <c r="Q1237" s="68">
        <f t="shared" si="177"/>
        <v>45.5759322033898</v>
      </c>
    </row>
    <row r="1238" s="2" customFormat="1" spans="1:17">
      <c r="A1238" s="61">
        <v>45885</v>
      </c>
      <c r="B1238" s="18">
        <v>2951.99</v>
      </c>
      <c r="C1238" s="19">
        <v>7253</v>
      </c>
      <c r="D1238" s="19">
        <v>336</v>
      </c>
      <c r="E1238" s="19">
        <v>4</v>
      </c>
      <c r="F1238" s="18">
        <v>45960</v>
      </c>
      <c r="G1238" s="19">
        <v>75</v>
      </c>
      <c r="H1238" s="19">
        <v>5</v>
      </c>
      <c r="I1238" s="19">
        <v>16</v>
      </c>
      <c r="J1238" s="66">
        <f t="shared" si="170"/>
        <v>0.0463256583482697</v>
      </c>
      <c r="K1238" s="67">
        <f t="shared" si="171"/>
        <v>8.78568452380952</v>
      </c>
      <c r="L1238" s="67">
        <f t="shared" si="172"/>
        <v>407.00261960568</v>
      </c>
      <c r="M1238" s="73">
        <f t="shared" si="173"/>
        <v>15.5691584321085</v>
      </c>
      <c r="N1238" s="66">
        <f t="shared" si="174"/>
        <v>0.0119047619047619</v>
      </c>
      <c r="O1238" s="52">
        <f t="shared" si="175"/>
        <v>11490</v>
      </c>
      <c r="P1238" s="52">
        <f t="shared" si="176"/>
        <v>737.9975</v>
      </c>
      <c r="Q1238" s="68">
        <f t="shared" si="177"/>
        <v>39.3598666666667</v>
      </c>
    </row>
    <row r="1239" s="2" customFormat="1" spans="1:17">
      <c r="A1239" s="61">
        <v>45886</v>
      </c>
      <c r="B1239" s="18">
        <v>2964.04</v>
      </c>
      <c r="C1239" s="19">
        <v>7497</v>
      </c>
      <c r="D1239" s="19">
        <v>299</v>
      </c>
      <c r="E1239" s="19">
        <v>2</v>
      </c>
      <c r="F1239" s="18">
        <v>19836</v>
      </c>
      <c r="G1239" s="19">
        <v>76</v>
      </c>
      <c r="H1239" s="19">
        <v>10</v>
      </c>
      <c r="I1239" s="19">
        <v>13</v>
      </c>
      <c r="J1239" s="66">
        <f t="shared" si="170"/>
        <v>0.0398826197145525</v>
      </c>
      <c r="K1239" s="67">
        <f t="shared" si="171"/>
        <v>9.91317725752508</v>
      </c>
      <c r="L1239" s="67">
        <f t="shared" si="172"/>
        <v>395.363478724823</v>
      </c>
      <c r="M1239" s="73">
        <f t="shared" si="173"/>
        <v>6.69221737898274</v>
      </c>
      <c r="N1239" s="66">
        <f t="shared" si="174"/>
        <v>0.00668896321070234</v>
      </c>
      <c r="O1239" s="52">
        <f t="shared" si="175"/>
        <v>9918</v>
      </c>
      <c r="P1239" s="52">
        <f t="shared" si="176"/>
        <v>1482.02</v>
      </c>
      <c r="Q1239" s="68">
        <f t="shared" si="177"/>
        <v>39.0005263157895</v>
      </c>
    </row>
    <row r="1240" s="2" customFormat="1" spans="1:17">
      <c r="A1240" s="61">
        <v>45887</v>
      </c>
      <c r="B1240" s="86">
        <v>2968.95</v>
      </c>
      <c r="C1240" s="87">
        <v>7865</v>
      </c>
      <c r="D1240" s="87">
        <v>243</v>
      </c>
      <c r="E1240" s="87">
        <v>2</v>
      </c>
      <c r="F1240" s="86">
        <v>12448</v>
      </c>
      <c r="G1240" s="87">
        <v>67</v>
      </c>
      <c r="H1240" s="87">
        <v>7</v>
      </c>
      <c r="I1240" s="87">
        <v>9</v>
      </c>
      <c r="J1240" s="88">
        <f t="shared" ref="J1240:J1243" si="178">E1240/C1240</f>
        <v>0.000254291163382072</v>
      </c>
      <c r="K1240" s="89">
        <f t="shared" ref="K1240:K1243" si="179">B1240/E1240</f>
        <v>1484.475</v>
      </c>
      <c r="L1240" s="89">
        <f t="shared" si="172"/>
        <v>377.488874761602</v>
      </c>
      <c r="M1240" s="90">
        <f t="shared" si="173"/>
        <v>4.19272806884589</v>
      </c>
      <c r="N1240" s="66">
        <f t="shared" si="174"/>
        <v>0.00823045267489712</v>
      </c>
      <c r="O1240" s="52">
        <f t="shared" si="175"/>
        <v>6224</v>
      </c>
      <c r="P1240" s="52">
        <f t="shared" si="176"/>
        <v>1484.475</v>
      </c>
      <c r="Q1240" s="68">
        <f t="shared" si="177"/>
        <v>44.3126865671642</v>
      </c>
    </row>
    <row r="1241" s="2" customFormat="1" spans="1:17">
      <c r="A1241" s="61">
        <v>45888</v>
      </c>
      <c r="B1241" s="86">
        <v>2945.41</v>
      </c>
      <c r="C1241" s="87">
        <v>7805</v>
      </c>
      <c r="D1241" s="87">
        <v>206</v>
      </c>
      <c r="E1241" s="87">
        <v>3</v>
      </c>
      <c r="F1241" s="86">
        <v>30190</v>
      </c>
      <c r="G1241" s="87">
        <v>53</v>
      </c>
      <c r="H1241" s="87">
        <v>2</v>
      </c>
      <c r="I1241" s="87">
        <v>7</v>
      </c>
      <c r="J1241" s="88">
        <f t="shared" si="178"/>
        <v>0.000384368994234465</v>
      </c>
      <c r="K1241" s="89">
        <f t="shared" si="179"/>
        <v>981.803333333333</v>
      </c>
      <c r="L1241" s="89">
        <f t="shared" si="172"/>
        <v>377.374759769379</v>
      </c>
      <c r="M1241" s="90">
        <f t="shared" si="173"/>
        <v>10.2498463711334</v>
      </c>
      <c r="N1241" s="66">
        <f t="shared" si="174"/>
        <v>0.0145631067961165</v>
      </c>
      <c r="O1241" s="52">
        <f t="shared" si="175"/>
        <v>10063.3333333333</v>
      </c>
      <c r="P1241" s="52">
        <f t="shared" si="176"/>
        <v>981.803333333333</v>
      </c>
      <c r="Q1241" s="68">
        <f t="shared" si="177"/>
        <v>55.5737735849057</v>
      </c>
    </row>
    <row r="1242" s="2" customFormat="1" spans="1:17">
      <c r="A1242" s="61">
        <v>45889</v>
      </c>
      <c r="B1242" s="86">
        <v>2956.52</v>
      </c>
      <c r="C1242" s="87">
        <v>7935</v>
      </c>
      <c r="D1242" s="87">
        <v>223</v>
      </c>
      <c r="E1242" s="87">
        <v>8</v>
      </c>
      <c r="F1242" s="86">
        <v>89589</v>
      </c>
      <c r="G1242" s="87">
        <v>70</v>
      </c>
      <c r="H1242" s="87">
        <v>7</v>
      </c>
      <c r="I1242" s="87">
        <v>11</v>
      </c>
      <c r="J1242" s="88">
        <f t="shared" si="178"/>
        <v>0.00100819155639572</v>
      </c>
      <c r="K1242" s="89">
        <f t="shared" si="179"/>
        <v>369.565</v>
      </c>
      <c r="L1242" s="89">
        <f t="shared" si="172"/>
        <v>372.592312539382</v>
      </c>
      <c r="M1242" s="90">
        <f t="shared" si="173"/>
        <v>30.3021795895174</v>
      </c>
      <c r="N1242" s="66">
        <f t="shared" si="174"/>
        <v>0.0358744394618834</v>
      </c>
      <c r="O1242" s="52">
        <f t="shared" si="175"/>
        <v>11198.625</v>
      </c>
      <c r="P1242" s="52">
        <f t="shared" si="176"/>
        <v>369.565</v>
      </c>
      <c r="Q1242" s="68">
        <f t="shared" si="177"/>
        <v>42.236</v>
      </c>
    </row>
    <row r="1243" s="2" customFormat="1" spans="1:17">
      <c r="A1243" s="61">
        <v>45890</v>
      </c>
      <c r="B1243" s="86">
        <v>2966.84</v>
      </c>
      <c r="C1243" s="87">
        <v>7902</v>
      </c>
      <c r="D1243" s="87">
        <v>249</v>
      </c>
      <c r="E1243" s="87">
        <v>1</v>
      </c>
      <c r="F1243" s="86">
        <v>11252</v>
      </c>
      <c r="G1243" s="87">
        <v>57</v>
      </c>
      <c r="H1243" s="87">
        <v>6</v>
      </c>
      <c r="I1243" s="87">
        <v>12</v>
      </c>
      <c r="J1243" s="88">
        <f t="shared" si="178"/>
        <v>0.000126550240445457</v>
      </c>
      <c r="K1243" s="89">
        <f t="shared" si="179"/>
        <v>2966.84</v>
      </c>
      <c r="L1243" s="89">
        <f t="shared" si="172"/>
        <v>375.454315363199</v>
      </c>
      <c r="M1243" s="90">
        <f t="shared" si="173"/>
        <v>3.7925873993879</v>
      </c>
      <c r="N1243" s="66">
        <f t="shared" si="174"/>
        <v>0.00401606425702811</v>
      </c>
      <c r="O1243" s="52">
        <f t="shared" si="175"/>
        <v>11252</v>
      </c>
      <c r="P1243" s="52">
        <f t="shared" si="176"/>
        <v>2966.84</v>
      </c>
      <c r="Q1243" s="68">
        <f t="shared" si="177"/>
        <v>52.0498245614035</v>
      </c>
    </row>
    <row r="1244" s="2" customFormat="1" spans="1:17">
      <c r="A1244" s="61">
        <v>45891</v>
      </c>
      <c r="B1244" s="18">
        <v>2956.97</v>
      </c>
      <c r="C1244" s="19">
        <v>8146</v>
      </c>
      <c r="D1244" s="19">
        <v>239</v>
      </c>
      <c r="E1244" s="19">
        <v>0</v>
      </c>
      <c r="F1244" s="18">
        <v>0</v>
      </c>
      <c r="G1244" s="19">
        <v>60</v>
      </c>
      <c r="H1244" s="19">
        <v>4</v>
      </c>
      <c r="I1244" s="19">
        <v>7</v>
      </c>
      <c r="J1244" s="20">
        <v>0</v>
      </c>
      <c r="K1244" s="21" t="e">
        <v>#DIV/0!</v>
      </c>
      <c r="L1244" s="21">
        <v>362.996562730174</v>
      </c>
      <c r="M1244" s="90">
        <f t="shared" si="173"/>
        <v>0</v>
      </c>
      <c r="N1244" s="66">
        <f t="shared" si="174"/>
        <v>0</v>
      </c>
      <c r="O1244" s="52">
        <f t="shared" si="175"/>
        <v>0</v>
      </c>
      <c r="P1244" s="52">
        <f t="shared" si="176"/>
        <v>0</v>
      </c>
      <c r="Q1244" s="68">
        <f t="shared" si="177"/>
        <v>49.2828333333333</v>
      </c>
    </row>
    <row r="1245" s="2" customFormat="1" spans="1:17">
      <c r="A1245" s="61">
        <v>45892</v>
      </c>
      <c r="B1245" s="18">
        <v>2948.02</v>
      </c>
      <c r="C1245" s="19">
        <v>8027</v>
      </c>
      <c r="D1245" s="19">
        <v>240</v>
      </c>
      <c r="E1245" s="19">
        <v>2</v>
      </c>
      <c r="F1245" s="18">
        <v>29088</v>
      </c>
      <c r="G1245" s="19">
        <v>70</v>
      </c>
      <c r="H1245" s="19">
        <v>10</v>
      </c>
      <c r="I1245" s="19">
        <v>6</v>
      </c>
      <c r="J1245" s="20">
        <v>0.000249159088077738</v>
      </c>
      <c r="K1245" s="21">
        <v>1474.01</v>
      </c>
      <c r="L1245" s="21">
        <v>367.262987417466</v>
      </c>
      <c r="M1245" s="90">
        <f t="shared" si="173"/>
        <v>9.86696155385649</v>
      </c>
      <c r="N1245" s="66">
        <f t="shared" si="174"/>
        <v>0.00833333333333333</v>
      </c>
      <c r="O1245" s="52">
        <f t="shared" si="175"/>
        <v>14544</v>
      </c>
      <c r="P1245" s="52">
        <f t="shared" si="176"/>
        <v>1474.01</v>
      </c>
      <c r="Q1245" s="68">
        <f t="shared" si="177"/>
        <v>42.1145714285714</v>
      </c>
    </row>
    <row r="1246" s="2" customFormat="1" spans="1:17">
      <c r="A1246" s="61">
        <v>45893</v>
      </c>
      <c r="B1246" s="18">
        <v>2959.8</v>
      </c>
      <c r="C1246" s="19">
        <v>7291</v>
      </c>
      <c r="D1246" s="19">
        <v>322</v>
      </c>
      <c r="E1246" s="19">
        <v>1</v>
      </c>
      <c r="F1246" s="18">
        <v>13854</v>
      </c>
      <c r="G1246" s="19">
        <v>53</v>
      </c>
      <c r="H1246" s="19">
        <v>3</v>
      </c>
      <c r="I1246" s="19">
        <v>11</v>
      </c>
      <c r="J1246" s="20">
        <v>0.000137155397064874</v>
      </c>
      <c r="K1246" s="21">
        <v>2959.8</v>
      </c>
      <c r="L1246" s="21">
        <v>405.952544232616</v>
      </c>
      <c r="M1246" s="90">
        <f t="shared" si="173"/>
        <v>4.68072167038313</v>
      </c>
      <c r="N1246" s="66">
        <f t="shared" si="174"/>
        <v>0.0031055900621118</v>
      </c>
      <c r="O1246" s="52">
        <f t="shared" si="175"/>
        <v>13854</v>
      </c>
      <c r="P1246" s="52">
        <f t="shared" si="176"/>
        <v>2959.8</v>
      </c>
      <c r="Q1246" s="68">
        <f t="shared" si="177"/>
        <v>55.8452830188679</v>
      </c>
    </row>
    <row r="1247" s="2" customFormat="1" spans="1:17">
      <c r="A1247" s="61">
        <v>45894</v>
      </c>
      <c r="B1247" s="86">
        <v>2951.74</v>
      </c>
      <c r="C1247" s="87">
        <v>7684</v>
      </c>
      <c r="D1247" s="87">
        <v>260</v>
      </c>
      <c r="E1247" s="87">
        <v>4</v>
      </c>
      <c r="F1247" s="86">
        <v>26755</v>
      </c>
      <c r="G1247" s="87">
        <v>38</v>
      </c>
      <c r="H1247" s="87">
        <v>4</v>
      </c>
      <c r="I1247" s="87">
        <v>6</v>
      </c>
      <c r="J1247" s="88">
        <f t="shared" ref="J1247:J1310" si="180">E1247/C1247</f>
        <v>0.000520562207183758</v>
      </c>
      <c r="K1247" s="89">
        <f t="shared" ref="K1247:K1310" si="181">B1247/E1247</f>
        <v>737.935</v>
      </c>
      <c r="L1247" s="89">
        <f t="shared" ref="L1247:L1310" si="182">B1247/C1247*1000</f>
        <v>384.141072358147</v>
      </c>
      <c r="M1247" s="90">
        <f t="shared" si="173"/>
        <v>9.06414521604206</v>
      </c>
      <c r="N1247" s="66">
        <f t="shared" si="174"/>
        <v>0.0153846153846154</v>
      </c>
      <c r="O1247" s="52">
        <f t="shared" si="175"/>
        <v>6688.75</v>
      </c>
      <c r="P1247" s="52">
        <f t="shared" si="176"/>
        <v>737.935</v>
      </c>
      <c r="Q1247" s="68">
        <f t="shared" si="177"/>
        <v>77.6773684210526</v>
      </c>
    </row>
    <row r="1248" s="2" customFormat="1" spans="1:17">
      <c r="A1248" s="91">
        <v>45895</v>
      </c>
      <c r="B1248" s="86">
        <v>2455.74</v>
      </c>
      <c r="C1248" s="87">
        <v>6176</v>
      </c>
      <c r="D1248" s="87">
        <v>264</v>
      </c>
      <c r="E1248" s="87">
        <v>1</v>
      </c>
      <c r="F1248" s="86">
        <v>18492</v>
      </c>
      <c r="G1248" s="87">
        <v>64</v>
      </c>
      <c r="H1248" s="87">
        <v>2</v>
      </c>
      <c r="I1248" s="87">
        <v>11</v>
      </c>
      <c r="J1248" s="88">
        <f t="shared" si="180"/>
        <v>0.000161917098445596</v>
      </c>
      <c r="K1248" s="89">
        <f t="shared" si="181"/>
        <v>2455.74</v>
      </c>
      <c r="L1248" s="89">
        <f t="shared" si="182"/>
        <v>397.626295336788</v>
      </c>
      <c r="M1248" s="90">
        <f t="shared" si="173"/>
        <v>7.53011312272472</v>
      </c>
      <c r="N1248" s="66">
        <f t="shared" si="174"/>
        <v>0.00378787878787879</v>
      </c>
      <c r="O1248" s="52">
        <f t="shared" si="175"/>
        <v>18492</v>
      </c>
      <c r="P1248" s="52">
        <f t="shared" si="176"/>
        <v>2455.74</v>
      </c>
      <c r="Q1248" s="68">
        <f t="shared" si="177"/>
        <v>38.3709375</v>
      </c>
    </row>
    <row r="1249" s="2" customFormat="1" spans="1:17">
      <c r="A1249" s="91">
        <v>45896</v>
      </c>
      <c r="B1249" s="86">
        <v>2452.95</v>
      </c>
      <c r="C1249" s="87">
        <v>6410</v>
      </c>
      <c r="D1249" s="87">
        <v>203</v>
      </c>
      <c r="E1249" s="87">
        <v>3</v>
      </c>
      <c r="F1249" s="86">
        <v>37982</v>
      </c>
      <c r="G1249" s="87">
        <v>47</v>
      </c>
      <c r="H1249" s="87">
        <v>9</v>
      </c>
      <c r="I1249" s="87">
        <v>7</v>
      </c>
      <c r="J1249" s="88">
        <f t="shared" si="180"/>
        <v>0.00046801872074883</v>
      </c>
      <c r="K1249" s="89">
        <f t="shared" si="181"/>
        <v>817.65</v>
      </c>
      <c r="L1249" s="89">
        <f t="shared" si="182"/>
        <v>382.675507020281</v>
      </c>
      <c r="M1249" s="90">
        <f t="shared" si="173"/>
        <v>15.4842128865244</v>
      </c>
      <c r="N1249" s="66">
        <f t="shared" si="174"/>
        <v>0.0147783251231527</v>
      </c>
      <c r="O1249" s="52">
        <f t="shared" si="175"/>
        <v>12660.6666666667</v>
      </c>
      <c r="P1249" s="52">
        <f t="shared" si="176"/>
        <v>817.65</v>
      </c>
      <c r="Q1249" s="68">
        <f t="shared" si="177"/>
        <v>52.1904255319149</v>
      </c>
    </row>
    <row r="1250" s="2" customFormat="1" spans="1:17">
      <c r="A1250" s="91">
        <v>45897</v>
      </c>
      <c r="B1250" s="86">
        <v>2464.74</v>
      </c>
      <c r="C1250" s="87">
        <v>6452</v>
      </c>
      <c r="D1250" s="87">
        <v>308</v>
      </c>
      <c r="E1250" s="87">
        <v>4</v>
      </c>
      <c r="F1250" s="86">
        <v>29811</v>
      </c>
      <c r="G1250" s="87">
        <v>64</v>
      </c>
      <c r="H1250" s="87">
        <v>7</v>
      </c>
      <c r="I1250" s="87">
        <v>10</v>
      </c>
      <c r="J1250" s="88">
        <f t="shared" si="180"/>
        <v>0.000619962802231866</v>
      </c>
      <c r="K1250" s="89">
        <f t="shared" si="181"/>
        <v>616.185</v>
      </c>
      <c r="L1250" s="89">
        <f t="shared" si="182"/>
        <v>382.011779293242</v>
      </c>
      <c r="M1250" s="90">
        <f t="shared" si="173"/>
        <v>12.0949877066141</v>
      </c>
      <c r="N1250" s="66">
        <f t="shared" si="174"/>
        <v>0.012987012987013</v>
      </c>
      <c r="O1250" s="52">
        <f t="shared" si="175"/>
        <v>7452.75</v>
      </c>
      <c r="P1250" s="52">
        <f t="shared" si="176"/>
        <v>616.185</v>
      </c>
      <c r="Q1250" s="68">
        <f t="shared" si="177"/>
        <v>38.5115625</v>
      </c>
    </row>
    <row r="1251" s="2" customFormat="1" spans="1:17">
      <c r="A1251" s="91">
        <v>45898</v>
      </c>
      <c r="B1251" s="86">
        <v>2955.06</v>
      </c>
      <c r="C1251" s="87">
        <v>8192</v>
      </c>
      <c r="D1251" s="87">
        <v>215</v>
      </c>
      <c r="E1251" s="87">
        <v>2</v>
      </c>
      <c r="F1251" s="86">
        <v>34574</v>
      </c>
      <c r="G1251" s="87">
        <v>49</v>
      </c>
      <c r="H1251" s="87">
        <v>6</v>
      </c>
      <c r="I1251" s="87">
        <v>8</v>
      </c>
      <c r="J1251" s="88">
        <f t="shared" si="180"/>
        <v>0.000244140625</v>
      </c>
      <c r="K1251" s="89">
        <f t="shared" si="181"/>
        <v>1477.53</v>
      </c>
      <c r="L1251" s="89">
        <f t="shared" si="182"/>
        <v>360.72509765625</v>
      </c>
      <c r="M1251" s="90">
        <f t="shared" si="173"/>
        <v>11.6999316426739</v>
      </c>
      <c r="N1251" s="66">
        <f t="shared" si="174"/>
        <v>0.00930232558139535</v>
      </c>
      <c r="O1251" s="52">
        <f t="shared" si="175"/>
        <v>17287</v>
      </c>
      <c r="P1251" s="52">
        <f t="shared" si="176"/>
        <v>1477.53</v>
      </c>
      <c r="Q1251" s="68">
        <f t="shared" si="177"/>
        <v>60.3073469387755</v>
      </c>
    </row>
    <row r="1252" s="2" customFormat="1" spans="1:17">
      <c r="A1252" s="91">
        <v>45899</v>
      </c>
      <c r="B1252" s="86">
        <v>2566.63</v>
      </c>
      <c r="C1252" s="87">
        <v>7356</v>
      </c>
      <c r="D1252" s="87">
        <v>190</v>
      </c>
      <c r="E1252" s="87">
        <v>1</v>
      </c>
      <c r="F1252" s="86">
        <v>14554</v>
      </c>
      <c r="G1252" s="87">
        <v>43</v>
      </c>
      <c r="H1252" s="87">
        <v>4</v>
      </c>
      <c r="I1252" s="87">
        <v>5</v>
      </c>
      <c r="J1252" s="88">
        <f t="shared" si="180"/>
        <v>0.000135943447525829</v>
      </c>
      <c r="K1252" s="89">
        <f t="shared" si="181"/>
        <v>2566.63</v>
      </c>
      <c r="L1252" s="89">
        <f t="shared" si="182"/>
        <v>348.916530723219</v>
      </c>
      <c r="M1252" s="90">
        <f t="shared" si="173"/>
        <v>5.67047061711271</v>
      </c>
      <c r="N1252" s="66">
        <f t="shared" si="174"/>
        <v>0.00526315789473684</v>
      </c>
      <c r="O1252" s="52">
        <f t="shared" si="175"/>
        <v>14554</v>
      </c>
      <c r="P1252" s="52">
        <f t="shared" si="176"/>
        <v>2566.63</v>
      </c>
      <c r="Q1252" s="68">
        <f t="shared" si="177"/>
        <v>59.6890697674419</v>
      </c>
    </row>
    <row r="1253" s="2" customFormat="1" spans="1:17">
      <c r="A1253" s="91">
        <v>45900</v>
      </c>
      <c r="B1253" s="86">
        <v>206.45</v>
      </c>
      <c r="C1253" s="87">
        <v>546</v>
      </c>
      <c r="D1253" s="87">
        <v>20</v>
      </c>
      <c r="E1253" s="87">
        <v>0</v>
      </c>
      <c r="F1253" s="86">
        <v>0</v>
      </c>
      <c r="G1253" s="87">
        <v>2</v>
      </c>
      <c r="H1253" s="87">
        <v>0</v>
      </c>
      <c r="I1253" s="87">
        <v>0</v>
      </c>
      <c r="J1253" s="88">
        <f t="shared" si="180"/>
        <v>0</v>
      </c>
      <c r="K1253" s="89" t="e">
        <f t="shared" si="181"/>
        <v>#DIV/0!</v>
      </c>
      <c r="L1253" s="89">
        <f t="shared" si="182"/>
        <v>378.113553113553</v>
      </c>
      <c r="M1253" s="90">
        <f t="shared" si="173"/>
        <v>0</v>
      </c>
      <c r="N1253" s="66">
        <f t="shared" si="174"/>
        <v>0</v>
      </c>
      <c r="O1253" s="52">
        <f t="shared" si="175"/>
        <v>0</v>
      </c>
      <c r="P1253" s="52">
        <f t="shared" si="176"/>
        <v>0</v>
      </c>
      <c r="Q1253" s="68">
        <f t="shared" si="177"/>
        <v>103.225</v>
      </c>
    </row>
    <row r="1254" s="2" customFormat="1" spans="1:17">
      <c r="A1254" s="91">
        <v>45901</v>
      </c>
      <c r="B1254" s="86">
        <v>2953.65</v>
      </c>
      <c r="C1254" s="87">
        <v>8158</v>
      </c>
      <c r="D1254" s="87">
        <v>253</v>
      </c>
      <c r="E1254" s="87">
        <v>3</v>
      </c>
      <c r="F1254" s="86">
        <v>27277</v>
      </c>
      <c r="G1254" s="87">
        <v>48</v>
      </c>
      <c r="H1254" s="87">
        <v>4</v>
      </c>
      <c r="I1254" s="87">
        <v>9</v>
      </c>
      <c r="J1254" s="88">
        <f t="shared" si="180"/>
        <v>0.000367737190487865</v>
      </c>
      <c r="K1254" s="89">
        <f t="shared" si="181"/>
        <v>984.55</v>
      </c>
      <c r="L1254" s="89">
        <f t="shared" si="182"/>
        <v>362.055650894827</v>
      </c>
      <c r="M1254" s="90">
        <f t="shared" ref="M1254:M1317" si="183">F1254/B1254</f>
        <v>9.23501430433531</v>
      </c>
      <c r="N1254" s="66">
        <f t="shared" ref="N1254:N1317" si="184">E1254/D1254</f>
        <v>0.0118577075098814</v>
      </c>
      <c r="O1254" s="52">
        <f t="shared" ref="O1254:O1317" si="185">IF(E1254=0,0,F1254/E1254)</f>
        <v>9092.33333333333</v>
      </c>
      <c r="P1254" s="52">
        <f t="shared" ref="P1254:P1317" si="186">IF(E1254=0,0,B1254/E1254)</f>
        <v>984.55</v>
      </c>
      <c r="Q1254" s="68">
        <f t="shared" ref="Q1254:Q1317" si="187">B1254/G1254</f>
        <v>61.534375</v>
      </c>
    </row>
    <row r="1255" s="2" customFormat="1" spans="1:17">
      <c r="A1255" s="91">
        <v>45902</v>
      </c>
      <c r="B1255" s="86">
        <v>2960.91</v>
      </c>
      <c r="C1255" s="87">
        <v>7773</v>
      </c>
      <c r="D1255" s="87">
        <v>303</v>
      </c>
      <c r="E1255" s="87">
        <v>4</v>
      </c>
      <c r="F1255" s="86">
        <v>89691</v>
      </c>
      <c r="G1255" s="87">
        <v>86</v>
      </c>
      <c r="H1255" s="87">
        <v>10</v>
      </c>
      <c r="I1255" s="87">
        <v>7</v>
      </c>
      <c r="J1255" s="88">
        <f t="shared" si="180"/>
        <v>0.000514601826836485</v>
      </c>
      <c r="K1255" s="89">
        <f t="shared" si="181"/>
        <v>740.2275</v>
      </c>
      <c r="L1255" s="89">
        <f t="shared" si="182"/>
        <v>380.922423774604</v>
      </c>
      <c r="M1255" s="90">
        <f t="shared" si="183"/>
        <v>30.2917008622349</v>
      </c>
      <c r="N1255" s="66">
        <f t="shared" si="184"/>
        <v>0.0132013201320132</v>
      </c>
      <c r="O1255" s="52">
        <f t="shared" si="185"/>
        <v>22422.75</v>
      </c>
      <c r="P1255" s="52">
        <f t="shared" si="186"/>
        <v>740.2275</v>
      </c>
      <c r="Q1255" s="68">
        <f t="shared" si="187"/>
        <v>34.4291860465116</v>
      </c>
    </row>
    <row r="1256" s="2" customFormat="1" spans="1:17">
      <c r="A1256" s="91">
        <v>45903</v>
      </c>
      <c r="B1256" s="86">
        <v>2955.21</v>
      </c>
      <c r="C1256" s="87">
        <v>8303</v>
      </c>
      <c r="D1256" s="87">
        <v>277</v>
      </c>
      <c r="E1256" s="87">
        <v>1</v>
      </c>
      <c r="F1256" s="86">
        <v>15934</v>
      </c>
      <c r="G1256" s="87">
        <v>60</v>
      </c>
      <c r="H1256" s="87">
        <v>9</v>
      </c>
      <c r="I1256" s="87">
        <v>9</v>
      </c>
      <c r="J1256" s="88">
        <f t="shared" si="180"/>
        <v>0.000120438395760568</v>
      </c>
      <c r="K1256" s="89">
        <f t="shared" si="181"/>
        <v>2955.21</v>
      </c>
      <c r="L1256" s="89">
        <f t="shared" si="182"/>
        <v>355.92075153559</v>
      </c>
      <c r="M1256" s="90">
        <f t="shared" si="183"/>
        <v>5.3918334060862</v>
      </c>
      <c r="N1256" s="66">
        <f t="shared" si="184"/>
        <v>0.0036101083032491</v>
      </c>
      <c r="O1256" s="52">
        <f t="shared" si="185"/>
        <v>15934</v>
      </c>
      <c r="P1256" s="52">
        <f t="shared" si="186"/>
        <v>2955.21</v>
      </c>
      <c r="Q1256" s="68">
        <f t="shared" si="187"/>
        <v>49.2535</v>
      </c>
    </row>
    <row r="1257" s="2" customFormat="1" spans="1:17">
      <c r="A1257" s="91">
        <v>45904</v>
      </c>
      <c r="B1257" s="86">
        <v>1976.98</v>
      </c>
      <c r="C1257" s="87">
        <v>5498</v>
      </c>
      <c r="D1257" s="87">
        <v>188</v>
      </c>
      <c r="E1257" s="87">
        <v>4</v>
      </c>
      <c r="F1257" s="86">
        <v>10477</v>
      </c>
      <c r="G1257" s="87">
        <v>34</v>
      </c>
      <c r="H1257" s="87">
        <v>3</v>
      </c>
      <c r="I1257" s="87">
        <v>4</v>
      </c>
      <c r="J1257" s="88">
        <f t="shared" si="180"/>
        <v>0.000727537286285922</v>
      </c>
      <c r="K1257" s="89">
        <f t="shared" si="181"/>
        <v>494.245</v>
      </c>
      <c r="L1257" s="89">
        <f t="shared" si="182"/>
        <v>359.581666060386</v>
      </c>
      <c r="M1257" s="90">
        <f t="shared" si="183"/>
        <v>5.29949721292072</v>
      </c>
      <c r="N1257" s="66">
        <f t="shared" si="184"/>
        <v>0.0212765957446809</v>
      </c>
      <c r="O1257" s="52">
        <f t="shared" si="185"/>
        <v>2619.25</v>
      </c>
      <c r="P1257" s="52">
        <f t="shared" si="186"/>
        <v>494.245</v>
      </c>
      <c r="Q1257" s="68">
        <f t="shared" si="187"/>
        <v>58.1464705882353</v>
      </c>
    </row>
    <row r="1258" s="2" customFormat="1" spans="1:17">
      <c r="A1258" s="91">
        <v>45905</v>
      </c>
      <c r="B1258" s="86">
        <v>1989.18</v>
      </c>
      <c r="C1258" s="87">
        <v>5642</v>
      </c>
      <c r="D1258" s="87">
        <v>161</v>
      </c>
      <c r="E1258" s="87">
        <v>1</v>
      </c>
      <c r="F1258" s="86">
        <v>1</v>
      </c>
      <c r="G1258" s="87">
        <v>23</v>
      </c>
      <c r="H1258" s="87">
        <v>7</v>
      </c>
      <c r="I1258" s="87">
        <v>8</v>
      </c>
      <c r="J1258" s="88">
        <f t="shared" si="180"/>
        <v>0.000177242112725984</v>
      </c>
      <c r="K1258" s="89">
        <f t="shared" si="181"/>
        <v>1989.18</v>
      </c>
      <c r="L1258" s="89">
        <f t="shared" si="182"/>
        <v>352.566465792272</v>
      </c>
      <c r="M1258" s="90">
        <f t="shared" si="183"/>
        <v>0.000502719713650851</v>
      </c>
      <c r="N1258" s="66">
        <f t="shared" si="184"/>
        <v>0.0062111801242236</v>
      </c>
      <c r="O1258" s="52">
        <f t="shared" si="185"/>
        <v>1</v>
      </c>
      <c r="P1258" s="52">
        <f t="shared" si="186"/>
        <v>1989.18</v>
      </c>
      <c r="Q1258" s="68">
        <f t="shared" si="187"/>
        <v>86.4860869565217</v>
      </c>
    </row>
    <row r="1259" s="2" customFormat="1" spans="1:17">
      <c r="A1259" s="91">
        <v>45906</v>
      </c>
      <c r="B1259" s="86">
        <v>2993.91</v>
      </c>
      <c r="C1259" s="87">
        <v>8819</v>
      </c>
      <c r="D1259" s="87">
        <v>240</v>
      </c>
      <c r="E1259" s="87">
        <v>5</v>
      </c>
      <c r="F1259" s="86">
        <v>89316</v>
      </c>
      <c r="G1259" s="87">
        <v>41</v>
      </c>
      <c r="H1259" s="87">
        <v>4</v>
      </c>
      <c r="I1259" s="87">
        <v>3</v>
      </c>
      <c r="J1259" s="88">
        <f t="shared" si="180"/>
        <v>0.00056695770495521</v>
      </c>
      <c r="K1259" s="89">
        <f t="shared" si="181"/>
        <v>598.782</v>
      </c>
      <c r="L1259" s="89">
        <f t="shared" si="182"/>
        <v>339.484068488491</v>
      </c>
      <c r="M1259" s="90">
        <f t="shared" si="183"/>
        <v>29.8325600969969</v>
      </c>
      <c r="N1259" s="66">
        <f t="shared" si="184"/>
        <v>0.0208333333333333</v>
      </c>
      <c r="O1259" s="52">
        <f t="shared" si="185"/>
        <v>17863.2</v>
      </c>
      <c r="P1259" s="52">
        <f t="shared" si="186"/>
        <v>598.782</v>
      </c>
      <c r="Q1259" s="68">
        <f t="shared" si="187"/>
        <v>73.0221951219512</v>
      </c>
    </row>
    <row r="1260" s="2" customFormat="1" spans="1:17">
      <c r="A1260" s="91">
        <v>45907</v>
      </c>
      <c r="B1260" s="86">
        <v>2998.51</v>
      </c>
      <c r="C1260" s="87">
        <v>8542</v>
      </c>
      <c r="D1260" s="87">
        <v>225</v>
      </c>
      <c r="E1260" s="87">
        <v>0</v>
      </c>
      <c r="F1260" s="86">
        <v>0</v>
      </c>
      <c r="G1260" s="87">
        <v>48</v>
      </c>
      <c r="H1260" s="87">
        <v>4</v>
      </c>
      <c r="I1260" s="87">
        <v>9</v>
      </c>
      <c r="J1260" s="88">
        <f t="shared" si="180"/>
        <v>0</v>
      </c>
      <c r="K1260" s="89" t="e">
        <f t="shared" si="181"/>
        <v>#DIV/0!</v>
      </c>
      <c r="L1260" s="89">
        <f t="shared" si="182"/>
        <v>351.03137438539</v>
      </c>
      <c r="M1260" s="90">
        <f t="shared" si="183"/>
        <v>0</v>
      </c>
      <c r="N1260" s="66">
        <f t="shared" si="184"/>
        <v>0</v>
      </c>
      <c r="O1260" s="52">
        <f t="shared" si="185"/>
        <v>0</v>
      </c>
      <c r="P1260" s="52">
        <f t="shared" si="186"/>
        <v>0</v>
      </c>
      <c r="Q1260" s="68">
        <f t="shared" si="187"/>
        <v>62.4689583333333</v>
      </c>
    </row>
    <row r="1261" s="2" customFormat="1" spans="1:17">
      <c r="A1261" s="91">
        <v>45908</v>
      </c>
      <c r="B1261" s="86">
        <v>2983.91</v>
      </c>
      <c r="C1261" s="87">
        <v>8381</v>
      </c>
      <c r="D1261" s="87">
        <v>269</v>
      </c>
      <c r="E1261" s="87">
        <v>1</v>
      </c>
      <c r="F1261" s="86">
        <v>11600</v>
      </c>
      <c r="G1261" s="87">
        <v>49</v>
      </c>
      <c r="H1261" s="87">
        <v>5</v>
      </c>
      <c r="I1261" s="87">
        <v>6</v>
      </c>
      <c r="J1261" s="88">
        <f t="shared" si="180"/>
        <v>0.000119317503877819</v>
      </c>
      <c r="K1261" s="89">
        <f t="shared" si="181"/>
        <v>2983.91</v>
      </c>
      <c r="L1261" s="89">
        <f t="shared" si="182"/>
        <v>356.032692996063</v>
      </c>
      <c r="M1261" s="90">
        <f t="shared" si="183"/>
        <v>3.88751671464622</v>
      </c>
      <c r="N1261" s="66">
        <f t="shared" si="184"/>
        <v>0.00371747211895911</v>
      </c>
      <c r="O1261" s="52">
        <f t="shared" si="185"/>
        <v>11600</v>
      </c>
      <c r="P1261" s="52">
        <f t="shared" si="186"/>
        <v>2983.91</v>
      </c>
      <c r="Q1261" s="68">
        <f t="shared" si="187"/>
        <v>60.8961224489796</v>
      </c>
    </row>
    <row r="1262" s="2" customFormat="1" spans="1:17">
      <c r="A1262" s="91">
        <v>45909</v>
      </c>
      <c r="B1262" s="86">
        <v>1998.63</v>
      </c>
      <c r="C1262" s="87">
        <v>5471</v>
      </c>
      <c r="D1262" s="87">
        <v>222</v>
      </c>
      <c r="E1262" s="87">
        <v>0</v>
      </c>
      <c r="F1262" s="86">
        <v>0</v>
      </c>
      <c r="G1262" s="87">
        <v>31</v>
      </c>
      <c r="H1262" s="87">
        <v>4</v>
      </c>
      <c r="I1262" s="87">
        <v>6</v>
      </c>
      <c r="J1262" s="88">
        <f t="shared" si="180"/>
        <v>0</v>
      </c>
      <c r="K1262" s="89" t="e">
        <f t="shared" si="181"/>
        <v>#DIV/0!</v>
      </c>
      <c r="L1262" s="89">
        <f t="shared" si="182"/>
        <v>365.313471029062</v>
      </c>
      <c r="M1262" s="90">
        <f t="shared" si="183"/>
        <v>0</v>
      </c>
      <c r="N1262" s="66">
        <f t="shared" si="184"/>
        <v>0</v>
      </c>
      <c r="O1262" s="52">
        <f t="shared" si="185"/>
        <v>0</v>
      </c>
      <c r="P1262" s="52">
        <f t="shared" si="186"/>
        <v>0</v>
      </c>
      <c r="Q1262" s="68">
        <f t="shared" si="187"/>
        <v>64.471935483871</v>
      </c>
    </row>
    <row r="1263" s="2" customFormat="1" spans="1:17">
      <c r="A1263" s="91">
        <v>45910</v>
      </c>
      <c r="B1263" s="86">
        <v>2994.35</v>
      </c>
      <c r="C1263" s="87">
        <v>9029</v>
      </c>
      <c r="D1263" s="87">
        <v>299</v>
      </c>
      <c r="E1263" s="87">
        <v>11</v>
      </c>
      <c r="F1263" s="86">
        <v>147309</v>
      </c>
      <c r="G1263" s="87">
        <v>68</v>
      </c>
      <c r="H1263" s="87">
        <v>1</v>
      </c>
      <c r="I1263" s="87">
        <v>16</v>
      </c>
      <c r="J1263" s="88">
        <f t="shared" si="180"/>
        <v>0.00121829659984494</v>
      </c>
      <c r="K1263" s="89">
        <f t="shared" si="181"/>
        <v>272.213636363636</v>
      </c>
      <c r="L1263" s="89">
        <f t="shared" si="182"/>
        <v>331.636947613246</v>
      </c>
      <c r="M1263" s="90">
        <f t="shared" si="183"/>
        <v>49.1956518109105</v>
      </c>
      <c r="N1263" s="66">
        <f t="shared" si="184"/>
        <v>0.0367892976588629</v>
      </c>
      <c r="O1263" s="52">
        <f t="shared" si="185"/>
        <v>13391.7272727273</v>
      </c>
      <c r="P1263" s="52">
        <f t="shared" si="186"/>
        <v>272.213636363636</v>
      </c>
      <c r="Q1263" s="68">
        <f t="shared" si="187"/>
        <v>44.0345588235294</v>
      </c>
    </row>
    <row r="1264" s="2" customFormat="1" spans="1:17">
      <c r="A1264" s="91">
        <v>45911</v>
      </c>
      <c r="B1264" s="86">
        <v>1499.31</v>
      </c>
      <c r="C1264" s="87">
        <v>4721</v>
      </c>
      <c r="D1264" s="87">
        <v>97</v>
      </c>
      <c r="E1264" s="87">
        <v>2</v>
      </c>
      <c r="F1264" s="86">
        <v>12247</v>
      </c>
      <c r="G1264" s="87">
        <v>20</v>
      </c>
      <c r="H1264" s="87">
        <v>1</v>
      </c>
      <c r="I1264" s="87">
        <v>5</v>
      </c>
      <c r="J1264" s="88">
        <f t="shared" si="180"/>
        <v>0.000423639059521288</v>
      </c>
      <c r="K1264" s="89">
        <f t="shared" si="181"/>
        <v>749.655</v>
      </c>
      <c r="L1264" s="89">
        <f t="shared" si="182"/>
        <v>317.583139165431</v>
      </c>
      <c r="M1264" s="90">
        <f t="shared" si="183"/>
        <v>8.16842414177188</v>
      </c>
      <c r="N1264" s="66">
        <f t="shared" si="184"/>
        <v>0.0206185567010309</v>
      </c>
      <c r="O1264" s="52">
        <f t="shared" si="185"/>
        <v>6123.5</v>
      </c>
      <c r="P1264" s="52">
        <f t="shared" si="186"/>
        <v>749.655</v>
      </c>
      <c r="Q1264" s="68">
        <f t="shared" si="187"/>
        <v>74.9655</v>
      </c>
    </row>
    <row r="1265" s="2" customFormat="1" spans="1:17">
      <c r="A1265" s="91">
        <v>45912</v>
      </c>
      <c r="B1265" s="86">
        <v>1498.92</v>
      </c>
      <c r="C1265" s="87">
        <v>4856</v>
      </c>
      <c r="D1265" s="87">
        <v>97</v>
      </c>
      <c r="E1265" s="87">
        <v>1</v>
      </c>
      <c r="F1265" s="86">
        <v>1</v>
      </c>
      <c r="G1265" s="87">
        <v>20</v>
      </c>
      <c r="H1265" s="87">
        <v>1</v>
      </c>
      <c r="I1265" s="87">
        <v>5</v>
      </c>
      <c r="J1265" s="88">
        <f t="shared" si="180"/>
        <v>0.000205930807248764</v>
      </c>
      <c r="K1265" s="89">
        <f t="shared" si="181"/>
        <v>1498.92</v>
      </c>
      <c r="L1265" s="89">
        <f t="shared" si="182"/>
        <v>308.673805601318</v>
      </c>
      <c r="M1265" s="90">
        <f t="shared" si="183"/>
        <v>0.000667147012515678</v>
      </c>
      <c r="N1265" s="66">
        <f t="shared" si="184"/>
        <v>0.0103092783505155</v>
      </c>
      <c r="O1265" s="52">
        <f t="shared" si="185"/>
        <v>1</v>
      </c>
      <c r="P1265" s="52">
        <f t="shared" si="186"/>
        <v>1498.92</v>
      </c>
      <c r="Q1265" s="68">
        <f t="shared" si="187"/>
        <v>74.946</v>
      </c>
    </row>
    <row r="1266" s="2" customFormat="1" spans="1:17">
      <c r="A1266" s="91">
        <v>45913</v>
      </c>
      <c r="B1266" s="86">
        <v>1499.18</v>
      </c>
      <c r="C1266" s="87">
        <v>5003</v>
      </c>
      <c r="D1266" s="87">
        <v>79</v>
      </c>
      <c r="E1266" s="87">
        <v>1</v>
      </c>
      <c r="F1266" s="86">
        <v>11434</v>
      </c>
      <c r="G1266" s="87">
        <v>17</v>
      </c>
      <c r="H1266" s="87">
        <v>2</v>
      </c>
      <c r="I1266" s="87">
        <v>3</v>
      </c>
      <c r="J1266" s="88">
        <f t="shared" si="180"/>
        <v>0.000199880071956826</v>
      </c>
      <c r="K1266" s="89">
        <f t="shared" si="181"/>
        <v>1499.18</v>
      </c>
      <c r="L1266" s="89">
        <f t="shared" si="182"/>
        <v>299.656206276234</v>
      </c>
      <c r="M1266" s="90">
        <f t="shared" si="183"/>
        <v>7.62683600368201</v>
      </c>
      <c r="N1266" s="66">
        <f t="shared" si="184"/>
        <v>0.0126582278481013</v>
      </c>
      <c r="O1266" s="52">
        <f t="shared" si="185"/>
        <v>11434</v>
      </c>
      <c r="P1266" s="52">
        <f t="shared" si="186"/>
        <v>1499.18</v>
      </c>
      <c r="Q1266" s="68">
        <f t="shared" si="187"/>
        <v>88.1870588235294</v>
      </c>
    </row>
    <row r="1267" s="2" customFormat="1" spans="1:17">
      <c r="A1267" s="91">
        <v>45914</v>
      </c>
      <c r="B1267" s="86">
        <v>1499.31</v>
      </c>
      <c r="C1267" s="87">
        <v>4969</v>
      </c>
      <c r="D1267" s="87">
        <v>96</v>
      </c>
      <c r="E1267" s="87">
        <v>0</v>
      </c>
      <c r="F1267" s="86">
        <v>0</v>
      </c>
      <c r="G1267" s="87">
        <v>19</v>
      </c>
      <c r="H1267" s="87">
        <v>3</v>
      </c>
      <c r="I1267" s="87">
        <v>2</v>
      </c>
      <c r="J1267" s="88">
        <f t="shared" si="180"/>
        <v>0</v>
      </c>
      <c r="K1267" s="89" t="e">
        <f t="shared" si="181"/>
        <v>#DIV/0!</v>
      </c>
      <c r="L1267" s="89">
        <f t="shared" si="182"/>
        <v>301.732743006641</v>
      </c>
      <c r="M1267" s="90">
        <f t="shared" si="183"/>
        <v>0</v>
      </c>
      <c r="N1267" s="66">
        <f t="shared" si="184"/>
        <v>0</v>
      </c>
      <c r="O1267" s="52">
        <f t="shared" si="185"/>
        <v>0</v>
      </c>
      <c r="P1267" s="52">
        <f t="shared" si="186"/>
        <v>0</v>
      </c>
      <c r="Q1267" s="68">
        <f t="shared" si="187"/>
        <v>78.9110526315789</v>
      </c>
    </row>
    <row r="1268" s="2" customFormat="1" spans="1:17">
      <c r="A1268" s="91">
        <v>45915</v>
      </c>
      <c r="B1268" s="86">
        <v>1498.99</v>
      </c>
      <c r="C1268" s="87">
        <v>4691</v>
      </c>
      <c r="D1268" s="87">
        <v>96</v>
      </c>
      <c r="E1268" s="87">
        <v>3</v>
      </c>
      <c r="F1268" s="86">
        <v>16730</v>
      </c>
      <c r="G1268" s="87">
        <v>7</v>
      </c>
      <c r="H1268" s="87">
        <v>2</v>
      </c>
      <c r="I1268" s="87">
        <v>3</v>
      </c>
      <c r="J1268" s="88">
        <f t="shared" si="180"/>
        <v>0.000639522489874227</v>
      </c>
      <c r="K1268" s="89">
        <f t="shared" si="181"/>
        <v>499.663333333333</v>
      </c>
      <c r="L1268" s="89">
        <f t="shared" si="182"/>
        <v>319.545939032189</v>
      </c>
      <c r="M1268" s="90">
        <f t="shared" si="183"/>
        <v>11.160848304525</v>
      </c>
      <c r="N1268" s="66">
        <f t="shared" si="184"/>
        <v>0.03125</v>
      </c>
      <c r="O1268" s="52">
        <f t="shared" si="185"/>
        <v>5576.66666666667</v>
      </c>
      <c r="P1268" s="52">
        <f t="shared" si="186"/>
        <v>499.663333333333</v>
      </c>
      <c r="Q1268" s="68">
        <f t="shared" si="187"/>
        <v>214.141428571429</v>
      </c>
    </row>
    <row r="1269" s="2" customFormat="1" spans="1:17">
      <c r="A1269" s="91">
        <v>45916</v>
      </c>
      <c r="B1269" s="86">
        <v>1499.13</v>
      </c>
      <c r="C1269" s="87">
        <v>4811</v>
      </c>
      <c r="D1269" s="87">
        <v>122</v>
      </c>
      <c r="E1269" s="87">
        <v>1</v>
      </c>
      <c r="F1269" s="86">
        <v>26880</v>
      </c>
      <c r="G1269" s="87">
        <v>25</v>
      </c>
      <c r="H1269" s="87">
        <v>1</v>
      </c>
      <c r="I1269" s="87">
        <v>2</v>
      </c>
      <c r="J1269" s="88">
        <f t="shared" si="180"/>
        <v>0.000207856994387861</v>
      </c>
      <c r="K1269" s="89">
        <f t="shared" si="181"/>
        <v>1499.13</v>
      </c>
      <c r="L1269" s="89">
        <f t="shared" si="182"/>
        <v>311.604655996674</v>
      </c>
      <c r="M1269" s="90">
        <f t="shared" si="183"/>
        <v>17.9303996317864</v>
      </c>
      <c r="N1269" s="66">
        <f t="shared" si="184"/>
        <v>0.00819672131147541</v>
      </c>
      <c r="O1269" s="52">
        <f t="shared" si="185"/>
        <v>26880</v>
      </c>
      <c r="P1269" s="52">
        <f t="shared" si="186"/>
        <v>1499.13</v>
      </c>
      <c r="Q1269" s="68">
        <f t="shared" si="187"/>
        <v>59.9652</v>
      </c>
    </row>
    <row r="1270" s="2" customFormat="1" spans="1:17">
      <c r="A1270" s="91">
        <v>45917</v>
      </c>
      <c r="B1270" s="86">
        <v>1405.38</v>
      </c>
      <c r="C1270" s="87">
        <v>4239</v>
      </c>
      <c r="D1270" s="87">
        <v>122</v>
      </c>
      <c r="E1270" s="87">
        <v>0</v>
      </c>
      <c r="F1270" s="86">
        <v>0</v>
      </c>
      <c r="G1270" s="87">
        <v>26</v>
      </c>
      <c r="H1270" s="87">
        <v>3</v>
      </c>
      <c r="I1270" s="87">
        <v>4</v>
      </c>
      <c r="J1270" s="88">
        <f t="shared" si="180"/>
        <v>0</v>
      </c>
      <c r="K1270" s="89" t="e">
        <f t="shared" si="181"/>
        <v>#DIV/0!</v>
      </c>
      <c r="L1270" s="89">
        <f t="shared" si="182"/>
        <v>331.535739561217</v>
      </c>
      <c r="M1270" s="90">
        <f t="shared" si="183"/>
        <v>0</v>
      </c>
      <c r="N1270" s="66">
        <f t="shared" si="184"/>
        <v>0</v>
      </c>
      <c r="O1270" s="52">
        <f t="shared" si="185"/>
        <v>0</v>
      </c>
      <c r="P1270" s="52">
        <f t="shared" si="186"/>
        <v>0</v>
      </c>
      <c r="Q1270" s="68">
        <f t="shared" si="187"/>
        <v>54.0530769230769</v>
      </c>
    </row>
    <row r="1271" s="2" customFormat="1" spans="1:17">
      <c r="A1271" s="91">
        <v>45918</v>
      </c>
      <c r="B1271" s="86">
        <v>1345.16</v>
      </c>
      <c r="C1271" s="87">
        <v>3990</v>
      </c>
      <c r="D1271" s="87">
        <v>112</v>
      </c>
      <c r="E1271" s="87">
        <v>0</v>
      </c>
      <c r="F1271" s="86">
        <v>0</v>
      </c>
      <c r="G1271" s="87">
        <v>22</v>
      </c>
      <c r="H1271" s="87">
        <v>5</v>
      </c>
      <c r="I1271" s="87">
        <v>3</v>
      </c>
      <c r="J1271" s="88">
        <f t="shared" si="180"/>
        <v>0</v>
      </c>
      <c r="K1271" s="89" t="e">
        <f t="shared" si="181"/>
        <v>#DIV/0!</v>
      </c>
      <c r="L1271" s="89">
        <f t="shared" si="182"/>
        <v>337.132832080201</v>
      </c>
      <c r="M1271" s="90">
        <f t="shared" si="183"/>
        <v>0</v>
      </c>
      <c r="N1271" s="66">
        <f t="shared" si="184"/>
        <v>0</v>
      </c>
      <c r="O1271" s="52">
        <f t="shared" si="185"/>
        <v>0</v>
      </c>
      <c r="P1271" s="52">
        <f t="shared" si="186"/>
        <v>0</v>
      </c>
      <c r="Q1271" s="68">
        <f t="shared" si="187"/>
        <v>61.1436363636364</v>
      </c>
    </row>
    <row r="1272" s="2" customFormat="1" spans="1:17">
      <c r="A1272" s="91">
        <v>45919</v>
      </c>
      <c r="B1272" s="86">
        <v>1307.29</v>
      </c>
      <c r="C1272" s="87">
        <v>4219</v>
      </c>
      <c r="D1272" s="87">
        <v>124</v>
      </c>
      <c r="E1272" s="87">
        <v>0</v>
      </c>
      <c r="F1272" s="86">
        <v>0</v>
      </c>
      <c r="G1272" s="87">
        <v>35</v>
      </c>
      <c r="H1272" s="87">
        <v>7</v>
      </c>
      <c r="I1272" s="87">
        <v>6</v>
      </c>
      <c r="J1272" s="88">
        <f t="shared" si="180"/>
        <v>0</v>
      </c>
      <c r="K1272" s="89" t="e">
        <f t="shared" si="181"/>
        <v>#DIV/0!</v>
      </c>
      <c r="L1272" s="89">
        <f t="shared" si="182"/>
        <v>309.857786205262</v>
      </c>
      <c r="M1272" s="90">
        <f t="shared" si="183"/>
        <v>0</v>
      </c>
      <c r="N1272" s="66">
        <f t="shared" si="184"/>
        <v>0</v>
      </c>
      <c r="O1272" s="52">
        <f t="shared" si="185"/>
        <v>0</v>
      </c>
      <c r="P1272" s="52">
        <f t="shared" si="186"/>
        <v>0</v>
      </c>
      <c r="Q1272" s="68">
        <f t="shared" si="187"/>
        <v>37.3511428571429</v>
      </c>
    </row>
    <row r="1273" s="2" customFormat="1" spans="1:17">
      <c r="A1273" s="91">
        <v>45920</v>
      </c>
      <c r="B1273" s="86">
        <v>1496.22</v>
      </c>
      <c r="C1273" s="87">
        <v>5292</v>
      </c>
      <c r="D1273" s="87">
        <v>106</v>
      </c>
      <c r="E1273" s="87">
        <v>0</v>
      </c>
      <c r="F1273" s="86">
        <v>0</v>
      </c>
      <c r="G1273" s="87">
        <v>27</v>
      </c>
      <c r="H1273" s="87">
        <v>1</v>
      </c>
      <c r="I1273" s="87">
        <v>3</v>
      </c>
      <c r="J1273" s="88">
        <f t="shared" si="180"/>
        <v>0</v>
      </c>
      <c r="K1273" s="89" t="e">
        <f t="shared" si="181"/>
        <v>#DIV/0!</v>
      </c>
      <c r="L1273" s="89">
        <f t="shared" si="182"/>
        <v>282.732426303855</v>
      </c>
      <c r="M1273" s="90">
        <f t="shared" si="183"/>
        <v>0</v>
      </c>
      <c r="N1273" s="66">
        <f t="shared" si="184"/>
        <v>0</v>
      </c>
      <c r="O1273" s="52">
        <f t="shared" si="185"/>
        <v>0</v>
      </c>
      <c r="P1273" s="52">
        <f t="shared" si="186"/>
        <v>0</v>
      </c>
      <c r="Q1273" s="68">
        <f t="shared" si="187"/>
        <v>55.4155555555556</v>
      </c>
    </row>
    <row r="1274" s="2" customFormat="1" spans="1:17">
      <c r="A1274" s="91">
        <v>45921</v>
      </c>
      <c r="B1274" s="86">
        <v>1495.41</v>
      </c>
      <c r="C1274" s="87">
        <v>4751</v>
      </c>
      <c r="D1274" s="87">
        <v>123</v>
      </c>
      <c r="E1274" s="87">
        <v>0</v>
      </c>
      <c r="F1274" s="86">
        <v>0</v>
      </c>
      <c r="G1274" s="87">
        <v>26</v>
      </c>
      <c r="H1274" s="87">
        <v>1</v>
      </c>
      <c r="I1274" s="87">
        <v>2</v>
      </c>
      <c r="J1274" s="88">
        <f t="shared" si="180"/>
        <v>0</v>
      </c>
      <c r="K1274" s="89" t="e">
        <f t="shared" si="181"/>
        <v>#DIV/0!</v>
      </c>
      <c r="L1274" s="89">
        <f t="shared" si="182"/>
        <v>314.756893285624</v>
      </c>
      <c r="M1274" s="90">
        <f t="shared" si="183"/>
        <v>0</v>
      </c>
      <c r="N1274" s="66">
        <f t="shared" si="184"/>
        <v>0</v>
      </c>
      <c r="O1274" s="52">
        <f t="shared" si="185"/>
        <v>0</v>
      </c>
      <c r="P1274" s="52">
        <f t="shared" si="186"/>
        <v>0</v>
      </c>
      <c r="Q1274" s="68">
        <f t="shared" si="187"/>
        <v>57.5157692307692</v>
      </c>
    </row>
    <row r="1275" s="2" customFormat="1" spans="1:17">
      <c r="A1275" s="91">
        <v>45922</v>
      </c>
      <c r="B1275" s="86">
        <v>1357.06</v>
      </c>
      <c r="C1275" s="87">
        <v>4081</v>
      </c>
      <c r="D1275" s="87">
        <v>158</v>
      </c>
      <c r="E1275" s="87">
        <v>3</v>
      </c>
      <c r="F1275" s="86">
        <v>10735</v>
      </c>
      <c r="G1275" s="87">
        <v>43</v>
      </c>
      <c r="H1275" s="87">
        <v>3</v>
      </c>
      <c r="I1275" s="87">
        <v>3</v>
      </c>
      <c r="J1275" s="88">
        <f t="shared" si="180"/>
        <v>0.000735113942661112</v>
      </c>
      <c r="K1275" s="89">
        <f t="shared" si="181"/>
        <v>452.353333333333</v>
      </c>
      <c r="L1275" s="89">
        <f t="shared" si="182"/>
        <v>332.531242342563</v>
      </c>
      <c r="M1275" s="90">
        <f t="shared" si="183"/>
        <v>7.91048295580151</v>
      </c>
      <c r="N1275" s="66">
        <f t="shared" si="184"/>
        <v>0.0189873417721519</v>
      </c>
      <c r="O1275" s="52">
        <f t="shared" si="185"/>
        <v>3578.33333333333</v>
      </c>
      <c r="P1275" s="52">
        <f t="shared" si="186"/>
        <v>452.353333333333</v>
      </c>
      <c r="Q1275" s="68">
        <f t="shared" si="187"/>
        <v>31.5595348837209</v>
      </c>
    </row>
    <row r="1276" s="2" customFormat="1" spans="1:17">
      <c r="A1276" s="91">
        <v>45923</v>
      </c>
      <c r="B1276" s="86">
        <v>1284.35</v>
      </c>
      <c r="C1276" s="87">
        <v>4062</v>
      </c>
      <c r="D1276" s="87">
        <v>114</v>
      </c>
      <c r="E1276" s="87">
        <v>1</v>
      </c>
      <c r="F1276" s="86">
        <v>6407</v>
      </c>
      <c r="G1276" s="87">
        <v>15</v>
      </c>
      <c r="H1276" s="87">
        <v>0</v>
      </c>
      <c r="I1276" s="87">
        <v>5</v>
      </c>
      <c r="J1276" s="88">
        <f t="shared" si="180"/>
        <v>0.000246184145741014</v>
      </c>
      <c r="K1276" s="89">
        <f t="shared" si="181"/>
        <v>1284.35</v>
      </c>
      <c r="L1276" s="89">
        <f t="shared" si="182"/>
        <v>316.186607582472</v>
      </c>
      <c r="M1276" s="90">
        <f t="shared" si="183"/>
        <v>4.98851559154436</v>
      </c>
      <c r="N1276" s="66">
        <f t="shared" si="184"/>
        <v>0.0087719298245614</v>
      </c>
      <c r="O1276" s="52">
        <f t="shared" si="185"/>
        <v>6407</v>
      </c>
      <c r="P1276" s="52">
        <f t="shared" si="186"/>
        <v>1284.35</v>
      </c>
      <c r="Q1276" s="68">
        <f t="shared" si="187"/>
        <v>85.6233333333333</v>
      </c>
    </row>
    <row r="1277" s="2" customFormat="1" spans="1:17">
      <c r="A1277" s="91">
        <v>45924</v>
      </c>
      <c r="B1277" s="86">
        <v>1303.46</v>
      </c>
      <c r="C1277" s="87">
        <v>4148</v>
      </c>
      <c r="D1277" s="87">
        <v>114</v>
      </c>
      <c r="E1277" s="87">
        <v>2</v>
      </c>
      <c r="F1277" s="86">
        <v>34356</v>
      </c>
      <c r="G1277" s="87">
        <v>29</v>
      </c>
      <c r="H1277" s="87">
        <v>2</v>
      </c>
      <c r="I1277" s="87">
        <v>4</v>
      </c>
      <c r="J1277" s="88">
        <f t="shared" si="180"/>
        <v>0.000482160077145612</v>
      </c>
      <c r="K1277" s="89">
        <f t="shared" si="181"/>
        <v>651.73</v>
      </c>
      <c r="L1277" s="89">
        <f t="shared" si="182"/>
        <v>314.23818707811</v>
      </c>
      <c r="M1277" s="90">
        <f t="shared" si="183"/>
        <v>26.3575406993694</v>
      </c>
      <c r="N1277" s="66">
        <f t="shared" si="184"/>
        <v>0.0175438596491228</v>
      </c>
      <c r="O1277" s="52">
        <f t="shared" si="185"/>
        <v>17178</v>
      </c>
      <c r="P1277" s="52">
        <f t="shared" si="186"/>
        <v>651.73</v>
      </c>
      <c r="Q1277" s="68">
        <f t="shared" si="187"/>
        <v>44.9468965517241</v>
      </c>
    </row>
    <row r="1278" s="2" customFormat="1" spans="1:17">
      <c r="A1278" s="91">
        <v>45925</v>
      </c>
      <c r="B1278" s="86">
        <v>1976</v>
      </c>
      <c r="C1278" s="87">
        <v>5950</v>
      </c>
      <c r="D1278" s="87">
        <v>171</v>
      </c>
      <c r="E1278" s="87">
        <v>1</v>
      </c>
      <c r="F1278" s="86">
        <v>1</v>
      </c>
      <c r="G1278" s="87">
        <v>40</v>
      </c>
      <c r="H1278" s="87">
        <v>4</v>
      </c>
      <c r="I1278" s="87">
        <v>9</v>
      </c>
      <c r="J1278" s="88">
        <f t="shared" si="180"/>
        <v>0.000168067226890756</v>
      </c>
      <c r="K1278" s="89">
        <f t="shared" si="181"/>
        <v>1976</v>
      </c>
      <c r="L1278" s="89">
        <f t="shared" si="182"/>
        <v>332.100840336134</v>
      </c>
      <c r="M1278" s="90">
        <f t="shared" si="183"/>
        <v>0.000506072874493927</v>
      </c>
      <c r="N1278" s="66">
        <f t="shared" si="184"/>
        <v>0.00584795321637427</v>
      </c>
      <c r="O1278" s="52">
        <f t="shared" si="185"/>
        <v>1</v>
      </c>
      <c r="P1278" s="52">
        <f t="shared" si="186"/>
        <v>1976</v>
      </c>
      <c r="Q1278" s="68">
        <f t="shared" si="187"/>
        <v>49.4</v>
      </c>
    </row>
    <row r="1279" s="2" customFormat="1" spans="1:17">
      <c r="A1279" s="91">
        <v>45926</v>
      </c>
      <c r="B1279" s="86">
        <v>1905.57</v>
      </c>
      <c r="C1279" s="87">
        <v>6090</v>
      </c>
      <c r="D1279" s="87">
        <v>150</v>
      </c>
      <c r="E1279" s="87">
        <v>1</v>
      </c>
      <c r="F1279" s="86">
        <v>6086</v>
      </c>
      <c r="G1279" s="87">
        <v>34</v>
      </c>
      <c r="H1279" s="87">
        <v>3</v>
      </c>
      <c r="I1279" s="87">
        <v>6</v>
      </c>
      <c r="J1279" s="88">
        <f t="shared" si="180"/>
        <v>0.000164203612479475</v>
      </c>
      <c r="K1279" s="89">
        <f t="shared" si="181"/>
        <v>1905.57</v>
      </c>
      <c r="L1279" s="89">
        <f t="shared" si="182"/>
        <v>312.901477832512</v>
      </c>
      <c r="M1279" s="90">
        <f t="shared" si="183"/>
        <v>3.19379503245748</v>
      </c>
      <c r="N1279" s="66">
        <f t="shared" si="184"/>
        <v>0.00666666666666667</v>
      </c>
      <c r="O1279" s="52">
        <f t="shared" si="185"/>
        <v>6086</v>
      </c>
      <c r="P1279" s="52">
        <f t="shared" si="186"/>
        <v>1905.57</v>
      </c>
      <c r="Q1279" s="68">
        <f t="shared" si="187"/>
        <v>56.0461764705882</v>
      </c>
    </row>
    <row r="1280" s="2" customFormat="1" spans="1:17">
      <c r="A1280" s="91">
        <v>45927</v>
      </c>
      <c r="B1280" s="86">
        <v>2728.92</v>
      </c>
      <c r="C1280" s="87">
        <v>9297</v>
      </c>
      <c r="D1280" s="87">
        <v>198</v>
      </c>
      <c r="E1280" s="87">
        <v>0</v>
      </c>
      <c r="F1280" s="86">
        <v>0</v>
      </c>
      <c r="G1280" s="87">
        <v>43</v>
      </c>
      <c r="H1280" s="87">
        <v>2</v>
      </c>
      <c r="I1280" s="87">
        <v>6</v>
      </c>
      <c r="J1280" s="88">
        <f t="shared" si="180"/>
        <v>0</v>
      </c>
      <c r="K1280" s="89" t="e">
        <f t="shared" si="181"/>
        <v>#DIV/0!</v>
      </c>
      <c r="L1280" s="89">
        <f t="shared" si="182"/>
        <v>293.526944175541</v>
      </c>
      <c r="M1280" s="90">
        <f t="shared" si="183"/>
        <v>0</v>
      </c>
      <c r="N1280" s="66">
        <f t="shared" si="184"/>
        <v>0</v>
      </c>
      <c r="O1280" s="52">
        <f t="shared" si="185"/>
        <v>0</v>
      </c>
      <c r="P1280" s="52">
        <f t="shared" si="186"/>
        <v>0</v>
      </c>
      <c r="Q1280" s="68">
        <f t="shared" si="187"/>
        <v>63.4632558139535</v>
      </c>
    </row>
    <row r="1281" s="2" customFormat="1" spans="1:17">
      <c r="A1281" s="91">
        <v>45928</v>
      </c>
      <c r="B1281" s="86">
        <v>2059.17</v>
      </c>
      <c r="C1281" s="87">
        <v>6576</v>
      </c>
      <c r="D1281" s="87">
        <v>150</v>
      </c>
      <c r="E1281" s="87">
        <v>1</v>
      </c>
      <c r="F1281" s="86">
        <v>6046</v>
      </c>
      <c r="G1281" s="87">
        <v>43</v>
      </c>
      <c r="H1281" s="87">
        <v>2</v>
      </c>
      <c r="I1281" s="87">
        <v>3</v>
      </c>
      <c r="J1281" s="88">
        <f t="shared" si="180"/>
        <v>0.000152068126520681</v>
      </c>
      <c r="K1281" s="89">
        <f t="shared" si="181"/>
        <v>2059.17</v>
      </c>
      <c r="L1281" s="89">
        <f t="shared" si="182"/>
        <v>313.134124087591</v>
      </c>
      <c r="M1281" s="90">
        <f t="shared" si="183"/>
        <v>2.9361344619434</v>
      </c>
      <c r="N1281" s="66">
        <f t="shared" si="184"/>
        <v>0.00666666666666667</v>
      </c>
      <c r="O1281" s="52">
        <f t="shared" si="185"/>
        <v>6046</v>
      </c>
      <c r="P1281" s="52">
        <f t="shared" si="186"/>
        <v>2059.17</v>
      </c>
      <c r="Q1281" s="68">
        <f t="shared" si="187"/>
        <v>47.8876744186047</v>
      </c>
    </row>
    <row r="1282" s="2" customFormat="1" spans="1:17">
      <c r="A1282" s="91">
        <v>45929</v>
      </c>
      <c r="B1282" s="86">
        <v>1487.8</v>
      </c>
      <c r="C1282" s="87">
        <v>4711</v>
      </c>
      <c r="D1282" s="87">
        <v>97</v>
      </c>
      <c r="E1282" s="87">
        <v>2</v>
      </c>
      <c r="F1282" s="86">
        <v>23058</v>
      </c>
      <c r="G1282" s="87">
        <v>19</v>
      </c>
      <c r="H1282" s="87">
        <v>3</v>
      </c>
      <c r="I1282" s="87">
        <v>6</v>
      </c>
      <c r="J1282" s="88">
        <f t="shared" si="180"/>
        <v>0.000424538314582891</v>
      </c>
      <c r="K1282" s="89">
        <f t="shared" si="181"/>
        <v>743.9</v>
      </c>
      <c r="L1282" s="89">
        <f t="shared" si="182"/>
        <v>315.814052218213</v>
      </c>
      <c r="M1282" s="90">
        <f t="shared" si="183"/>
        <v>15.4980508132814</v>
      </c>
      <c r="N1282" s="66">
        <f t="shared" si="184"/>
        <v>0.0206185567010309</v>
      </c>
      <c r="O1282" s="52">
        <f t="shared" si="185"/>
        <v>11529</v>
      </c>
      <c r="P1282" s="52">
        <f t="shared" si="186"/>
        <v>743.9</v>
      </c>
      <c r="Q1282" s="68">
        <f t="shared" si="187"/>
        <v>78.3052631578947</v>
      </c>
    </row>
    <row r="1283" s="2" customFormat="1" spans="1:17">
      <c r="A1283" s="91">
        <v>45930</v>
      </c>
      <c r="B1283" s="86">
        <v>1481.25</v>
      </c>
      <c r="C1283" s="87">
        <v>4909</v>
      </c>
      <c r="D1283" s="87">
        <v>88</v>
      </c>
      <c r="E1283" s="87">
        <v>1</v>
      </c>
      <c r="F1283" s="86">
        <v>9772</v>
      </c>
      <c r="G1283" s="87">
        <v>22</v>
      </c>
      <c r="H1283" s="87">
        <v>0</v>
      </c>
      <c r="I1283" s="87">
        <v>3</v>
      </c>
      <c r="J1283" s="88">
        <f t="shared" si="180"/>
        <v>0.000203707476064372</v>
      </c>
      <c r="K1283" s="89">
        <f t="shared" si="181"/>
        <v>1481.25</v>
      </c>
      <c r="L1283" s="89">
        <f t="shared" si="182"/>
        <v>301.74169892035</v>
      </c>
      <c r="M1283" s="90">
        <f t="shared" si="183"/>
        <v>6.59713080168776</v>
      </c>
      <c r="N1283" s="66">
        <f t="shared" si="184"/>
        <v>0.0113636363636364</v>
      </c>
      <c r="O1283" s="52">
        <f t="shared" si="185"/>
        <v>9772</v>
      </c>
      <c r="P1283" s="52">
        <f t="shared" si="186"/>
        <v>1481.25</v>
      </c>
      <c r="Q1283" s="68">
        <f t="shared" si="187"/>
        <v>67.3295454545455</v>
      </c>
    </row>
    <row r="1284" s="2" customFormat="1" spans="1:17">
      <c r="A1284" s="91">
        <v>45931</v>
      </c>
      <c r="B1284" s="86">
        <v>1499.14</v>
      </c>
      <c r="C1284" s="87">
        <v>5180</v>
      </c>
      <c r="D1284" s="87">
        <v>82</v>
      </c>
      <c r="E1284" s="87">
        <v>2</v>
      </c>
      <c r="F1284" s="86">
        <v>40689</v>
      </c>
      <c r="G1284" s="87">
        <v>15</v>
      </c>
      <c r="H1284" s="87">
        <v>1</v>
      </c>
      <c r="I1284" s="87">
        <v>2</v>
      </c>
      <c r="J1284" s="88">
        <f t="shared" si="180"/>
        <v>0.000386100386100386</v>
      </c>
      <c r="K1284" s="89">
        <f t="shared" si="181"/>
        <v>749.57</v>
      </c>
      <c r="L1284" s="89">
        <f t="shared" si="182"/>
        <v>289.409266409266</v>
      </c>
      <c r="M1284" s="90">
        <f t="shared" si="183"/>
        <v>27.1415611617327</v>
      </c>
      <c r="N1284" s="66">
        <f t="shared" si="184"/>
        <v>0.024390243902439</v>
      </c>
      <c r="O1284" s="52">
        <f t="shared" si="185"/>
        <v>20344.5</v>
      </c>
      <c r="P1284" s="52">
        <f t="shared" si="186"/>
        <v>749.57</v>
      </c>
      <c r="Q1284" s="68">
        <f t="shared" si="187"/>
        <v>99.9426666666667</v>
      </c>
    </row>
    <row r="1285" s="2" customFormat="1" spans="1:17">
      <c r="A1285" s="91">
        <v>45932</v>
      </c>
      <c r="B1285" s="86">
        <v>1498.15</v>
      </c>
      <c r="C1285" s="87">
        <v>5263</v>
      </c>
      <c r="D1285" s="87">
        <v>94</v>
      </c>
      <c r="E1285" s="87">
        <v>0</v>
      </c>
      <c r="F1285" s="86">
        <v>0</v>
      </c>
      <c r="G1285" s="87">
        <v>26</v>
      </c>
      <c r="H1285" s="87">
        <v>3</v>
      </c>
      <c r="I1285" s="87">
        <v>4</v>
      </c>
      <c r="J1285" s="88">
        <f t="shared" si="180"/>
        <v>0</v>
      </c>
      <c r="K1285" s="89" t="e">
        <f t="shared" si="181"/>
        <v>#DIV/0!</v>
      </c>
      <c r="L1285" s="89">
        <f t="shared" si="182"/>
        <v>284.657039711191</v>
      </c>
      <c r="M1285" s="90">
        <f t="shared" si="183"/>
        <v>0</v>
      </c>
      <c r="N1285" s="66">
        <f t="shared" si="184"/>
        <v>0</v>
      </c>
      <c r="O1285" s="52">
        <f t="shared" si="185"/>
        <v>0</v>
      </c>
      <c r="P1285" s="52">
        <f t="shared" si="186"/>
        <v>0</v>
      </c>
      <c r="Q1285" s="68">
        <f t="shared" si="187"/>
        <v>57.6211538461539</v>
      </c>
    </row>
    <row r="1286" s="2" customFormat="1" spans="1:17">
      <c r="A1286" s="91">
        <v>45933</v>
      </c>
      <c r="B1286" s="86">
        <v>1664.75</v>
      </c>
      <c r="C1286" s="87">
        <v>5744</v>
      </c>
      <c r="D1286" s="87">
        <v>128</v>
      </c>
      <c r="E1286" s="87">
        <v>0</v>
      </c>
      <c r="F1286" s="86">
        <v>0</v>
      </c>
      <c r="G1286" s="87">
        <v>26</v>
      </c>
      <c r="H1286" s="87">
        <v>6</v>
      </c>
      <c r="I1286" s="87">
        <v>4</v>
      </c>
      <c r="J1286" s="88">
        <f t="shared" si="180"/>
        <v>0</v>
      </c>
      <c r="K1286" s="89" t="e">
        <f t="shared" si="181"/>
        <v>#DIV/0!</v>
      </c>
      <c r="L1286" s="89">
        <f t="shared" si="182"/>
        <v>289.824164345404</v>
      </c>
      <c r="M1286" s="90">
        <f t="shared" si="183"/>
        <v>0</v>
      </c>
      <c r="N1286" s="66">
        <f t="shared" si="184"/>
        <v>0</v>
      </c>
      <c r="O1286" s="52">
        <f t="shared" si="185"/>
        <v>0</v>
      </c>
      <c r="P1286" s="52">
        <f t="shared" si="186"/>
        <v>0</v>
      </c>
      <c r="Q1286" s="68">
        <f t="shared" si="187"/>
        <v>64.0288461538462</v>
      </c>
    </row>
    <row r="1287" s="2" customFormat="1" spans="1:17">
      <c r="A1287" s="91">
        <v>45934</v>
      </c>
      <c r="B1287" s="86">
        <v>1997.33</v>
      </c>
      <c r="C1287" s="87">
        <v>6667</v>
      </c>
      <c r="D1287" s="87">
        <v>153</v>
      </c>
      <c r="E1287" s="87">
        <v>0</v>
      </c>
      <c r="F1287" s="86">
        <v>0</v>
      </c>
      <c r="G1287" s="87">
        <v>26</v>
      </c>
      <c r="H1287" s="87">
        <v>6</v>
      </c>
      <c r="I1287" s="87">
        <v>5</v>
      </c>
      <c r="J1287" s="88">
        <f t="shared" si="180"/>
        <v>0</v>
      </c>
      <c r="K1287" s="89" t="e">
        <f t="shared" si="181"/>
        <v>#DIV/0!</v>
      </c>
      <c r="L1287" s="89">
        <f t="shared" si="182"/>
        <v>299.584520773961</v>
      </c>
      <c r="M1287" s="90">
        <f t="shared" si="183"/>
        <v>0</v>
      </c>
      <c r="N1287" s="66">
        <f t="shared" si="184"/>
        <v>0</v>
      </c>
      <c r="O1287" s="52">
        <f t="shared" si="185"/>
        <v>0</v>
      </c>
      <c r="P1287" s="52">
        <f t="shared" si="186"/>
        <v>0</v>
      </c>
      <c r="Q1287" s="68">
        <f t="shared" si="187"/>
        <v>76.8203846153846</v>
      </c>
    </row>
    <row r="1288" s="2" customFormat="1" spans="1:17">
      <c r="A1288" s="91">
        <v>45935</v>
      </c>
      <c r="B1288" s="86">
        <v>1996.28</v>
      </c>
      <c r="C1288" s="87">
        <v>6686</v>
      </c>
      <c r="D1288" s="87">
        <v>155</v>
      </c>
      <c r="E1288" s="87">
        <v>2</v>
      </c>
      <c r="F1288" s="86">
        <v>13273</v>
      </c>
      <c r="G1288" s="87">
        <v>35</v>
      </c>
      <c r="H1288" s="87">
        <v>5</v>
      </c>
      <c r="I1288" s="87">
        <v>6</v>
      </c>
      <c r="J1288" s="88">
        <f t="shared" si="180"/>
        <v>0.000299132515704457</v>
      </c>
      <c r="K1288" s="89">
        <f t="shared" si="181"/>
        <v>998.14</v>
      </c>
      <c r="L1288" s="89">
        <f t="shared" si="182"/>
        <v>298.576129225247</v>
      </c>
      <c r="M1288" s="90">
        <f t="shared" si="183"/>
        <v>6.6488668924199</v>
      </c>
      <c r="N1288" s="66">
        <f t="shared" si="184"/>
        <v>0.0129032258064516</v>
      </c>
      <c r="O1288" s="52">
        <f t="shared" si="185"/>
        <v>6636.5</v>
      </c>
      <c r="P1288" s="52">
        <f t="shared" si="186"/>
        <v>998.14</v>
      </c>
      <c r="Q1288" s="68">
        <f t="shared" si="187"/>
        <v>57.0365714285714</v>
      </c>
    </row>
    <row r="1289" s="2" customFormat="1" spans="1:17">
      <c r="A1289" s="91">
        <v>45936</v>
      </c>
      <c r="B1289" s="86">
        <v>1998.55</v>
      </c>
      <c r="C1289" s="87">
        <v>6256</v>
      </c>
      <c r="D1289" s="87">
        <v>180</v>
      </c>
      <c r="E1289" s="87">
        <v>4</v>
      </c>
      <c r="F1289" s="86">
        <v>30695</v>
      </c>
      <c r="G1289" s="87">
        <v>64</v>
      </c>
      <c r="H1289" s="87">
        <v>9</v>
      </c>
      <c r="I1289" s="87">
        <v>7</v>
      </c>
      <c r="J1289" s="88">
        <f t="shared" si="180"/>
        <v>0.000639386189258312</v>
      </c>
      <c r="K1289" s="89">
        <f t="shared" si="181"/>
        <v>499.6375</v>
      </c>
      <c r="L1289" s="89">
        <f t="shared" si="182"/>
        <v>319.46131713555</v>
      </c>
      <c r="M1289" s="90">
        <f t="shared" si="183"/>
        <v>15.3586350103825</v>
      </c>
      <c r="N1289" s="66">
        <f t="shared" si="184"/>
        <v>0.0222222222222222</v>
      </c>
      <c r="O1289" s="52">
        <f t="shared" si="185"/>
        <v>7673.75</v>
      </c>
      <c r="P1289" s="52">
        <f t="shared" si="186"/>
        <v>499.6375</v>
      </c>
      <c r="Q1289" s="68">
        <f t="shared" si="187"/>
        <v>31.22734375</v>
      </c>
    </row>
    <row r="1290" s="2" customFormat="1" spans="1:17">
      <c r="A1290" s="91">
        <v>45937</v>
      </c>
      <c r="B1290" s="86">
        <v>1998.28</v>
      </c>
      <c r="C1290" s="87">
        <v>5725</v>
      </c>
      <c r="D1290" s="87">
        <v>227</v>
      </c>
      <c r="E1290" s="87">
        <v>0</v>
      </c>
      <c r="F1290" s="86">
        <v>0</v>
      </c>
      <c r="G1290" s="87">
        <v>53</v>
      </c>
      <c r="H1290" s="87">
        <v>6</v>
      </c>
      <c r="I1290" s="87">
        <v>10</v>
      </c>
      <c r="J1290" s="88">
        <f t="shared" si="180"/>
        <v>0</v>
      </c>
      <c r="K1290" s="89" t="e">
        <f t="shared" si="181"/>
        <v>#DIV/0!</v>
      </c>
      <c r="L1290" s="89">
        <f t="shared" si="182"/>
        <v>349.044541484716</v>
      </c>
      <c r="M1290" s="90">
        <f t="shared" si="183"/>
        <v>0</v>
      </c>
      <c r="N1290" s="66">
        <f t="shared" si="184"/>
        <v>0</v>
      </c>
      <c r="O1290" s="52">
        <f t="shared" si="185"/>
        <v>0</v>
      </c>
      <c r="P1290" s="52">
        <f t="shared" si="186"/>
        <v>0</v>
      </c>
      <c r="Q1290" s="68">
        <f t="shared" si="187"/>
        <v>37.7033962264151</v>
      </c>
    </row>
    <row r="1291" s="2" customFormat="1" spans="1:17">
      <c r="A1291" s="91">
        <v>45938</v>
      </c>
      <c r="B1291" s="86">
        <v>1998.45</v>
      </c>
      <c r="C1291" s="87">
        <v>5196</v>
      </c>
      <c r="D1291" s="87">
        <v>278</v>
      </c>
      <c r="E1291" s="87">
        <v>7</v>
      </c>
      <c r="F1291" s="86">
        <v>75598</v>
      </c>
      <c r="G1291" s="87">
        <v>80</v>
      </c>
      <c r="H1291" s="87">
        <v>5</v>
      </c>
      <c r="I1291" s="87">
        <v>11</v>
      </c>
      <c r="J1291" s="88">
        <f t="shared" si="180"/>
        <v>0.00134719014626636</v>
      </c>
      <c r="K1291" s="89">
        <f t="shared" si="181"/>
        <v>285.492857142857</v>
      </c>
      <c r="L1291" s="89">
        <f t="shared" si="182"/>
        <v>384.613163972286</v>
      </c>
      <c r="M1291" s="90">
        <f t="shared" si="183"/>
        <v>37.8283169456329</v>
      </c>
      <c r="N1291" s="66">
        <f t="shared" si="184"/>
        <v>0.0251798561151079</v>
      </c>
      <c r="O1291" s="52">
        <f t="shared" si="185"/>
        <v>10799.7142857143</v>
      </c>
      <c r="P1291" s="52">
        <f t="shared" si="186"/>
        <v>285.492857142857</v>
      </c>
      <c r="Q1291" s="68">
        <f t="shared" si="187"/>
        <v>24.980625</v>
      </c>
    </row>
    <row r="1292" s="2" customFormat="1" spans="1:17">
      <c r="A1292" s="91">
        <v>45939</v>
      </c>
      <c r="B1292" s="86">
        <v>2458.58</v>
      </c>
      <c r="C1292" s="87">
        <v>5585</v>
      </c>
      <c r="D1292" s="87">
        <v>398</v>
      </c>
      <c r="E1292" s="87">
        <v>4</v>
      </c>
      <c r="F1292" s="86">
        <v>35672</v>
      </c>
      <c r="G1292" s="87">
        <v>145</v>
      </c>
      <c r="H1292" s="87">
        <v>9</v>
      </c>
      <c r="I1292" s="87">
        <v>18</v>
      </c>
      <c r="J1292" s="88">
        <f t="shared" si="180"/>
        <v>0.00071620411817368</v>
      </c>
      <c r="K1292" s="89">
        <f t="shared" si="181"/>
        <v>614.645</v>
      </c>
      <c r="L1292" s="89">
        <f t="shared" si="182"/>
        <v>440.211280214861</v>
      </c>
      <c r="M1292" s="90">
        <f t="shared" si="183"/>
        <v>14.5091882306047</v>
      </c>
      <c r="N1292" s="66">
        <f t="shared" si="184"/>
        <v>0.0100502512562814</v>
      </c>
      <c r="O1292" s="52">
        <f t="shared" si="185"/>
        <v>8918</v>
      </c>
      <c r="P1292" s="52">
        <f t="shared" si="186"/>
        <v>614.645</v>
      </c>
      <c r="Q1292" s="68">
        <f t="shared" si="187"/>
        <v>16.955724137931</v>
      </c>
    </row>
    <row r="1293" s="2" customFormat="1" spans="1:17">
      <c r="A1293" s="91">
        <v>45940</v>
      </c>
      <c r="B1293" s="86">
        <v>2435.82</v>
      </c>
      <c r="C1293" s="87">
        <v>5946</v>
      </c>
      <c r="D1293" s="87">
        <v>337</v>
      </c>
      <c r="E1293" s="87">
        <v>2</v>
      </c>
      <c r="F1293" s="86">
        <v>2</v>
      </c>
      <c r="G1293" s="87">
        <v>111</v>
      </c>
      <c r="H1293" s="87">
        <v>9</v>
      </c>
      <c r="I1293" s="87">
        <v>17</v>
      </c>
      <c r="J1293" s="88">
        <f t="shared" si="180"/>
        <v>0.000336360578540195</v>
      </c>
      <c r="K1293" s="89">
        <f t="shared" si="181"/>
        <v>1217.91</v>
      </c>
      <c r="L1293" s="89">
        <f t="shared" si="182"/>
        <v>409.656912209889</v>
      </c>
      <c r="M1293" s="90">
        <f t="shared" si="183"/>
        <v>0.00082107873323973</v>
      </c>
      <c r="N1293" s="66">
        <f t="shared" si="184"/>
        <v>0.00593471810089021</v>
      </c>
      <c r="O1293" s="52">
        <f t="shared" si="185"/>
        <v>1</v>
      </c>
      <c r="P1293" s="52">
        <f t="shared" si="186"/>
        <v>1217.91</v>
      </c>
      <c r="Q1293" s="68">
        <f t="shared" si="187"/>
        <v>21.9443243243243</v>
      </c>
    </row>
    <row r="1294" s="2" customFormat="1" spans="1:17">
      <c r="A1294" s="91">
        <v>45941</v>
      </c>
      <c r="B1294" s="86">
        <v>2443.89</v>
      </c>
      <c r="C1294" s="87">
        <v>6554</v>
      </c>
      <c r="D1294" s="87">
        <v>281</v>
      </c>
      <c r="E1294" s="87">
        <v>3</v>
      </c>
      <c r="F1294" s="86">
        <v>26919</v>
      </c>
      <c r="G1294" s="87">
        <v>109</v>
      </c>
      <c r="H1294" s="87">
        <v>8</v>
      </c>
      <c r="I1294" s="87">
        <v>11</v>
      </c>
      <c r="J1294" s="88">
        <f t="shared" si="180"/>
        <v>0.00045773573390296</v>
      </c>
      <c r="K1294" s="89">
        <f t="shared" si="181"/>
        <v>814.63</v>
      </c>
      <c r="L1294" s="89">
        <f t="shared" si="182"/>
        <v>372.885260909368</v>
      </c>
      <c r="M1294" s="90">
        <f t="shared" si="183"/>
        <v>11.0148165424794</v>
      </c>
      <c r="N1294" s="66">
        <f t="shared" si="184"/>
        <v>0.0106761565836299</v>
      </c>
      <c r="O1294" s="52">
        <f t="shared" si="185"/>
        <v>8973</v>
      </c>
      <c r="P1294" s="52">
        <f t="shared" si="186"/>
        <v>814.63</v>
      </c>
      <c r="Q1294" s="68">
        <f t="shared" si="187"/>
        <v>22.4210091743119</v>
      </c>
    </row>
    <row r="1295" s="2" customFormat="1" spans="1:17">
      <c r="A1295" s="91">
        <v>45942</v>
      </c>
      <c r="B1295" s="86">
        <v>1254.23</v>
      </c>
      <c r="C1295" s="87">
        <v>3696</v>
      </c>
      <c r="D1295" s="87">
        <v>135</v>
      </c>
      <c r="E1295" s="87">
        <v>1</v>
      </c>
      <c r="F1295" s="86">
        <v>8844</v>
      </c>
      <c r="G1295" s="87">
        <v>40</v>
      </c>
      <c r="H1295" s="87">
        <v>6</v>
      </c>
      <c r="I1295" s="87">
        <v>3</v>
      </c>
      <c r="J1295" s="88">
        <f t="shared" si="180"/>
        <v>0.000270562770562771</v>
      </c>
      <c r="K1295" s="89">
        <f t="shared" si="181"/>
        <v>1254.23</v>
      </c>
      <c r="L1295" s="89">
        <f t="shared" si="182"/>
        <v>339.347943722944</v>
      </c>
      <c r="M1295" s="90">
        <f t="shared" si="183"/>
        <v>7.05133827128995</v>
      </c>
      <c r="N1295" s="66">
        <f t="shared" si="184"/>
        <v>0.00740740740740741</v>
      </c>
      <c r="O1295" s="52">
        <f t="shared" si="185"/>
        <v>8844</v>
      </c>
      <c r="P1295" s="52">
        <f t="shared" si="186"/>
        <v>1254.23</v>
      </c>
      <c r="Q1295" s="68">
        <f t="shared" si="187"/>
        <v>31.35575</v>
      </c>
    </row>
    <row r="1296" s="2" customFormat="1" spans="1:17">
      <c r="A1296" s="91">
        <v>45943</v>
      </c>
      <c r="B1296" s="86">
        <v>1561.95</v>
      </c>
      <c r="C1296" s="87">
        <v>4884</v>
      </c>
      <c r="D1296" s="87">
        <v>145</v>
      </c>
      <c r="E1296" s="87">
        <v>2</v>
      </c>
      <c r="F1296" s="86">
        <v>39685</v>
      </c>
      <c r="G1296" s="87">
        <v>38</v>
      </c>
      <c r="H1296" s="87">
        <v>7</v>
      </c>
      <c r="I1296" s="87">
        <v>9</v>
      </c>
      <c r="J1296" s="88">
        <f t="shared" si="180"/>
        <v>0.00040950040950041</v>
      </c>
      <c r="K1296" s="89">
        <f t="shared" si="181"/>
        <v>780.975</v>
      </c>
      <c r="L1296" s="89">
        <f t="shared" si="182"/>
        <v>319.809582309582</v>
      </c>
      <c r="M1296" s="90">
        <f t="shared" si="183"/>
        <v>25.4073433848715</v>
      </c>
      <c r="N1296" s="66">
        <f t="shared" si="184"/>
        <v>0.0137931034482759</v>
      </c>
      <c r="O1296" s="52">
        <f t="shared" si="185"/>
        <v>19842.5</v>
      </c>
      <c r="P1296" s="52">
        <f t="shared" si="186"/>
        <v>780.975</v>
      </c>
      <c r="Q1296" s="68">
        <f t="shared" si="187"/>
        <v>41.1039473684211</v>
      </c>
    </row>
    <row r="1297" s="2" customFormat="1" spans="1:17">
      <c r="A1297" s="91">
        <v>45944</v>
      </c>
      <c r="B1297" s="86">
        <v>2925.71</v>
      </c>
      <c r="C1297" s="87">
        <v>6919</v>
      </c>
      <c r="D1297" s="87">
        <v>378</v>
      </c>
      <c r="E1297" s="87">
        <v>3</v>
      </c>
      <c r="F1297" s="86">
        <v>3856</v>
      </c>
      <c r="G1297" s="87">
        <v>130</v>
      </c>
      <c r="H1297" s="87">
        <v>11</v>
      </c>
      <c r="I1297" s="87">
        <v>15</v>
      </c>
      <c r="J1297" s="88">
        <f t="shared" si="180"/>
        <v>0.000433588668882787</v>
      </c>
      <c r="K1297" s="89">
        <f t="shared" si="181"/>
        <v>975.236666666667</v>
      </c>
      <c r="L1297" s="89">
        <f t="shared" si="182"/>
        <v>422.851568145686</v>
      </c>
      <c r="M1297" s="90">
        <f t="shared" si="183"/>
        <v>1.31797068062111</v>
      </c>
      <c r="N1297" s="66">
        <f t="shared" si="184"/>
        <v>0.00793650793650794</v>
      </c>
      <c r="O1297" s="52">
        <f t="shared" si="185"/>
        <v>1285.33333333333</v>
      </c>
      <c r="P1297" s="52">
        <f t="shared" si="186"/>
        <v>975.236666666667</v>
      </c>
      <c r="Q1297" s="68">
        <f t="shared" si="187"/>
        <v>22.5054615384615</v>
      </c>
    </row>
    <row r="1298" s="2" customFormat="1" spans="1:17">
      <c r="A1298" s="91">
        <v>45945</v>
      </c>
      <c r="B1298" s="86">
        <v>2945.68</v>
      </c>
      <c r="C1298" s="87">
        <v>6033</v>
      </c>
      <c r="D1298" s="87">
        <v>431</v>
      </c>
      <c r="E1298" s="87">
        <v>9</v>
      </c>
      <c r="F1298" s="86">
        <v>108365</v>
      </c>
      <c r="G1298" s="87">
        <v>187</v>
      </c>
      <c r="H1298" s="87">
        <v>17</v>
      </c>
      <c r="I1298" s="87">
        <v>23</v>
      </c>
      <c r="J1298" s="88">
        <f t="shared" si="180"/>
        <v>0.00149179512680259</v>
      </c>
      <c r="K1298" s="89">
        <f t="shared" si="181"/>
        <v>327.297777777778</v>
      </c>
      <c r="L1298" s="89">
        <f t="shared" si="182"/>
        <v>488.261229902204</v>
      </c>
      <c r="M1298" s="90">
        <f t="shared" si="183"/>
        <v>36.7877705657098</v>
      </c>
      <c r="N1298" s="66">
        <f t="shared" si="184"/>
        <v>0.0208816705336427</v>
      </c>
      <c r="O1298" s="52">
        <f t="shared" si="185"/>
        <v>12040.5555555556</v>
      </c>
      <c r="P1298" s="52">
        <f t="shared" si="186"/>
        <v>327.297777777778</v>
      </c>
      <c r="Q1298" s="68">
        <f t="shared" si="187"/>
        <v>15.7522994652406</v>
      </c>
    </row>
    <row r="1299" s="2" customFormat="1" spans="1:17">
      <c r="A1299" s="91">
        <v>45946</v>
      </c>
      <c r="B1299" s="86">
        <v>3313.15</v>
      </c>
      <c r="C1299" s="87">
        <v>6556</v>
      </c>
      <c r="D1299" s="87">
        <v>478</v>
      </c>
      <c r="E1299" s="87">
        <v>4</v>
      </c>
      <c r="F1299" s="86">
        <v>24008</v>
      </c>
      <c r="G1299" s="87">
        <v>153</v>
      </c>
      <c r="H1299" s="87">
        <v>9</v>
      </c>
      <c r="I1299" s="87">
        <v>18</v>
      </c>
      <c r="J1299" s="88">
        <f t="shared" si="180"/>
        <v>0.00061012812690665</v>
      </c>
      <c r="K1299" s="89">
        <f t="shared" si="181"/>
        <v>828.2875</v>
      </c>
      <c r="L1299" s="89">
        <f t="shared" si="182"/>
        <v>505.361500915192</v>
      </c>
      <c r="M1299" s="90">
        <f t="shared" si="183"/>
        <v>7.24627620240557</v>
      </c>
      <c r="N1299" s="66">
        <f t="shared" si="184"/>
        <v>0.00836820083682008</v>
      </c>
      <c r="O1299" s="52">
        <f t="shared" si="185"/>
        <v>6002</v>
      </c>
      <c r="P1299" s="52">
        <f t="shared" si="186"/>
        <v>828.2875</v>
      </c>
      <c r="Q1299" s="68">
        <f t="shared" si="187"/>
        <v>21.6545751633987</v>
      </c>
    </row>
    <row r="1300" s="2" customFormat="1" spans="1:17">
      <c r="A1300" s="91">
        <v>45947</v>
      </c>
      <c r="B1300" s="86">
        <v>3583.72</v>
      </c>
      <c r="C1300" s="87">
        <v>7927</v>
      </c>
      <c r="D1300" s="87">
        <v>412</v>
      </c>
      <c r="E1300" s="87">
        <v>4</v>
      </c>
      <c r="F1300" s="86">
        <v>4</v>
      </c>
      <c r="G1300" s="87">
        <v>160</v>
      </c>
      <c r="H1300" s="87">
        <v>20</v>
      </c>
      <c r="I1300" s="87">
        <v>21</v>
      </c>
      <c r="J1300" s="88">
        <f t="shared" si="180"/>
        <v>0.00050460451621042</v>
      </c>
      <c r="K1300" s="89">
        <f t="shared" si="181"/>
        <v>895.93</v>
      </c>
      <c r="L1300" s="89">
        <f t="shared" si="182"/>
        <v>452.090324208402</v>
      </c>
      <c r="M1300" s="90">
        <f t="shared" si="183"/>
        <v>0.00111615862846428</v>
      </c>
      <c r="N1300" s="66">
        <f t="shared" si="184"/>
        <v>0.00970873786407767</v>
      </c>
      <c r="O1300" s="52">
        <f t="shared" si="185"/>
        <v>1</v>
      </c>
      <c r="P1300" s="52">
        <f t="shared" si="186"/>
        <v>895.93</v>
      </c>
      <c r="Q1300" s="68">
        <f t="shared" si="187"/>
        <v>22.39825</v>
      </c>
    </row>
    <row r="1301" s="2" customFormat="1" spans="1:17">
      <c r="A1301" s="91">
        <v>45948</v>
      </c>
      <c r="B1301" s="86">
        <v>3837.7</v>
      </c>
      <c r="C1301" s="87">
        <v>10075</v>
      </c>
      <c r="D1301" s="87">
        <v>335</v>
      </c>
      <c r="E1301" s="87">
        <v>3</v>
      </c>
      <c r="F1301" s="86">
        <v>43940</v>
      </c>
      <c r="G1301" s="87">
        <v>104</v>
      </c>
      <c r="H1301" s="87">
        <v>10</v>
      </c>
      <c r="I1301" s="87">
        <v>14</v>
      </c>
      <c r="J1301" s="88">
        <f t="shared" si="180"/>
        <v>0.000297766749379653</v>
      </c>
      <c r="K1301" s="89">
        <f t="shared" si="181"/>
        <v>1279.23333333333</v>
      </c>
      <c r="L1301" s="89">
        <f t="shared" si="182"/>
        <v>380.913151364764</v>
      </c>
      <c r="M1301" s="90">
        <f t="shared" si="183"/>
        <v>11.4495661463898</v>
      </c>
      <c r="N1301" s="66">
        <f t="shared" si="184"/>
        <v>0.00895522388059702</v>
      </c>
      <c r="O1301" s="52">
        <f t="shared" si="185"/>
        <v>14646.6666666667</v>
      </c>
      <c r="P1301" s="52">
        <f t="shared" si="186"/>
        <v>1279.23333333333</v>
      </c>
      <c r="Q1301" s="68">
        <f t="shared" si="187"/>
        <v>36.9009615384615</v>
      </c>
    </row>
    <row r="1302" s="2" customFormat="1" spans="1:17">
      <c r="A1302" s="91">
        <v>45949</v>
      </c>
      <c r="B1302" s="86">
        <v>2882.19</v>
      </c>
      <c r="C1302" s="87">
        <v>7253</v>
      </c>
      <c r="D1302" s="87">
        <v>277</v>
      </c>
      <c r="E1302" s="87">
        <v>5</v>
      </c>
      <c r="F1302" s="86">
        <v>42286</v>
      </c>
      <c r="G1302" s="87">
        <v>62</v>
      </c>
      <c r="H1302" s="87">
        <v>5</v>
      </c>
      <c r="I1302" s="87">
        <v>20</v>
      </c>
      <c r="J1302" s="88">
        <f t="shared" si="180"/>
        <v>0.00068936991589687</v>
      </c>
      <c r="K1302" s="89">
        <f t="shared" si="181"/>
        <v>576.438</v>
      </c>
      <c r="L1302" s="89">
        <f t="shared" si="182"/>
        <v>397.37901557976</v>
      </c>
      <c r="M1302" s="90">
        <f t="shared" si="183"/>
        <v>14.6714824491099</v>
      </c>
      <c r="N1302" s="66">
        <f t="shared" si="184"/>
        <v>0.0180505415162455</v>
      </c>
      <c r="O1302" s="52">
        <f t="shared" si="185"/>
        <v>8457.2</v>
      </c>
      <c r="P1302" s="52">
        <f t="shared" si="186"/>
        <v>576.438</v>
      </c>
      <c r="Q1302" s="68">
        <f t="shared" si="187"/>
        <v>46.486935483871</v>
      </c>
    </row>
    <row r="1303" s="2" customFormat="1" spans="1:17">
      <c r="A1303" s="91">
        <v>45950</v>
      </c>
      <c r="B1303" s="86">
        <v>3248.15</v>
      </c>
      <c r="C1303" s="87">
        <v>6977</v>
      </c>
      <c r="D1303" s="87">
        <v>372</v>
      </c>
      <c r="E1303" s="87">
        <v>26</v>
      </c>
      <c r="F1303" s="86">
        <v>224722</v>
      </c>
      <c r="G1303" s="87">
        <v>131</v>
      </c>
      <c r="H1303" s="87">
        <v>13</v>
      </c>
      <c r="I1303" s="87">
        <v>26</v>
      </c>
      <c r="J1303" s="88">
        <f t="shared" si="180"/>
        <v>0.00372653002723233</v>
      </c>
      <c r="K1303" s="89">
        <f t="shared" si="181"/>
        <v>124.928846153846</v>
      </c>
      <c r="L1303" s="89">
        <f t="shared" si="182"/>
        <v>465.551096459796</v>
      </c>
      <c r="M1303" s="90">
        <f t="shared" si="183"/>
        <v>69.1846127795822</v>
      </c>
      <c r="N1303" s="66">
        <f t="shared" si="184"/>
        <v>0.0698924731182796</v>
      </c>
      <c r="O1303" s="52">
        <f t="shared" si="185"/>
        <v>8643.15384615385</v>
      </c>
      <c r="P1303" s="52">
        <f t="shared" si="186"/>
        <v>124.928846153846</v>
      </c>
      <c r="Q1303" s="68">
        <f t="shared" si="187"/>
        <v>24.7950381679389</v>
      </c>
    </row>
    <row r="1304" s="2" customFormat="1" spans="1:17">
      <c r="A1304" s="91">
        <v>45951</v>
      </c>
      <c r="B1304" s="86">
        <v>3168.59</v>
      </c>
      <c r="C1304" s="87">
        <v>6988</v>
      </c>
      <c r="D1304" s="87">
        <v>312</v>
      </c>
      <c r="E1304" s="87">
        <v>17</v>
      </c>
      <c r="F1304" s="86">
        <v>128812</v>
      </c>
      <c r="G1304" s="87">
        <v>116</v>
      </c>
      <c r="H1304" s="87">
        <v>4</v>
      </c>
      <c r="I1304" s="87">
        <v>26</v>
      </c>
      <c r="J1304" s="88">
        <f t="shared" si="180"/>
        <v>0.0024327418431597</v>
      </c>
      <c r="K1304" s="89">
        <f t="shared" si="181"/>
        <v>186.387647058824</v>
      </c>
      <c r="L1304" s="89">
        <f t="shared" si="182"/>
        <v>453.433028048082</v>
      </c>
      <c r="M1304" s="90">
        <f t="shared" si="183"/>
        <v>40.6527824679116</v>
      </c>
      <c r="N1304" s="66">
        <f t="shared" si="184"/>
        <v>0.0544871794871795</v>
      </c>
      <c r="O1304" s="52">
        <f t="shared" si="185"/>
        <v>7577.17647058824</v>
      </c>
      <c r="P1304" s="52">
        <f t="shared" si="186"/>
        <v>186.387647058824</v>
      </c>
      <c r="Q1304" s="68">
        <f t="shared" si="187"/>
        <v>27.3154310344828</v>
      </c>
    </row>
    <row r="1305" s="2" customFormat="1" spans="1:17">
      <c r="A1305" s="91">
        <v>45952</v>
      </c>
      <c r="B1305" s="86">
        <v>3043.38</v>
      </c>
      <c r="C1305" s="87">
        <v>7056</v>
      </c>
      <c r="D1305" s="87">
        <v>239</v>
      </c>
      <c r="E1305" s="87">
        <v>21</v>
      </c>
      <c r="F1305" s="86">
        <v>167013</v>
      </c>
      <c r="G1305" s="87">
        <v>119</v>
      </c>
      <c r="H1305" s="87">
        <v>9</v>
      </c>
      <c r="I1305" s="87">
        <v>19</v>
      </c>
      <c r="J1305" s="88">
        <f t="shared" si="180"/>
        <v>0.00297619047619048</v>
      </c>
      <c r="K1305" s="89">
        <f t="shared" si="181"/>
        <v>144.922857142857</v>
      </c>
      <c r="L1305" s="89">
        <f t="shared" si="182"/>
        <v>431.318027210884</v>
      </c>
      <c r="M1305" s="90">
        <f t="shared" si="183"/>
        <v>54.8774717583739</v>
      </c>
      <c r="N1305" s="66">
        <f t="shared" si="184"/>
        <v>0.0878661087866109</v>
      </c>
      <c r="O1305" s="52">
        <f t="shared" si="185"/>
        <v>7953</v>
      </c>
      <c r="P1305" s="52">
        <f t="shared" si="186"/>
        <v>144.922857142857</v>
      </c>
      <c r="Q1305" s="68">
        <f t="shared" si="187"/>
        <v>25.5746218487395</v>
      </c>
    </row>
    <row r="1306" s="2" customFormat="1" spans="1:17">
      <c r="A1306" s="91">
        <v>45953</v>
      </c>
      <c r="B1306" s="86">
        <v>3151.08</v>
      </c>
      <c r="C1306" s="87">
        <v>7124</v>
      </c>
      <c r="D1306" s="87">
        <v>323</v>
      </c>
      <c r="E1306" s="87">
        <v>6</v>
      </c>
      <c r="F1306" s="86">
        <v>65611</v>
      </c>
      <c r="G1306" s="87">
        <v>90</v>
      </c>
      <c r="H1306" s="87">
        <v>8</v>
      </c>
      <c r="I1306" s="87">
        <v>20</v>
      </c>
      <c r="J1306" s="88">
        <f t="shared" si="180"/>
        <v>0.000842223469960696</v>
      </c>
      <c r="K1306" s="89">
        <f t="shared" si="181"/>
        <v>525.18</v>
      </c>
      <c r="L1306" s="89">
        <f t="shared" si="182"/>
        <v>442.318921953958</v>
      </c>
      <c r="M1306" s="90">
        <f t="shared" si="183"/>
        <v>20.8217500031735</v>
      </c>
      <c r="N1306" s="66">
        <f t="shared" si="184"/>
        <v>0.0185758513931889</v>
      </c>
      <c r="O1306" s="52">
        <f t="shared" si="185"/>
        <v>10935.1666666667</v>
      </c>
      <c r="P1306" s="52">
        <f t="shared" si="186"/>
        <v>525.18</v>
      </c>
      <c r="Q1306" s="68">
        <f t="shared" si="187"/>
        <v>35.012</v>
      </c>
    </row>
    <row r="1307" s="2" customFormat="1" spans="1:17">
      <c r="A1307" s="91">
        <v>45954</v>
      </c>
      <c r="B1307" s="86">
        <v>2930.98</v>
      </c>
      <c r="C1307" s="87">
        <v>6973</v>
      </c>
      <c r="D1307" s="87">
        <v>227</v>
      </c>
      <c r="E1307" s="87">
        <v>6</v>
      </c>
      <c r="F1307" s="86">
        <v>53863</v>
      </c>
      <c r="G1307" s="87">
        <v>77</v>
      </c>
      <c r="H1307" s="87">
        <v>6</v>
      </c>
      <c r="I1307" s="87">
        <v>9</v>
      </c>
      <c r="J1307" s="88">
        <f t="shared" si="180"/>
        <v>0.000860461781155887</v>
      </c>
      <c r="K1307" s="89">
        <f t="shared" si="181"/>
        <v>488.496666666667</v>
      </c>
      <c r="L1307" s="89">
        <f t="shared" si="182"/>
        <v>420.332711888714</v>
      </c>
      <c r="M1307" s="90">
        <f t="shared" si="183"/>
        <v>18.3771298337075</v>
      </c>
      <c r="N1307" s="66">
        <f t="shared" si="184"/>
        <v>0.026431718061674</v>
      </c>
      <c r="O1307" s="52">
        <f t="shared" si="185"/>
        <v>8977.16666666667</v>
      </c>
      <c r="P1307" s="52">
        <f t="shared" si="186"/>
        <v>488.496666666667</v>
      </c>
      <c r="Q1307" s="68">
        <f t="shared" si="187"/>
        <v>38.0646753246753</v>
      </c>
    </row>
    <row r="1308" s="2" customFormat="1" spans="1:17">
      <c r="A1308" s="91">
        <v>45955</v>
      </c>
      <c r="B1308" s="86">
        <v>3588.49</v>
      </c>
      <c r="C1308" s="87">
        <v>9572</v>
      </c>
      <c r="D1308" s="87">
        <v>245</v>
      </c>
      <c r="E1308" s="87">
        <v>11</v>
      </c>
      <c r="F1308" s="86">
        <v>112924</v>
      </c>
      <c r="G1308" s="87">
        <v>74</v>
      </c>
      <c r="H1308" s="87">
        <v>10</v>
      </c>
      <c r="I1308" s="87">
        <v>11</v>
      </c>
      <c r="J1308" s="88">
        <f t="shared" si="180"/>
        <v>0.00114918512327622</v>
      </c>
      <c r="K1308" s="89">
        <f t="shared" si="181"/>
        <v>326.226363636364</v>
      </c>
      <c r="L1308" s="89">
        <f t="shared" si="182"/>
        <v>374.894483911408</v>
      </c>
      <c r="M1308" s="90">
        <f t="shared" si="183"/>
        <v>31.4683892110609</v>
      </c>
      <c r="N1308" s="66">
        <f t="shared" si="184"/>
        <v>0.0448979591836735</v>
      </c>
      <c r="O1308" s="52">
        <f t="shared" si="185"/>
        <v>10265.8181818182</v>
      </c>
      <c r="P1308" s="52">
        <f t="shared" si="186"/>
        <v>326.226363636364</v>
      </c>
      <c r="Q1308" s="68">
        <f t="shared" si="187"/>
        <v>48.4931081081081</v>
      </c>
    </row>
    <row r="1309" s="2" customFormat="1" spans="1:17">
      <c r="A1309" s="91">
        <v>45956</v>
      </c>
      <c r="B1309" s="86">
        <v>3455.65</v>
      </c>
      <c r="C1309" s="87">
        <v>8672</v>
      </c>
      <c r="D1309" s="87">
        <v>289</v>
      </c>
      <c r="E1309" s="87">
        <v>10</v>
      </c>
      <c r="F1309" s="86">
        <v>96929</v>
      </c>
      <c r="G1309" s="87">
        <v>100</v>
      </c>
      <c r="H1309" s="87">
        <v>3</v>
      </c>
      <c r="I1309" s="87">
        <v>20</v>
      </c>
      <c r="J1309" s="88">
        <f t="shared" si="180"/>
        <v>0.00115313653136531</v>
      </c>
      <c r="K1309" s="89">
        <f t="shared" si="181"/>
        <v>345.565</v>
      </c>
      <c r="L1309" s="89">
        <f t="shared" si="182"/>
        <v>398.483625461255</v>
      </c>
      <c r="M1309" s="90">
        <f t="shared" si="183"/>
        <v>28.0494263018535</v>
      </c>
      <c r="N1309" s="66">
        <f t="shared" si="184"/>
        <v>0.0346020761245675</v>
      </c>
      <c r="O1309" s="52">
        <f t="shared" si="185"/>
        <v>9692.9</v>
      </c>
      <c r="P1309" s="52">
        <f t="shared" si="186"/>
        <v>345.565</v>
      </c>
      <c r="Q1309" s="68">
        <f t="shared" si="187"/>
        <v>34.5565</v>
      </c>
    </row>
    <row r="1310" s="2" customFormat="1" spans="1:17">
      <c r="A1310" s="91">
        <v>45957</v>
      </c>
      <c r="B1310" s="86">
        <v>2681.36</v>
      </c>
      <c r="C1310" s="87">
        <v>6248</v>
      </c>
      <c r="D1310" s="87">
        <v>251</v>
      </c>
      <c r="E1310" s="87">
        <v>10</v>
      </c>
      <c r="F1310" s="86">
        <v>79130</v>
      </c>
      <c r="G1310" s="87">
        <v>76</v>
      </c>
      <c r="H1310" s="87">
        <v>4</v>
      </c>
      <c r="I1310" s="87">
        <v>8</v>
      </c>
      <c r="J1310" s="88">
        <f t="shared" si="180"/>
        <v>0.00160051216389245</v>
      </c>
      <c r="K1310" s="89">
        <f t="shared" si="181"/>
        <v>268.136</v>
      </c>
      <c r="L1310" s="89">
        <f t="shared" si="182"/>
        <v>429.154929577465</v>
      </c>
      <c r="M1310" s="90">
        <f t="shared" si="183"/>
        <v>29.5111435987708</v>
      </c>
      <c r="N1310" s="66">
        <f t="shared" si="184"/>
        <v>0.0398406374501992</v>
      </c>
      <c r="O1310" s="52">
        <f t="shared" si="185"/>
        <v>7913</v>
      </c>
      <c r="P1310" s="52">
        <f t="shared" si="186"/>
        <v>268.136</v>
      </c>
      <c r="Q1310" s="68">
        <f t="shared" si="187"/>
        <v>35.281052631579</v>
      </c>
    </row>
    <row r="1311" s="2" customFormat="1" spans="1:17">
      <c r="A1311" s="91">
        <v>45958</v>
      </c>
      <c r="B1311" s="86">
        <v>2430.03</v>
      </c>
      <c r="C1311" s="87">
        <v>5904</v>
      </c>
      <c r="D1311" s="87">
        <v>229</v>
      </c>
      <c r="E1311" s="87">
        <v>5</v>
      </c>
      <c r="F1311" s="86">
        <v>45308</v>
      </c>
      <c r="G1311" s="87">
        <v>65</v>
      </c>
      <c r="H1311" s="87">
        <v>3</v>
      </c>
      <c r="I1311" s="87">
        <v>8</v>
      </c>
      <c r="J1311" s="88">
        <f t="shared" ref="J1311:J1353" si="188">E1311/C1311</f>
        <v>0.000846883468834688</v>
      </c>
      <c r="K1311" s="89">
        <f t="shared" ref="K1311:K1353" si="189">B1311/E1311</f>
        <v>486.006</v>
      </c>
      <c r="L1311" s="89">
        <f t="shared" ref="L1311:L1353" si="190">B1311/C1311*1000</f>
        <v>411.590447154472</v>
      </c>
      <c r="M1311" s="90">
        <f t="shared" si="183"/>
        <v>18.6450373040662</v>
      </c>
      <c r="N1311" s="66">
        <f t="shared" si="184"/>
        <v>0.0218340611353712</v>
      </c>
      <c r="O1311" s="52">
        <f t="shared" si="185"/>
        <v>9061.6</v>
      </c>
      <c r="P1311" s="52">
        <f t="shared" si="186"/>
        <v>486.006</v>
      </c>
      <c r="Q1311" s="68">
        <f t="shared" si="187"/>
        <v>37.3850769230769</v>
      </c>
    </row>
    <row r="1312" s="2" customFormat="1" spans="1:17">
      <c r="A1312" s="91">
        <v>45959</v>
      </c>
      <c r="B1312" s="86">
        <v>2431.09</v>
      </c>
      <c r="C1312" s="87">
        <v>5810</v>
      </c>
      <c r="D1312" s="87">
        <v>202</v>
      </c>
      <c r="E1312" s="87">
        <v>5</v>
      </c>
      <c r="F1312" s="86">
        <v>37626</v>
      </c>
      <c r="G1312" s="87">
        <v>47</v>
      </c>
      <c r="H1312" s="87">
        <v>4</v>
      </c>
      <c r="I1312" s="87">
        <v>11</v>
      </c>
      <c r="J1312" s="88">
        <f t="shared" si="188"/>
        <v>0.000860585197934596</v>
      </c>
      <c r="K1312" s="89">
        <f t="shared" si="189"/>
        <v>486.218</v>
      </c>
      <c r="L1312" s="89">
        <f t="shared" si="190"/>
        <v>418.432013769363</v>
      </c>
      <c r="M1312" s="90">
        <f t="shared" si="183"/>
        <v>15.4770082555561</v>
      </c>
      <c r="N1312" s="66">
        <f t="shared" si="184"/>
        <v>0.0247524752475248</v>
      </c>
      <c r="O1312" s="52">
        <f t="shared" si="185"/>
        <v>7525.2</v>
      </c>
      <c r="P1312" s="52">
        <f t="shared" si="186"/>
        <v>486.218</v>
      </c>
      <c r="Q1312" s="68">
        <f t="shared" si="187"/>
        <v>51.7253191489362</v>
      </c>
    </row>
    <row r="1313" s="2" customFormat="1" spans="1:17">
      <c r="A1313" s="91">
        <v>45960</v>
      </c>
      <c r="B1313" s="86">
        <v>2416.89</v>
      </c>
      <c r="C1313" s="87">
        <v>5994</v>
      </c>
      <c r="D1313" s="87">
        <v>200</v>
      </c>
      <c r="E1313" s="87">
        <v>5</v>
      </c>
      <c r="F1313" s="86">
        <v>34594</v>
      </c>
      <c r="G1313" s="87">
        <v>61</v>
      </c>
      <c r="H1313" s="87">
        <v>3</v>
      </c>
      <c r="I1313" s="87">
        <v>8</v>
      </c>
      <c r="J1313" s="88">
        <f t="shared" si="188"/>
        <v>0.000834167500834167</v>
      </c>
      <c r="K1313" s="89">
        <f t="shared" si="189"/>
        <v>483.378</v>
      </c>
      <c r="L1313" s="89">
        <f t="shared" si="190"/>
        <v>403.218218218218</v>
      </c>
      <c r="M1313" s="90">
        <f t="shared" si="183"/>
        <v>14.3134358617893</v>
      </c>
      <c r="N1313" s="66">
        <f t="shared" si="184"/>
        <v>0.025</v>
      </c>
      <c r="O1313" s="52">
        <f t="shared" si="185"/>
        <v>6918.8</v>
      </c>
      <c r="P1313" s="52">
        <f t="shared" si="186"/>
        <v>483.378</v>
      </c>
      <c r="Q1313" s="68">
        <f t="shared" si="187"/>
        <v>39.6211475409836</v>
      </c>
    </row>
    <row r="1314" s="2" customFormat="1" spans="1:17">
      <c r="A1314" s="91">
        <v>45961</v>
      </c>
      <c r="B1314" s="86">
        <v>2415.78</v>
      </c>
      <c r="C1314" s="87">
        <v>6054</v>
      </c>
      <c r="D1314" s="87">
        <v>183</v>
      </c>
      <c r="E1314" s="87">
        <v>3</v>
      </c>
      <c r="F1314" s="86">
        <v>30569</v>
      </c>
      <c r="G1314" s="87">
        <v>49</v>
      </c>
      <c r="H1314" s="87">
        <v>9</v>
      </c>
      <c r="I1314" s="87">
        <v>7</v>
      </c>
      <c r="J1314" s="88">
        <f t="shared" si="188"/>
        <v>0.000495540138751239</v>
      </c>
      <c r="K1314" s="89">
        <f t="shared" si="189"/>
        <v>805.26</v>
      </c>
      <c r="L1314" s="89">
        <f t="shared" si="190"/>
        <v>399.038652130823</v>
      </c>
      <c r="M1314" s="90">
        <f t="shared" si="183"/>
        <v>12.6538840457326</v>
      </c>
      <c r="N1314" s="66">
        <f t="shared" si="184"/>
        <v>0.0163934426229508</v>
      </c>
      <c r="O1314" s="52">
        <f t="shared" si="185"/>
        <v>10189.6666666667</v>
      </c>
      <c r="P1314" s="52">
        <f t="shared" si="186"/>
        <v>805.26</v>
      </c>
      <c r="Q1314" s="68">
        <f t="shared" si="187"/>
        <v>49.3016326530612</v>
      </c>
    </row>
    <row r="1315" s="2" customFormat="1" spans="1:17">
      <c r="A1315" s="91">
        <v>45962</v>
      </c>
      <c r="B1315" s="86">
        <v>2375.62</v>
      </c>
      <c r="C1315" s="87">
        <v>6552</v>
      </c>
      <c r="D1315" s="87">
        <v>129</v>
      </c>
      <c r="E1315" s="87">
        <v>4</v>
      </c>
      <c r="F1315" s="86">
        <v>38562</v>
      </c>
      <c r="G1315" s="87">
        <v>31</v>
      </c>
      <c r="H1315" s="87">
        <v>6</v>
      </c>
      <c r="I1315" s="87">
        <v>7</v>
      </c>
      <c r="J1315" s="88">
        <f t="shared" si="188"/>
        <v>0.00061050061050061</v>
      </c>
      <c r="K1315" s="89">
        <f t="shared" si="189"/>
        <v>593.905</v>
      </c>
      <c r="L1315" s="89">
        <f t="shared" si="190"/>
        <v>362.579365079365</v>
      </c>
      <c r="M1315" s="90">
        <f t="shared" si="183"/>
        <v>16.2323940697586</v>
      </c>
      <c r="N1315" s="66">
        <f t="shared" si="184"/>
        <v>0.0310077519379845</v>
      </c>
      <c r="O1315" s="52">
        <f t="shared" si="185"/>
        <v>9640.5</v>
      </c>
      <c r="P1315" s="52">
        <f t="shared" si="186"/>
        <v>593.905</v>
      </c>
      <c r="Q1315" s="68">
        <f t="shared" si="187"/>
        <v>76.6329032258064</v>
      </c>
    </row>
    <row r="1316" s="2" customFormat="1" spans="1:17">
      <c r="A1316" s="91">
        <v>45963</v>
      </c>
      <c r="B1316" s="86">
        <v>2411.32</v>
      </c>
      <c r="C1316" s="87">
        <v>6475</v>
      </c>
      <c r="D1316" s="87">
        <v>176</v>
      </c>
      <c r="E1316" s="87">
        <v>3</v>
      </c>
      <c r="F1316" s="86">
        <v>37604</v>
      </c>
      <c r="G1316" s="87">
        <v>37</v>
      </c>
      <c r="H1316" s="87">
        <v>1</v>
      </c>
      <c r="I1316" s="87">
        <v>7</v>
      </c>
      <c r="J1316" s="88">
        <f t="shared" si="188"/>
        <v>0.000463320463320463</v>
      </c>
      <c r="K1316" s="89">
        <f t="shared" si="189"/>
        <v>803.773333333333</v>
      </c>
      <c r="L1316" s="89">
        <f t="shared" si="190"/>
        <v>372.404633204633</v>
      </c>
      <c r="M1316" s="90">
        <f t="shared" si="183"/>
        <v>15.5947779639368</v>
      </c>
      <c r="N1316" s="66">
        <f t="shared" si="184"/>
        <v>0.0170454545454545</v>
      </c>
      <c r="O1316" s="52">
        <f t="shared" si="185"/>
        <v>12534.6666666667</v>
      </c>
      <c r="P1316" s="52">
        <f t="shared" si="186"/>
        <v>803.773333333333</v>
      </c>
      <c r="Q1316" s="68">
        <f t="shared" si="187"/>
        <v>65.1708108108108</v>
      </c>
    </row>
    <row r="1317" s="2" customFormat="1" spans="1:17">
      <c r="A1317" s="91">
        <v>45964</v>
      </c>
      <c r="B1317" s="86">
        <v>2412.84</v>
      </c>
      <c r="C1317" s="87">
        <v>5936</v>
      </c>
      <c r="D1317" s="87">
        <v>168</v>
      </c>
      <c r="E1317" s="87">
        <v>10</v>
      </c>
      <c r="F1317" s="86">
        <v>60733</v>
      </c>
      <c r="G1317" s="87">
        <v>44</v>
      </c>
      <c r="H1317" s="87">
        <v>2</v>
      </c>
      <c r="I1317" s="87">
        <v>10</v>
      </c>
      <c r="J1317" s="88">
        <f t="shared" si="188"/>
        <v>0.00168463611859838</v>
      </c>
      <c r="K1317" s="89">
        <f t="shared" si="189"/>
        <v>241.284</v>
      </c>
      <c r="L1317" s="89">
        <f t="shared" si="190"/>
        <v>406.475741239892</v>
      </c>
      <c r="M1317" s="90">
        <f t="shared" si="183"/>
        <v>25.1707531373817</v>
      </c>
      <c r="N1317" s="66">
        <f t="shared" si="184"/>
        <v>0.0595238095238095</v>
      </c>
      <c r="O1317" s="52">
        <f t="shared" si="185"/>
        <v>6073.3</v>
      </c>
      <c r="P1317" s="52">
        <f t="shared" si="186"/>
        <v>241.284</v>
      </c>
      <c r="Q1317" s="68">
        <f t="shared" si="187"/>
        <v>54.8372727272727</v>
      </c>
    </row>
    <row r="1318" s="2" customFormat="1" spans="1:17">
      <c r="A1318" s="91">
        <v>45965</v>
      </c>
      <c r="B1318" s="86">
        <v>2841.81</v>
      </c>
      <c r="C1318" s="87">
        <v>6912</v>
      </c>
      <c r="D1318" s="87">
        <v>256</v>
      </c>
      <c r="E1318" s="87">
        <v>13</v>
      </c>
      <c r="F1318" s="86">
        <v>99641</v>
      </c>
      <c r="G1318" s="87">
        <v>62</v>
      </c>
      <c r="H1318" s="87">
        <v>8</v>
      </c>
      <c r="I1318" s="87">
        <v>5</v>
      </c>
      <c r="J1318" s="88">
        <f t="shared" si="188"/>
        <v>0.00188078703703704</v>
      </c>
      <c r="K1318" s="89">
        <f t="shared" si="189"/>
        <v>218.600769230769</v>
      </c>
      <c r="L1318" s="89">
        <f t="shared" si="190"/>
        <v>411.141493055556</v>
      </c>
      <c r="M1318" s="90">
        <f t="shared" ref="M1318:M1353" si="191">F1318/B1318</f>
        <v>35.0625129758851</v>
      </c>
      <c r="N1318" s="66">
        <f t="shared" ref="N1318:N1381" si="192">E1318/D1318</f>
        <v>0.05078125</v>
      </c>
      <c r="O1318" s="52">
        <f t="shared" ref="O1318:O1381" si="193">IF(E1318=0,0,F1318/E1318)</f>
        <v>7664.69230769231</v>
      </c>
      <c r="P1318" s="52">
        <f t="shared" ref="P1318:P1381" si="194">IF(E1318=0,0,B1318/E1318)</f>
        <v>218.600769230769</v>
      </c>
      <c r="Q1318" s="68">
        <f t="shared" ref="Q1318:Q1381" si="195">B1318/G1318</f>
        <v>45.8356451612903</v>
      </c>
    </row>
    <row r="1319" s="2" customFormat="1" spans="1:17">
      <c r="A1319" s="91">
        <v>45966</v>
      </c>
      <c r="B1319" s="86">
        <v>2738.68</v>
      </c>
      <c r="C1319" s="92">
        <v>6708</v>
      </c>
      <c r="D1319" s="87">
        <v>225</v>
      </c>
      <c r="E1319" s="87">
        <v>8</v>
      </c>
      <c r="F1319" s="86">
        <v>43936</v>
      </c>
      <c r="G1319" s="87">
        <v>43</v>
      </c>
      <c r="H1319" s="87">
        <v>3</v>
      </c>
      <c r="I1319" s="87">
        <v>8</v>
      </c>
      <c r="J1319" s="88">
        <f t="shared" si="188"/>
        <v>0.00119260584376863</v>
      </c>
      <c r="K1319" s="89">
        <f t="shared" si="189"/>
        <v>342.335</v>
      </c>
      <c r="L1319" s="89">
        <f t="shared" si="190"/>
        <v>408.270721526535</v>
      </c>
      <c r="M1319" s="90">
        <f t="shared" si="191"/>
        <v>16.0427651277258</v>
      </c>
      <c r="N1319" s="66">
        <f t="shared" si="192"/>
        <v>0.0355555555555556</v>
      </c>
      <c r="O1319" s="52">
        <f t="shared" si="193"/>
        <v>5492</v>
      </c>
      <c r="P1319" s="52">
        <f t="shared" si="194"/>
        <v>342.335</v>
      </c>
      <c r="Q1319" s="68">
        <f t="shared" si="195"/>
        <v>63.6902325581395</v>
      </c>
    </row>
    <row r="1320" s="2" customFormat="1" spans="1:17">
      <c r="A1320" s="91">
        <v>45967</v>
      </c>
      <c r="B1320" s="86">
        <v>2772.92</v>
      </c>
      <c r="C1320" s="87">
        <v>7072</v>
      </c>
      <c r="D1320" s="87">
        <v>172</v>
      </c>
      <c r="E1320" s="87">
        <v>8</v>
      </c>
      <c r="F1320" s="86">
        <v>108951</v>
      </c>
      <c r="G1320" s="87">
        <v>54</v>
      </c>
      <c r="H1320" s="87">
        <v>2</v>
      </c>
      <c r="I1320" s="87">
        <v>12</v>
      </c>
      <c r="J1320" s="88">
        <f t="shared" si="188"/>
        <v>0.00113122171945701</v>
      </c>
      <c r="K1320" s="89">
        <f t="shared" si="189"/>
        <v>346.615</v>
      </c>
      <c r="L1320" s="89">
        <f t="shared" si="190"/>
        <v>392.098416289593</v>
      </c>
      <c r="M1320" s="90">
        <f t="shared" si="191"/>
        <v>39.2910722271108</v>
      </c>
      <c r="N1320" s="66">
        <f t="shared" si="192"/>
        <v>0.0465116279069767</v>
      </c>
      <c r="O1320" s="52">
        <f t="shared" si="193"/>
        <v>13618.875</v>
      </c>
      <c r="P1320" s="52">
        <f t="shared" si="194"/>
        <v>346.615</v>
      </c>
      <c r="Q1320" s="68">
        <f t="shared" si="195"/>
        <v>51.3503703703704</v>
      </c>
    </row>
    <row r="1321" s="2" customFormat="1" spans="1:17">
      <c r="A1321" s="91">
        <v>45968</v>
      </c>
      <c r="B1321" s="86">
        <v>2883.23</v>
      </c>
      <c r="C1321" s="87">
        <v>7353</v>
      </c>
      <c r="D1321" s="87">
        <v>191</v>
      </c>
      <c r="E1321" s="87">
        <v>8</v>
      </c>
      <c r="F1321" s="86">
        <v>73999</v>
      </c>
      <c r="G1321" s="87">
        <v>52</v>
      </c>
      <c r="H1321" s="87">
        <v>6</v>
      </c>
      <c r="I1321" s="87">
        <v>11</v>
      </c>
      <c r="J1321" s="88">
        <f t="shared" si="188"/>
        <v>0.00108799129606963</v>
      </c>
      <c r="K1321" s="89">
        <f t="shared" si="189"/>
        <v>360.40375</v>
      </c>
      <c r="L1321" s="89">
        <f t="shared" si="190"/>
        <v>392.116143070855</v>
      </c>
      <c r="M1321" s="90">
        <f t="shared" si="191"/>
        <v>25.6653128609233</v>
      </c>
      <c r="N1321" s="66">
        <f t="shared" si="192"/>
        <v>0.0418848167539267</v>
      </c>
      <c r="O1321" s="52">
        <f t="shared" si="193"/>
        <v>9249.875</v>
      </c>
      <c r="P1321" s="52">
        <f t="shared" si="194"/>
        <v>360.40375</v>
      </c>
      <c r="Q1321" s="68">
        <f t="shared" si="195"/>
        <v>55.4467307692308</v>
      </c>
    </row>
    <row r="1322" s="2" customFormat="1" spans="1:17">
      <c r="A1322" s="91">
        <v>45969</v>
      </c>
      <c r="B1322" s="86">
        <v>3820.12</v>
      </c>
      <c r="C1322" s="87">
        <v>10658</v>
      </c>
      <c r="D1322" s="87">
        <v>210</v>
      </c>
      <c r="E1322" s="87">
        <v>6</v>
      </c>
      <c r="F1322" s="86">
        <v>27492</v>
      </c>
      <c r="G1322" s="87">
        <v>54</v>
      </c>
      <c r="H1322" s="87">
        <v>6</v>
      </c>
      <c r="I1322" s="87">
        <v>6</v>
      </c>
      <c r="J1322" s="88">
        <f t="shared" si="188"/>
        <v>0.000562957402889848</v>
      </c>
      <c r="K1322" s="89">
        <f t="shared" si="189"/>
        <v>636.686666666667</v>
      </c>
      <c r="L1322" s="89">
        <f t="shared" si="190"/>
        <v>358.427472321261</v>
      </c>
      <c r="M1322" s="90">
        <f t="shared" si="191"/>
        <v>7.19663256651623</v>
      </c>
      <c r="N1322" s="66">
        <f t="shared" si="192"/>
        <v>0.0285714285714286</v>
      </c>
      <c r="O1322" s="52">
        <f t="shared" si="193"/>
        <v>4582</v>
      </c>
      <c r="P1322" s="52">
        <f t="shared" si="194"/>
        <v>636.686666666667</v>
      </c>
      <c r="Q1322" s="68">
        <f t="shared" si="195"/>
        <v>70.742962962963</v>
      </c>
    </row>
    <row r="1323" s="2" customFormat="1" spans="1:17">
      <c r="A1323" s="91">
        <v>45970</v>
      </c>
      <c r="B1323" s="86">
        <v>3845.33</v>
      </c>
      <c r="C1323" s="87">
        <v>8572</v>
      </c>
      <c r="D1323" s="87">
        <v>250</v>
      </c>
      <c r="E1323" s="87">
        <v>5</v>
      </c>
      <c r="F1323" s="86">
        <v>29593</v>
      </c>
      <c r="G1323" s="87">
        <v>128</v>
      </c>
      <c r="H1323" s="87">
        <v>15</v>
      </c>
      <c r="I1323" s="87">
        <v>17</v>
      </c>
      <c r="J1323" s="88">
        <f t="shared" si="188"/>
        <v>0.000583294447036864</v>
      </c>
      <c r="K1323" s="89">
        <f t="shared" si="189"/>
        <v>769.066</v>
      </c>
      <c r="L1323" s="89">
        <f t="shared" si="190"/>
        <v>448.591927204853</v>
      </c>
      <c r="M1323" s="90">
        <f t="shared" si="191"/>
        <v>7.69582844645323</v>
      </c>
      <c r="N1323" s="66">
        <f t="shared" si="192"/>
        <v>0.02</v>
      </c>
      <c r="O1323" s="52">
        <f t="shared" si="193"/>
        <v>5918.6</v>
      </c>
      <c r="P1323" s="52">
        <f t="shared" si="194"/>
        <v>769.066</v>
      </c>
      <c r="Q1323" s="68">
        <f t="shared" si="195"/>
        <v>30.041640625</v>
      </c>
    </row>
    <row r="1324" s="2" customFormat="1" spans="1:17">
      <c r="A1324" s="91">
        <v>45971</v>
      </c>
      <c r="B1324" s="86">
        <v>3238.23</v>
      </c>
      <c r="C1324" s="87">
        <v>7413</v>
      </c>
      <c r="D1324" s="87">
        <v>341</v>
      </c>
      <c r="E1324" s="87">
        <v>15</v>
      </c>
      <c r="F1324" s="86">
        <v>142792</v>
      </c>
      <c r="G1324" s="87">
        <v>86</v>
      </c>
      <c r="H1324" s="87">
        <v>10</v>
      </c>
      <c r="I1324" s="87">
        <v>17</v>
      </c>
      <c r="J1324" s="88">
        <f t="shared" si="188"/>
        <v>0.00202347227842979</v>
      </c>
      <c r="K1324" s="89">
        <f t="shared" si="189"/>
        <v>215.882</v>
      </c>
      <c r="L1324" s="89">
        <f t="shared" si="190"/>
        <v>436.831242411979</v>
      </c>
      <c r="M1324" s="90">
        <f t="shared" si="191"/>
        <v>44.0956942527245</v>
      </c>
      <c r="N1324" s="66">
        <f t="shared" si="192"/>
        <v>0.0439882697947214</v>
      </c>
      <c r="O1324" s="52">
        <f t="shared" si="193"/>
        <v>9519.46666666667</v>
      </c>
      <c r="P1324" s="52">
        <f t="shared" si="194"/>
        <v>215.882</v>
      </c>
      <c r="Q1324" s="68">
        <f t="shared" si="195"/>
        <v>37.6538372093023</v>
      </c>
    </row>
    <row r="1325" s="2" customFormat="1" spans="1:17">
      <c r="A1325" s="91">
        <v>45972</v>
      </c>
      <c r="B1325" s="86">
        <v>3635.89</v>
      </c>
      <c r="C1325" s="87">
        <v>8722</v>
      </c>
      <c r="D1325" s="87">
        <v>340</v>
      </c>
      <c r="E1325" s="87">
        <v>23</v>
      </c>
      <c r="F1325" s="86">
        <v>179558</v>
      </c>
      <c r="G1325" s="87">
        <v>95</v>
      </c>
      <c r="H1325" s="87">
        <v>14</v>
      </c>
      <c r="I1325" s="87">
        <v>19</v>
      </c>
      <c r="J1325" s="88">
        <f t="shared" si="188"/>
        <v>0.00263700986012382</v>
      </c>
      <c r="K1325" s="89">
        <f t="shared" si="189"/>
        <v>158.082173913043</v>
      </c>
      <c r="L1325" s="89">
        <f t="shared" si="190"/>
        <v>416.864251318505</v>
      </c>
      <c r="M1325" s="90">
        <f t="shared" si="191"/>
        <v>49.3848823809301</v>
      </c>
      <c r="N1325" s="66">
        <f t="shared" si="192"/>
        <v>0.0676470588235294</v>
      </c>
      <c r="O1325" s="52">
        <f t="shared" si="193"/>
        <v>7806.86956521739</v>
      </c>
      <c r="P1325" s="52">
        <f t="shared" si="194"/>
        <v>158.082173913043</v>
      </c>
      <c r="Q1325" s="68">
        <f t="shared" si="195"/>
        <v>38.2725263157895</v>
      </c>
    </row>
    <row r="1326" s="2" customFormat="1" spans="1:17">
      <c r="A1326" s="91">
        <v>45973</v>
      </c>
      <c r="B1326" s="86">
        <v>2457.36</v>
      </c>
      <c r="C1326" s="87">
        <v>6188</v>
      </c>
      <c r="D1326" s="87">
        <v>195</v>
      </c>
      <c r="E1326" s="87">
        <v>14</v>
      </c>
      <c r="F1326" s="86">
        <v>159388</v>
      </c>
      <c r="G1326" s="87">
        <v>51</v>
      </c>
      <c r="H1326" s="87">
        <v>2</v>
      </c>
      <c r="I1326" s="87">
        <v>11</v>
      </c>
      <c r="J1326" s="88">
        <f t="shared" si="188"/>
        <v>0.00226244343891403</v>
      </c>
      <c r="K1326" s="89">
        <f t="shared" si="189"/>
        <v>175.525714285714</v>
      </c>
      <c r="L1326" s="89">
        <f t="shared" si="190"/>
        <v>397.117000646412</v>
      </c>
      <c r="M1326" s="90">
        <f t="shared" si="191"/>
        <v>64.8614773578149</v>
      </c>
      <c r="N1326" s="66">
        <f t="shared" si="192"/>
        <v>0.0717948717948718</v>
      </c>
      <c r="O1326" s="52">
        <f t="shared" si="193"/>
        <v>11384.8571428571</v>
      </c>
      <c r="P1326" s="52">
        <f t="shared" si="194"/>
        <v>175.525714285714</v>
      </c>
      <c r="Q1326" s="68">
        <f t="shared" si="195"/>
        <v>48.1835294117647</v>
      </c>
    </row>
    <row r="1327" s="2" customFormat="1" spans="1:17">
      <c r="A1327" s="91">
        <v>45974</v>
      </c>
      <c r="B1327" s="86">
        <v>3126.49</v>
      </c>
      <c r="C1327" s="87">
        <v>8081</v>
      </c>
      <c r="D1327" s="87">
        <v>188</v>
      </c>
      <c r="E1327" s="87">
        <v>7</v>
      </c>
      <c r="F1327" s="86">
        <v>40674</v>
      </c>
      <c r="G1327" s="87">
        <v>50</v>
      </c>
      <c r="H1327" s="87">
        <v>3</v>
      </c>
      <c r="I1327" s="87">
        <v>9</v>
      </c>
      <c r="J1327" s="88">
        <f t="shared" si="188"/>
        <v>0.000866229427051108</v>
      </c>
      <c r="K1327" s="89">
        <f t="shared" si="189"/>
        <v>446.641428571429</v>
      </c>
      <c r="L1327" s="89">
        <f t="shared" si="190"/>
        <v>386.893948768717</v>
      </c>
      <c r="M1327" s="90">
        <f t="shared" si="191"/>
        <v>13.0094770813276</v>
      </c>
      <c r="N1327" s="66">
        <f t="shared" si="192"/>
        <v>0.0372340425531915</v>
      </c>
      <c r="O1327" s="52">
        <f t="shared" si="193"/>
        <v>5810.57142857143</v>
      </c>
      <c r="P1327" s="52">
        <f t="shared" si="194"/>
        <v>446.641428571429</v>
      </c>
      <c r="Q1327" s="68">
        <f t="shared" si="195"/>
        <v>62.5298</v>
      </c>
    </row>
    <row r="1328" s="2" customFormat="1" spans="1:17">
      <c r="A1328" s="91">
        <v>45975</v>
      </c>
      <c r="B1328" s="86">
        <v>2856.7</v>
      </c>
      <c r="C1328" s="87">
        <v>7309</v>
      </c>
      <c r="D1328" s="87">
        <v>204</v>
      </c>
      <c r="E1328" s="87">
        <v>5</v>
      </c>
      <c r="F1328" s="86">
        <v>46904</v>
      </c>
      <c r="G1328" s="87">
        <v>59</v>
      </c>
      <c r="H1328" s="87">
        <v>6</v>
      </c>
      <c r="I1328" s="87">
        <v>6</v>
      </c>
      <c r="J1328" s="88">
        <f t="shared" si="188"/>
        <v>0.000684088110548639</v>
      </c>
      <c r="K1328" s="89">
        <f t="shared" si="189"/>
        <v>571.34</v>
      </c>
      <c r="L1328" s="89">
        <f t="shared" si="190"/>
        <v>390.846901080859</v>
      </c>
      <c r="M1328" s="90">
        <f t="shared" si="191"/>
        <v>16.4189449364652</v>
      </c>
      <c r="N1328" s="66">
        <f t="shared" si="192"/>
        <v>0.0245098039215686</v>
      </c>
      <c r="O1328" s="52">
        <f t="shared" si="193"/>
        <v>9380.8</v>
      </c>
      <c r="P1328" s="52">
        <f t="shared" si="194"/>
        <v>571.34</v>
      </c>
      <c r="Q1328" s="68">
        <f t="shared" si="195"/>
        <v>48.4186440677966</v>
      </c>
    </row>
    <row r="1329" s="2" customFormat="1" spans="1:17">
      <c r="A1329" s="91">
        <v>45976</v>
      </c>
      <c r="B1329" s="86">
        <v>1460.24</v>
      </c>
      <c r="C1329" s="87">
        <v>3778</v>
      </c>
      <c r="D1329" s="87">
        <v>112</v>
      </c>
      <c r="E1329" s="87">
        <v>1</v>
      </c>
      <c r="F1329" s="86">
        <v>14802</v>
      </c>
      <c r="G1329" s="87">
        <v>19</v>
      </c>
      <c r="H1329" s="87">
        <v>1</v>
      </c>
      <c r="I1329" s="87">
        <v>5</v>
      </c>
      <c r="J1329" s="88">
        <f t="shared" si="188"/>
        <v>0.000264690312334569</v>
      </c>
      <c r="K1329" s="89">
        <f t="shared" si="189"/>
        <v>1460.24</v>
      </c>
      <c r="L1329" s="89">
        <f t="shared" si="190"/>
        <v>386.51138168343</v>
      </c>
      <c r="M1329" s="90">
        <f t="shared" si="191"/>
        <v>10.1366898592012</v>
      </c>
      <c r="N1329" s="66">
        <f t="shared" si="192"/>
        <v>0.00892857142857143</v>
      </c>
      <c r="O1329" s="52">
        <f t="shared" si="193"/>
        <v>14802</v>
      </c>
      <c r="P1329" s="52">
        <f t="shared" si="194"/>
        <v>1460.24</v>
      </c>
      <c r="Q1329" s="68">
        <f t="shared" si="195"/>
        <v>76.8547368421053</v>
      </c>
    </row>
    <row r="1330" s="2" customFormat="1" spans="1:17">
      <c r="A1330" s="91">
        <v>45977</v>
      </c>
      <c r="B1330" s="86">
        <v>1468.31</v>
      </c>
      <c r="C1330" s="87">
        <v>4575</v>
      </c>
      <c r="D1330" s="87">
        <v>99</v>
      </c>
      <c r="E1330" s="87">
        <v>0</v>
      </c>
      <c r="F1330" s="86">
        <v>0</v>
      </c>
      <c r="G1330" s="87">
        <v>6</v>
      </c>
      <c r="H1330" s="87">
        <v>1</v>
      </c>
      <c r="I1330" s="87">
        <v>10</v>
      </c>
      <c r="J1330" s="88">
        <f t="shared" si="188"/>
        <v>0</v>
      </c>
      <c r="K1330" s="89" t="e">
        <f t="shared" si="189"/>
        <v>#DIV/0!</v>
      </c>
      <c r="L1330" s="89">
        <f t="shared" si="190"/>
        <v>320.942076502732</v>
      </c>
      <c r="M1330" s="90">
        <f t="shared" si="191"/>
        <v>0</v>
      </c>
      <c r="N1330" s="66">
        <f t="shared" si="192"/>
        <v>0</v>
      </c>
      <c r="O1330" s="52">
        <f t="shared" si="193"/>
        <v>0</v>
      </c>
      <c r="P1330" s="52">
        <f t="shared" si="194"/>
        <v>0</v>
      </c>
      <c r="Q1330" s="68">
        <f t="shared" si="195"/>
        <v>244.718333333333</v>
      </c>
    </row>
    <row r="1331" s="2" customFormat="1" spans="1:17">
      <c r="A1331" s="91">
        <v>45978</v>
      </c>
      <c r="B1331" s="86">
        <v>1019.59</v>
      </c>
      <c r="C1331" s="87">
        <v>3226</v>
      </c>
      <c r="D1331" s="87">
        <v>97</v>
      </c>
      <c r="E1331" s="87">
        <v>0</v>
      </c>
      <c r="F1331" s="86">
        <v>0</v>
      </c>
      <c r="G1331" s="87">
        <v>9</v>
      </c>
      <c r="H1331" s="87">
        <v>0</v>
      </c>
      <c r="I1331" s="87">
        <v>1</v>
      </c>
      <c r="J1331" s="88">
        <f t="shared" si="188"/>
        <v>0</v>
      </c>
      <c r="K1331" s="89" t="e">
        <f t="shared" si="189"/>
        <v>#DIV/0!</v>
      </c>
      <c r="L1331" s="89">
        <f t="shared" si="190"/>
        <v>316.053936763794</v>
      </c>
      <c r="M1331" s="90">
        <f t="shared" si="191"/>
        <v>0</v>
      </c>
      <c r="N1331" s="66">
        <f t="shared" si="192"/>
        <v>0</v>
      </c>
      <c r="O1331" s="52">
        <f t="shared" si="193"/>
        <v>0</v>
      </c>
      <c r="P1331" s="52">
        <f t="shared" si="194"/>
        <v>0</v>
      </c>
      <c r="Q1331" s="68">
        <f t="shared" si="195"/>
        <v>113.287777777778</v>
      </c>
    </row>
    <row r="1332" s="2" customFormat="1" spans="1:17">
      <c r="A1332" s="91">
        <v>45979</v>
      </c>
      <c r="B1332" s="86">
        <v>783.73</v>
      </c>
      <c r="C1332" s="87">
        <v>2462</v>
      </c>
      <c r="D1332" s="87">
        <v>57</v>
      </c>
      <c r="E1332" s="87">
        <v>0</v>
      </c>
      <c r="F1332" s="86">
        <v>0</v>
      </c>
      <c r="G1332" s="87">
        <v>15</v>
      </c>
      <c r="H1332" s="87">
        <v>0</v>
      </c>
      <c r="I1332" s="87">
        <v>1</v>
      </c>
      <c r="J1332" s="88">
        <f t="shared" si="188"/>
        <v>0</v>
      </c>
      <c r="K1332" s="89" t="e">
        <f t="shared" si="189"/>
        <v>#DIV/0!</v>
      </c>
      <c r="L1332" s="89">
        <f t="shared" si="190"/>
        <v>318.330625507717</v>
      </c>
      <c r="M1332" s="90">
        <f t="shared" si="191"/>
        <v>0</v>
      </c>
      <c r="N1332" s="66">
        <f t="shared" si="192"/>
        <v>0</v>
      </c>
      <c r="O1332" s="52">
        <f t="shared" si="193"/>
        <v>0</v>
      </c>
      <c r="P1332" s="52">
        <f t="shared" si="194"/>
        <v>0</v>
      </c>
      <c r="Q1332" s="68">
        <f t="shared" si="195"/>
        <v>52.2486666666667</v>
      </c>
    </row>
    <row r="1333" s="2" customFormat="1" spans="1:17">
      <c r="A1333" s="91">
        <v>45980</v>
      </c>
      <c r="B1333" s="86">
        <v>765.38</v>
      </c>
      <c r="C1333" s="87">
        <v>2329</v>
      </c>
      <c r="D1333" s="87">
        <v>60</v>
      </c>
      <c r="E1333" s="87">
        <v>0</v>
      </c>
      <c r="F1333" s="86">
        <v>0</v>
      </c>
      <c r="G1333" s="87">
        <v>6</v>
      </c>
      <c r="H1333" s="87">
        <v>2</v>
      </c>
      <c r="I1333" s="87">
        <v>2</v>
      </c>
      <c r="J1333" s="88">
        <f t="shared" si="188"/>
        <v>0</v>
      </c>
      <c r="K1333" s="89" t="e">
        <f t="shared" si="189"/>
        <v>#DIV/0!</v>
      </c>
      <c r="L1333" s="89">
        <f t="shared" si="190"/>
        <v>328.630313439244</v>
      </c>
      <c r="M1333" s="87">
        <f t="shared" si="191"/>
        <v>0</v>
      </c>
      <c r="N1333" s="66">
        <f t="shared" si="192"/>
        <v>0</v>
      </c>
      <c r="O1333" s="52">
        <f t="shared" si="193"/>
        <v>0</v>
      </c>
      <c r="P1333" s="52">
        <f t="shared" si="194"/>
        <v>0</v>
      </c>
      <c r="Q1333" s="68">
        <f t="shared" si="195"/>
        <v>127.563333333333</v>
      </c>
    </row>
    <row r="1334" s="2" customFormat="1" spans="1:17">
      <c r="A1334" s="91">
        <v>45981</v>
      </c>
      <c r="B1334" s="86">
        <v>779.57</v>
      </c>
      <c r="C1334" s="87">
        <v>2567</v>
      </c>
      <c r="D1334" s="87">
        <v>56</v>
      </c>
      <c r="E1334" s="87">
        <v>0</v>
      </c>
      <c r="F1334" s="86">
        <v>0</v>
      </c>
      <c r="G1334" s="87">
        <v>7</v>
      </c>
      <c r="H1334" s="87">
        <v>1</v>
      </c>
      <c r="I1334" s="87">
        <v>1</v>
      </c>
      <c r="J1334" s="88">
        <f t="shared" si="188"/>
        <v>0</v>
      </c>
      <c r="K1334" s="89" t="e">
        <f t="shared" si="189"/>
        <v>#DIV/0!</v>
      </c>
      <c r="L1334" s="89">
        <f t="shared" si="190"/>
        <v>303.689131281652</v>
      </c>
      <c r="M1334" s="87">
        <f t="shared" si="191"/>
        <v>0</v>
      </c>
      <c r="N1334" s="66">
        <f t="shared" si="192"/>
        <v>0</v>
      </c>
      <c r="O1334" s="52">
        <f t="shared" si="193"/>
        <v>0</v>
      </c>
      <c r="P1334" s="52">
        <f t="shared" si="194"/>
        <v>0</v>
      </c>
      <c r="Q1334" s="68">
        <f t="shared" si="195"/>
        <v>111.367142857143</v>
      </c>
    </row>
    <row r="1335" s="2" customFormat="1" spans="1:17">
      <c r="A1335" s="91">
        <v>45982</v>
      </c>
      <c r="B1335" s="86">
        <v>823.26</v>
      </c>
      <c r="C1335" s="87">
        <v>2640</v>
      </c>
      <c r="D1335" s="87">
        <v>68</v>
      </c>
      <c r="E1335" s="87">
        <v>0</v>
      </c>
      <c r="F1335" s="86">
        <v>0</v>
      </c>
      <c r="G1335" s="87">
        <v>7</v>
      </c>
      <c r="H1335" s="87">
        <v>0</v>
      </c>
      <c r="I1335" s="87">
        <v>4</v>
      </c>
      <c r="J1335" s="88">
        <f t="shared" si="188"/>
        <v>0</v>
      </c>
      <c r="K1335" s="89" t="e">
        <f t="shared" si="189"/>
        <v>#DIV/0!</v>
      </c>
      <c r="L1335" s="89">
        <f t="shared" si="190"/>
        <v>311.840909090909</v>
      </c>
      <c r="M1335" s="87">
        <f t="shared" si="191"/>
        <v>0</v>
      </c>
      <c r="N1335" s="66">
        <f t="shared" si="192"/>
        <v>0</v>
      </c>
      <c r="O1335" s="52">
        <f t="shared" si="193"/>
        <v>0</v>
      </c>
      <c r="P1335" s="52">
        <f t="shared" si="194"/>
        <v>0</v>
      </c>
      <c r="Q1335" s="68">
        <f t="shared" si="195"/>
        <v>117.608571428571</v>
      </c>
    </row>
    <row r="1336" s="2" customFormat="1" spans="1:17">
      <c r="A1336" s="91">
        <v>45983</v>
      </c>
      <c r="B1336" s="86">
        <v>682.78</v>
      </c>
      <c r="C1336" s="87">
        <v>2143</v>
      </c>
      <c r="D1336" s="87">
        <v>56</v>
      </c>
      <c r="E1336" s="87">
        <v>0</v>
      </c>
      <c r="F1336" s="86">
        <v>0</v>
      </c>
      <c r="G1336" s="87">
        <v>14</v>
      </c>
      <c r="H1336" s="87">
        <v>1</v>
      </c>
      <c r="I1336" s="87">
        <v>3</v>
      </c>
      <c r="J1336" s="88">
        <f t="shared" si="188"/>
        <v>0</v>
      </c>
      <c r="K1336" s="89" t="e">
        <f t="shared" si="189"/>
        <v>#DIV/0!</v>
      </c>
      <c r="L1336" s="89">
        <f t="shared" si="190"/>
        <v>318.609426038264</v>
      </c>
      <c r="M1336" s="87">
        <f t="shared" si="191"/>
        <v>0</v>
      </c>
      <c r="N1336" s="66">
        <f t="shared" si="192"/>
        <v>0</v>
      </c>
      <c r="O1336" s="52">
        <f t="shared" si="193"/>
        <v>0</v>
      </c>
      <c r="P1336" s="52">
        <f t="shared" si="194"/>
        <v>0</v>
      </c>
      <c r="Q1336" s="68">
        <f t="shared" si="195"/>
        <v>48.77</v>
      </c>
    </row>
    <row r="1337" s="2" customFormat="1" spans="1:17">
      <c r="A1337" s="91">
        <v>45984</v>
      </c>
      <c r="B1337" s="86">
        <v>684.16</v>
      </c>
      <c r="C1337" s="87">
        <v>2176</v>
      </c>
      <c r="D1337" s="87">
        <v>51</v>
      </c>
      <c r="E1337" s="87">
        <v>0</v>
      </c>
      <c r="F1337" s="86">
        <v>0</v>
      </c>
      <c r="G1337" s="87">
        <v>7</v>
      </c>
      <c r="H1337" s="87">
        <v>1</v>
      </c>
      <c r="I1337" s="87">
        <v>1</v>
      </c>
      <c r="J1337" s="88">
        <f t="shared" si="188"/>
        <v>0</v>
      </c>
      <c r="K1337" s="89" t="e">
        <f t="shared" si="189"/>
        <v>#DIV/0!</v>
      </c>
      <c r="L1337" s="89">
        <f t="shared" si="190"/>
        <v>314.411764705882</v>
      </c>
      <c r="M1337" s="87">
        <f t="shared" si="191"/>
        <v>0</v>
      </c>
      <c r="N1337" s="66">
        <f t="shared" si="192"/>
        <v>0</v>
      </c>
      <c r="O1337" s="52">
        <f t="shared" si="193"/>
        <v>0</v>
      </c>
      <c r="P1337" s="52">
        <f t="shared" si="194"/>
        <v>0</v>
      </c>
      <c r="Q1337" s="68">
        <f t="shared" si="195"/>
        <v>97.7371428571429</v>
      </c>
    </row>
    <row r="1338" s="2" customFormat="1" spans="1:17">
      <c r="A1338" s="91">
        <v>45985</v>
      </c>
      <c r="B1338" s="86">
        <v>674.16</v>
      </c>
      <c r="C1338" s="87">
        <v>2267</v>
      </c>
      <c r="D1338" s="87">
        <v>60</v>
      </c>
      <c r="E1338" s="87">
        <v>0</v>
      </c>
      <c r="F1338" s="86">
        <v>0</v>
      </c>
      <c r="G1338" s="87">
        <v>6</v>
      </c>
      <c r="H1338" s="87">
        <v>0</v>
      </c>
      <c r="I1338" s="87">
        <v>0</v>
      </c>
      <c r="J1338" s="88">
        <f t="shared" si="188"/>
        <v>0</v>
      </c>
      <c r="K1338" s="89" t="e">
        <f t="shared" si="189"/>
        <v>#DIV/0!</v>
      </c>
      <c r="L1338" s="89">
        <f t="shared" si="190"/>
        <v>297.379797088663</v>
      </c>
      <c r="M1338" s="87">
        <f t="shared" si="191"/>
        <v>0</v>
      </c>
      <c r="N1338" s="66">
        <f t="shared" si="192"/>
        <v>0</v>
      </c>
      <c r="O1338" s="52">
        <f t="shared" si="193"/>
        <v>0</v>
      </c>
      <c r="P1338" s="52">
        <f t="shared" si="194"/>
        <v>0</v>
      </c>
      <c r="Q1338" s="68">
        <f t="shared" si="195"/>
        <v>112.36</v>
      </c>
    </row>
    <row r="1339" s="2" customFormat="1" spans="1:17">
      <c r="A1339" s="91">
        <v>45986</v>
      </c>
      <c r="B1339" s="86">
        <v>683.98</v>
      </c>
      <c r="C1339" s="87">
        <v>2212</v>
      </c>
      <c r="D1339" s="87">
        <v>35</v>
      </c>
      <c r="E1339" s="87">
        <v>0</v>
      </c>
      <c r="F1339" s="86">
        <v>0</v>
      </c>
      <c r="G1339" s="87">
        <v>4</v>
      </c>
      <c r="H1339" s="87">
        <v>0</v>
      </c>
      <c r="I1339" s="87">
        <v>0</v>
      </c>
      <c r="J1339" s="88">
        <f t="shared" si="188"/>
        <v>0</v>
      </c>
      <c r="K1339" s="89" t="e">
        <f t="shared" si="189"/>
        <v>#DIV/0!</v>
      </c>
      <c r="L1339" s="89">
        <f t="shared" si="190"/>
        <v>309.213381555154</v>
      </c>
      <c r="M1339" s="87">
        <f t="shared" si="191"/>
        <v>0</v>
      </c>
      <c r="N1339" s="66">
        <f t="shared" si="192"/>
        <v>0</v>
      </c>
      <c r="O1339" s="52">
        <f t="shared" si="193"/>
        <v>0</v>
      </c>
      <c r="P1339" s="52">
        <f t="shared" si="194"/>
        <v>0</v>
      </c>
      <c r="Q1339" s="68">
        <f t="shared" si="195"/>
        <v>170.995</v>
      </c>
    </row>
    <row r="1340" s="2" customFormat="1" spans="1:17">
      <c r="A1340" s="91">
        <v>45987</v>
      </c>
      <c r="B1340" s="86">
        <v>683.66</v>
      </c>
      <c r="C1340" s="87">
        <v>2372</v>
      </c>
      <c r="D1340" s="87">
        <v>52</v>
      </c>
      <c r="E1340" s="87">
        <v>0</v>
      </c>
      <c r="F1340" s="86">
        <v>0</v>
      </c>
      <c r="G1340" s="87">
        <v>9</v>
      </c>
      <c r="H1340" s="87">
        <v>1</v>
      </c>
      <c r="I1340" s="87">
        <v>1</v>
      </c>
      <c r="J1340" s="88">
        <f t="shared" si="188"/>
        <v>0</v>
      </c>
      <c r="K1340" s="89" t="e">
        <f t="shared" si="189"/>
        <v>#DIV/0!</v>
      </c>
      <c r="L1340" s="89">
        <f t="shared" si="190"/>
        <v>288.220910623946</v>
      </c>
      <c r="M1340" s="87">
        <f t="shared" si="191"/>
        <v>0</v>
      </c>
      <c r="N1340" s="66">
        <f t="shared" si="192"/>
        <v>0</v>
      </c>
      <c r="O1340" s="52">
        <f t="shared" si="193"/>
        <v>0</v>
      </c>
      <c r="P1340" s="52">
        <f t="shared" si="194"/>
        <v>0</v>
      </c>
      <c r="Q1340" s="68">
        <f t="shared" si="195"/>
        <v>75.9622222222222</v>
      </c>
    </row>
    <row r="1341" s="2" customFormat="1" spans="1:17">
      <c r="A1341" s="91">
        <v>45988</v>
      </c>
      <c r="B1341" s="86">
        <v>674.1</v>
      </c>
      <c r="C1341" s="87">
        <v>2382</v>
      </c>
      <c r="D1341" s="87">
        <v>57</v>
      </c>
      <c r="E1341" s="87">
        <v>0</v>
      </c>
      <c r="F1341" s="86">
        <v>0</v>
      </c>
      <c r="G1341" s="87">
        <v>9</v>
      </c>
      <c r="H1341" s="87">
        <v>0</v>
      </c>
      <c r="I1341" s="87">
        <v>0</v>
      </c>
      <c r="J1341" s="88">
        <f t="shared" si="188"/>
        <v>0</v>
      </c>
      <c r="K1341" s="89" t="e">
        <f t="shared" si="189"/>
        <v>#DIV/0!</v>
      </c>
      <c r="L1341" s="89">
        <f t="shared" si="190"/>
        <v>282.997481108312</v>
      </c>
      <c r="M1341" s="87">
        <f t="shared" si="191"/>
        <v>0</v>
      </c>
      <c r="N1341" s="66">
        <f t="shared" si="192"/>
        <v>0</v>
      </c>
      <c r="O1341" s="52">
        <f t="shared" si="193"/>
        <v>0</v>
      </c>
      <c r="P1341" s="52">
        <f t="shared" si="194"/>
        <v>0</v>
      </c>
      <c r="Q1341" s="68">
        <f t="shared" si="195"/>
        <v>74.9</v>
      </c>
    </row>
    <row r="1342" s="2" customFormat="1" spans="1:17">
      <c r="A1342" s="91">
        <v>45989</v>
      </c>
      <c r="B1342" s="86">
        <v>674.2</v>
      </c>
      <c r="C1342" s="87">
        <v>2269</v>
      </c>
      <c r="D1342" s="87">
        <v>42</v>
      </c>
      <c r="E1342" s="87">
        <v>0</v>
      </c>
      <c r="F1342" s="86">
        <v>0</v>
      </c>
      <c r="G1342" s="87">
        <v>3</v>
      </c>
      <c r="H1342" s="87">
        <v>2</v>
      </c>
      <c r="I1342" s="87">
        <v>2</v>
      </c>
      <c r="J1342" s="88">
        <f t="shared" si="188"/>
        <v>0</v>
      </c>
      <c r="K1342" s="89" t="e">
        <f t="shared" si="189"/>
        <v>#DIV/0!</v>
      </c>
      <c r="L1342" s="89">
        <f t="shared" si="190"/>
        <v>297.135301895108</v>
      </c>
      <c r="M1342" s="90">
        <f t="shared" si="191"/>
        <v>0</v>
      </c>
      <c r="N1342" s="66">
        <f t="shared" si="192"/>
        <v>0</v>
      </c>
      <c r="O1342" s="52">
        <f t="shared" si="193"/>
        <v>0</v>
      </c>
      <c r="P1342" s="52">
        <f t="shared" si="194"/>
        <v>0</v>
      </c>
      <c r="Q1342" s="68">
        <f t="shared" si="195"/>
        <v>224.733333333333</v>
      </c>
    </row>
    <row r="1343" s="2" customFormat="1" spans="1:17">
      <c r="A1343" s="91">
        <v>45990</v>
      </c>
      <c r="B1343" s="86">
        <v>677.87</v>
      </c>
      <c r="C1343" s="87">
        <v>2520</v>
      </c>
      <c r="D1343" s="87">
        <v>33</v>
      </c>
      <c r="E1343" s="87">
        <v>0</v>
      </c>
      <c r="F1343" s="86">
        <v>0</v>
      </c>
      <c r="G1343" s="87">
        <v>11</v>
      </c>
      <c r="H1343" s="87">
        <v>2</v>
      </c>
      <c r="I1343" s="87">
        <v>2</v>
      </c>
      <c r="J1343" s="88">
        <f t="shared" si="188"/>
        <v>0</v>
      </c>
      <c r="K1343" s="89" t="e">
        <f t="shared" si="189"/>
        <v>#DIV/0!</v>
      </c>
      <c r="L1343" s="89">
        <f t="shared" si="190"/>
        <v>268.996031746032</v>
      </c>
      <c r="M1343" s="90">
        <f t="shared" si="191"/>
        <v>0</v>
      </c>
      <c r="N1343" s="66">
        <f t="shared" si="192"/>
        <v>0</v>
      </c>
      <c r="O1343" s="52">
        <f t="shared" si="193"/>
        <v>0</v>
      </c>
      <c r="P1343" s="52">
        <f t="shared" si="194"/>
        <v>0</v>
      </c>
      <c r="Q1343" s="68">
        <f t="shared" si="195"/>
        <v>61.6245454545455</v>
      </c>
    </row>
    <row r="1344" s="2" customFormat="1" spans="1:17">
      <c r="A1344" s="91">
        <v>45991</v>
      </c>
      <c r="B1344" s="86">
        <v>681.07</v>
      </c>
      <c r="C1344" s="87">
        <v>2279</v>
      </c>
      <c r="D1344" s="87">
        <v>50</v>
      </c>
      <c r="E1344" s="87">
        <v>3</v>
      </c>
      <c r="F1344" s="86">
        <v>16760</v>
      </c>
      <c r="G1344" s="87">
        <v>4</v>
      </c>
      <c r="H1344" s="87">
        <v>0</v>
      </c>
      <c r="I1344" s="87">
        <v>2</v>
      </c>
      <c r="J1344" s="88">
        <f t="shared" si="188"/>
        <v>0.00131636682755595</v>
      </c>
      <c r="K1344" s="89">
        <f t="shared" si="189"/>
        <v>227.023333333333</v>
      </c>
      <c r="L1344" s="89">
        <f t="shared" si="190"/>
        <v>298.845985081176</v>
      </c>
      <c r="M1344" s="90">
        <f t="shared" si="191"/>
        <v>24.6083368816715</v>
      </c>
      <c r="N1344" s="66">
        <f t="shared" si="192"/>
        <v>0.06</v>
      </c>
      <c r="O1344" s="52">
        <f t="shared" si="193"/>
        <v>5586.66666666667</v>
      </c>
      <c r="P1344" s="52">
        <f t="shared" si="194"/>
        <v>227.023333333333</v>
      </c>
      <c r="Q1344" s="68">
        <f t="shared" si="195"/>
        <v>170.2675</v>
      </c>
    </row>
    <row r="1345" s="2" customFormat="1" spans="1:17">
      <c r="A1345" s="91">
        <v>45992</v>
      </c>
      <c r="B1345" s="86">
        <v>676.19</v>
      </c>
      <c r="C1345" s="87">
        <v>2262</v>
      </c>
      <c r="D1345" s="87">
        <v>55</v>
      </c>
      <c r="E1345" s="87">
        <v>0</v>
      </c>
      <c r="F1345" s="86">
        <v>0</v>
      </c>
      <c r="G1345" s="87">
        <v>5</v>
      </c>
      <c r="H1345" s="87">
        <v>0</v>
      </c>
      <c r="I1345" s="87">
        <v>0</v>
      </c>
      <c r="J1345" s="88">
        <f t="shared" si="188"/>
        <v>0</v>
      </c>
      <c r="K1345" s="89" t="e">
        <f t="shared" si="189"/>
        <v>#DIV/0!</v>
      </c>
      <c r="L1345" s="89">
        <f t="shared" si="190"/>
        <v>298.934571175951</v>
      </c>
      <c r="M1345" s="90">
        <f t="shared" si="191"/>
        <v>0</v>
      </c>
      <c r="N1345" s="66">
        <f t="shared" si="192"/>
        <v>0</v>
      </c>
      <c r="O1345" s="52">
        <f t="shared" si="193"/>
        <v>0</v>
      </c>
      <c r="P1345" s="52">
        <f t="shared" si="194"/>
        <v>0</v>
      </c>
      <c r="Q1345" s="68">
        <f t="shared" si="195"/>
        <v>135.238</v>
      </c>
    </row>
    <row r="1346" s="2" customFormat="1" spans="1:17">
      <c r="A1346" s="91">
        <v>45993</v>
      </c>
      <c r="B1346" s="86">
        <v>1285.21</v>
      </c>
      <c r="C1346" s="87">
        <v>4354</v>
      </c>
      <c r="D1346" s="87">
        <v>91</v>
      </c>
      <c r="E1346" s="87">
        <v>0</v>
      </c>
      <c r="F1346" s="86">
        <v>0</v>
      </c>
      <c r="G1346" s="87">
        <v>16</v>
      </c>
      <c r="H1346" s="87">
        <v>3</v>
      </c>
      <c r="I1346" s="87">
        <v>1</v>
      </c>
      <c r="J1346" s="88">
        <f t="shared" si="188"/>
        <v>0</v>
      </c>
      <c r="K1346" s="89" t="e">
        <f t="shared" si="189"/>
        <v>#DIV/0!</v>
      </c>
      <c r="L1346" s="89">
        <f t="shared" si="190"/>
        <v>295.179145613229</v>
      </c>
      <c r="M1346" s="90">
        <f t="shared" si="191"/>
        <v>0</v>
      </c>
      <c r="N1346" s="66">
        <f t="shared" si="192"/>
        <v>0</v>
      </c>
      <c r="O1346" s="52">
        <f t="shared" si="193"/>
        <v>0</v>
      </c>
      <c r="P1346" s="52">
        <f t="shared" si="194"/>
        <v>0</v>
      </c>
      <c r="Q1346" s="68">
        <f t="shared" si="195"/>
        <v>80.325625</v>
      </c>
    </row>
    <row r="1347" s="2" customFormat="1" spans="1:17">
      <c r="A1347" s="91">
        <v>45994</v>
      </c>
      <c r="B1347" s="86">
        <v>1326.7</v>
      </c>
      <c r="C1347" s="87">
        <v>4608</v>
      </c>
      <c r="D1347" s="87">
        <v>88</v>
      </c>
      <c r="E1347" s="87">
        <v>0</v>
      </c>
      <c r="F1347" s="86">
        <v>0</v>
      </c>
      <c r="G1347" s="87">
        <v>15</v>
      </c>
      <c r="H1347" s="87">
        <v>1</v>
      </c>
      <c r="I1347" s="87">
        <v>4</v>
      </c>
      <c r="J1347" s="88">
        <f t="shared" si="188"/>
        <v>0</v>
      </c>
      <c r="K1347" s="89" t="e">
        <f t="shared" si="189"/>
        <v>#DIV/0!</v>
      </c>
      <c r="L1347" s="89">
        <f t="shared" si="190"/>
        <v>287.912326388889</v>
      </c>
      <c r="M1347" s="90">
        <f t="shared" si="191"/>
        <v>0</v>
      </c>
      <c r="N1347" s="66">
        <f t="shared" si="192"/>
        <v>0</v>
      </c>
      <c r="O1347" s="52">
        <f t="shared" si="193"/>
        <v>0</v>
      </c>
      <c r="P1347" s="52">
        <f t="shared" si="194"/>
        <v>0</v>
      </c>
      <c r="Q1347" s="68">
        <f t="shared" si="195"/>
        <v>88.4466666666667</v>
      </c>
    </row>
    <row r="1348" s="2" customFormat="1" spans="1:17">
      <c r="A1348" s="91">
        <v>45995</v>
      </c>
      <c r="B1348" s="86">
        <v>1349.82</v>
      </c>
      <c r="C1348" s="87">
        <v>4647</v>
      </c>
      <c r="D1348" s="87">
        <v>97</v>
      </c>
      <c r="E1348" s="87">
        <v>0</v>
      </c>
      <c r="F1348" s="86">
        <v>0</v>
      </c>
      <c r="G1348" s="87">
        <v>12</v>
      </c>
      <c r="H1348" s="87">
        <v>1</v>
      </c>
      <c r="I1348" s="87">
        <v>3</v>
      </c>
      <c r="J1348" s="88">
        <f t="shared" si="188"/>
        <v>0</v>
      </c>
      <c r="K1348" s="89" t="e">
        <f t="shared" si="189"/>
        <v>#DIV/0!</v>
      </c>
      <c r="L1348" s="89">
        <f t="shared" si="190"/>
        <v>290.47127178825</v>
      </c>
      <c r="M1348" s="90">
        <f t="shared" si="191"/>
        <v>0</v>
      </c>
      <c r="N1348" s="66">
        <f t="shared" si="192"/>
        <v>0</v>
      </c>
      <c r="O1348" s="52">
        <f t="shared" si="193"/>
        <v>0</v>
      </c>
      <c r="P1348" s="52">
        <f t="shared" si="194"/>
        <v>0</v>
      </c>
      <c r="Q1348" s="68">
        <f t="shared" si="195"/>
        <v>112.485</v>
      </c>
    </row>
    <row r="1349" s="2" customFormat="1" spans="1:17">
      <c r="A1349" s="91">
        <v>45996</v>
      </c>
      <c r="B1349" s="86">
        <v>1409.21</v>
      </c>
      <c r="C1349" s="87">
        <v>4707</v>
      </c>
      <c r="D1349" s="87">
        <v>102</v>
      </c>
      <c r="E1349" s="87">
        <v>0</v>
      </c>
      <c r="F1349" s="86">
        <v>0</v>
      </c>
      <c r="G1349" s="87">
        <v>12</v>
      </c>
      <c r="H1349" s="87">
        <v>0</v>
      </c>
      <c r="I1349" s="87">
        <v>4</v>
      </c>
      <c r="J1349" s="88">
        <f t="shared" si="188"/>
        <v>0</v>
      </c>
      <c r="K1349" s="89" t="e">
        <f t="shared" si="189"/>
        <v>#DIV/0!</v>
      </c>
      <c r="L1349" s="89">
        <f t="shared" si="190"/>
        <v>299.386020820055</v>
      </c>
      <c r="M1349" s="90">
        <f t="shared" si="191"/>
        <v>0</v>
      </c>
      <c r="N1349" s="66">
        <f t="shared" si="192"/>
        <v>0</v>
      </c>
      <c r="O1349" s="52">
        <f t="shared" si="193"/>
        <v>0</v>
      </c>
      <c r="P1349" s="52">
        <f t="shared" si="194"/>
        <v>0</v>
      </c>
      <c r="Q1349" s="68">
        <f t="shared" si="195"/>
        <v>117.434166666667</v>
      </c>
    </row>
    <row r="1350" s="2" customFormat="1" spans="1:17">
      <c r="A1350" s="91">
        <v>45997</v>
      </c>
      <c r="B1350" s="86">
        <v>1450.42</v>
      </c>
      <c r="C1350" s="87">
        <v>4859</v>
      </c>
      <c r="D1350" s="87">
        <v>105</v>
      </c>
      <c r="E1350" s="87">
        <v>0</v>
      </c>
      <c r="F1350" s="86">
        <v>0</v>
      </c>
      <c r="G1350" s="87">
        <v>16</v>
      </c>
      <c r="H1350" s="87">
        <v>2</v>
      </c>
      <c r="I1350" s="87">
        <v>2</v>
      </c>
      <c r="J1350" s="88">
        <f t="shared" si="188"/>
        <v>0</v>
      </c>
      <c r="K1350" s="89" t="e">
        <f t="shared" si="189"/>
        <v>#DIV/0!</v>
      </c>
      <c r="L1350" s="89">
        <f t="shared" si="190"/>
        <v>298.501749331138</v>
      </c>
      <c r="M1350" s="90">
        <f t="shared" si="191"/>
        <v>0</v>
      </c>
      <c r="N1350" s="66">
        <f t="shared" si="192"/>
        <v>0</v>
      </c>
      <c r="O1350" s="52">
        <f t="shared" si="193"/>
        <v>0</v>
      </c>
      <c r="P1350" s="52">
        <f t="shared" si="194"/>
        <v>0</v>
      </c>
      <c r="Q1350" s="68">
        <f t="shared" si="195"/>
        <v>90.65125</v>
      </c>
    </row>
    <row r="1351" s="2" customFormat="1" spans="1:17">
      <c r="A1351" s="91">
        <v>45998</v>
      </c>
      <c r="B1351" s="86">
        <v>1457.42</v>
      </c>
      <c r="C1351" s="87">
        <v>4966</v>
      </c>
      <c r="D1351" s="87">
        <v>101</v>
      </c>
      <c r="E1351" s="87">
        <v>0</v>
      </c>
      <c r="F1351" s="86">
        <v>0</v>
      </c>
      <c r="G1351" s="87">
        <v>25</v>
      </c>
      <c r="H1351" s="87">
        <v>2</v>
      </c>
      <c r="I1351" s="87">
        <v>2</v>
      </c>
      <c r="J1351" s="88">
        <f t="shared" si="188"/>
        <v>0</v>
      </c>
      <c r="K1351" s="89" t="e">
        <f t="shared" si="189"/>
        <v>#DIV/0!</v>
      </c>
      <c r="L1351" s="89">
        <f t="shared" si="190"/>
        <v>293.479661699557</v>
      </c>
      <c r="M1351" s="90">
        <f t="shared" si="191"/>
        <v>0</v>
      </c>
      <c r="N1351" s="66">
        <f t="shared" si="192"/>
        <v>0</v>
      </c>
      <c r="O1351" s="52">
        <f t="shared" si="193"/>
        <v>0</v>
      </c>
      <c r="P1351" s="52">
        <f t="shared" si="194"/>
        <v>0</v>
      </c>
      <c r="Q1351" s="68">
        <f t="shared" si="195"/>
        <v>58.2968</v>
      </c>
    </row>
    <row r="1352" s="2" customFormat="1" spans="1:17">
      <c r="A1352" s="91">
        <v>45999</v>
      </c>
      <c r="B1352" s="86">
        <v>1322.49</v>
      </c>
      <c r="C1352" s="87">
        <v>4142</v>
      </c>
      <c r="D1352" s="87">
        <v>135</v>
      </c>
      <c r="E1352" s="87">
        <v>0</v>
      </c>
      <c r="F1352" s="86">
        <v>0</v>
      </c>
      <c r="G1352" s="87">
        <v>12</v>
      </c>
      <c r="H1352" s="87">
        <v>1</v>
      </c>
      <c r="I1352" s="87">
        <v>3</v>
      </c>
      <c r="J1352" s="88">
        <f t="shared" si="188"/>
        <v>0</v>
      </c>
      <c r="K1352" s="89" t="e">
        <f t="shared" si="189"/>
        <v>#DIV/0!</v>
      </c>
      <c r="L1352" s="89">
        <f t="shared" si="190"/>
        <v>319.287783679382</v>
      </c>
      <c r="M1352" s="90">
        <f t="shared" si="191"/>
        <v>0</v>
      </c>
      <c r="N1352" s="66">
        <f t="shared" si="192"/>
        <v>0</v>
      </c>
      <c r="O1352" s="52">
        <f t="shared" si="193"/>
        <v>0</v>
      </c>
      <c r="P1352" s="52">
        <f t="shared" si="194"/>
        <v>0</v>
      </c>
      <c r="Q1352" s="68">
        <f t="shared" si="195"/>
        <v>110.2075</v>
      </c>
    </row>
    <row r="1353" s="2" customFormat="1" spans="1:17">
      <c r="A1353" s="91">
        <v>46000</v>
      </c>
      <c r="B1353" s="86">
        <v>1709.35</v>
      </c>
      <c r="C1353" s="87">
        <v>4439</v>
      </c>
      <c r="D1353" s="87">
        <v>255</v>
      </c>
      <c r="E1353" s="87">
        <v>0</v>
      </c>
      <c r="F1353" s="86">
        <v>0</v>
      </c>
      <c r="G1353" s="87">
        <v>36</v>
      </c>
      <c r="H1353" s="87">
        <v>0</v>
      </c>
      <c r="I1353" s="87">
        <v>10</v>
      </c>
      <c r="J1353" s="88">
        <f t="shared" si="188"/>
        <v>0</v>
      </c>
      <c r="K1353" s="89" t="e">
        <f t="shared" si="189"/>
        <v>#DIV/0!</v>
      </c>
      <c r="L1353" s="89">
        <f t="shared" si="190"/>
        <v>385.075467447623</v>
      </c>
      <c r="M1353" s="90">
        <f t="shared" si="191"/>
        <v>0</v>
      </c>
      <c r="N1353" s="66">
        <f t="shared" si="192"/>
        <v>0</v>
      </c>
      <c r="O1353" s="52">
        <f t="shared" si="193"/>
        <v>0</v>
      </c>
      <c r="P1353" s="52">
        <f t="shared" si="194"/>
        <v>0</v>
      </c>
      <c r="Q1353" s="68">
        <f t="shared" si="195"/>
        <v>47.4819444444444</v>
      </c>
    </row>
    <row r="1354" s="2" customFormat="1" spans="1:17">
      <c r="A1354" s="91">
        <v>46001</v>
      </c>
      <c r="B1354" s="18">
        <v>1754.21</v>
      </c>
      <c r="C1354" s="19">
        <v>5057</v>
      </c>
      <c r="D1354" s="19">
        <v>243</v>
      </c>
      <c r="E1354" s="19">
        <v>2</v>
      </c>
      <c r="F1354" s="18">
        <v>20100</v>
      </c>
      <c r="G1354" s="19">
        <v>36</v>
      </c>
      <c r="H1354" s="19">
        <v>4</v>
      </c>
      <c r="I1354" s="19">
        <v>8</v>
      </c>
      <c r="J1354" s="20">
        <v>0.000395491398062092</v>
      </c>
      <c r="K1354" s="21">
        <v>877.105</v>
      </c>
      <c r="L1354" s="21">
        <v>346.887482697251</v>
      </c>
      <c r="M1354" s="23">
        <v>11.45814925237</v>
      </c>
      <c r="N1354" s="66">
        <f t="shared" si="192"/>
        <v>0.00823045267489712</v>
      </c>
      <c r="O1354" s="52">
        <f t="shared" si="193"/>
        <v>10050</v>
      </c>
      <c r="P1354" s="52">
        <f t="shared" si="194"/>
        <v>877.105</v>
      </c>
      <c r="Q1354" s="68">
        <f t="shared" si="195"/>
        <v>48.7280555555556</v>
      </c>
    </row>
    <row r="1355" s="2" customFormat="1" spans="1:17">
      <c r="A1355" s="91">
        <v>46002</v>
      </c>
      <c r="B1355" s="86">
        <v>1862.42</v>
      </c>
      <c r="C1355" s="87">
        <v>5226</v>
      </c>
      <c r="D1355" s="87">
        <v>244</v>
      </c>
      <c r="E1355" s="87">
        <v>0</v>
      </c>
      <c r="F1355" s="86">
        <v>0</v>
      </c>
      <c r="G1355" s="87">
        <v>41</v>
      </c>
      <c r="H1355" s="87">
        <v>5</v>
      </c>
      <c r="I1355" s="87">
        <v>11</v>
      </c>
      <c r="J1355" s="88">
        <f t="shared" ref="J1355:J1418" si="196">E1355/C1355</f>
        <v>0</v>
      </c>
      <c r="K1355" s="89" t="e">
        <f t="shared" ref="K1355:K1418" si="197">B1355/E1355</f>
        <v>#DIV/0!</v>
      </c>
      <c r="L1355" s="89">
        <f t="shared" ref="L1355:L1418" si="198">B1355/C1355*1000</f>
        <v>356.375813241485</v>
      </c>
      <c r="M1355" s="90">
        <f t="shared" ref="M1355:M1418" si="199">F1355/B1355</f>
        <v>0</v>
      </c>
      <c r="N1355" s="66">
        <f t="shared" si="192"/>
        <v>0</v>
      </c>
      <c r="O1355" s="52">
        <f t="shared" si="193"/>
        <v>0</v>
      </c>
      <c r="P1355" s="52">
        <f t="shared" si="194"/>
        <v>0</v>
      </c>
      <c r="Q1355" s="68">
        <f t="shared" si="195"/>
        <v>45.4248780487805</v>
      </c>
    </row>
    <row r="1356" s="2" customFormat="1" spans="1:17">
      <c r="A1356" s="91">
        <v>46003</v>
      </c>
      <c r="B1356" s="86">
        <v>1856.36</v>
      </c>
      <c r="C1356" s="87">
        <v>5532</v>
      </c>
      <c r="D1356" s="87">
        <v>220</v>
      </c>
      <c r="E1356" s="87">
        <v>3</v>
      </c>
      <c r="F1356" s="86">
        <v>18886</v>
      </c>
      <c r="G1356" s="87">
        <v>49</v>
      </c>
      <c r="H1356" s="87">
        <v>6</v>
      </c>
      <c r="I1356" s="87">
        <v>6</v>
      </c>
      <c r="J1356" s="88">
        <f t="shared" si="196"/>
        <v>0.000542299349240781</v>
      </c>
      <c r="K1356" s="89">
        <f t="shared" si="197"/>
        <v>618.786666666667</v>
      </c>
      <c r="L1356" s="89">
        <f t="shared" si="198"/>
        <v>335.567606652205</v>
      </c>
      <c r="M1356" s="90">
        <f t="shared" si="199"/>
        <v>10.1736732099377</v>
      </c>
      <c r="N1356" s="66">
        <f t="shared" si="192"/>
        <v>0.0136363636363636</v>
      </c>
      <c r="O1356" s="52">
        <f t="shared" si="193"/>
        <v>6295.33333333333</v>
      </c>
      <c r="P1356" s="52">
        <f t="shared" si="194"/>
        <v>618.786666666667</v>
      </c>
      <c r="Q1356" s="68">
        <f t="shared" si="195"/>
        <v>37.8848979591837</v>
      </c>
    </row>
    <row r="1357" s="2" customFormat="1" spans="1:17">
      <c r="A1357" s="91">
        <v>46004</v>
      </c>
      <c r="B1357" s="86">
        <v>2179.52</v>
      </c>
      <c r="C1357" s="87">
        <v>7253</v>
      </c>
      <c r="D1357" s="87">
        <v>208</v>
      </c>
      <c r="E1357" s="87">
        <v>1</v>
      </c>
      <c r="F1357" s="86">
        <v>9722</v>
      </c>
      <c r="G1357" s="87">
        <v>31</v>
      </c>
      <c r="H1357" s="87">
        <v>2</v>
      </c>
      <c r="I1357" s="87">
        <v>8</v>
      </c>
      <c r="J1357" s="88">
        <f t="shared" si="196"/>
        <v>0.000137873983179374</v>
      </c>
      <c r="K1357" s="89">
        <f t="shared" si="197"/>
        <v>2179.52</v>
      </c>
      <c r="L1357" s="89">
        <f t="shared" si="198"/>
        <v>300.499103819109</v>
      </c>
      <c r="M1357" s="90">
        <f t="shared" si="199"/>
        <v>4.46061518132433</v>
      </c>
      <c r="N1357" s="66">
        <f t="shared" si="192"/>
        <v>0.00480769230769231</v>
      </c>
      <c r="O1357" s="52">
        <f t="shared" si="193"/>
        <v>9722</v>
      </c>
      <c r="P1357" s="52">
        <f t="shared" si="194"/>
        <v>2179.52</v>
      </c>
      <c r="Q1357" s="68">
        <f t="shared" si="195"/>
        <v>70.3070967741936</v>
      </c>
    </row>
    <row r="1358" s="2" customFormat="1" spans="1:17">
      <c r="A1358" s="91">
        <v>46005</v>
      </c>
      <c r="B1358" s="86">
        <v>2004.71</v>
      </c>
      <c r="C1358" s="87">
        <v>6207</v>
      </c>
      <c r="D1358" s="87">
        <v>185</v>
      </c>
      <c r="E1358" s="87">
        <v>1</v>
      </c>
      <c r="F1358" s="86">
        <v>11082</v>
      </c>
      <c r="G1358" s="87">
        <v>25</v>
      </c>
      <c r="H1358" s="87">
        <v>0</v>
      </c>
      <c r="I1358" s="87">
        <v>6</v>
      </c>
      <c r="J1358" s="88">
        <f t="shared" si="196"/>
        <v>0.000161108425970678</v>
      </c>
      <c r="K1358" s="89">
        <f t="shared" si="197"/>
        <v>2004.71</v>
      </c>
      <c r="L1358" s="89">
        <f t="shared" si="198"/>
        <v>322.975672627678</v>
      </c>
      <c r="M1358" s="90">
        <f t="shared" si="199"/>
        <v>5.52798160332417</v>
      </c>
      <c r="N1358" s="66">
        <f t="shared" si="192"/>
        <v>0.00540540540540541</v>
      </c>
      <c r="O1358" s="52">
        <f t="shared" si="193"/>
        <v>11082</v>
      </c>
      <c r="P1358" s="52">
        <f t="shared" si="194"/>
        <v>2004.71</v>
      </c>
      <c r="Q1358" s="68">
        <f t="shared" si="195"/>
        <v>80.1884</v>
      </c>
    </row>
    <row r="1359" s="2" customFormat="1" spans="1:17">
      <c r="A1359" s="91">
        <v>46006</v>
      </c>
      <c r="B1359" s="86">
        <v>1677.79</v>
      </c>
      <c r="C1359" s="87">
        <v>4538</v>
      </c>
      <c r="D1359" s="87">
        <v>210</v>
      </c>
      <c r="E1359" s="87">
        <v>0</v>
      </c>
      <c r="F1359" s="86">
        <v>0</v>
      </c>
      <c r="G1359" s="87">
        <v>38</v>
      </c>
      <c r="H1359" s="87">
        <v>0</v>
      </c>
      <c r="I1359" s="87">
        <v>14</v>
      </c>
      <c r="J1359" s="88">
        <f t="shared" si="196"/>
        <v>0</v>
      </c>
      <c r="K1359" s="89" t="e">
        <f t="shared" si="197"/>
        <v>#DIV/0!</v>
      </c>
      <c r="L1359" s="89">
        <f t="shared" si="198"/>
        <v>369.720141031291</v>
      </c>
      <c r="M1359" s="90">
        <f t="shared" si="199"/>
        <v>0</v>
      </c>
      <c r="N1359" s="66">
        <f t="shared" si="192"/>
        <v>0</v>
      </c>
      <c r="O1359" s="52">
        <f t="shared" si="193"/>
        <v>0</v>
      </c>
      <c r="P1359" s="52">
        <f t="shared" si="194"/>
        <v>0</v>
      </c>
      <c r="Q1359" s="68">
        <f t="shared" si="195"/>
        <v>44.1523684210526</v>
      </c>
    </row>
    <row r="1360" s="2" customFormat="1" spans="1:17">
      <c r="A1360" s="91">
        <v>46007</v>
      </c>
      <c r="B1360" s="86">
        <v>1700.75</v>
      </c>
      <c r="C1360" s="87">
        <v>4684</v>
      </c>
      <c r="D1360" s="87">
        <v>198</v>
      </c>
      <c r="E1360" s="87">
        <v>1</v>
      </c>
      <c r="F1360" s="86">
        <v>11040</v>
      </c>
      <c r="G1360" s="87">
        <v>53</v>
      </c>
      <c r="H1360" s="87">
        <v>4</v>
      </c>
      <c r="I1360" s="87">
        <v>7</v>
      </c>
      <c r="J1360" s="88">
        <f t="shared" si="196"/>
        <v>0.000213492741246798</v>
      </c>
      <c r="K1360" s="89">
        <f t="shared" si="197"/>
        <v>1700.75</v>
      </c>
      <c r="L1360" s="89">
        <f t="shared" si="198"/>
        <v>363.097779675491</v>
      </c>
      <c r="M1360" s="90">
        <f t="shared" si="199"/>
        <v>6.4912538585918</v>
      </c>
      <c r="N1360" s="66">
        <f t="shared" si="192"/>
        <v>0.00505050505050505</v>
      </c>
      <c r="O1360" s="52">
        <f t="shared" si="193"/>
        <v>11040</v>
      </c>
      <c r="P1360" s="52">
        <f t="shared" si="194"/>
        <v>1700.75</v>
      </c>
      <c r="Q1360" s="68">
        <f t="shared" si="195"/>
        <v>32.0896226415094</v>
      </c>
    </row>
    <row r="1361" s="2" customFormat="1" spans="1:17">
      <c r="A1361" s="91">
        <v>46008</v>
      </c>
      <c r="B1361" s="86">
        <v>1649.75</v>
      </c>
      <c r="C1361" s="87">
        <v>4838</v>
      </c>
      <c r="D1361" s="87">
        <v>152</v>
      </c>
      <c r="E1361" s="87">
        <v>0</v>
      </c>
      <c r="F1361" s="86">
        <v>0</v>
      </c>
      <c r="G1361" s="87">
        <v>35</v>
      </c>
      <c r="H1361" s="87">
        <v>2</v>
      </c>
      <c r="I1361" s="87">
        <v>7</v>
      </c>
      <c r="J1361" s="88">
        <f t="shared" si="196"/>
        <v>0</v>
      </c>
      <c r="K1361" s="89" t="e">
        <f t="shared" si="197"/>
        <v>#DIV/0!</v>
      </c>
      <c r="L1361" s="89">
        <f t="shared" si="198"/>
        <v>340.998346424142</v>
      </c>
      <c r="M1361" s="90">
        <f t="shared" si="199"/>
        <v>0</v>
      </c>
      <c r="N1361" s="66">
        <f t="shared" si="192"/>
        <v>0</v>
      </c>
      <c r="O1361" s="52">
        <f t="shared" si="193"/>
        <v>0</v>
      </c>
      <c r="P1361" s="52">
        <f t="shared" si="194"/>
        <v>0</v>
      </c>
      <c r="Q1361" s="68">
        <f t="shared" si="195"/>
        <v>47.1357142857143</v>
      </c>
    </row>
    <row r="1362" s="2" customFormat="1" spans="1:17">
      <c r="A1362" s="91">
        <v>46009</v>
      </c>
      <c r="B1362" s="86">
        <v>1785.13</v>
      </c>
      <c r="C1362" s="87">
        <v>5113</v>
      </c>
      <c r="D1362" s="87">
        <v>210</v>
      </c>
      <c r="E1362" s="87">
        <v>4</v>
      </c>
      <c r="F1362" s="86">
        <v>22288</v>
      </c>
      <c r="G1362" s="87">
        <v>52</v>
      </c>
      <c r="H1362" s="87">
        <v>1</v>
      </c>
      <c r="I1362" s="87">
        <v>7</v>
      </c>
      <c r="J1362" s="88">
        <f t="shared" si="196"/>
        <v>0.000782319577547428</v>
      </c>
      <c r="K1362" s="89">
        <f t="shared" si="197"/>
        <v>446.2825</v>
      </c>
      <c r="L1362" s="89">
        <f t="shared" si="198"/>
        <v>349.13553686681</v>
      </c>
      <c r="M1362" s="90">
        <f t="shared" si="199"/>
        <v>12.4853652114972</v>
      </c>
      <c r="N1362" s="66">
        <f t="shared" si="192"/>
        <v>0.019047619047619</v>
      </c>
      <c r="O1362" s="52">
        <f t="shared" si="193"/>
        <v>5572</v>
      </c>
      <c r="P1362" s="52">
        <f t="shared" si="194"/>
        <v>446.2825</v>
      </c>
      <c r="Q1362" s="68">
        <f t="shared" si="195"/>
        <v>34.3294230769231</v>
      </c>
    </row>
    <row r="1363" s="2" customFormat="1" spans="1:17">
      <c r="A1363" s="91">
        <v>46010</v>
      </c>
      <c r="B1363" s="86">
        <v>1641.15</v>
      </c>
      <c r="C1363" s="87">
        <v>5033</v>
      </c>
      <c r="D1363" s="87">
        <v>155</v>
      </c>
      <c r="E1363" s="87">
        <v>4</v>
      </c>
      <c r="F1363" s="86">
        <v>31530</v>
      </c>
      <c r="G1363" s="87">
        <v>37</v>
      </c>
      <c r="H1363" s="87">
        <v>5</v>
      </c>
      <c r="I1363" s="87">
        <v>4</v>
      </c>
      <c r="J1363" s="88">
        <f t="shared" si="196"/>
        <v>0.000794754619511226</v>
      </c>
      <c r="K1363" s="89">
        <f t="shared" si="197"/>
        <v>410.2875</v>
      </c>
      <c r="L1363" s="89">
        <f t="shared" si="198"/>
        <v>326.077885952712</v>
      </c>
      <c r="M1363" s="90">
        <f t="shared" si="199"/>
        <v>19.2121378301801</v>
      </c>
      <c r="N1363" s="66">
        <f t="shared" si="192"/>
        <v>0.0258064516129032</v>
      </c>
      <c r="O1363" s="52">
        <f t="shared" si="193"/>
        <v>7882.5</v>
      </c>
      <c r="P1363" s="52">
        <f t="shared" si="194"/>
        <v>410.2875</v>
      </c>
      <c r="Q1363" s="68">
        <f t="shared" si="195"/>
        <v>44.3554054054054</v>
      </c>
    </row>
    <row r="1364" s="2" customFormat="1" spans="1:17">
      <c r="A1364" s="91">
        <v>46011</v>
      </c>
      <c r="B1364" s="86">
        <v>1938.43</v>
      </c>
      <c r="C1364" s="87">
        <v>6602</v>
      </c>
      <c r="D1364" s="87">
        <v>127</v>
      </c>
      <c r="E1364" s="87">
        <v>0</v>
      </c>
      <c r="F1364" s="86">
        <v>0</v>
      </c>
      <c r="G1364" s="87">
        <v>40</v>
      </c>
      <c r="H1364" s="87">
        <v>1</v>
      </c>
      <c r="I1364" s="87">
        <v>3</v>
      </c>
      <c r="J1364" s="88">
        <f t="shared" si="196"/>
        <v>0</v>
      </c>
      <c r="K1364" s="89" t="e">
        <f t="shared" si="197"/>
        <v>#DIV/0!</v>
      </c>
      <c r="L1364" s="89">
        <f t="shared" si="198"/>
        <v>293.612541654044</v>
      </c>
      <c r="M1364" s="90">
        <f t="shared" si="199"/>
        <v>0</v>
      </c>
      <c r="N1364" s="66">
        <f t="shared" si="192"/>
        <v>0</v>
      </c>
      <c r="O1364" s="52">
        <f t="shared" si="193"/>
        <v>0</v>
      </c>
      <c r="P1364" s="52">
        <f t="shared" si="194"/>
        <v>0</v>
      </c>
      <c r="Q1364" s="68">
        <f t="shared" si="195"/>
        <v>48.46075</v>
      </c>
    </row>
    <row r="1365" s="2" customFormat="1" spans="1:17">
      <c r="A1365" s="91">
        <v>46012</v>
      </c>
      <c r="B1365" s="86">
        <v>1943.77</v>
      </c>
      <c r="C1365" s="87">
        <v>6087</v>
      </c>
      <c r="D1365" s="87">
        <v>173</v>
      </c>
      <c r="E1365" s="87">
        <v>1</v>
      </c>
      <c r="F1365" s="86">
        <v>7176</v>
      </c>
      <c r="G1365" s="87">
        <v>38</v>
      </c>
      <c r="H1365" s="87">
        <v>1</v>
      </c>
      <c r="I1365" s="87">
        <v>9</v>
      </c>
      <c r="J1365" s="88">
        <f t="shared" si="196"/>
        <v>0.000164284540824708</v>
      </c>
      <c r="K1365" s="89">
        <f t="shared" si="197"/>
        <v>1943.77</v>
      </c>
      <c r="L1365" s="89">
        <f t="shared" si="198"/>
        <v>319.331361918843</v>
      </c>
      <c r="M1365" s="90">
        <f t="shared" si="199"/>
        <v>3.69179481111448</v>
      </c>
      <c r="N1365" s="66">
        <f t="shared" si="192"/>
        <v>0.00578034682080925</v>
      </c>
      <c r="O1365" s="52">
        <f t="shared" si="193"/>
        <v>7176</v>
      </c>
      <c r="P1365" s="52">
        <f t="shared" si="194"/>
        <v>1943.77</v>
      </c>
      <c r="Q1365" s="68">
        <f t="shared" si="195"/>
        <v>51.1518421052632</v>
      </c>
    </row>
    <row r="1366" s="2" customFormat="1" spans="1:17">
      <c r="A1366" s="91">
        <v>46013</v>
      </c>
      <c r="B1366" s="86">
        <v>1590.94</v>
      </c>
      <c r="C1366" s="87">
        <v>4502</v>
      </c>
      <c r="D1366" s="87">
        <v>154</v>
      </c>
      <c r="E1366" s="87">
        <v>1</v>
      </c>
      <c r="F1366" s="86">
        <v>10812</v>
      </c>
      <c r="G1366" s="87">
        <v>36</v>
      </c>
      <c r="H1366" s="87">
        <v>3</v>
      </c>
      <c r="I1366" s="87">
        <v>5</v>
      </c>
      <c r="J1366" s="88">
        <f t="shared" si="196"/>
        <v>0.00022212350066637</v>
      </c>
      <c r="K1366" s="89">
        <f t="shared" si="197"/>
        <v>1590.94</v>
      </c>
      <c r="L1366" s="89">
        <f t="shared" si="198"/>
        <v>353.385162150155</v>
      </c>
      <c r="M1366" s="90">
        <f t="shared" si="199"/>
        <v>6.79598224948772</v>
      </c>
      <c r="N1366" s="66">
        <f t="shared" si="192"/>
        <v>0.00649350649350649</v>
      </c>
      <c r="O1366" s="52">
        <f t="shared" si="193"/>
        <v>10812</v>
      </c>
      <c r="P1366" s="52">
        <f t="shared" si="194"/>
        <v>1590.94</v>
      </c>
      <c r="Q1366" s="68">
        <f t="shared" si="195"/>
        <v>44.1927777777778</v>
      </c>
    </row>
    <row r="1367" s="2" customFormat="1" spans="1:17">
      <c r="A1367" s="91">
        <v>46014</v>
      </c>
      <c r="B1367" s="86">
        <v>1620.6</v>
      </c>
      <c r="C1367" s="87">
        <v>4709</v>
      </c>
      <c r="D1367" s="87">
        <v>167</v>
      </c>
      <c r="E1367" s="87">
        <v>0</v>
      </c>
      <c r="F1367" s="86">
        <v>0</v>
      </c>
      <c r="G1367" s="87">
        <v>42</v>
      </c>
      <c r="H1367" s="87">
        <v>1</v>
      </c>
      <c r="I1367" s="87">
        <v>7</v>
      </c>
      <c r="J1367" s="88">
        <f t="shared" si="196"/>
        <v>0</v>
      </c>
      <c r="K1367" s="89" t="e">
        <f t="shared" si="197"/>
        <v>#DIV/0!</v>
      </c>
      <c r="L1367" s="89">
        <f t="shared" si="198"/>
        <v>344.149500955617</v>
      </c>
      <c r="M1367" s="90">
        <f t="shared" si="199"/>
        <v>0</v>
      </c>
      <c r="N1367" s="66">
        <f t="shared" si="192"/>
        <v>0</v>
      </c>
      <c r="O1367" s="52">
        <f t="shared" si="193"/>
        <v>0</v>
      </c>
      <c r="P1367" s="52">
        <f t="shared" si="194"/>
        <v>0</v>
      </c>
      <c r="Q1367" s="68">
        <f t="shared" si="195"/>
        <v>38.5857142857143</v>
      </c>
    </row>
    <row r="1368" s="2" customFormat="1" spans="1:17">
      <c r="A1368" s="91">
        <v>46015</v>
      </c>
      <c r="B1368" s="86">
        <v>1626.59</v>
      </c>
      <c r="C1368" s="87">
        <v>5041</v>
      </c>
      <c r="D1368" s="87">
        <v>137</v>
      </c>
      <c r="E1368" s="87">
        <v>0</v>
      </c>
      <c r="F1368" s="86">
        <v>0</v>
      </c>
      <c r="G1368" s="87">
        <v>14</v>
      </c>
      <c r="H1368" s="87">
        <v>2</v>
      </c>
      <c r="I1368" s="87">
        <v>6</v>
      </c>
      <c r="J1368" s="88">
        <f t="shared" si="196"/>
        <v>0</v>
      </c>
      <c r="K1368" s="89" t="e">
        <f t="shared" si="197"/>
        <v>#DIV/0!</v>
      </c>
      <c r="L1368" s="89">
        <f t="shared" si="198"/>
        <v>322.672088871256</v>
      </c>
      <c r="M1368" s="90">
        <f t="shared" si="199"/>
        <v>0</v>
      </c>
      <c r="N1368" s="66">
        <f t="shared" si="192"/>
        <v>0</v>
      </c>
      <c r="O1368" s="52">
        <f t="shared" si="193"/>
        <v>0</v>
      </c>
      <c r="P1368" s="52">
        <f t="shared" si="194"/>
        <v>0</v>
      </c>
      <c r="Q1368" s="68">
        <f t="shared" si="195"/>
        <v>116.185</v>
      </c>
    </row>
    <row r="1369" s="2" customFormat="1" spans="1:17">
      <c r="A1369" s="91">
        <v>46016</v>
      </c>
      <c r="B1369" s="86">
        <v>1570.32</v>
      </c>
      <c r="C1369" s="87">
        <v>4788</v>
      </c>
      <c r="D1369" s="87">
        <v>146</v>
      </c>
      <c r="E1369" s="87">
        <v>1</v>
      </c>
      <c r="F1369" s="86">
        <v>20134</v>
      </c>
      <c r="G1369" s="87">
        <v>21</v>
      </c>
      <c r="H1369" s="87">
        <v>0</v>
      </c>
      <c r="I1369" s="87">
        <v>5</v>
      </c>
      <c r="J1369" s="88">
        <f t="shared" si="196"/>
        <v>0.000208855472013367</v>
      </c>
      <c r="K1369" s="89">
        <f t="shared" si="197"/>
        <v>1570.32</v>
      </c>
      <c r="L1369" s="89">
        <f t="shared" si="198"/>
        <v>327.96992481203</v>
      </c>
      <c r="M1369" s="90">
        <f t="shared" si="199"/>
        <v>12.8215905038463</v>
      </c>
      <c r="N1369" s="66">
        <f t="shared" si="192"/>
        <v>0.00684931506849315</v>
      </c>
      <c r="O1369" s="52">
        <f t="shared" si="193"/>
        <v>20134</v>
      </c>
      <c r="P1369" s="52">
        <f t="shared" si="194"/>
        <v>1570.32</v>
      </c>
      <c r="Q1369" s="68">
        <f t="shared" si="195"/>
        <v>74.7771428571428</v>
      </c>
    </row>
    <row r="1370" s="2" customFormat="1" spans="1:17">
      <c r="A1370" s="91">
        <v>46017</v>
      </c>
      <c r="B1370" s="86">
        <v>1743.57</v>
      </c>
      <c r="C1370" s="87">
        <v>5233</v>
      </c>
      <c r="D1370" s="87">
        <v>155</v>
      </c>
      <c r="E1370" s="87">
        <v>2</v>
      </c>
      <c r="F1370" s="86">
        <v>50753</v>
      </c>
      <c r="G1370" s="87">
        <v>19</v>
      </c>
      <c r="H1370" s="87">
        <v>6</v>
      </c>
      <c r="I1370" s="87">
        <v>2</v>
      </c>
      <c r="J1370" s="88">
        <f t="shared" si="196"/>
        <v>0.000382189948404357</v>
      </c>
      <c r="K1370" s="89">
        <f t="shared" si="197"/>
        <v>871.785</v>
      </c>
      <c r="L1370" s="89">
        <f t="shared" si="198"/>
        <v>333.187464169692</v>
      </c>
      <c r="M1370" s="90">
        <f t="shared" si="199"/>
        <v>29.1086678481506</v>
      </c>
      <c r="N1370" s="66">
        <f t="shared" si="192"/>
        <v>0.0129032258064516</v>
      </c>
      <c r="O1370" s="52">
        <f t="shared" si="193"/>
        <v>25376.5</v>
      </c>
      <c r="P1370" s="52">
        <f t="shared" si="194"/>
        <v>871.785</v>
      </c>
      <c r="Q1370" s="68">
        <f t="shared" si="195"/>
        <v>91.7668421052632</v>
      </c>
    </row>
    <row r="1371" s="2" customFormat="1" spans="1:17">
      <c r="A1371" s="91">
        <v>46018</v>
      </c>
      <c r="B1371" s="86">
        <v>2243.32</v>
      </c>
      <c r="C1371" s="87">
        <v>7278</v>
      </c>
      <c r="D1371" s="87">
        <v>162</v>
      </c>
      <c r="E1371" s="87">
        <v>0</v>
      </c>
      <c r="F1371" s="86">
        <v>0</v>
      </c>
      <c r="G1371" s="87">
        <v>18</v>
      </c>
      <c r="H1371" s="87">
        <v>2</v>
      </c>
      <c r="I1371" s="87">
        <v>5</v>
      </c>
      <c r="J1371" s="88">
        <f t="shared" si="196"/>
        <v>0</v>
      </c>
      <c r="K1371" s="89" t="e">
        <f t="shared" si="197"/>
        <v>#DIV/0!</v>
      </c>
      <c r="L1371" s="89">
        <f t="shared" si="198"/>
        <v>308.233031052487</v>
      </c>
      <c r="M1371" s="90">
        <f t="shared" si="199"/>
        <v>0</v>
      </c>
      <c r="N1371" s="66">
        <f t="shared" si="192"/>
        <v>0</v>
      </c>
      <c r="O1371" s="52">
        <f t="shared" si="193"/>
        <v>0</v>
      </c>
      <c r="P1371" s="52">
        <f t="shared" si="194"/>
        <v>0</v>
      </c>
      <c r="Q1371" s="68">
        <f t="shared" si="195"/>
        <v>124.628888888889</v>
      </c>
    </row>
    <row r="1372" s="2" customFormat="1" spans="1:17">
      <c r="A1372" s="91">
        <v>46019</v>
      </c>
      <c r="B1372" s="86">
        <v>2044.01</v>
      </c>
      <c r="C1372" s="87">
        <v>6414</v>
      </c>
      <c r="D1372" s="87">
        <v>190</v>
      </c>
      <c r="E1372" s="87">
        <v>0</v>
      </c>
      <c r="F1372" s="86">
        <v>0</v>
      </c>
      <c r="G1372" s="87">
        <v>32</v>
      </c>
      <c r="H1372" s="87">
        <v>5</v>
      </c>
      <c r="I1372" s="87">
        <v>3</v>
      </c>
      <c r="J1372" s="88">
        <f t="shared" si="196"/>
        <v>0</v>
      </c>
      <c r="K1372" s="89" t="e">
        <f t="shared" si="197"/>
        <v>#DIV/0!</v>
      </c>
      <c r="L1372" s="89">
        <f t="shared" si="198"/>
        <v>318.679451200499</v>
      </c>
      <c r="M1372" s="90">
        <f t="shared" si="199"/>
        <v>0</v>
      </c>
      <c r="N1372" s="66">
        <f t="shared" si="192"/>
        <v>0</v>
      </c>
      <c r="O1372" s="52">
        <f t="shared" si="193"/>
        <v>0</v>
      </c>
      <c r="P1372" s="52">
        <f t="shared" si="194"/>
        <v>0</v>
      </c>
      <c r="Q1372" s="68">
        <f t="shared" si="195"/>
        <v>63.8753125</v>
      </c>
    </row>
    <row r="1373" s="2" customFormat="1" spans="1:17">
      <c r="A1373" s="91">
        <v>46020</v>
      </c>
      <c r="B1373" s="86">
        <v>1591.24</v>
      </c>
      <c r="C1373" s="87">
        <v>4471</v>
      </c>
      <c r="D1373" s="87">
        <v>155</v>
      </c>
      <c r="E1373" s="87">
        <v>3</v>
      </c>
      <c r="F1373" s="86">
        <v>48844</v>
      </c>
      <c r="G1373" s="87">
        <v>30</v>
      </c>
      <c r="H1373" s="87">
        <v>4</v>
      </c>
      <c r="I1373" s="87">
        <v>9</v>
      </c>
      <c r="J1373" s="88">
        <f t="shared" si="196"/>
        <v>0.000670990829791993</v>
      </c>
      <c r="K1373" s="89">
        <f t="shared" si="197"/>
        <v>530.413333333333</v>
      </c>
      <c r="L1373" s="89">
        <f t="shared" si="198"/>
        <v>355.90248266607</v>
      </c>
      <c r="M1373" s="90">
        <f t="shared" si="199"/>
        <v>30.6955581810412</v>
      </c>
      <c r="N1373" s="66">
        <f t="shared" si="192"/>
        <v>0.0193548387096774</v>
      </c>
      <c r="O1373" s="52">
        <f t="shared" si="193"/>
        <v>16281.3333333333</v>
      </c>
      <c r="P1373" s="52">
        <f t="shared" si="194"/>
        <v>530.413333333333</v>
      </c>
      <c r="Q1373" s="68">
        <f t="shared" si="195"/>
        <v>53.0413333333333</v>
      </c>
    </row>
    <row r="1374" s="2" customFormat="1" spans="1:17">
      <c r="A1374" s="91">
        <v>46021</v>
      </c>
      <c r="B1374" s="86">
        <v>1590.09</v>
      </c>
      <c r="C1374" s="87">
        <v>4335</v>
      </c>
      <c r="D1374" s="87">
        <v>157</v>
      </c>
      <c r="E1374" s="87">
        <v>0</v>
      </c>
      <c r="F1374" s="86">
        <v>0</v>
      </c>
      <c r="G1374" s="87">
        <v>34</v>
      </c>
      <c r="H1374" s="87">
        <v>4</v>
      </c>
      <c r="I1374" s="87">
        <v>6</v>
      </c>
      <c r="J1374" s="88">
        <f t="shared" si="196"/>
        <v>0</v>
      </c>
      <c r="K1374" s="89" t="e">
        <f t="shared" si="197"/>
        <v>#DIV/0!</v>
      </c>
      <c r="L1374" s="89">
        <f t="shared" si="198"/>
        <v>366.80276816609</v>
      </c>
      <c r="M1374" s="90">
        <f t="shared" si="199"/>
        <v>0</v>
      </c>
      <c r="N1374" s="66">
        <f t="shared" si="192"/>
        <v>0</v>
      </c>
      <c r="O1374" s="52">
        <f t="shared" si="193"/>
        <v>0</v>
      </c>
      <c r="P1374" s="52">
        <f t="shared" si="194"/>
        <v>0</v>
      </c>
      <c r="Q1374" s="68">
        <f t="shared" si="195"/>
        <v>46.7673529411765</v>
      </c>
    </row>
    <row r="1375" s="2" customFormat="1" spans="1:17">
      <c r="A1375" s="91">
        <v>46022</v>
      </c>
      <c r="B1375" s="86">
        <v>1850.21</v>
      </c>
      <c r="C1375" s="87">
        <v>5104</v>
      </c>
      <c r="D1375" s="87">
        <v>148</v>
      </c>
      <c r="E1375" s="87">
        <v>0</v>
      </c>
      <c r="F1375" s="86">
        <v>0</v>
      </c>
      <c r="G1375" s="87">
        <v>34</v>
      </c>
      <c r="H1375" s="87">
        <v>3</v>
      </c>
      <c r="I1375" s="87">
        <v>5</v>
      </c>
      <c r="J1375" s="88">
        <f t="shared" si="196"/>
        <v>0</v>
      </c>
      <c r="K1375" s="89" t="e">
        <f t="shared" si="197"/>
        <v>#DIV/0!</v>
      </c>
      <c r="L1375" s="89">
        <f t="shared" si="198"/>
        <v>362.501959247649</v>
      </c>
      <c r="M1375" s="90">
        <f t="shared" si="199"/>
        <v>0</v>
      </c>
      <c r="N1375" s="66">
        <f t="shared" si="192"/>
        <v>0</v>
      </c>
      <c r="O1375" s="52">
        <f t="shared" si="193"/>
        <v>0</v>
      </c>
      <c r="P1375" s="52">
        <f t="shared" si="194"/>
        <v>0</v>
      </c>
      <c r="Q1375" s="68">
        <f t="shared" si="195"/>
        <v>54.4179411764706</v>
      </c>
    </row>
    <row r="1376" s="2" customFormat="1" spans="1:17">
      <c r="A1376" s="91">
        <v>46023</v>
      </c>
      <c r="B1376" s="86">
        <v>2470.51</v>
      </c>
      <c r="C1376" s="87">
        <v>7461</v>
      </c>
      <c r="D1376" s="87">
        <v>214</v>
      </c>
      <c r="E1376" s="87">
        <v>0</v>
      </c>
      <c r="F1376" s="86">
        <v>0</v>
      </c>
      <c r="G1376" s="87">
        <v>48</v>
      </c>
      <c r="H1376" s="87">
        <v>4</v>
      </c>
      <c r="I1376" s="87">
        <v>10</v>
      </c>
      <c r="J1376" s="88">
        <f t="shared" si="196"/>
        <v>0</v>
      </c>
      <c r="K1376" s="89" t="e">
        <f t="shared" si="197"/>
        <v>#DIV/0!</v>
      </c>
      <c r="L1376" s="89">
        <f t="shared" si="198"/>
        <v>331.123173837287</v>
      </c>
      <c r="M1376" s="90">
        <f t="shared" si="199"/>
        <v>0</v>
      </c>
      <c r="N1376" s="66">
        <f t="shared" si="192"/>
        <v>0</v>
      </c>
      <c r="O1376" s="52">
        <f t="shared" si="193"/>
        <v>0</v>
      </c>
      <c r="P1376" s="52">
        <f t="shared" si="194"/>
        <v>0</v>
      </c>
      <c r="Q1376" s="68">
        <f t="shared" si="195"/>
        <v>51.4689583333333</v>
      </c>
    </row>
    <row r="1377" s="2" customFormat="1" spans="1:17">
      <c r="A1377" s="91">
        <v>46024</v>
      </c>
      <c r="B1377" s="86">
        <v>2442.04</v>
      </c>
      <c r="C1377" s="87">
        <v>6069</v>
      </c>
      <c r="D1377" s="87">
        <v>312</v>
      </c>
      <c r="E1377" s="87">
        <v>0</v>
      </c>
      <c r="F1377" s="86">
        <v>0</v>
      </c>
      <c r="G1377" s="87">
        <v>45</v>
      </c>
      <c r="H1377" s="87">
        <v>13</v>
      </c>
      <c r="I1377" s="87">
        <v>12</v>
      </c>
      <c r="J1377" s="88">
        <f t="shared" si="196"/>
        <v>0</v>
      </c>
      <c r="K1377" s="89" t="e">
        <f t="shared" si="197"/>
        <v>#DIV/0!</v>
      </c>
      <c r="L1377" s="89">
        <f t="shared" si="198"/>
        <v>402.379304663042</v>
      </c>
      <c r="M1377" s="90">
        <f t="shared" si="199"/>
        <v>0</v>
      </c>
      <c r="N1377" s="66">
        <f t="shared" si="192"/>
        <v>0</v>
      </c>
      <c r="O1377" s="52">
        <f t="shared" si="193"/>
        <v>0</v>
      </c>
      <c r="P1377" s="52">
        <f t="shared" si="194"/>
        <v>0</v>
      </c>
      <c r="Q1377" s="68">
        <f t="shared" si="195"/>
        <v>54.2675555555556</v>
      </c>
    </row>
    <row r="1378" s="2" customFormat="1" spans="1:17">
      <c r="A1378" s="91">
        <v>46025</v>
      </c>
      <c r="B1378" s="86">
        <v>1474.08</v>
      </c>
      <c r="C1378" s="87">
        <v>3214</v>
      </c>
      <c r="D1378" s="87">
        <v>200</v>
      </c>
      <c r="E1378" s="87">
        <v>3</v>
      </c>
      <c r="F1378" s="86">
        <v>52326</v>
      </c>
      <c r="G1378" s="87">
        <v>38</v>
      </c>
      <c r="H1378" s="87">
        <v>10</v>
      </c>
      <c r="I1378" s="87">
        <v>7</v>
      </c>
      <c r="J1378" s="88">
        <f t="shared" si="196"/>
        <v>0.000933416303671437</v>
      </c>
      <c r="K1378" s="89">
        <f t="shared" si="197"/>
        <v>491.36</v>
      </c>
      <c r="L1378" s="89">
        <f t="shared" si="198"/>
        <v>458.643434971998</v>
      </c>
      <c r="M1378" s="90">
        <f t="shared" si="199"/>
        <v>35.4973949853468</v>
      </c>
      <c r="N1378" s="66">
        <f t="shared" si="192"/>
        <v>0.015</v>
      </c>
      <c r="O1378" s="52">
        <f t="shared" si="193"/>
        <v>17442</v>
      </c>
      <c r="P1378" s="52">
        <f t="shared" si="194"/>
        <v>491.36</v>
      </c>
      <c r="Q1378" s="68">
        <f t="shared" si="195"/>
        <v>38.7915789473684</v>
      </c>
    </row>
    <row r="1379" s="2" customFormat="1" spans="1:17">
      <c r="A1379" s="91">
        <v>46026</v>
      </c>
      <c r="B1379" s="86">
        <v>1466.25</v>
      </c>
      <c r="C1379" s="87">
        <v>2812</v>
      </c>
      <c r="D1379" s="87">
        <v>224</v>
      </c>
      <c r="E1379" s="87">
        <v>4</v>
      </c>
      <c r="F1379" s="86">
        <v>52096</v>
      </c>
      <c r="G1379" s="87">
        <v>33</v>
      </c>
      <c r="H1379" s="87">
        <v>9</v>
      </c>
      <c r="I1379" s="87">
        <v>12</v>
      </c>
      <c r="J1379" s="88">
        <f t="shared" si="196"/>
        <v>0.00142247510668563</v>
      </c>
      <c r="K1379" s="89">
        <f t="shared" si="197"/>
        <v>366.5625</v>
      </c>
      <c r="L1379" s="89">
        <f t="shared" si="198"/>
        <v>521.426031294452</v>
      </c>
      <c r="M1379" s="90">
        <f t="shared" si="199"/>
        <v>35.5300937766411</v>
      </c>
      <c r="N1379" s="66">
        <f t="shared" si="192"/>
        <v>0.0178571428571429</v>
      </c>
      <c r="O1379" s="52">
        <f t="shared" si="193"/>
        <v>13024</v>
      </c>
      <c r="P1379" s="52">
        <f t="shared" si="194"/>
        <v>366.5625</v>
      </c>
      <c r="Q1379" s="68">
        <f t="shared" si="195"/>
        <v>44.4318181818182</v>
      </c>
    </row>
    <row r="1380" s="2" customFormat="1" spans="1:17">
      <c r="A1380" s="91">
        <v>46027</v>
      </c>
      <c r="B1380" s="86">
        <v>1974.56</v>
      </c>
      <c r="C1380" s="87">
        <v>4293</v>
      </c>
      <c r="D1380" s="87">
        <v>301</v>
      </c>
      <c r="E1380" s="87">
        <v>1</v>
      </c>
      <c r="F1380" s="86">
        <v>21794</v>
      </c>
      <c r="G1380" s="87">
        <v>65</v>
      </c>
      <c r="H1380" s="87">
        <v>7</v>
      </c>
      <c r="I1380" s="87">
        <v>14</v>
      </c>
      <c r="J1380" s="88">
        <f t="shared" si="196"/>
        <v>0.000232937339855579</v>
      </c>
      <c r="K1380" s="89">
        <f t="shared" si="197"/>
        <v>1974.56</v>
      </c>
      <c r="L1380" s="89">
        <f t="shared" si="198"/>
        <v>459.948753785232</v>
      </c>
      <c r="M1380" s="90">
        <f t="shared" si="199"/>
        <v>11.0373956729601</v>
      </c>
      <c r="N1380" s="66">
        <f t="shared" si="192"/>
        <v>0.00332225913621262</v>
      </c>
      <c r="O1380" s="52">
        <f t="shared" si="193"/>
        <v>21794</v>
      </c>
      <c r="P1380" s="52">
        <f t="shared" si="194"/>
        <v>1974.56</v>
      </c>
      <c r="Q1380" s="68">
        <f t="shared" si="195"/>
        <v>30.3778461538462</v>
      </c>
    </row>
    <row r="1381" s="2" customFormat="1" spans="1:17">
      <c r="A1381" s="91">
        <v>46028</v>
      </c>
      <c r="B1381" s="86">
        <v>2166.91</v>
      </c>
      <c r="C1381" s="87">
        <v>4712</v>
      </c>
      <c r="D1381" s="87">
        <v>310</v>
      </c>
      <c r="E1381" s="87">
        <v>3</v>
      </c>
      <c r="F1381" s="86">
        <v>32838</v>
      </c>
      <c r="G1381" s="87">
        <v>67</v>
      </c>
      <c r="H1381" s="87">
        <v>11</v>
      </c>
      <c r="I1381" s="87">
        <v>5</v>
      </c>
      <c r="J1381" s="88">
        <f t="shared" si="196"/>
        <v>0.000636672325976231</v>
      </c>
      <c r="K1381" s="89">
        <f t="shared" si="197"/>
        <v>722.303333333333</v>
      </c>
      <c r="L1381" s="89">
        <f t="shared" si="198"/>
        <v>459.870543293718</v>
      </c>
      <c r="M1381" s="90">
        <f t="shared" si="199"/>
        <v>15.1542980557568</v>
      </c>
      <c r="N1381" s="66">
        <f t="shared" si="192"/>
        <v>0.00967741935483871</v>
      </c>
      <c r="O1381" s="52">
        <f t="shared" si="193"/>
        <v>10946</v>
      </c>
      <c r="P1381" s="52">
        <f t="shared" si="194"/>
        <v>722.303333333333</v>
      </c>
      <c r="Q1381" s="68">
        <f t="shared" si="195"/>
        <v>32.3419402985075</v>
      </c>
    </row>
    <row r="1382" s="2" customFormat="1" spans="1:17">
      <c r="A1382" s="91">
        <v>46029</v>
      </c>
      <c r="B1382" s="86">
        <v>2314.91</v>
      </c>
      <c r="C1382" s="87">
        <v>5588</v>
      </c>
      <c r="D1382" s="87">
        <v>277</v>
      </c>
      <c r="E1382" s="87">
        <v>1</v>
      </c>
      <c r="F1382" s="86">
        <v>7306</v>
      </c>
      <c r="G1382" s="87">
        <v>55</v>
      </c>
      <c r="H1382" s="87">
        <v>5</v>
      </c>
      <c r="I1382" s="87">
        <v>10</v>
      </c>
      <c r="J1382" s="88">
        <f t="shared" si="196"/>
        <v>0.000178954903364352</v>
      </c>
      <c r="K1382" s="89">
        <f t="shared" si="197"/>
        <v>2314.91</v>
      </c>
      <c r="L1382" s="89">
        <f t="shared" si="198"/>
        <v>414.264495347172</v>
      </c>
      <c r="M1382" s="90">
        <f t="shared" si="199"/>
        <v>3.1560622227214</v>
      </c>
      <c r="N1382" s="66">
        <f t="shared" ref="N1382:N1445" si="200">E1382/D1382</f>
        <v>0.0036101083032491</v>
      </c>
      <c r="O1382" s="52">
        <f t="shared" ref="O1382:O1445" si="201">IF(E1382=0,0,F1382/E1382)</f>
        <v>7306</v>
      </c>
      <c r="P1382" s="52">
        <f t="shared" ref="P1382:P1445" si="202">IF(E1382=0,0,B1382/E1382)</f>
        <v>2314.91</v>
      </c>
      <c r="Q1382" s="68">
        <f t="shared" ref="Q1382:Q1445" si="203">B1382/G1382</f>
        <v>42.0892727272727</v>
      </c>
    </row>
    <row r="1383" s="2" customFormat="1" spans="1:17">
      <c r="A1383" s="91">
        <v>46030</v>
      </c>
      <c r="B1383" s="86">
        <v>2287.76</v>
      </c>
      <c r="C1383" s="87">
        <v>5562</v>
      </c>
      <c r="D1383" s="87">
        <v>279</v>
      </c>
      <c r="E1383" s="87">
        <v>1</v>
      </c>
      <c r="F1383" s="86">
        <v>46660</v>
      </c>
      <c r="G1383" s="87">
        <v>44</v>
      </c>
      <c r="H1383" s="87">
        <v>3</v>
      </c>
      <c r="I1383" s="87">
        <v>15</v>
      </c>
      <c r="J1383" s="88">
        <f t="shared" si="196"/>
        <v>0.000179791441927364</v>
      </c>
      <c r="K1383" s="89">
        <f t="shared" si="197"/>
        <v>2287.76</v>
      </c>
      <c r="L1383" s="89">
        <f t="shared" si="198"/>
        <v>411.319669183747</v>
      </c>
      <c r="M1383" s="90">
        <f t="shared" si="199"/>
        <v>20.3954960310522</v>
      </c>
      <c r="N1383" s="66">
        <f t="shared" si="200"/>
        <v>0.003584229390681</v>
      </c>
      <c r="O1383" s="52">
        <f t="shared" si="201"/>
        <v>46660</v>
      </c>
      <c r="P1383" s="52">
        <f t="shared" si="202"/>
        <v>2287.76</v>
      </c>
      <c r="Q1383" s="68">
        <f t="shared" si="203"/>
        <v>51.9945454545455</v>
      </c>
    </row>
    <row r="1384" s="2" customFormat="1" spans="1:17">
      <c r="A1384" s="91">
        <v>46031</v>
      </c>
      <c r="B1384" s="86">
        <v>2073.46</v>
      </c>
      <c r="C1384" s="87">
        <v>5213</v>
      </c>
      <c r="D1384" s="87">
        <v>220</v>
      </c>
      <c r="E1384" s="87">
        <v>0</v>
      </c>
      <c r="F1384" s="86">
        <v>0</v>
      </c>
      <c r="G1384" s="87">
        <v>51</v>
      </c>
      <c r="H1384" s="87">
        <v>12</v>
      </c>
      <c r="I1384" s="87">
        <v>7</v>
      </c>
      <c r="J1384" s="88">
        <f t="shared" si="196"/>
        <v>0</v>
      </c>
      <c r="K1384" s="89" t="e">
        <f t="shared" si="197"/>
        <v>#DIV/0!</v>
      </c>
      <c r="L1384" s="89">
        <f t="shared" si="198"/>
        <v>397.747937847688</v>
      </c>
      <c r="M1384" s="90">
        <f t="shared" si="199"/>
        <v>0</v>
      </c>
      <c r="N1384" s="66">
        <f t="shared" si="200"/>
        <v>0</v>
      </c>
      <c r="O1384" s="52">
        <f t="shared" si="201"/>
        <v>0</v>
      </c>
      <c r="P1384" s="52">
        <f t="shared" si="202"/>
        <v>0</v>
      </c>
      <c r="Q1384" s="68">
        <f t="shared" si="203"/>
        <v>40.6560784313725</v>
      </c>
    </row>
    <row r="1385" s="2" customFormat="1" spans="1:17">
      <c r="A1385" s="91">
        <v>46032</v>
      </c>
      <c r="B1385" s="86">
        <v>158.7</v>
      </c>
      <c r="C1385" s="87">
        <v>303</v>
      </c>
      <c r="D1385" s="87">
        <v>22</v>
      </c>
      <c r="E1385" s="87">
        <v>1</v>
      </c>
      <c r="F1385" s="86">
        <v>17356</v>
      </c>
      <c r="G1385" s="87">
        <v>6</v>
      </c>
      <c r="H1385" s="87">
        <v>0</v>
      </c>
      <c r="I1385" s="87">
        <v>0</v>
      </c>
      <c r="J1385" s="88">
        <f t="shared" si="196"/>
        <v>0.0033003300330033</v>
      </c>
      <c r="K1385" s="89">
        <f t="shared" si="197"/>
        <v>158.7</v>
      </c>
      <c r="L1385" s="89">
        <f t="shared" si="198"/>
        <v>523.762376237624</v>
      </c>
      <c r="M1385" s="90">
        <f t="shared" si="199"/>
        <v>109.363579080025</v>
      </c>
      <c r="N1385" s="66">
        <f t="shared" si="200"/>
        <v>0.0454545454545455</v>
      </c>
      <c r="O1385" s="52">
        <f t="shared" si="201"/>
        <v>17356</v>
      </c>
      <c r="P1385" s="52">
        <f t="shared" si="202"/>
        <v>158.7</v>
      </c>
      <c r="Q1385" s="68">
        <f t="shared" si="203"/>
        <v>26.45</v>
      </c>
    </row>
    <row r="1386" s="2" customFormat="1" spans="1:17">
      <c r="A1386" s="91">
        <v>46033</v>
      </c>
      <c r="B1386" s="86">
        <v>0</v>
      </c>
      <c r="C1386" s="87">
        <v>0</v>
      </c>
      <c r="D1386" s="87">
        <v>0</v>
      </c>
      <c r="E1386" s="87">
        <v>0</v>
      </c>
      <c r="F1386" s="86">
        <v>0</v>
      </c>
      <c r="G1386" s="87">
        <v>0</v>
      </c>
      <c r="H1386" s="87">
        <v>0</v>
      </c>
      <c r="I1386" s="87">
        <v>0</v>
      </c>
      <c r="J1386" s="88" t="e">
        <f t="shared" si="196"/>
        <v>#DIV/0!</v>
      </c>
      <c r="K1386" s="89" t="e">
        <f t="shared" si="197"/>
        <v>#DIV/0!</v>
      </c>
      <c r="L1386" s="89" t="e">
        <f t="shared" si="198"/>
        <v>#DIV/0!</v>
      </c>
      <c r="M1386" s="90" t="e">
        <f t="shared" si="199"/>
        <v>#DIV/0!</v>
      </c>
      <c r="N1386" s="66" t="e">
        <f t="shared" si="200"/>
        <v>#DIV/0!</v>
      </c>
      <c r="O1386" s="52">
        <f t="shared" si="201"/>
        <v>0</v>
      </c>
      <c r="P1386" s="52">
        <f t="shared" si="202"/>
        <v>0</v>
      </c>
      <c r="Q1386" s="68" t="e">
        <f t="shared" si="203"/>
        <v>#DIV/0!</v>
      </c>
    </row>
    <row r="1387" s="2" customFormat="1" spans="1:17">
      <c r="A1387" s="91">
        <v>46034</v>
      </c>
      <c r="B1387" s="86">
        <v>1462.58</v>
      </c>
      <c r="C1387" s="87">
        <v>3763</v>
      </c>
      <c r="D1387" s="87">
        <v>168</v>
      </c>
      <c r="E1387" s="87">
        <v>0</v>
      </c>
      <c r="F1387" s="86">
        <v>0</v>
      </c>
      <c r="G1387" s="87">
        <v>55</v>
      </c>
      <c r="H1387" s="87">
        <v>0</v>
      </c>
      <c r="I1387" s="87">
        <v>6</v>
      </c>
      <c r="J1387" s="88">
        <f t="shared" si="196"/>
        <v>0</v>
      </c>
      <c r="K1387" s="89" t="e">
        <f t="shared" si="197"/>
        <v>#DIV/0!</v>
      </c>
      <c r="L1387" s="89">
        <f t="shared" si="198"/>
        <v>388.673930374701</v>
      </c>
      <c r="M1387" s="90">
        <f t="shared" si="199"/>
        <v>0</v>
      </c>
      <c r="N1387" s="66">
        <f t="shared" si="200"/>
        <v>0</v>
      </c>
      <c r="O1387" s="52">
        <f t="shared" si="201"/>
        <v>0</v>
      </c>
      <c r="P1387" s="52">
        <f t="shared" si="202"/>
        <v>0</v>
      </c>
      <c r="Q1387" s="68">
        <f t="shared" si="203"/>
        <v>26.5923636363636</v>
      </c>
    </row>
    <row r="1388" s="2" customFormat="1" spans="1:17">
      <c r="A1388" s="91">
        <v>46035</v>
      </c>
      <c r="B1388" s="86">
        <v>1817.99</v>
      </c>
      <c r="C1388" s="87">
        <v>4644</v>
      </c>
      <c r="D1388" s="87">
        <v>200</v>
      </c>
      <c r="E1388" s="87">
        <v>0</v>
      </c>
      <c r="F1388" s="86">
        <v>0</v>
      </c>
      <c r="G1388" s="87">
        <v>41</v>
      </c>
      <c r="H1388" s="87">
        <v>4</v>
      </c>
      <c r="I1388" s="87">
        <v>8</v>
      </c>
      <c r="J1388" s="88">
        <f t="shared" si="196"/>
        <v>0</v>
      </c>
      <c r="K1388" s="89" t="e">
        <f t="shared" si="197"/>
        <v>#DIV/0!</v>
      </c>
      <c r="L1388" s="89">
        <f t="shared" si="198"/>
        <v>391.470714900947</v>
      </c>
      <c r="M1388" s="90">
        <f t="shared" si="199"/>
        <v>0</v>
      </c>
      <c r="N1388" s="66">
        <f t="shared" si="200"/>
        <v>0</v>
      </c>
      <c r="O1388" s="52">
        <f t="shared" si="201"/>
        <v>0</v>
      </c>
      <c r="P1388" s="52">
        <f t="shared" si="202"/>
        <v>0</v>
      </c>
      <c r="Q1388" s="68">
        <f t="shared" si="203"/>
        <v>44.3412195121951</v>
      </c>
    </row>
    <row r="1389" s="2" customFormat="1" spans="1:17">
      <c r="A1389" s="91">
        <v>46036</v>
      </c>
      <c r="B1389" s="86">
        <v>1923.09</v>
      </c>
      <c r="C1389" s="87">
        <v>4805</v>
      </c>
      <c r="D1389" s="87">
        <v>226</v>
      </c>
      <c r="E1389" s="87">
        <v>1</v>
      </c>
      <c r="F1389" s="86">
        <v>22454</v>
      </c>
      <c r="G1389" s="87">
        <v>40</v>
      </c>
      <c r="H1389" s="87">
        <v>4</v>
      </c>
      <c r="I1389" s="87">
        <v>8</v>
      </c>
      <c r="J1389" s="88">
        <f t="shared" si="196"/>
        <v>0.000208116545265349</v>
      </c>
      <c r="K1389" s="89">
        <f t="shared" si="197"/>
        <v>1923.09</v>
      </c>
      <c r="L1389" s="89">
        <f t="shared" si="198"/>
        <v>400.226847034339</v>
      </c>
      <c r="M1389" s="90">
        <f t="shared" si="199"/>
        <v>11.6760006031959</v>
      </c>
      <c r="N1389" s="66">
        <f t="shared" si="200"/>
        <v>0.00442477876106195</v>
      </c>
      <c r="O1389" s="52">
        <f t="shared" si="201"/>
        <v>22454</v>
      </c>
      <c r="P1389" s="52">
        <f t="shared" si="202"/>
        <v>1923.09</v>
      </c>
      <c r="Q1389" s="68">
        <f t="shared" si="203"/>
        <v>48.07725</v>
      </c>
    </row>
    <row r="1390" s="2" customFormat="1" spans="1:17">
      <c r="A1390" s="91">
        <v>46037</v>
      </c>
      <c r="B1390" s="86">
        <v>1887.12</v>
      </c>
      <c r="C1390" s="87">
        <v>4944</v>
      </c>
      <c r="D1390" s="87">
        <v>170</v>
      </c>
      <c r="E1390" s="87">
        <v>0</v>
      </c>
      <c r="F1390" s="86">
        <v>0</v>
      </c>
      <c r="G1390" s="87">
        <v>39</v>
      </c>
      <c r="H1390" s="87">
        <v>0</v>
      </c>
      <c r="I1390" s="87">
        <v>4</v>
      </c>
      <c r="J1390" s="88">
        <f t="shared" si="196"/>
        <v>0</v>
      </c>
      <c r="K1390" s="89" t="e">
        <f t="shared" si="197"/>
        <v>#DIV/0!</v>
      </c>
      <c r="L1390" s="89">
        <f t="shared" si="198"/>
        <v>381.699029126214</v>
      </c>
      <c r="M1390" s="90">
        <f t="shared" si="199"/>
        <v>0</v>
      </c>
      <c r="N1390" s="66">
        <f t="shared" si="200"/>
        <v>0</v>
      </c>
      <c r="O1390" s="52">
        <f t="shared" si="201"/>
        <v>0</v>
      </c>
      <c r="P1390" s="52">
        <f t="shared" si="202"/>
        <v>0</v>
      </c>
      <c r="Q1390" s="68">
        <f t="shared" si="203"/>
        <v>48.3876923076923</v>
      </c>
    </row>
    <row r="1391" s="2" customFormat="1" spans="1:17">
      <c r="A1391" s="91">
        <v>46038</v>
      </c>
      <c r="B1391" s="86">
        <v>2078.93</v>
      </c>
      <c r="C1391" s="87">
        <v>5347</v>
      </c>
      <c r="D1391" s="87">
        <v>235</v>
      </c>
      <c r="E1391" s="87">
        <v>0</v>
      </c>
      <c r="F1391" s="86">
        <v>0</v>
      </c>
      <c r="G1391" s="87">
        <v>36</v>
      </c>
      <c r="H1391" s="87">
        <v>2</v>
      </c>
      <c r="I1391" s="87">
        <v>13</v>
      </c>
      <c r="J1391" s="88">
        <f t="shared" si="196"/>
        <v>0</v>
      </c>
      <c r="K1391" s="89" t="e">
        <f t="shared" si="197"/>
        <v>#DIV/0!</v>
      </c>
      <c r="L1391" s="89">
        <f t="shared" si="198"/>
        <v>388.803067140453</v>
      </c>
      <c r="M1391" s="90">
        <f t="shared" si="199"/>
        <v>0</v>
      </c>
      <c r="N1391" s="66">
        <f t="shared" si="200"/>
        <v>0</v>
      </c>
      <c r="O1391" s="52">
        <f t="shared" si="201"/>
        <v>0</v>
      </c>
      <c r="P1391" s="52">
        <f t="shared" si="202"/>
        <v>0</v>
      </c>
      <c r="Q1391" s="68">
        <f t="shared" si="203"/>
        <v>57.7480555555556</v>
      </c>
    </row>
    <row r="1392" s="2" customFormat="1" spans="1:17">
      <c r="A1392" s="91">
        <v>46039</v>
      </c>
      <c r="B1392" s="86">
        <v>2524.89</v>
      </c>
      <c r="C1392" s="87">
        <v>7294</v>
      </c>
      <c r="D1392" s="87">
        <v>244</v>
      </c>
      <c r="E1392" s="87">
        <v>1</v>
      </c>
      <c r="F1392" s="86">
        <v>14015</v>
      </c>
      <c r="G1392" s="87">
        <v>27</v>
      </c>
      <c r="H1392" s="87">
        <v>2</v>
      </c>
      <c r="I1392" s="87">
        <v>5</v>
      </c>
      <c r="J1392" s="88">
        <f t="shared" si="196"/>
        <v>0.000137098985467508</v>
      </c>
      <c r="K1392" s="89">
        <f t="shared" si="197"/>
        <v>2524.89</v>
      </c>
      <c r="L1392" s="89">
        <f t="shared" si="198"/>
        <v>346.159857417055</v>
      </c>
      <c r="M1392" s="90">
        <f t="shared" si="199"/>
        <v>5.55073686378416</v>
      </c>
      <c r="N1392" s="66">
        <f t="shared" si="200"/>
        <v>0.00409836065573771</v>
      </c>
      <c r="O1392" s="52">
        <f t="shared" si="201"/>
        <v>14015</v>
      </c>
      <c r="P1392" s="52">
        <f t="shared" si="202"/>
        <v>2524.89</v>
      </c>
      <c r="Q1392" s="68">
        <f t="shared" si="203"/>
        <v>93.5144444444444</v>
      </c>
    </row>
    <row r="1393" s="2" customFormat="1" spans="1:17">
      <c r="A1393" s="91">
        <v>46040</v>
      </c>
      <c r="B1393" s="86">
        <v>2289.79</v>
      </c>
      <c r="C1393" s="87">
        <v>6307</v>
      </c>
      <c r="D1393" s="87">
        <v>231</v>
      </c>
      <c r="E1393" s="87">
        <v>4</v>
      </c>
      <c r="F1393" s="86">
        <v>60949</v>
      </c>
      <c r="G1393" s="87">
        <v>41</v>
      </c>
      <c r="H1393" s="87">
        <v>2</v>
      </c>
      <c r="I1393" s="87">
        <v>12</v>
      </c>
      <c r="J1393" s="88">
        <f t="shared" si="196"/>
        <v>0.000634215950531156</v>
      </c>
      <c r="K1393" s="89">
        <f t="shared" si="197"/>
        <v>572.4475</v>
      </c>
      <c r="L1393" s="89">
        <f t="shared" si="198"/>
        <v>363.055335341684</v>
      </c>
      <c r="M1393" s="90">
        <f t="shared" si="199"/>
        <v>26.6177247695204</v>
      </c>
      <c r="N1393" s="66">
        <f t="shared" si="200"/>
        <v>0.0173160173160173</v>
      </c>
      <c r="O1393" s="52">
        <f t="shared" si="201"/>
        <v>15237.25</v>
      </c>
      <c r="P1393" s="52">
        <f t="shared" si="202"/>
        <v>572.4475</v>
      </c>
      <c r="Q1393" s="68">
        <f t="shared" si="203"/>
        <v>55.8485365853658</v>
      </c>
    </row>
    <row r="1394" s="2" customFormat="1" spans="1:17">
      <c r="A1394" s="91">
        <v>46041</v>
      </c>
      <c r="B1394" s="86">
        <v>1767.01</v>
      </c>
      <c r="C1394" s="87">
        <v>4375</v>
      </c>
      <c r="D1394" s="87">
        <v>179</v>
      </c>
      <c r="E1394" s="87">
        <v>0</v>
      </c>
      <c r="F1394" s="86">
        <v>0</v>
      </c>
      <c r="G1394" s="87">
        <v>32</v>
      </c>
      <c r="H1394" s="87">
        <v>2</v>
      </c>
      <c r="I1394" s="87">
        <v>6</v>
      </c>
      <c r="J1394" s="88">
        <f t="shared" si="196"/>
        <v>0</v>
      </c>
      <c r="K1394" s="89" t="e">
        <f t="shared" si="197"/>
        <v>#DIV/0!</v>
      </c>
      <c r="L1394" s="89">
        <f t="shared" si="198"/>
        <v>403.888</v>
      </c>
      <c r="M1394" s="90">
        <f t="shared" si="199"/>
        <v>0</v>
      </c>
      <c r="N1394" s="66">
        <f t="shared" si="200"/>
        <v>0</v>
      </c>
      <c r="O1394" s="52">
        <f t="shared" si="201"/>
        <v>0</v>
      </c>
      <c r="P1394" s="52">
        <f t="shared" si="202"/>
        <v>0</v>
      </c>
      <c r="Q1394" s="68">
        <f t="shared" si="203"/>
        <v>55.2190625</v>
      </c>
    </row>
    <row r="1395" s="2" customFormat="1" spans="1:17">
      <c r="A1395" s="91">
        <v>46042</v>
      </c>
      <c r="B1395" s="86">
        <v>1773.44</v>
      </c>
      <c r="C1395" s="87">
        <v>4542</v>
      </c>
      <c r="D1395" s="87">
        <v>195</v>
      </c>
      <c r="E1395" s="87">
        <v>1</v>
      </c>
      <c r="F1395" s="86">
        <v>4192</v>
      </c>
      <c r="G1395" s="87">
        <v>37</v>
      </c>
      <c r="H1395" s="87">
        <v>2</v>
      </c>
      <c r="I1395" s="87">
        <v>12</v>
      </c>
      <c r="J1395" s="88">
        <f t="shared" si="196"/>
        <v>0.000220167327168648</v>
      </c>
      <c r="K1395" s="89">
        <f t="shared" si="197"/>
        <v>1773.44</v>
      </c>
      <c r="L1395" s="89">
        <f t="shared" si="198"/>
        <v>390.453544693967</v>
      </c>
      <c r="M1395" s="90">
        <f t="shared" si="199"/>
        <v>2.36376759292674</v>
      </c>
      <c r="N1395" s="66">
        <f t="shared" si="200"/>
        <v>0.00512820512820513</v>
      </c>
      <c r="O1395" s="52">
        <f t="shared" si="201"/>
        <v>4192</v>
      </c>
      <c r="P1395" s="52">
        <f t="shared" si="202"/>
        <v>1773.44</v>
      </c>
      <c r="Q1395" s="68">
        <f t="shared" si="203"/>
        <v>47.9308108108108</v>
      </c>
    </row>
    <row r="1396" s="2" customFormat="1" spans="1:17">
      <c r="A1396" s="91">
        <v>46043</v>
      </c>
      <c r="B1396" s="86">
        <v>1909.47</v>
      </c>
      <c r="C1396" s="87">
        <v>4396</v>
      </c>
      <c r="D1396" s="87">
        <v>204</v>
      </c>
      <c r="E1396" s="87">
        <v>1</v>
      </c>
      <c r="F1396" s="86">
        <v>780</v>
      </c>
      <c r="G1396" s="87">
        <v>44</v>
      </c>
      <c r="H1396" s="87">
        <v>3</v>
      </c>
      <c r="I1396" s="87">
        <v>7</v>
      </c>
      <c r="J1396" s="88">
        <f t="shared" si="196"/>
        <v>0.000227479526842584</v>
      </c>
      <c r="K1396" s="89">
        <f t="shared" si="197"/>
        <v>1909.47</v>
      </c>
      <c r="L1396" s="89">
        <f t="shared" si="198"/>
        <v>434.365332120109</v>
      </c>
      <c r="M1396" s="90">
        <f t="shared" si="199"/>
        <v>0.408490314066207</v>
      </c>
      <c r="N1396" s="66">
        <f t="shared" si="200"/>
        <v>0.00490196078431373</v>
      </c>
      <c r="O1396" s="52">
        <f t="shared" si="201"/>
        <v>780</v>
      </c>
      <c r="P1396" s="52">
        <f t="shared" si="202"/>
        <v>1909.47</v>
      </c>
      <c r="Q1396" s="68">
        <f t="shared" si="203"/>
        <v>43.3970454545455</v>
      </c>
    </row>
    <row r="1397" s="2" customFormat="1" spans="1:17">
      <c r="A1397" s="91">
        <v>46044</v>
      </c>
      <c r="B1397" s="86">
        <v>2037.88</v>
      </c>
      <c r="C1397" s="87">
        <v>4997</v>
      </c>
      <c r="D1397" s="87">
        <v>163</v>
      </c>
      <c r="E1397" s="87">
        <v>2</v>
      </c>
      <c r="F1397" s="86">
        <v>11156</v>
      </c>
      <c r="G1397" s="87">
        <v>61</v>
      </c>
      <c r="H1397" s="87">
        <v>8</v>
      </c>
      <c r="I1397" s="87">
        <v>11</v>
      </c>
      <c r="J1397" s="88">
        <f t="shared" si="196"/>
        <v>0.000400240144086452</v>
      </c>
      <c r="K1397" s="89">
        <f t="shared" si="197"/>
        <v>1018.94</v>
      </c>
      <c r="L1397" s="89">
        <f t="shared" si="198"/>
        <v>407.820692415449</v>
      </c>
      <c r="M1397" s="90">
        <f t="shared" si="199"/>
        <v>5.47431644650323</v>
      </c>
      <c r="N1397" s="66">
        <f t="shared" si="200"/>
        <v>0.0122699386503067</v>
      </c>
      <c r="O1397" s="52">
        <f t="shared" si="201"/>
        <v>5578</v>
      </c>
      <c r="P1397" s="52">
        <f t="shared" si="202"/>
        <v>1018.94</v>
      </c>
      <c r="Q1397" s="68">
        <f t="shared" si="203"/>
        <v>33.407868852459</v>
      </c>
    </row>
    <row r="1398" s="2" customFormat="1" spans="1:17">
      <c r="A1398" s="91">
        <v>46045</v>
      </c>
      <c r="B1398" s="86">
        <v>1436.84</v>
      </c>
      <c r="C1398" s="87">
        <v>4027</v>
      </c>
      <c r="D1398" s="87">
        <v>140</v>
      </c>
      <c r="E1398" s="87">
        <v>2</v>
      </c>
      <c r="F1398" s="86">
        <v>15412</v>
      </c>
      <c r="G1398" s="87">
        <v>32</v>
      </c>
      <c r="H1398" s="87">
        <v>1</v>
      </c>
      <c r="I1398" s="87">
        <v>8</v>
      </c>
      <c r="J1398" s="88">
        <f t="shared" si="196"/>
        <v>0.000496647628507574</v>
      </c>
      <c r="K1398" s="89">
        <f t="shared" si="197"/>
        <v>718.42</v>
      </c>
      <c r="L1398" s="89">
        <f t="shared" si="198"/>
        <v>356.801589272411</v>
      </c>
      <c r="M1398" s="90">
        <f t="shared" si="199"/>
        <v>10.7263160825144</v>
      </c>
      <c r="N1398" s="66">
        <f t="shared" si="200"/>
        <v>0.0142857142857143</v>
      </c>
      <c r="O1398" s="52">
        <f t="shared" si="201"/>
        <v>7706</v>
      </c>
      <c r="P1398" s="52">
        <f t="shared" si="202"/>
        <v>718.42</v>
      </c>
      <c r="Q1398" s="68">
        <f t="shared" si="203"/>
        <v>44.90125</v>
      </c>
    </row>
    <row r="1399" s="2" customFormat="1" spans="1:17">
      <c r="A1399" s="91">
        <v>46046</v>
      </c>
      <c r="B1399" s="86">
        <v>2269.22</v>
      </c>
      <c r="C1399" s="87">
        <v>6487</v>
      </c>
      <c r="D1399" s="87">
        <v>206</v>
      </c>
      <c r="E1399" s="87">
        <v>0</v>
      </c>
      <c r="F1399" s="86">
        <v>0</v>
      </c>
      <c r="G1399" s="87">
        <v>54</v>
      </c>
      <c r="H1399" s="87">
        <v>7</v>
      </c>
      <c r="I1399" s="87">
        <v>6</v>
      </c>
      <c r="J1399" s="88">
        <f t="shared" si="196"/>
        <v>0</v>
      </c>
      <c r="K1399" s="89" t="e">
        <f t="shared" si="197"/>
        <v>#DIV/0!</v>
      </c>
      <c r="L1399" s="89">
        <f t="shared" si="198"/>
        <v>349.810390010791</v>
      </c>
      <c r="M1399" s="90">
        <f t="shared" si="199"/>
        <v>0</v>
      </c>
      <c r="N1399" s="66">
        <f t="shared" si="200"/>
        <v>0</v>
      </c>
      <c r="O1399" s="52">
        <f t="shared" si="201"/>
        <v>0</v>
      </c>
      <c r="P1399" s="52">
        <f t="shared" si="202"/>
        <v>0</v>
      </c>
      <c r="Q1399" s="68">
        <f t="shared" si="203"/>
        <v>42.0225925925926</v>
      </c>
    </row>
    <row r="1400" s="2" customFormat="1" spans="1:17">
      <c r="A1400" s="91">
        <v>46047</v>
      </c>
      <c r="B1400" s="86">
        <v>2127.15</v>
      </c>
      <c r="C1400" s="87">
        <v>5578</v>
      </c>
      <c r="D1400" s="87">
        <v>198</v>
      </c>
      <c r="E1400" s="87">
        <v>1</v>
      </c>
      <c r="F1400" s="86">
        <v>11354</v>
      </c>
      <c r="G1400" s="87">
        <v>39</v>
      </c>
      <c r="H1400" s="87">
        <v>3</v>
      </c>
      <c r="I1400" s="87">
        <v>9</v>
      </c>
      <c r="J1400" s="88">
        <f t="shared" si="196"/>
        <v>0.000179275726066691</v>
      </c>
      <c r="K1400" s="89">
        <f t="shared" si="197"/>
        <v>2127.15</v>
      </c>
      <c r="L1400" s="89">
        <f t="shared" si="198"/>
        <v>381.346360702761</v>
      </c>
      <c r="M1400" s="90">
        <f t="shared" si="199"/>
        <v>5.33765836917942</v>
      </c>
      <c r="N1400" s="66">
        <f t="shared" si="200"/>
        <v>0.00505050505050505</v>
      </c>
      <c r="O1400" s="52">
        <f t="shared" si="201"/>
        <v>11354</v>
      </c>
      <c r="P1400" s="52">
        <f t="shared" si="202"/>
        <v>2127.15</v>
      </c>
      <c r="Q1400" s="68">
        <f t="shared" si="203"/>
        <v>54.5423076923077</v>
      </c>
    </row>
    <row r="1401" s="2" customFormat="1" spans="1:17">
      <c r="A1401" s="91">
        <v>46048</v>
      </c>
      <c r="B1401" s="86">
        <v>1852.3</v>
      </c>
      <c r="C1401" s="87">
        <v>4418</v>
      </c>
      <c r="D1401" s="87">
        <v>217</v>
      </c>
      <c r="E1401" s="87">
        <v>1</v>
      </c>
      <c r="F1401" s="86">
        <v>4598</v>
      </c>
      <c r="G1401" s="87">
        <v>40</v>
      </c>
      <c r="H1401" s="87">
        <v>3</v>
      </c>
      <c r="I1401" s="87">
        <v>7</v>
      </c>
      <c r="J1401" s="88">
        <f t="shared" si="196"/>
        <v>0.000226346763241286</v>
      </c>
      <c r="K1401" s="89">
        <f t="shared" si="197"/>
        <v>1852.3</v>
      </c>
      <c r="L1401" s="89">
        <f t="shared" si="198"/>
        <v>419.262109551833</v>
      </c>
      <c r="M1401" s="90">
        <f t="shared" si="199"/>
        <v>2.48231927873455</v>
      </c>
      <c r="N1401" s="66">
        <f t="shared" si="200"/>
        <v>0.00460829493087558</v>
      </c>
      <c r="O1401" s="52">
        <f t="shared" si="201"/>
        <v>4598</v>
      </c>
      <c r="P1401" s="52">
        <f t="shared" si="202"/>
        <v>1852.3</v>
      </c>
      <c r="Q1401" s="68">
        <f t="shared" si="203"/>
        <v>46.3075</v>
      </c>
    </row>
    <row r="1402" s="2" customFormat="1" spans="1:17">
      <c r="A1402" s="91">
        <v>46049</v>
      </c>
      <c r="B1402" s="86">
        <v>1846.57</v>
      </c>
      <c r="C1402" s="87">
        <v>4555</v>
      </c>
      <c r="D1402" s="87">
        <v>215</v>
      </c>
      <c r="E1402" s="87">
        <v>2</v>
      </c>
      <c r="F1402" s="86">
        <v>20484</v>
      </c>
      <c r="G1402" s="87">
        <v>47</v>
      </c>
      <c r="H1402" s="87">
        <v>1</v>
      </c>
      <c r="I1402" s="87">
        <v>10</v>
      </c>
      <c r="J1402" s="88">
        <f t="shared" si="196"/>
        <v>0.000439077936333699</v>
      </c>
      <c r="K1402" s="89">
        <f t="shared" si="197"/>
        <v>923.285</v>
      </c>
      <c r="L1402" s="89">
        <f t="shared" si="198"/>
        <v>405.394072447859</v>
      </c>
      <c r="M1402" s="90">
        <f t="shared" si="199"/>
        <v>11.09299945304</v>
      </c>
      <c r="N1402" s="66">
        <f t="shared" si="200"/>
        <v>0.00930232558139535</v>
      </c>
      <c r="O1402" s="52">
        <f t="shared" si="201"/>
        <v>10242</v>
      </c>
      <c r="P1402" s="52">
        <f t="shared" si="202"/>
        <v>923.285</v>
      </c>
      <c r="Q1402" s="68">
        <f t="shared" si="203"/>
        <v>39.2887234042553</v>
      </c>
    </row>
    <row r="1403" s="2" customFormat="1" spans="1:17">
      <c r="A1403" s="91">
        <v>46050</v>
      </c>
      <c r="B1403" s="86">
        <v>1483.85</v>
      </c>
      <c r="C1403" s="87">
        <v>3863</v>
      </c>
      <c r="D1403" s="87">
        <v>166</v>
      </c>
      <c r="E1403" s="87">
        <v>2</v>
      </c>
      <c r="F1403" s="86">
        <v>13895</v>
      </c>
      <c r="G1403" s="87">
        <v>37</v>
      </c>
      <c r="H1403" s="87">
        <v>2</v>
      </c>
      <c r="I1403" s="87">
        <v>8</v>
      </c>
      <c r="J1403" s="88">
        <f t="shared" si="196"/>
        <v>0.000517732332384157</v>
      </c>
      <c r="K1403" s="89">
        <f t="shared" si="197"/>
        <v>741.925</v>
      </c>
      <c r="L1403" s="89">
        <f t="shared" si="198"/>
        <v>384.118560704116</v>
      </c>
      <c r="M1403" s="90">
        <f t="shared" si="199"/>
        <v>9.36415405869866</v>
      </c>
      <c r="N1403" s="66">
        <f t="shared" si="200"/>
        <v>0.0120481927710843</v>
      </c>
      <c r="O1403" s="52">
        <f t="shared" si="201"/>
        <v>6947.5</v>
      </c>
      <c r="P1403" s="52">
        <f t="shared" si="202"/>
        <v>741.925</v>
      </c>
      <c r="Q1403" s="68">
        <f t="shared" si="203"/>
        <v>40.1040540540541</v>
      </c>
    </row>
    <row r="1404" s="2" customFormat="1" spans="1:17">
      <c r="A1404" s="91">
        <v>46051</v>
      </c>
      <c r="B1404" s="86">
        <v>1459.44</v>
      </c>
      <c r="C1404" s="87">
        <v>4055</v>
      </c>
      <c r="D1404" s="87">
        <v>128</v>
      </c>
      <c r="E1404" s="87">
        <v>1</v>
      </c>
      <c r="F1404" s="86">
        <v>9297</v>
      </c>
      <c r="G1404" s="87">
        <v>37</v>
      </c>
      <c r="H1404" s="87">
        <v>4</v>
      </c>
      <c r="I1404" s="87">
        <v>7</v>
      </c>
      <c r="J1404" s="88">
        <f t="shared" si="196"/>
        <v>0.000246609124537608</v>
      </c>
      <c r="K1404" s="89">
        <f t="shared" si="197"/>
        <v>1459.44</v>
      </c>
      <c r="L1404" s="89">
        <f t="shared" si="198"/>
        <v>359.911220715166</v>
      </c>
      <c r="M1404" s="90">
        <f t="shared" si="199"/>
        <v>6.37025160335471</v>
      </c>
      <c r="N1404" s="66">
        <f t="shared" si="200"/>
        <v>0.0078125</v>
      </c>
      <c r="O1404" s="52">
        <f t="shared" si="201"/>
        <v>9297</v>
      </c>
      <c r="P1404" s="52">
        <f t="shared" si="202"/>
        <v>1459.44</v>
      </c>
      <c r="Q1404" s="68">
        <f t="shared" si="203"/>
        <v>39.4443243243243</v>
      </c>
    </row>
    <row r="1405" s="2" customFormat="1" spans="1:17">
      <c r="A1405" s="91">
        <v>46052</v>
      </c>
      <c r="B1405" s="86">
        <v>1467.79</v>
      </c>
      <c r="C1405" s="87">
        <v>4296</v>
      </c>
      <c r="D1405" s="87">
        <v>117</v>
      </c>
      <c r="E1405" s="87">
        <v>2</v>
      </c>
      <c r="F1405" s="86">
        <v>19580</v>
      </c>
      <c r="G1405" s="87">
        <v>27</v>
      </c>
      <c r="H1405" s="87">
        <v>2</v>
      </c>
      <c r="I1405" s="87">
        <v>3</v>
      </c>
      <c r="J1405" s="88">
        <f t="shared" si="196"/>
        <v>0.000465549348230912</v>
      </c>
      <c r="K1405" s="89">
        <f t="shared" si="197"/>
        <v>733.895</v>
      </c>
      <c r="L1405" s="89">
        <f t="shared" si="198"/>
        <v>341.664338919925</v>
      </c>
      <c r="M1405" s="90">
        <f t="shared" si="199"/>
        <v>13.3397829389763</v>
      </c>
      <c r="N1405" s="66">
        <f t="shared" si="200"/>
        <v>0.0170940170940171</v>
      </c>
      <c r="O1405" s="52">
        <f t="shared" si="201"/>
        <v>9790</v>
      </c>
      <c r="P1405" s="52">
        <f t="shared" si="202"/>
        <v>733.895</v>
      </c>
      <c r="Q1405" s="68">
        <f t="shared" si="203"/>
        <v>54.3625925925926</v>
      </c>
    </row>
    <row r="1406" s="2" customFormat="1" spans="1:17">
      <c r="A1406" s="91">
        <v>46053</v>
      </c>
      <c r="B1406" s="86">
        <v>1460.84</v>
      </c>
      <c r="C1406" s="87">
        <v>4566</v>
      </c>
      <c r="D1406" s="87">
        <v>101</v>
      </c>
      <c r="E1406" s="87">
        <v>0</v>
      </c>
      <c r="F1406" s="86">
        <v>0</v>
      </c>
      <c r="G1406" s="87">
        <v>12</v>
      </c>
      <c r="H1406" s="87">
        <v>2</v>
      </c>
      <c r="I1406" s="87">
        <v>5</v>
      </c>
      <c r="J1406" s="88">
        <f t="shared" si="196"/>
        <v>0</v>
      </c>
      <c r="K1406" s="89" t="e">
        <f t="shared" si="197"/>
        <v>#DIV/0!</v>
      </c>
      <c r="L1406" s="89">
        <f t="shared" si="198"/>
        <v>319.93867717915</v>
      </c>
      <c r="M1406" s="90">
        <f t="shared" si="199"/>
        <v>0</v>
      </c>
      <c r="N1406" s="66">
        <f t="shared" si="200"/>
        <v>0</v>
      </c>
      <c r="O1406" s="52">
        <f t="shared" si="201"/>
        <v>0</v>
      </c>
      <c r="P1406" s="52">
        <f t="shared" si="202"/>
        <v>0</v>
      </c>
      <c r="Q1406" s="68">
        <f t="shared" si="203"/>
        <v>121.736666666667</v>
      </c>
    </row>
    <row r="1407" s="2" customFormat="1" spans="1:17">
      <c r="A1407" s="91">
        <v>46054</v>
      </c>
      <c r="B1407" s="86">
        <v>1477.27</v>
      </c>
      <c r="C1407" s="87">
        <v>4085</v>
      </c>
      <c r="D1407" s="87">
        <v>126</v>
      </c>
      <c r="E1407" s="87">
        <v>2</v>
      </c>
      <c r="F1407" s="86">
        <v>18594</v>
      </c>
      <c r="G1407" s="87">
        <v>32</v>
      </c>
      <c r="H1407" s="87">
        <v>3</v>
      </c>
      <c r="I1407" s="87">
        <v>2</v>
      </c>
      <c r="J1407" s="88">
        <f t="shared" si="196"/>
        <v>0.000489596083231334</v>
      </c>
      <c r="K1407" s="89">
        <f t="shared" si="197"/>
        <v>738.635</v>
      </c>
      <c r="L1407" s="89">
        <f t="shared" si="198"/>
        <v>361.632802937577</v>
      </c>
      <c r="M1407" s="90">
        <f t="shared" si="199"/>
        <v>12.5867309293494</v>
      </c>
      <c r="N1407" s="66">
        <f t="shared" si="200"/>
        <v>0.0158730158730159</v>
      </c>
      <c r="O1407" s="52">
        <f t="shared" si="201"/>
        <v>9297</v>
      </c>
      <c r="P1407" s="52">
        <f t="shared" si="202"/>
        <v>738.635</v>
      </c>
      <c r="Q1407" s="68">
        <f t="shared" si="203"/>
        <v>46.1646875</v>
      </c>
    </row>
    <row r="1408" s="2" customFormat="1" spans="1:17">
      <c r="A1408" s="91">
        <v>46055</v>
      </c>
      <c r="B1408" s="86">
        <v>1472.77</v>
      </c>
      <c r="C1408" s="87">
        <v>4196</v>
      </c>
      <c r="D1408" s="87">
        <v>137</v>
      </c>
      <c r="E1408" s="87">
        <v>0</v>
      </c>
      <c r="F1408" s="86">
        <v>0</v>
      </c>
      <c r="G1408" s="87">
        <v>29</v>
      </c>
      <c r="H1408" s="87">
        <v>5</v>
      </c>
      <c r="I1408" s="87">
        <v>7</v>
      </c>
      <c r="J1408" s="88">
        <f t="shared" si="196"/>
        <v>0</v>
      </c>
      <c r="K1408" s="89" t="e">
        <f t="shared" si="197"/>
        <v>#DIV/0!</v>
      </c>
      <c r="L1408" s="89">
        <f t="shared" si="198"/>
        <v>350.993803622498</v>
      </c>
      <c r="M1408" s="90">
        <f t="shared" si="199"/>
        <v>0</v>
      </c>
      <c r="N1408" s="66">
        <f t="shared" si="200"/>
        <v>0</v>
      </c>
      <c r="O1408" s="52">
        <f t="shared" si="201"/>
        <v>0</v>
      </c>
      <c r="P1408" s="52">
        <f t="shared" si="202"/>
        <v>0</v>
      </c>
      <c r="Q1408" s="68">
        <f t="shared" si="203"/>
        <v>50.7851724137931</v>
      </c>
    </row>
    <row r="1409" s="2" customFormat="1" spans="1:17">
      <c r="A1409" s="91">
        <v>46056</v>
      </c>
      <c r="B1409" s="86">
        <v>1462.27</v>
      </c>
      <c r="C1409" s="87">
        <v>4050</v>
      </c>
      <c r="D1409" s="87">
        <v>141</v>
      </c>
      <c r="E1409" s="87">
        <v>0</v>
      </c>
      <c r="F1409" s="86">
        <v>0</v>
      </c>
      <c r="G1409" s="87">
        <v>22</v>
      </c>
      <c r="H1409" s="87">
        <v>2</v>
      </c>
      <c r="I1409" s="87">
        <v>6</v>
      </c>
      <c r="J1409" s="88">
        <f t="shared" si="196"/>
        <v>0</v>
      </c>
      <c r="K1409" s="89" t="e">
        <f t="shared" si="197"/>
        <v>#DIV/0!</v>
      </c>
      <c r="L1409" s="89">
        <f t="shared" si="198"/>
        <v>361.054320987654</v>
      </c>
      <c r="M1409" s="90">
        <f t="shared" si="199"/>
        <v>0</v>
      </c>
      <c r="N1409" s="66">
        <f t="shared" si="200"/>
        <v>0</v>
      </c>
      <c r="O1409" s="52">
        <f t="shared" si="201"/>
        <v>0</v>
      </c>
      <c r="P1409" s="52">
        <f t="shared" si="202"/>
        <v>0</v>
      </c>
      <c r="Q1409" s="68">
        <f t="shared" si="203"/>
        <v>66.4668181818182</v>
      </c>
    </row>
    <row r="1410" s="2" customFormat="1" spans="1:17">
      <c r="A1410" s="91">
        <v>46057</v>
      </c>
      <c r="B1410" s="86">
        <v>1465.27</v>
      </c>
      <c r="C1410" s="87">
        <v>4289</v>
      </c>
      <c r="D1410" s="87">
        <v>127</v>
      </c>
      <c r="E1410" s="87">
        <v>0</v>
      </c>
      <c r="F1410" s="86">
        <v>0</v>
      </c>
      <c r="G1410" s="87">
        <v>32</v>
      </c>
      <c r="H1410" s="87">
        <v>2</v>
      </c>
      <c r="I1410" s="87">
        <v>9</v>
      </c>
      <c r="J1410" s="88">
        <f t="shared" si="196"/>
        <v>0</v>
      </c>
      <c r="K1410" s="89" t="e">
        <f t="shared" si="197"/>
        <v>#DIV/0!</v>
      </c>
      <c r="L1410" s="89">
        <f t="shared" si="198"/>
        <v>341.634413616228</v>
      </c>
      <c r="M1410" s="90">
        <f t="shared" si="199"/>
        <v>0</v>
      </c>
      <c r="N1410" s="66">
        <f t="shared" si="200"/>
        <v>0</v>
      </c>
      <c r="O1410" s="52">
        <f t="shared" si="201"/>
        <v>0</v>
      </c>
      <c r="P1410" s="52">
        <f t="shared" si="202"/>
        <v>0</v>
      </c>
      <c r="Q1410" s="68">
        <f t="shared" si="203"/>
        <v>45.7896875</v>
      </c>
    </row>
    <row r="1411" s="2" customFormat="1" spans="1:17">
      <c r="A1411" s="91">
        <v>46058</v>
      </c>
      <c r="B1411" s="86">
        <v>1464.04</v>
      </c>
      <c r="C1411" s="87">
        <v>4208</v>
      </c>
      <c r="D1411" s="87">
        <v>136</v>
      </c>
      <c r="E1411" s="87">
        <v>0</v>
      </c>
      <c r="F1411" s="86">
        <v>0</v>
      </c>
      <c r="G1411" s="87">
        <v>14</v>
      </c>
      <c r="H1411" s="87">
        <v>3</v>
      </c>
      <c r="I1411" s="87">
        <v>3</v>
      </c>
      <c r="J1411" s="88">
        <f t="shared" si="196"/>
        <v>0</v>
      </c>
      <c r="K1411" s="89" t="e">
        <f t="shared" si="197"/>
        <v>#DIV/0!</v>
      </c>
      <c r="L1411" s="89">
        <f t="shared" si="198"/>
        <v>347.91825095057</v>
      </c>
      <c r="M1411" s="90">
        <f t="shared" si="199"/>
        <v>0</v>
      </c>
      <c r="N1411" s="66">
        <f t="shared" si="200"/>
        <v>0</v>
      </c>
      <c r="O1411" s="52">
        <f t="shared" si="201"/>
        <v>0</v>
      </c>
      <c r="P1411" s="52">
        <f t="shared" si="202"/>
        <v>0</v>
      </c>
      <c r="Q1411" s="68">
        <f t="shared" si="203"/>
        <v>104.574285714286</v>
      </c>
    </row>
    <row r="1412" s="2" customFormat="1" spans="1:17">
      <c r="A1412" s="91">
        <v>46059</v>
      </c>
      <c r="B1412" s="86">
        <v>1478.55</v>
      </c>
      <c r="C1412" s="87">
        <v>4058</v>
      </c>
      <c r="D1412" s="87">
        <v>149</v>
      </c>
      <c r="E1412" s="87">
        <v>1</v>
      </c>
      <c r="F1412" s="86">
        <v>4766</v>
      </c>
      <c r="G1412" s="87">
        <v>25</v>
      </c>
      <c r="H1412" s="87">
        <v>2</v>
      </c>
      <c r="I1412" s="87">
        <v>4</v>
      </c>
      <c r="J1412" s="88">
        <f t="shared" si="196"/>
        <v>0.000246426811237063</v>
      </c>
      <c r="K1412" s="89">
        <f t="shared" si="197"/>
        <v>1478.55</v>
      </c>
      <c r="L1412" s="89">
        <f t="shared" si="198"/>
        <v>364.354361754559</v>
      </c>
      <c r="M1412" s="90">
        <f t="shared" si="199"/>
        <v>3.2234283588651</v>
      </c>
      <c r="N1412" s="66">
        <f t="shared" si="200"/>
        <v>0.00671140939597315</v>
      </c>
      <c r="O1412" s="52">
        <f t="shared" si="201"/>
        <v>4766</v>
      </c>
      <c r="P1412" s="52">
        <f t="shared" si="202"/>
        <v>1478.55</v>
      </c>
      <c r="Q1412" s="68">
        <f t="shared" si="203"/>
        <v>59.142</v>
      </c>
    </row>
    <row r="1413" s="2" customFormat="1" spans="1:17">
      <c r="A1413" s="91">
        <v>46060</v>
      </c>
      <c r="B1413" s="86">
        <v>1266.35</v>
      </c>
      <c r="C1413" s="87">
        <v>3795</v>
      </c>
      <c r="D1413" s="87">
        <v>103</v>
      </c>
      <c r="E1413" s="87">
        <v>0</v>
      </c>
      <c r="F1413" s="86">
        <v>0</v>
      </c>
      <c r="G1413" s="87">
        <v>18</v>
      </c>
      <c r="H1413" s="87">
        <v>3</v>
      </c>
      <c r="I1413" s="87">
        <v>4</v>
      </c>
      <c r="J1413" s="88">
        <f t="shared" si="196"/>
        <v>0</v>
      </c>
      <c r="K1413" s="89" t="e">
        <f t="shared" si="197"/>
        <v>#DIV/0!</v>
      </c>
      <c r="L1413" s="89">
        <f t="shared" si="198"/>
        <v>333.68906455863</v>
      </c>
      <c r="M1413" s="90">
        <f t="shared" si="199"/>
        <v>0</v>
      </c>
      <c r="N1413" s="66">
        <f t="shared" si="200"/>
        <v>0</v>
      </c>
      <c r="O1413" s="52">
        <f t="shared" si="201"/>
        <v>0</v>
      </c>
      <c r="P1413" s="52">
        <f t="shared" si="202"/>
        <v>0</v>
      </c>
      <c r="Q1413" s="68">
        <f t="shared" si="203"/>
        <v>70.3527777777778</v>
      </c>
    </row>
    <row r="1414" s="2" customFormat="1" spans="1:17">
      <c r="A1414" s="91">
        <v>46061</v>
      </c>
      <c r="B1414" s="86">
        <v>1557.72</v>
      </c>
      <c r="C1414" s="87">
        <v>4626</v>
      </c>
      <c r="D1414" s="87">
        <v>147</v>
      </c>
      <c r="E1414" s="87">
        <v>1</v>
      </c>
      <c r="F1414" s="86">
        <v>4612</v>
      </c>
      <c r="G1414" s="87">
        <v>23</v>
      </c>
      <c r="H1414" s="87">
        <v>2</v>
      </c>
      <c r="I1414" s="87">
        <v>3</v>
      </c>
      <c r="J1414" s="88">
        <f t="shared" si="196"/>
        <v>0.000216169476869866</v>
      </c>
      <c r="K1414" s="89">
        <f t="shared" si="197"/>
        <v>1557.72</v>
      </c>
      <c r="L1414" s="89">
        <f t="shared" si="198"/>
        <v>336.731517509728</v>
      </c>
      <c r="M1414" s="90">
        <f t="shared" si="199"/>
        <v>2.96073748812367</v>
      </c>
      <c r="N1414" s="66">
        <f t="shared" si="200"/>
        <v>0.00680272108843537</v>
      </c>
      <c r="O1414" s="52">
        <f t="shared" si="201"/>
        <v>4612</v>
      </c>
      <c r="P1414" s="52">
        <f t="shared" si="202"/>
        <v>1557.72</v>
      </c>
      <c r="Q1414" s="68">
        <f t="shared" si="203"/>
        <v>67.7269565217391</v>
      </c>
    </row>
    <row r="1415" s="2" customFormat="1" spans="1:17">
      <c r="A1415" s="91">
        <v>46062</v>
      </c>
      <c r="B1415" s="86">
        <v>1460.13</v>
      </c>
      <c r="C1415" s="87">
        <v>4291</v>
      </c>
      <c r="D1415" s="87">
        <v>133</v>
      </c>
      <c r="E1415" s="87">
        <v>0</v>
      </c>
      <c r="F1415" s="86">
        <v>0</v>
      </c>
      <c r="G1415" s="87">
        <v>19</v>
      </c>
      <c r="H1415" s="87">
        <v>4</v>
      </c>
      <c r="I1415" s="87">
        <v>4</v>
      </c>
      <c r="J1415" s="88">
        <f t="shared" si="196"/>
        <v>0</v>
      </c>
      <c r="K1415" s="89" t="e">
        <f t="shared" si="197"/>
        <v>#DIV/0!</v>
      </c>
      <c r="L1415" s="89">
        <f t="shared" si="198"/>
        <v>340.277324632953</v>
      </c>
      <c r="M1415" s="90">
        <f t="shared" si="199"/>
        <v>0</v>
      </c>
      <c r="N1415" s="66">
        <f t="shared" si="200"/>
        <v>0</v>
      </c>
      <c r="O1415" s="52">
        <f t="shared" si="201"/>
        <v>0</v>
      </c>
      <c r="P1415" s="52">
        <f t="shared" si="202"/>
        <v>0</v>
      </c>
      <c r="Q1415" s="68">
        <f t="shared" si="203"/>
        <v>76.8489473684211</v>
      </c>
    </row>
    <row r="1416" s="2" customFormat="1" spans="1:17">
      <c r="A1416" s="91">
        <v>46063</v>
      </c>
      <c r="B1416" s="86">
        <v>783.51</v>
      </c>
      <c r="C1416" s="87">
        <v>2311</v>
      </c>
      <c r="D1416" s="87">
        <v>68</v>
      </c>
      <c r="E1416" s="87">
        <v>2</v>
      </c>
      <c r="F1416" s="86">
        <v>7576</v>
      </c>
      <c r="G1416" s="87">
        <v>17</v>
      </c>
      <c r="H1416" s="87">
        <v>1</v>
      </c>
      <c r="I1416" s="87">
        <v>2</v>
      </c>
      <c r="J1416" s="88">
        <f t="shared" si="196"/>
        <v>0.000865426222414539</v>
      </c>
      <c r="K1416" s="89">
        <f t="shared" si="197"/>
        <v>391.755</v>
      </c>
      <c r="L1416" s="89">
        <f t="shared" si="198"/>
        <v>339.035049762008</v>
      </c>
      <c r="M1416" s="90">
        <f t="shared" si="199"/>
        <v>9.66930862401246</v>
      </c>
      <c r="N1416" s="66">
        <f t="shared" si="200"/>
        <v>0.0294117647058824</v>
      </c>
      <c r="O1416" s="52">
        <f t="shared" si="201"/>
        <v>3788</v>
      </c>
      <c r="P1416" s="52">
        <f t="shared" si="202"/>
        <v>391.755</v>
      </c>
      <c r="Q1416" s="68">
        <f t="shared" si="203"/>
        <v>46.0888235294118</v>
      </c>
    </row>
    <row r="1417" s="2" customFormat="1" spans="1:17">
      <c r="A1417" s="91">
        <v>46064</v>
      </c>
      <c r="B1417" s="86">
        <v>976.77</v>
      </c>
      <c r="C1417" s="87">
        <v>3042</v>
      </c>
      <c r="D1417" s="87">
        <v>82</v>
      </c>
      <c r="E1417" s="87">
        <v>0</v>
      </c>
      <c r="F1417" s="86">
        <v>0</v>
      </c>
      <c r="G1417" s="87">
        <v>9</v>
      </c>
      <c r="H1417" s="87">
        <v>2</v>
      </c>
      <c r="I1417" s="87">
        <v>1</v>
      </c>
      <c r="J1417" s="88">
        <f t="shared" si="196"/>
        <v>0</v>
      </c>
      <c r="K1417" s="89" t="e">
        <f t="shared" si="197"/>
        <v>#DIV/0!</v>
      </c>
      <c r="L1417" s="89">
        <f t="shared" si="198"/>
        <v>321.094674556213</v>
      </c>
      <c r="M1417" s="90">
        <f t="shared" si="199"/>
        <v>0</v>
      </c>
      <c r="N1417" s="66">
        <f t="shared" si="200"/>
        <v>0</v>
      </c>
      <c r="O1417" s="52">
        <f t="shared" si="201"/>
        <v>0</v>
      </c>
      <c r="P1417" s="52">
        <f t="shared" si="202"/>
        <v>0</v>
      </c>
      <c r="Q1417" s="68">
        <f t="shared" si="203"/>
        <v>108.53</v>
      </c>
    </row>
    <row r="1418" s="2" customFormat="1" spans="1:17">
      <c r="A1418" s="91">
        <v>46065</v>
      </c>
      <c r="B1418" s="86">
        <v>966.46</v>
      </c>
      <c r="C1418" s="87">
        <v>3016</v>
      </c>
      <c r="D1418" s="87">
        <v>109</v>
      </c>
      <c r="E1418" s="87">
        <v>1</v>
      </c>
      <c r="F1418" s="86">
        <v>14074</v>
      </c>
      <c r="G1418" s="87">
        <v>20</v>
      </c>
      <c r="H1418" s="87">
        <v>1</v>
      </c>
      <c r="I1418" s="87">
        <v>3</v>
      </c>
      <c r="J1418" s="88">
        <f t="shared" si="196"/>
        <v>0.000331564986737401</v>
      </c>
      <c r="K1418" s="89">
        <f t="shared" si="197"/>
        <v>966.46</v>
      </c>
      <c r="L1418" s="89">
        <f t="shared" si="198"/>
        <v>320.444297082228</v>
      </c>
      <c r="M1418" s="90">
        <f t="shared" si="199"/>
        <v>14.5624236905821</v>
      </c>
      <c r="N1418" s="66">
        <f t="shared" si="200"/>
        <v>0.00917431192660551</v>
      </c>
      <c r="O1418" s="52">
        <f t="shared" si="201"/>
        <v>14074</v>
      </c>
      <c r="P1418" s="52">
        <f t="shared" si="202"/>
        <v>966.46</v>
      </c>
      <c r="Q1418" s="68">
        <f t="shared" si="203"/>
        <v>48.323</v>
      </c>
    </row>
    <row r="1419" s="2" customFormat="1" spans="1:17">
      <c r="A1419" s="91">
        <v>46066</v>
      </c>
      <c r="B1419" s="86">
        <v>0</v>
      </c>
      <c r="C1419" s="87">
        <v>0</v>
      </c>
      <c r="D1419" s="87">
        <v>0</v>
      </c>
      <c r="E1419" s="87">
        <v>0</v>
      </c>
      <c r="F1419" s="86">
        <v>0</v>
      </c>
      <c r="G1419" s="87">
        <v>0</v>
      </c>
      <c r="H1419" s="87">
        <v>0</v>
      </c>
      <c r="I1419" s="87">
        <v>0</v>
      </c>
      <c r="J1419" s="88" t="e">
        <f t="shared" ref="J1419:J1479" si="204">E1419/C1419</f>
        <v>#DIV/0!</v>
      </c>
      <c r="K1419" s="89" t="e">
        <f t="shared" ref="K1419:K1479" si="205">B1419/E1419</f>
        <v>#DIV/0!</v>
      </c>
      <c r="L1419" s="89" t="e">
        <f t="shared" ref="L1419:L1479" si="206">B1419/C1419*1000</f>
        <v>#DIV/0!</v>
      </c>
      <c r="M1419" s="90" t="e">
        <f t="shared" ref="M1419:M1479" si="207">F1419/B1419</f>
        <v>#DIV/0!</v>
      </c>
      <c r="N1419" s="66" t="e">
        <f t="shared" si="200"/>
        <v>#DIV/0!</v>
      </c>
      <c r="O1419" s="52">
        <f t="shared" si="201"/>
        <v>0</v>
      </c>
      <c r="P1419" s="52">
        <f t="shared" si="202"/>
        <v>0</v>
      </c>
      <c r="Q1419" s="68" t="e">
        <f t="shared" si="203"/>
        <v>#DIV/0!</v>
      </c>
    </row>
    <row r="1420" s="2" customFormat="1" spans="1:17">
      <c r="A1420" s="91">
        <v>46067</v>
      </c>
      <c r="B1420" s="86">
        <v>718.95</v>
      </c>
      <c r="C1420" s="87">
        <v>2290</v>
      </c>
      <c r="D1420" s="87">
        <v>60</v>
      </c>
      <c r="E1420" s="87">
        <v>1</v>
      </c>
      <c r="F1420" s="86">
        <v>15252</v>
      </c>
      <c r="G1420" s="87">
        <v>20</v>
      </c>
      <c r="H1420" s="87">
        <v>2</v>
      </c>
      <c r="I1420" s="87">
        <v>0</v>
      </c>
      <c r="J1420" s="88">
        <f t="shared" si="204"/>
        <v>0.000436681222707424</v>
      </c>
      <c r="K1420" s="89">
        <f t="shared" si="205"/>
        <v>718.95</v>
      </c>
      <c r="L1420" s="89">
        <f t="shared" si="206"/>
        <v>313.951965065502</v>
      </c>
      <c r="M1420" s="90">
        <f t="shared" si="207"/>
        <v>21.2142708116002</v>
      </c>
      <c r="N1420" s="66">
        <f t="shared" si="200"/>
        <v>0.0166666666666667</v>
      </c>
      <c r="O1420" s="52">
        <f t="shared" si="201"/>
        <v>15252</v>
      </c>
      <c r="P1420" s="52">
        <f t="shared" si="202"/>
        <v>718.95</v>
      </c>
      <c r="Q1420" s="68">
        <f t="shared" si="203"/>
        <v>35.9475</v>
      </c>
    </row>
    <row r="1421" s="2" customFormat="1" spans="1:17">
      <c r="A1421" s="91">
        <v>46068</v>
      </c>
      <c r="B1421" s="86">
        <v>934.01</v>
      </c>
      <c r="C1421" s="87">
        <v>2731</v>
      </c>
      <c r="D1421" s="87">
        <v>87</v>
      </c>
      <c r="E1421" s="87">
        <v>0</v>
      </c>
      <c r="F1421" s="86">
        <v>0</v>
      </c>
      <c r="G1421" s="87">
        <v>15</v>
      </c>
      <c r="H1421" s="87">
        <v>2</v>
      </c>
      <c r="I1421" s="87">
        <v>4</v>
      </c>
      <c r="J1421" s="88">
        <f t="shared" si="204"/>
        <v>0</v>
      </c>
      <c r="K1421" s="89" t="e">
        <f t="shared" si="205"/>
        <v>#DIV/0!</v>
      </c>
      <c r="L1421" s="89">
        <f t="shared" si="206"/>
        <v>342.002929329916</v>
      </c>
      <c r="M1421" s="90">
        <f t="shared" si="207"/>
        <v>0</v>
      </c>
      <c r="N1421" s="66">
        <f t="shared" si="200"/>
        <v>0</v>
      </c>
      <c r="O1421" s="52">
        <f t="shared" si="201"/>
        <v>0</v>
      </c>
      <c r="P1421" s="52">
        <f t="shared" si="202"/>
        <v>0</v>
      </c>
      <c r="Q1421" s="68">
        <f t="shared" si="203"/>
        <v>62.2673333333333</v>
      </c>
    </row>
    <row r="1422" s="2" customFormat="1" spans="1:17">
      <c r="A1422" s="91">
        <v>46069</v>
      </c>
      <c r="B1422" s="86">
        <v>992.92</v>
      </c>
      <c r="C1422" s="87">
        <v>3435</v>
      </c>
      <c r="D1422" s="87">
        <v>78</v>
      </c>
      <c r="E1422" s="87">
        <v>0</v>
      </c>
      <c r="F1422" s="86">
        <v>0</v>
      </c>
      <c r="G1422" s="87">
        <v>24</v>
      </c>
      <c r="H1422" s="87">
        <v>0</v>
      </c>
      <c r="I1422" s="87">
        <v>0</v>
      </c>
      <c r="J1422" s="88">
        <f t="shared" si="204"/>
        <v>0</v>
      </c>
      <c r="K1422" s="89" t="e">
        <f t="shared" si="205"/>
        <v>#DIV/0!</v>
      </c>
      <c r="L1422" s="89">
        <f t="shared" si="206"/>
        <v>289.059679767103</v>
      </c>
      <c r="M1422" s="90">
        <f t="shared" si="207"/>
        <v>0</v>
      </c>
      <c r="N1422" s="66">
        <f t="shared" si="200"/>
        <v>0</v>
      </c>
      <c r="O1422" s="52">
        <f t="shared" si="201"/>
        <v>0</v>
      </c>
      <c r="P1422" s="52">
        <f t="shared" si="202"/>
        <v>0</v>
      </c>
      <c r="Q1422" s="68">
        <f t="shared" si="203"/>
        <v>41.3716666666667</v>
      </c>
    </row>
    <row r="1423" s="2" customFormat="1" spans="1:17">
      <c r="A1423" s="91">
        <v>46070</v>
      </c>
      <c r="B1423" s="86">
        <v>1080.64</v>
      </c>
      <c r="C1423" s="87">
        <v>3792</v>
      </c>
      <c r="D1423" s="87">
        <v>103</v>
      </c>
      <c r="E1423" s="87">
        <v>0</v>
      </c>
      <c r="F1423" s="86">
        <v>0</v>
      </c>
      <c r="G1423" s="87">
        <v>29</v>
      </c>
      <c r="H1423" s="87">
        <v>1</v>
      </c>
      <c r="I1423" s="87">
        <v>5</v>
      </c>
      <c r="J1423" s="88">
        <f t="shared" si="204"/>
        <v>0</v>
      </c>
      <c r="K1423" s="89" t="e">
        <f t="shared" si="205"/>
        <v>#DIV/0!</v>
      </c>
      <c r="L1423" s="89">
        <f t="shared" si="206"/>
        <v>284.978902953586</v>
      </c>
      <c r="M1423" s="90">
        <f t="shared" si="207"/>
        <v>0</v>
      </c>
      <c r="N1423" s="66">
        <f t="shared" si="200"/>
        <v>0</v>
      </c>
      <c r="O1423" s="52">
        <f t="shared" si="201"/>
        <v>0</v>
      </c>
      <c r="P1423" s="52">
        <f t="shared" si="202"/>
        <v>0</v>
      </c>
      <c r="Q1423" s="68">
        <f t="shared" si="203"/>
        <v>37.2634482758621</v>
      </c>
    </row>
    <row r="1424" s="2" customFormat="1" spans="1:17">
      <c r="A1424" s="91">
        <v>46071</v>
      </c>
      <c r="B1424" s="86">
        <v>1235.22</v>
      </c>
      <c r="C1424" s="87">
        <v>3957</v>
      </c>
      <c r="D1424" s="87">
        <v>130</v>
      </c>
      <c r="E1424" s="87">
        <v>2</v>
      </c>
      <c r="F1424" s="86">
        <v>17092</v>
      </c>
      <c r="G1424" s="87">
        <v>34</v>
      </c>
      <c r="H1424" s="87">
        <v>2</v>
      </c>
      <c r="I1424" s="87">
        <v>3</v>
      </c>
      <c r="J1424" s="88">
        <f t="shared" si="204"/>
        <v>0.000505433409148345</v>
      </c>
      <c r="K1424" s="89">
        <f t="shared" si="205"/>
        <v>617.61</v>
      </c>
      <c r="L1424" s="89">
        <f t="shared" si="206"/>
        <v>312.160727824109</v>
      </c>
      <c r="M1424" s="90">
        <f t="shared" si="207"/>
        <v>13.8372111850521</v>
      </c>
      <c r="N1424" s="66">
        <f t="shared" si="200"/>
        <v>0.0153846153846154</v>
      </c>
      <c r="O1424" s="52">
        <f t="shared" si="201"/>
        <v>8546</v>
      </c>
      <c r="P1424" s="52">
        <f t="shared" si="202"/>
        <v>617.61</v>
      </c>
      <c r="Q1424" s="68">
        <f t="shared" si="203"/>
        <v>36.33</v>
      </c>
    </row>
    <row r="1425" s="2" customFormat="1" spans="1:17">
      <c r="A1425" s="91">
        <v>46072</v>
      </c>
      <c r="B1425" s="86">
        <v>1286.01</v>
      </c>
      <c r="C1425" s="87">
        <v>3914</v>
      </c>
      <c r="D1425" s="87">
        <v>157</v>
      </c>
      <c r="E1425" s="87">
        <v>1</v>
      </c>
      <c r="F1425" s="86">
        <v>9504</v>
      </c>
      <c r="G1425" s="87">
        <v>20</v>
      </c>
      <c r="H1425" s="87">
        <v>2</v>
      </c>
      <c r="I1425" s="87">
        <v>5</v>
      </c>
      <c r="J1425" s="88">
        <f t="shared" si="204"/>
        <v>0.000255493101686254</v>
      </c>
      <c r="K1425" s="89">
        <f t="shared" si="205"/>
        <v>1286.01</v>
      </c>
      <c r="L1425" s="89">
        <f t="shared" si="206"/>
        <v>328.56668369954</v>
      </c>
      <c r="M1425" s="90">
        <f t="shared" si="207"/>
        <v>7.39030023094688</v>
      </c>
      <c r="N1425" s="66">
        <f t="shared" si="200"/>
        <v>0.00636942675159236</v>
      </c>
      <c r="O1425" s="52">
        <f t="shared" si="201"/>
        <v>9504</v>
      </c>
      <c r="P1425" s="52">
        <f t="shared" si="202"/>
        <v>1286.01</v>
      </c>
      <c r="Q1425" s="68">
        <f t="shared" si="203"/>
        <v>64.3005</v>
      </c>
    </row>
    <row r="1426" s="2" customFormat="1" spans="1:17">
      <c r="A1426" s="91">
        <v>46073</v>
      </c>
      <c r="B1426" s="86">
        <v>1210.12</v>
      </c>
      <c r="C1426" s="87">
        <v>3851</v>
      </c>
      <c r="D1426" s="87">
        <v>142</v>
      </c>
      <c r="E1426" s="87">
        <v>0</v>
      </c>
      <c r="F1426" s="86">
        <v>0</v>
      </c>
      <c r="G1426" s="87">
        <v>29</v>
      </c>
      <c r="H1426" s="87">
        <v>0</v>
      </c>
      <c r="I1426" s="87">
        <v>4</v>
      </c>
      <c r="J1426" s="88">
        <f t="shared" si="204"/>
        <v>0</v>
      </c>
      <c r="K1426" s="89" t="e">
        <f t="shared" si="205"/>
        <v>#DIV/0!</v>
      </c>
      <c r="L1426" s="89">
        <f t="shared" si="206"/>
        <v>314.235263567904</v>
      </c>
      <c r="M1426" s="90">
        <f t="shared" si="207"/>
        <v>0</v>
      </c>
      <c r="N1426" s="66">
        <f t="shared" si="200"/>
        <v>0</v>
      </c>
      <c r="O1426" s="52">
        <f t="shared" si="201"/>
        <v>0</v>
      </c>
      <c r="P1426" s="52">
        <f t="shared" si="202"/>
        <v>0</v>
      </c>
      <c r="Q1426" s="68">
        <f t="shared" si="203"/>
        <v>41.728275862069</v>
      </c>
    </row>
    <row r="1427" s="2" customFormat="1" spans="1:17">
      <c r="A1427" s="91">
        <v>46074</v>
      </c>
      <c r="B1427" s="86">
        <v>1271.92</v>
      </c>
      <c r="C1427" s="87">
        <v>4019</v>
      </c>
      <c r="D1427" s="87">
        <v>165</v>
      </c>
      <c r="E1427" s="87">
        <v>3</v>
      </c>
      <c r="F1427" s="86">
        <v>38483</v>
      </c>
      <c r="G1427" s="87">
        <v>45</v>
      </c>
      <c r="H1427" s="87">
        <v>3</v>
      </c>
      <c r="I1427" s="87">
        <v>12</v>
      </c>
      <c r="J1427" s="88">
        <f t="shared" si="204"/>
        <v>0.000746454341876089</v>
      </c>
      <c r="K1427" s="89">
        <f t="shared" si="205"/>
        <v>423.973333333333</v>
      </c>
      <c r="L1427" s="89">
        <f t="shared" si="206"/>
        <v>316.476735506345</v>
      </c>
      <c r="M1427" s="90">
        <f t="shared" si="207"/>
        <v>30.2558337002327</v>
      </c>
      <c r="N1427" s="66">
        <f t="shared" si="200"/>
        <v>0.0181818181818182</v>
      </c>
      <c r="O1427" s="52">
        <f t="shared" si="201"/>
        <v>12827.6666666667</v>
      </c>
      <c r="P1427" s="52">
        <f t="shared" si="202"/>
        <v>423.973333333333</v>
      </c>
      <c r="Q1427" s="68">
        <f t="shared" si="203"/>
        <v>28.2648888888889</v>
      </c>
    </row>
    <row r="1428" s="2" customFormat="1" spans="1:17">
      <c r="A1428" s="91">
        <v>46075</v>
      </c>
      <c r="B1428" s="86">
        <v>1379.69</v>
      </c>
      <c r="C1428" s="87">
        <v>4342</v>
      </c>
      <c r="D1428" s="87">
        <v>156</v>
      </c>
      <c r="E1428" s="87">
        <v>2</v>
      </c>
      <c r="F1428" s="86">
        <v>20662</v>
      </c>
      <c r="G1428" s="87">
        <v>31</v>
      </c>
      <c r="H1428" s="87">
        <v>1</v>
      </c>
      <c r="I1428" s="87">
        <v>6</v>
      </c>
      <c r="J1428" s="88">
        <f t="shared" si="204"/>
        <v>0.000460617227084293</v>
      </c>
      <c r="K1428" s="89">
        <f t="shared" si="205"/>
        <v>689.845</v>
      </c>
      <c r="L1428" s="89">
        <f t="shared" si="206"/>
        <v>317.754491017964</v>
      </c>
      <c r="M1428" s="90">
        <f t="shared" si="207"/>
        <v>14.9758279033696</v>
      </c>
      <c r="N1428" s="66">
        <f t="shared" si="200"/>
        <v>0.0128205128205128</v>
      </c>
      <c r="O1428" s="52">
        <f t="shared" si="201"/>
        <v>10331</v>
      </c>
      <c r="P1428" s="52">
        <f t="shared" si="202"/>
        <v>689.845</v>
      </c>
      <c r="Q1428" s="68">
        <f t="shared" si="203"/>
        <v>44.5061290322581</v>
      </c>
    </row>
    <row r="1429" s="2" customFormat="1" spans="1:17">
      <c r="A1429" s="91">
        <v>46076</v>
      </c>
      <c r="B1429" s="86">
        <v>1460.76</v>
      </c>
      <c r="C1429" s="87">
        <v>4221</v>
      </c>
      <c r="D1429" s="87">
        <v>238</v>
      </c>
      <c r="E1429" s="87">
        <v>2</v>
      </c>
      <c r="F1429" s="86">
        <v>16632</v>
      </c>
      <c r="G1429" s="87">
        <v>38</v>
      </c>
      <c r="H1429" s="87">
        <v>8</v>
      </c>
      <c r="I1429" s="87">
        <v>9</v>
      </c>
      <c r="J1429" s="88">
        <f t="shared" si="204"/>
        <v>0.000473821369343757</v>
      </c>
      <c r="K1429" s="89">
        <f t="shared" si="205"/>
        <v>730.38</v>
      </c>
      <c r="L1429" s="89">
        <f t="shared" si="206"/>
        <v>346.069651741294</v>
      </c>
      <c r="M1429" s="90">
        <f t="shared" si="207"/>
        <v>11.3858539390454</v>
      </c>
      <c r="N1429" s="66">
        <f t="shared" si="200"/>
        <v>0.00840336134453781</v>
      </c>
      <c r="O1429" s="52">
        <f t="shared" si="201"/>
        <v>8316</v>
      </c>
      <c r="P1429" s="52">
        <f t="shared" si="202"/>
        <v>730.38</v>
      </c>
      <c r="Q1429" s="68">
        <f t="shared" si="203"/>
        <v>38.4410526315789</v>
      </c>
    </row>
    <row r="1430" s="2" customFormat="1" spans="1:17">
      <c r="A1430" s="91">
        <v>46077</v>
      </c>
      <c r="B1430" s="86">
        <v>1954.03</v>
      </c>
      <c r="C1430" s="87">
        <v>5241</v>
      </c>
      <c r="D1430" s="87">
        <v>264</v>
      </c>
      <c r="E1430" s="87">
        <v>2</v>
      </c>
      <c r="F1430" s="86">
        <v>25878</v>
      </c>
      <c r="G1430" s="87">
        <v>70</v>
      </c>
      <c r="H1430" s="87">
        <v>4</v>
      </c>
      <c r="I1430" s="87">
        <v>14</v>
      </c>
      <c r="J1430" s="88">
        <f t="shared" si="204"/>
        <v>0.000381606563632894</v>
      </c>
      <c r="K1430" s="89">
        <f t="shared" si="205"/>
        <v>977.015</v>
      </c>
      <c r="L1430" s="89">
        <f t="shared" si="206"/>
        <v>372.835336767792</v>
      </c>
      <c r="M1430" s="90">
        <f t="shared" si="207"/>
        <v>13.2433995383899</v>
      </c>
      <c r="N1430" s="66">
        <f t="shared" si="200"/>
        <v>0.00757575757575758</v>
      </c>
      <c r="O1430" s="52">
        <f t="shared" si="201"/>
        <v>12939</v>
      </c>
      <c r="P1430" s="52">
        <f t="shared" si="202"/>
        <v>977.015</v>
      </c>
      <c r="Q1430" s="68">
        <f t="shared" si="203"/>
        <v>27.9147142857143</v>
      </c>
    </row>
    <row r="1431" s="2" customFormat="1" spans="1:17">
      <c r="A1431" s="91">
        <v>46078</v>
      </c>
      <c r="B1431" s="86">
        <v>1966.08</v>
      </c>
      <c r="C1431" s="87">
        <v>5066</v>
      </c>
      <c r="D1431" s="87">
        <v>250</v>
      </c>
      <c r="E1431" s="87">
        <v>1</v>
      </c>
      <c r="F1431" s="86">
        <v>7590</v>
      </c>
      <c r="G1431" s="87">
        <v>70</v>
      </c>
      <c r="H1431" s="87">
        <v>2</v>
      </c>
      <c r="I1431" s="87">
        <v>10</v>
      </c>
      <c r="J1431" s="88">
        <f t="shared" si="204"/>
        <v>0.00019739439399921</v>
      </c>
      <c r="K1431" s="89">
        <f t="shared" si="205"/>
        <v>1966.08</v>
      </c>
      <c r="L1431" s="89">
        <f t="shared" si="206"/>
        <v>388.093170153968</v>
      </c>
      <c r="M1431" s="90">
        <f t="shared" si="207"/>
        <v>3.8604736328125</v>
      </c>
      <c r="N1431" s="66">
        <f t="shared" si="200"/>
        <v>0.004</v>
      </c>
      <c r="O1431" s="52">
        <f t="shared" si="201"/>
        <v>7590</v>
      </c>
      <c r="P1431" s="52">
        <f t="shared" si="202"/>
        <v>1966.08</v>
      </c>
      <c r="Q1431" s="68">
        <f t="shared" si="203"/>
        <v>28.0868571428571</v>
      </c>
    </row>
    <row r="1432" s="2" customFormat="1" spans="1:17">
      <c r="A1432" s="91">
        <v>46079</v>
      </c>
      <c r="B1432" s="86">
        <v>1964.75</v>
      </c>
      <c r="C1432" s="87">
        <v>5158</v>
      </c>
      <c r="D1432" s="87">
        <v>283</v>
      </c>
      <c r="E1432" s="87">
        <v>0</v>
      </c>
      <c r="F1432" s="86">
        <v>0</v>
      </c>
      <c r="G1432" s="87">
        <v>66</v>
      </c>
      <c r="H1432" s="87">
        <v>1</v>
      </c>
      <c r="I1432" s="87">
        <v>5</v>
      </c>
      <c r="J1432" s="88">
        <f t="shared" si="204"/>
        <v>0</v>
      </c>
      <c r="K1432" s="89" t="e">
        <f t="shared" si="205"/>
        <v>#DIV/0!</v>
      </c>
      <c r="L1432" s="89">
        <f t="shared" si="206"/>
        <v>380.913144629701</v>
      </c>
      <c r="M1432" s="90">
        <f t="shared" si="207"/>
        <v>0</v>
      </c>
      <c r="N1432" s="66">
        <f t="shared" si="200"/>
        <v>0</v>
      </c>
      <c r="O1432" s="52">
        <f t="shared" si="201"/>
        <v>0</v>
      </c>
      <c r="P1432" s="52">
        <f t="shared" si="202"/>
        <v>0</v>
      </c>
      <c r="Q1432" s="68">
        <f t="shared" si="203"/>
        <v>29.7689393939394</v>
      </c>
    </row>
    <row r="1433" s="2" customFormat="1" spans="1:17">
      <c r="A1433" s="91">
        <v>46080</v>
      </c>
      <c r="B1433" s="86">
        <v>1962.45</v>
      </c>
      <c r="C1433" s="87">
        <v>4652</v>
      </c>
      <c r="D1433" s="92">
        <v>272</v>
      </c>
      <c r="E1433" s="87">
        <v>0</v>
      </c>
      <c r="F1433" s="86">
        <v>0</v>
      </c>
      <c r="G1433" s="87">
        <v>65</v>
      </c>
      <c r="H1433" s="87">
        <v>5</v>
      </c>
      <c r="I1433" s="87">
        <v>3</v>
      </c>
      <c r="J1433" s="88">
        <f t="shared" si="204"/>
        <v>0</v>
      </c>
      <c r="K1433" s="89" t="e">
        <f t="shared" si="205"/>
        <v>#DIV/0!</v>
      </c>
      <c r="L1433" s="89">
        <f t="shared" si="206"/>
        <v>421.850816852966</v>
      </c>
      <c r="M1433" s="90">
        <f t="shared" si="207"/>
        <v>0</v>
      </c>
      <c r="N1433" s="66">
        <f t="shared" si="200"/>
        <v>0</v>
      </c>
      <c r="O1433" s="52">
        <f t="shared" si="201"/>
        <v>0</v>
      </c>
      <c r="P1433" s="52">
        <f t="shared" si="202"/>
        <v>0</v>
      </c>
      <c r="Q1433" s="68">
        <f t="shared" si="203"/>
        <v>30.1915384615385</v>
      </c>
    </row>
    <row r="1434" s="2" customFormat="1" spans="1:17">
      <c r="A1434" s="91">
        <v>46081</v>
      </c>
      <c r="B1434" s="86">
        <v>1967.02</v>
      </c>
      <c r="C1434" s="87">
        <v>5329</v>
      </c>
      <c r="D1434" s="87">
        <v>253</v>
      </c>
      <c r="E1434" s="87">
        <v>2</v>
      </c>
      <c r="F1434" s="86">
        <v>12064</v>
      </c>
      <c r="G1434" s="87">
        <v>62</v>
      </c>
      <c r="H1434" s="87">
        <v>7</v>
      </c>
      <c r="I1434" s="87">
        <v>13</v>
      </c>
      <c r="J1434" s="88">
        <f t="shared" si="204"/>
        <v>0.000375304935259899</v>
      </c>
      <c r="K1434" s="89">
        <f t="shared" si="205"/>
        <v>983.51</v>
      </c>
      <c r="L1434" s="89">
        <f t="shared" si="206"/>
        <v>369.116156877463</v>
      </c>
      <c r="M1434" s="90">
        <f t="shared" si="207"/>
        <v>6.13313540279204</v>
      </c>
      <c r="N1434" s="66">
        <f t="shared" si="200"/>
        <v>0.00790513833992095</v>
      </c>
      <c r="O1434" s="52">
        <f t="shared" si="201"/>
        <v>6032</v>
      </c>
      <c r="P1434" s="52">
        <f t="shared" si="202"/>
        <v>983.51</v>
      </c>
      <c r="Q1434" s="68">
        <f t="shared" si="203"/>
        <v>31.7261290322581</v>
      </c>
    </row>
    <row r="1435" s="2" customFormat="1" spans="1:17">
      <c r="A1435" s="91">
        <v>46082</v>
      </c>
      <c r="B1435" s="86">
        <v>1950.95</v>
      </c>
      <c r="C1435" s="87">
        <v>5645</v>
      </c>
      <c r="D1435" s="87">
        <v>247</v>
      </c>
      <c r="E1435" s="87">
        <v>0</v>
      </c>
      <c r="F1435" s="86">
        <v>0</v>
      </c>
      <c r="G1435" s="87">
        <v>56</v>
      </c>
      <c r="H1435" s="87">
        <v>3</v>
      </c>
      <c r="I1435" s="87">
        <v>11</v>
      </c>
      <c r="J1435" s="88">
        <f t="shared" si="204"/>
        <v>0</v>
      </c>
      <c r="K1435" s="89" t="e">
        <f t="shared" si="205"/>
        <v>#DIV/0!</v>
      </c>
      <c r="L1435" s="89">
        <f t="shared" si="206"/>
        <v>345.606731620903</v>
      </c>
      <c r="M1435" s="90">
        <f t="shared" si="207"/>
        <v>0</v>
      </c>
      <c r="N1435" s="66">
        <f t="shared" si="200"/>
        <v>0</v>
      </c>
      <c r="O1435" s="52">
        <f t="shared" si="201"/>
        <v>0</v>
      </c>
      <c r="P1435" s="52">
        <f t="shared" si="202"/>
        <v>0</v>
      </c>
      <c r="Q1435" s="68">
        <f t="shared" si="203"/>
        <v>34.8383928571429</v>
      </c>
    </row>
    <row r="1436" s="2" customFormat="1" spans="1:17">
      <c r="A1436" s="91">
        <v>46083</v>
      </c>
      <c r="B1436" s="86">
        <v>1945.65</v>
      </c>
      <c r="C1436" s="87">
        <v>5181</v>
      </c>
      <c r="D1436" s="87">
        <v>262</v>
      </c>
      <c r="E1436" s="87">
        <v>4</v>
      </c>
      <c r="F1436" s="86">
        <v>26506</v>
      </c>
      <c r="G1436" s="87">
        <v>78</v>
      </c>
      <c r="H1436" s="87">
        <v>5</v>
      </c>
      <c r="I1436" s="87">
        <v>4</v>
      </c>
      <c r="J1436" s="88">
        <f t="shared" si="204"/>
        <v>0.00077205172746574</v>
      </c>
      <c r="K1436" s="89">
        <f t="shared" si="205"/>
        <v>486.4125</v>
      </c>
      <c r="L1436" s="89">
        <f t="shared" si="206"/>
        <v>375.535610885929</v>
      </c>
      <c r="M1436" s="90">
        <f t="shared" si="207"/>
        <v>13.6232107521908</v>
      </c>
      <c r="N1436" s="66">
        <f t="shared" si="200"/>
        <v>0.0152671755725191</v>
      </c>
      <c r="O1436" s="52">
        <f t="shared" si="201"/>
        <v>6626.5</v>
      </c>
      <c r="P1436" s="52">
        <f t="shared" si="202"/>
        <v>486.4125</v>
      </c>
      <c r="Q1436" s="68">
        <f t="shared" si="203"/>
        <v>24.9442307692308</v>
      </c>
    </row>
    <row r="1437" s="2" customFormat="1" spans="1:17">
      <c r="A1437" s="91">
        <v>46084</v>
      </c>
      <c r="B1437" s="86">
        <v>1907.6</v>
      </c>
      <c r="C1437" s="87">
        <v>5927</v>
      </c>
      <c r="D1437" s="87">
        <v>178</v>
      </c>
      <c r="E1437" s="87">
        <v>4</v>
      </c>
      <c r="F1437" s="86">
        <v>30102</v>
      </c>
      <c r="G1437" s="87">
        <v>36</v>
      </c>
      <c r="H1437" s="87">
        <v>7</v>
      </c>
      <c r="I1437" s="87">
        <v>4</v>
      </c>
      <c r="J1437" s="88">
        <f t="shared" si="204"/>
        <v>0.000674877678420786</v>
      </c>
      <c r="K1437" s="89">
        <f t="shared" si="205"/>
        <v>476.9</v>
      </c>
      <c r="L1437" s="89">
        <f t="shared" si="206"/>
        <v>321.849164838873</v>
      </c>
      <c r="M1437" s="90">
        <f t="shared" si="207"/>
        <v>15.7800377437618</v>
      </c>
      <c r="N1437" s="66">
        <f t="shared" si="200"/>
        <v>0.0224719101123595</v>
      </c>
      <c r="O1437" s="52">
        <f t="shared" si="201"/>
        <v>7525.5</v>
      </c>
      <c r="P1437" s="52">
        <f t="shared" si="202"/>
        <v>476.9</v>
      </c>
      <c r="Q1437" s="68">
        <f t="shared" si="203"/>
        <v>52.9888888888889</v>
      </c>
    </row>
    <row r="1438" s="2" customFormat="1" spans="1:17">
      <c r="A1438" s="91">
        <v>46085</v>
      </c>
      <c r="B1438" s="86">
        <v>2305.78</v>
      </c>
      <c r="C1438" s="87">
        <v>6158</v>
      </c>
      <c r="D1438" s="87">
        <v>250</v>
      </c>
      <c r="E1438" s="87">
        <v>8</v>
      </c>
      <c r="F1438" s="86">
        <v>92158</v>
      </c>
      <c r="G1438" s="87">
        <v>74</v>
      </c>
      <c r="H1438" s="87">
        <v>3</v>
      </c>
      <c r="I1438" s="87">
        <v>12</v>
      </c>
      <c r="J1438" s="88">
        <f t="shared" si="204"/>
        <v>0.00129912309191296</v>
      </c>
      <c r="K1438" s="89">
        <f t="shared" si="205"/>
        <v>288.2225</v>
      </c>
      <c r="L1438" s="89">
        <f t="shared" si="206"/>
        <v>374.436505358883</v>
      </c>
      <c r="M1438" s="90">
        <f t="shared" si="207"/>
        <v>39.9682536928935</v>
      </c>
      <c r="N1438" s="66">
        <f t="shared" si="200"/>
        <v>0.032</v>
      </c>
      <c r="O1438" s="52">
        <f t="shared" si="201"/>
        <v>11519.75</v>
      </c>
      <c r="P1438" s="52">
        <f t="shared" si="202"/>
        <v>288.2225</v>
      </c>
      <c r="Q1438" s="68">
        <f t="shared" si="203"/>
        <v>31.1591891891892</v>
      </c>
    </row>
    <row r="1439" s="2" customFormat="1" spans="1:17">
      <c r="A1439" s="91">
        <v>46086</v>
      </c>
      <c r="B1439" s="86">
        <v>2171.95</v>
      </c>
      <c r="C1439" s="87">
        <v>6038</v>
      </c>
      <c r="D1439" s="87">
        <v>259</v>
      </c>
      <c r="E1439" s="87">
        <v>1</v>
      </c>
      <c r="F1439" s="86">
        <v>8476</v>
      </c>
      <c r="G1439" s="87">
        <v>82</v>
      </c>
      <c r="H1439" s="87">
        <v>6</v>
      </c>
      <c r="I1439" s="87">
        <v>12</v>
      </c>
      <c r="J1439" s="88">
        <f t="shared" si="204"/>
        <v>0.000165617754223253</v>
      </c>
      <c r="K1439" s="89">
        <f t="shared" si="205"/>
        <v>2171.95</v>
      </c>
      <c r="L1439" s="89">
        <f t="shared" si="206"/>
        <v>359.713481285194</v>
      </c>
      <c r="M1439" s="90">
        <f t="shared" si="207"/>
        <v>3.90248394300053</v>
      </c>
      <c r="N1439" s="66">
        <f t="shared" si="200"/>
        <v>0.00386100386100386</v>
      </c>
      <c r="O1439" s="52">
        <f t="shared" si="201"/>
        <v>8476</v>
      </c>
      <c r="P1439" s="52">
        <f t="shared" si="202"/>
        <v>2171.95</v>
      </c>
      <c r="Q1439" s="68">
        <f t="shared" si="203"/>
        <v>26.4871951219512</v>
      </c>
    </row>
    <row r="1440" s="2" customFormat="1" spans="1:17">
      <c r="A1440" s="91">
        <v>46087</v>
      </c>
      <c r="B1440" s="86">
        <v>1969.54</v>
      </c>
      <c r="C1440" s="87">
        <v>5678</v>
      </c>
      <c r="D1440" s="87">
        <v>211</v>
      </c>
      <c r="E1440" s="87">
        <v>1</v>
      </c>
      <c r="F1440" s="86">
        <v>14932</v>
      </c>
      <c r="G1440" s="87">
        <v>59</v>
      </c>
      <c r="H1440" s="87">
        <v>9</v>
      </c>
      <c r="I1440" s="87">
        <v>8</v>
      </c>
      <c r="J1440" s="88">
        <f t="shared" si="204"/>
        <v>0.00017611835153223</v>
      </c>
      <c r="K1440" s="89">
        <f t="shared" si="205"/>
        <v>1969.54</v>
      </c>
      <c r="L1440" s="89">
        <f t="shared" si="206"/>
        <v>346.872138076788</v>
      </c>
      <c r="M1440" s="90">
        <f t="shared" si="207"/>
        <v>7.58146572296069</v>
      </c>
      <c r="N1440" s="66">
        <f t="shared" si="200"/>
        <v>0.004739336492891</v>
      </c>
      <c r="O1440" s="52">
        <f t="shared" si="201"/>
        <v>14932</v>
      </c>
      <c r="P1440" s="52">
        <f t="shared" si="202"/>
        <v>1969.54</v>
      </c>
      <c r="Q1440" s="68">
        <f t="shared" si="203"/>
        <v>33.3820338983051</v>
      </c>
    </row>
    <row r="1441" s="2" customFormat="1" spans="1:17">
      <c r="A1441" s="91">
        <v>46088</v>
      </c>
      <c r="B1441" s="86">
        <v>2648.02</v>
      </c>
      <c r="C1441" s="87">
        <v>8811</v>
      </c>
      <c r="D1441" s="87">
        <v>285</v>
      </c>
      <c r="E1441" s="87">
        <v>2</v>
      </c>
      <c r="F1441" s="86">
        <v>29318</v>
      </c>
      <c r="G1441" s="87">
        <v>41</v>
      </c>
      <c r="H1441" s="87">
        <v>4</v>
      </c>
      <c r="I1441" s="87">
        <v>9</v>
      </c>
      <c r="J1441" s="88">
        <f t="shared" si="204"/>
        <v>0.000226988991033935</v>
      </c>
      <c r="K1441" s="89">
        <f t="shared" si="205"/>
        <v>1324.01</v>
      </c>
      <c r="L1441" s="89">
        <f t="shared" si="206"/>
        <v>300.53569401884</v>
      </c>
      <c r="M1441" s="90">
        <f t="shared" si="207"/>
        <v>11.0716686429861</v>
      </c>
      <c r="N1441" s="66">
        <f t="shared" si="200"/>
        <v>0.00701754385964912</v>
      </c>
      <c r="O1441" s="52">
        <f t="shared" si="201"/>
        <v>14659</v>
      </c>
      <c r="P1441" s="52">
        <f t="shared" si="202"/>
        <v>1324.01</v>
      </c>
      <c r="Q1441" s="68">
        <f t="shared" si="203"/>
        <v>64.5858536585366</v>
      </c>
    </row>
    <row r="1442" s="2" customFormat="1" spans="1:17">
      <c r="A1442" s="91">
        <v>46089</v>
      </c>
      <c r="B1442" s="86">
        <v>2792.03</v>
      </c>
      <c r="C1442" s="87">
        <v>8534</v>
      </c>
      <c r="D1442" s="87">
        <v>331</v>
      </c>
      <c r="E1442" s="87">
        <v>2</v>
      </c>
      <c r="F1442" s="86">
        <v>18705</v>
      </c>
      <c r="G1442" s="87">
        <v>78</v>
      </c>
      <c r="H1442" s="87">
        <v>2</v>
      </c>
      <c r="I1442" s="87">
        <v>12</v>
      </c>
      <c r="J1442" s="88">
        <f t="shared" si="204"/>
        <v>0.000234356690883525</v>
      </c>
      <c r="K1442" s="89">
        <f t="shared" si="205"/>
        <v>1396.015</v>
      </c>
      <c r="L1442" s="89">
        <f t="shared" si="206"/>
        <v>327.165455823764</v>
      </c>
      <c r="M1442" s="90">
        <f t="shared" si="207"/>
        <v>6.6994265820926</v>
      </c>
      <c r="N1442" s="66">
        <f t="shared" si="200"/>
        <v>0.00604229607250755</v>
      </c>
      <c r="O1442" s="52">
        <f t="shared" si="201"/>
        <v>9352.5</v>
      </c>
      <c r="P1442" s="52">
        <f t="shared" si="202"/>
        <v>1396.015</v>
      </c>
      <c r="Q1442" s="68">
        <f t="shared" si="203"/>
        <v>35.7952564102564</v>
      </c>
    </row>
    <row r="1443" s="2" customFormat="1" spans="1:17">
      <c r="A1443" s="91">
        <v>46090</v>
      </c>
      <c r="B1443" s="86">
        <v>2154.15</v>
      </c>
      <c r="C1443" s="87">
        <v>5868</v>
      </c>
      <c r="D1443" s="87">
        <v>295</v>
      </c>
      <c r="E1443" s="87">
        <v>7</v>
      </c>
      <c r="F1443" s="86">
        <v>83907</v>
      </c>
      <c r="G1443" s="87">
        <v>84</v>
      </c>
      <c r="H1443" s="87">
        <v>6</v>
      </c>
      <c r="I1443" s="87">
        <v>10</v>
      </c>
      <c r="J1443" s="88">
        <f t="shared" si="204"/>
        <v>0.00119291070211316</v>
      </c>
      <c r="K1443" s="89">
        <f t="shared" si="205"/>
        <v>307.735714285714</v>
      </c>
      <c r="L1443" s="89">
        <f t="shared" si="206"/>
        <v>367.101226993865</v>
      </c>
      <c r="M1443" s="90">
        <f t="shared" si="207"/>
        <v>38.951326509296</v>
      </c>
      <c r="N1443" s="66">
        <f t="shared" si="200"/>
        <v>0.023728813559322</v>
      </c>
      <c r="O1443" s="52">
        <f t="shared" si="201"/>
        <v>11986.7142857143</v>
      </c>
      <c r="P1443" s="52">
        <f t="shared" si="202"/>
        <v>307.735714285714</v>
      </c>
      <c r="Q1443" s="68">
        <f t="shared" si="203"/>
        <v>25.6446428571429</v>
      </c>
    </row>
    <row r="1444" s="2" customFormat="1" spans="1:17">
      <c r="A1444" s="91">
        <v>46091</v>
      </c>
      <c r="B1444" s="86">
        <v>2254.63</v>
      </c>
      <c r="C1444" s="87">
        <v>6149</v>
      </c>
      <c r="D1444" s="87">
        <v>272</v>
      </c>
      <c r="E1444" s="87">
        <v>5</v>
      </c>
      <c r="F1444" s="86">
        <v>70742</v>
      </c>
      <c r="G1444" s="87">
        <v>54</v>
      </c>
      <c r="H1444" s="87">
        <v>4</v>
      </c>
      <c r="I1444" s="87">
        <v>11</v>
      </c>
      <c r="J1444" s="88">
        <f t="shared" si="204"/>
        <v>0.000813140348024069</v>
      </c>
      <c r="K1444" s="89">
        <f t="shared" si="205"/>
        <v>450.926</v>
      </c>
      <c r="L1444" s="89">
        <f t="shared" si="206"/>
        <v>366.666124573101</v>
      </c>
      <c r="M1444" s="90">
        <f t="shared" si="207"/>
        <v>31.376323387873</v>
      </c>
      <c r="N1444" s="66">
        <f t="shared" si="200"/>
        <v>0.0183823529411765</v>
      </c>
      <c r="O1444" s="52">
        <f t="shared" si="201"/>
        <v>14148.4</v>
      </c>
      <c r="P1444" s="52">
        <f t="shared" si="202"/>
        <v>450.926</v>
      </c>
      <c r="Q1444" s="68">
        <f t="shared" si="203"/>
        <v>41.7524074074074</v>
      </c>
    </row>
    <row r="1445" s="2" customFormat="1" spans="1:17">
      <c r="A1445" s="91">
        <v>46092</v>
      </c>
      <c r="B1445" s="86">
        <v>2265.6</v>
      </c>
      <c r="C1445" s="87">
        <v>6367</v>
      </c>
      <c r="D1445" s="87">
        <v>276</v>
      </c>
      <c r="E1445" s="87">
        <v>2</v>
      </c>
      <c r="F1445" s="86">
        <v>29495</v>
      </c>
      <c r="G1445" s="87">
        <v>63</v>
      </c>
      <c r="H1445" s="87">
        <v>2</v>
      </c>
      <c r="I1445" s="87">
        <v>10</v>
      </c>
      <c r="J1445" s="88">
        <f t="shared" si="204"/>
        <v>0.000314119679597927</v>
      </c>
      <c r="K1445" s="89">
        <f t="shared" si="205"/>
        <v>1132.8</v>
      </c>
      <c r="L1445" s="89">
        <f t="shared" si="206"/>
        <v>355.834773048531</v>
      </c>
      <c r="M1445" s="90">
        <f t="shared" si="207"/>
        <v>13.0186264124294</v>
      </c>
      <c r="N1445" s="66">
        <f t="shared" si="200"/>
        <v>0.0072463768115942</v>
      </c>
      <c r="O1445" s="52">
        <f t="shared" si="201"/>
        <v>14747.5</v>
      </c>
      <c r="P1445" s="52">
        <f t="shared" si="202"/>
        <v>1132.8</v>
      </c>
      <c r="Q1445" s="68">
        <f t="shared" si="203"/>
        <v>35.9619047619048</v>
      </c>
    </row>
    <row r="1446" s="2" customFormat="1" spans="1:17">
      <c r="A1446" s="91">
        <v>46093</v>
      </c>
      <c r="B1446" s="86">
        <v>2297</v>
      </c>
      <c r="C1446" s="87">
        <v>6830</v>
      </c>
      <c r="D1446" s="87">
        <v>264</v>
      </c>
      <c r="E1446" s="87">
        <v>1</v>
      </c>
      <c r="F1446" s="86">
        <v>9326</v>
      </c>
      <c r="G1446" s="87">
        <v>62</v>
      </c>
      <c r="H1446" s="87">
        <v>5</v>
      </c>
      <c r="I1446" s="87">
        <v>13</v>
      </c>
      <c r="J1446" s="88">
        <f t="shared" si="204"/>
        <v>0.000146412884333821</v>
      </c>
      <c r="K1446" s="89">
        <f t="shared" si="205"/>
        <v>2297</v>
      </c>
      <c r="L1446" s="89">
        <f t="shared" si="206"/>
        <v>336.310395314788</v>
      </c>
      <c r="M1446" s="90">
        <f t="shared" si="207"/>
        <v>4.06007836308228</v>
      </c>
      <c r="N1446" s="66">
        <f t="shared" ref="N1446:N1479" si="208">E1446/D1446</f>
        <v>0.00378787878787879</v>
      </c>
      <c r="O1446" s="52">
        <f t="shared" ref="O1446:O1479" si="209">IF(E1446=0,0,F1446/E1446)</f>
        <v>9326</v>
      </c>
      <c r="P1446" s="52">
        <f t="shared" ref="P1446:P1479" si="210">IF(E1446=0,0,B1446/E1446)</f>
        <v>2297</v>
      </c>
      <c r="Q1446" s="68">
        <f t="shared" ref="Q1446:Q1479" si="211">B1446/G1446</f>
        <v>37.0483870967742</v>
      </c>
    </row>
    <row r="1447" s="2" customFormat="1" spans="1:17">
      <c r="A1447" s="91">
        <v>46094</v>
      </c>
      <c r="B1447" s="86">
        <v>2406.2</v>
      </c>
      <c r="C1447" s="87">
        <v>7092</v>
      </c>
      <c r="D1447" s="87">
        <v>261</v>
      </c>
      <c r="E1447" s="87">
        <v>3</v>
      </c>
      <c r="F1447" s="86">
        <v>30424</v>
      </c>
      <c r="G1447" s="87">
        <v>52</v>
      </c>
      <c r="H1447" s="87">
        <v>2</v>
      </c>
      <c r="I1447" s="87">
        <v>7</v>
      </c>
      <c r="J1447" s="88">
        <f t="shared" si="204"/>
        <v>0.000423011844331641</v>
      </c>
      <c r="K1447" s="89">
        <f t="shared" si="205"/>
        <v>802.066666666667</v>
      </c>
      <c r="L1447" s="89">
        <f t="shared" si="206"/>
        <v>339.283699943598</v>
      </c>
      <c r="M1447" s="90">
        <f t="shared" si="207"/>
        <v>12.64400299227</v>
      </c>
      <c r="N1447" s="66">
        <f t="shared" si="208"/>
        <v>0.0114942528735632</v>
      </c>
      <c r="O1447" s="52">
        <f t="shared" si="209"/>
        <v>10141.3333333333</v>
      </c>
      <c r="P1447" s="52">
        <f t="shared" si="210"/>
        <v>802.066666666667</v>
      </c>
      <c r="Q1447" s="68">
        <f t="shared" si="211"/>
        <v>46.2730769230769</v>
      </c>
    </row>
    <row r="1448" s="2" customFormat="1" spans="1:17">
      <c r="A1448" s="91">
        <v>46095</v>
      </c>
      <c r="B1448" s="86">
        <v>2905.26</v>
      </c>
      <c r="C1448" s="87">
        <v>9752</v>
      </c>
      <c r="D1448" s="87">
        <v>257</v>
      </c>
      <c r="E1448" s="87">
        <v>1</v>
      </c>
      <c r="F1448" s="86">
        <v>14096</v>
      </c>
      <c r="G1448" s="87">
        <v>81</v>
      </c>
      <c r="H1448" s="87">
        <v>8</v>
      </c>
      <c r="I1448" s="87">
        <v>10</v>
      </c>
      <c r="J1448" s="88">
        <f t="shared" si="204"/>
        <v>0.000102543068088597</v>
      </c>
      <c r="K1448" s="89">
        <f t="shared" si="205"/>
        <v>2905.26</v>
      </c>
      <c r="L1448" s="89">
        <f t="shared" si="206"/>
        <v>297.914273995078</v>
      </c>
      <c r="M1448" s="90">
        <f t="shared" si="207"/>
        <v>4.85188933176377</v>
      </c>
      <c r="N1448" s="66">
        <f t="shared" si="208"/>
        <v>0.00389105058365759</v>
      </c>
      <c r="O1448" s="52">
        <f t="shared" si="209"/>
        <v>14096</v>
      </c>
      <c r="P1448" s="52">
        <f t="shared" si="210"/>
        <v>2905.26</v>
      </c>
      <c r="Q1448" s="68">
        <f t="shared" si="211"/>
        <v>35.8674074074074</v>
      </c>
    </row>
    <row r="1449" s="2" customFormat="1" spans="1:17">
      <c r="A1449" s="91">
        <v>46096</v>
      </c>
      <c r="B1449" s="86">
        <v>2454.03</v>
      </c>
      <c r="C1449" s="87">
        <v>7926</v>
      </c>
      <c r="D1449" s="87">
        <v>291</v>
      </c>
      <c r="E1449" s="87">
        <v>4</v>
      </c>
      <c r="F1449" s="86">
        <v>39132</v>
      </c>
      <c r="G1449" s="87">
        <v>52</v>
      </c>
      <c r="H1449" s="87">
        <v>4</v>
      </c>
      <c r="I1449" s="87">
        <v>16</v>
      </c>
      <c r="J1449" s="88">
        <f t="shared" si="204"/>
        <v>0.000504668180671209</v>
      </c>
      <c r="K1449" s="89">
        <f t="shared" si="205"/>
        <v>613.5075</v>
      </c>
      <c r="L1449" s="89">
        <f t="shared" si="206"/>
        <v>309.617713853142</v>
      </c>
      <c r="M1449" s="90">
        <f t="shared" si="207"/>
        <v>15.9460153298859</v>
      </c>
      <c r="N1449" s="66">
        <f t="shared" si="208"/>
        <v>0.013745704467354</v>
      </c>
      <c r="O1449" s="52">
        <f t="shared" si="209"/>
        <v>9783</v>
      </c>
      <c r="P1449" s="52">
        <f t="shared" si="210"/>
        <v>613.5075</v>
      </c>
      <c r="Q1449" s="68">
        <f t="shared" si="211"/>
        <v>47.1928846153846</v>
      </c>
    </row>
    <row r="1450" s="2" customFormat="1" spans="1:17">
      <c r="A1450" s="91">
        <v>46097</v>
      </c>
      <c r="B1450" s="86">
        <v>2216.57</v>
      </c>
      <c r="C1450" s="87">
        <v>6113</v>
      </c>
      <c r="D1450" s="87">
        <v>282</v>
      </c>
      <c r="E1450" s="87">
        <v>10</v>
      </c>
      <c r="F1450" s="86">
        <v>100004</v>
      </c>
      <c r="G1450" s="87">
        <v>57</v>
      </c>
      <c r="H1450" s="87">
        <v>1</v>
      </c>
      <c r="I1450" s="87">
        <v>5</v>
      </c>
      <c r="J1450" s="88">
        <f t="shared" si="204"/>
        <v>0.00163585800752495</v>
      </c>
      <c r="K1450" s="89">
        <f t="shared" si="205"/>
        <v>221.657</v>
      </c>
      <c r="L1450" s="89">
        <f t="shared" si="206"/>
        <v>362.599378373957</v>
      </c>
      <c r="M1450" s="90">
        <f t="shared" si="207"/>
        <v>45.1165539549845</v>
      </c>
      <c r="N1450" s="66">
        <f t="shared" si="208"/>
        <v>0.0354609929078014</v>
      </c>
      <c r="O1450" s="52">
        <f t="shared" si="209"/>
        <v>10000.4</v>
      </c>
      <c r="P1450" s="52">
        <f t="shared" si="210"/>
        <v>221.657</v>
      </c>
      <c r="Q1450" s="68">
        <f t="shared" si="211"/>
        <v>38.8871929824561</v>
      </c>
    </row>
    <row r="1451" s="2" customFormat="1" spans="1:17">
      <c r="A1451" s="91">
        <v>46098</v>
      </c>
      <c r="B1451" s="86">
        <v>916.12</v>
      </c>
      <c r="C1451" s="87">
        <v>2763</v>
      </c>
      <c r="D1451" s="87">
        <v>107</v>
      </c>
      <c r="E1451" s="87">
        <v>2</v>
      </c>
      <c r="F1451" s="86">
        <v>20552</v>
      </c>
      <c r="G1451" s="87">
        <v>30</v>
      </c>
      <c r="H1451" s="87">
        <v>2</v>
      </c>
      <c r="I1451" s="87">
        <v>6</v>
      </c>
      <c r="J1451" s="88">
        <f t="shared" si="204"/>
        <v>0.000723850886717336</v>
      </c>
      <c r="K1451" s="89">
        <f t="shared" si="205"/>
        <v>458.06</v>
      </c>
      <c r="L1451" s="89">
        <f t="shared" si="206"/>
        <v>331.567137169743</v>
      </c>
      <c r="M1451" s="90">
        <f t="shared" si="207"/>
        <v>22.4337423045016</v>
      </c>
      <c r="N1451" s="66">
        <f t="shared" si="208"/>
        <v>0.0186915887850467</v>
      </c>
      <c r="O1451" s="52">
        <f t="shared" si="209"/>
        <v>10276</v>
      </c>
      <c r="P1451" s="52">
        <f t="shared" si="210"/>
        <v>458.06</v>
      </c>
      <c r="Q1451" s="68">
        <f t="shared" si="211"/>
        <v>30.5373333333333</v>
      </c>
    </row>
    <row r="1452" s="2" customFormat="1" spans="1:17">
      <c r="A1452" s="91">
        <v>46099</v>
      </c>
      <c r="B1452" s="86">
        <v>1894.53</v>
      </c>
      <c r="C1452" s="87">
        <v>5613</v>
      </c>
      <c r="D1452" s="87">
        <v>168</v>
      </c>
      <c r="E1452" s="87">
        <v>6</v>
      </c>
      <c r="F1452" s="86">
        <v>63667</v>
      </c>
      <c r="G1452" s="87">
        <v>35</v>
      </c>
      <c r="H1452" s="87">
        <v>2</v>
      </c>
      <c r="I1452" s="87">
        <v>7</v>
      </c>
      <c r="J1452" s="88">
        <f t="shared" si="204"/>
        <v>0.00106894708711919</v>
      </c>
      <c r="K1452" s="89">
        <f t="shared" si="205"/>
        <v>315.755</v>
      </c>
      <c r="L1452" s="89">
        <f t="shared" si="206"/>
        <v>337.525387493319</v>
      </c>
      <c r="M1452" s="90">
        <f t="shared" si="207"/>
        <v>33.6056963996347</v>
      </c>
      <c r="N1452" s="66">
        <f t="shared" si="208"/>
        <v>0.0357142857142857</v>
      </c>
      <c r="O1452" s="52">
        <f t="shared" si="209"/>
        <v>10611.1666666667</v>
      </c>
      <c r="P1452" s="52">
        <f t="shared" si="210"/>
        <v>315.755</v>
      </c>
      <c r="Q1452" s="68">
        <f t="shared" si="211"/>
        <v>54.1294285714286</v>
      </c>
    </row>
    <row r="1453" s="2" customFormat="1" spans="1:17">
      <c r="A1453" s="91">
        <v>46100</v>
      </c>
      <c r="B1453" s="86">
        <v>2371.51</v>
      </c>
      <c r="C1453" s="87">
        <v>7770</v>
      </c>
      <c r="D1453" s="87">
        <v>203</v>
      </c>
      <c r="E1453" s="87">
        <v>2</v>
      </c>
      <c r="F1453" s="86">
        <v>19940</v>
      </c>
      <c r="G1453" s="87">
        <v>65</v>
      </c>
      <c r="H1453" s="87">
        <v>3</v>
      </c>
      <c r="I1453" s="87">
        <v>5</v>
      </c>
      <c r="J1453" s="88">
        <f t="shared" si="204"/>
        <v>0.000257400257400257</v>
      </c>
      <c r="K1453" s="89">
        <f t="shared" si="205"/>
        <v>1185.755</v>
      </c>
      <c r="L1453" s="89">
        <f t="shared" si="206"/>
        <v>305.213642213642</v>
      </c>
      <c r="M1453" s="90">
        <f t="shared" si="207"/>
        <v>8.40814502152637</v>
      </c>
      <c r="N1453" s="66">
        <f t="shared" si="208"/>
        <v>0.00985221674876847</v>
      </c>
      <c r="O1453" s="52">
        <f t="shared" si="209"/>
        <v>9970</v>
      </c>
      <c r="P1453" s="52">
        <f t="shared" si="210"/>
        <v>1185.755</v>
      </c>
      <c r="Q1453" s="68">
        <f t="shared" si="211"/>
        <v>36.4847692307692</v>
      </c>
    </row>
    <row r="1454" s="2" customFormat="1" spans="1:17">
      <c r="A1454" s="91">
        <v>46101</v>
      </c>
      <c r="B1454" s="86">
        <v>2426.11</v>
      </c>
      <c r="C1454" s="87">
        <v>6976</v>
      </c>
      <c r="D1454" s="87">
        <v>299</v>
      </c>
      <c r="E1454" s="87">
        <v>0</v>
      </c>
      <c r="F1454" s="86">
        <v>0</v>
      </c>
      <c r="G1454" s="87">
        <v>66</v>
      </c>
      <c r="H1454" s="87">
        <v>9</v>
      </c>
      <c r="I1454" s="87">
        <v>7</v>
      </c>
      <c r="J1454" s="88">
        <f t="shared" si="204"/>
        <v>0</v>
      </c>
      <c r="K1454" s="89" t="e">
        <f t="shared" si="205"/>
        <v>#DIV/0!</v>
      </c>
      <c r="L1454" s="89">
        <f t="shared" si="206"/>
        <v>347.779529816514</v>
      </c>
      <c r="M1454" s="90">
        <f t="shared" si="207"/>
        <v>0</v>
      </c>
      <c r="N1454" s="66">
        <f t="shared" si="208"/>
        <v>0</v>
      </c>
      <c r="O1454" s="52">
        <f t="shared" si="209"/>
        <v>0</v>
      </c>
      <c r="P1454" s="52">
        <f t="shared" si="210"/>
        <v>0</v>
      </c>
      <c r="Q1454" s="68">
        <f t="shared" si="211"/>
        <v>36.7592424242424</v>
      </c>
    </row>
    <row r="1455" s="2" customFormat="1" spans="1:17">
      <c r="A1455" s="91">
        <v>46102</v>
      </c>
      <c r="B1455" s="86">
        <v>1266.97</v>
      </c>
      <c r="C1455" s="87">
        <v>3973</v>
      </c>
      <c r="D1455" s="87">
        <v>132</v>
      </c>
      <c r="E1455" s="87">
        <v>0</v>
      </c>
      <c r="F1455" s="86">
        <v>0</v>
      </c>
      <c r="G1455" s="87">
        <v>31</v>
      </c>
      <c r="H1455" s="87">
        <v>3</v>
      </c>
      <c r="I1455" s="87">
        <v>4</v>
      </c>
      <c r="J1455" s="88">
        <f t="shared" si="204"/>
        <v>0</v>
      </c>
      <c r="K1455" s="89" t="e">
        <f t="shared" si="205"/>
        <v>#DIV/0!</v>
      </c>
      <c r="L1455" s="89">
        <f t="shared" si="206"/>
        <v>318.89504153033</v>
      </c>
      <c r="M1455" s="90">
        <f t="shared" si="207"/>
        <v>0</v>
      </c>
      <c r="N1455" s="66">
        <f t="shared" si="208"/>
        <v>0</v>
      </c>
      <c r="O1455" s="52">
        <f t="shared" si="209"/>
        <v>0</v>
      </c>
      <c r="P1455" s="52">
        <f t="shared" si="210"/>
        <v>0</v>
      </c>
      <c r="Q1455" s="68">
        <f t="shared" si="211"/>
        <v>40.87</v>
      </c>
    </row>
    <row r="1456" s="2" customFormat="1" spans="1:17">
      <c r="A1456" s="91">
        <v>46103</v>
      </c>
      <c r="B1456" s="86">
        <v>1269.66</v>
      </c>
      <c r="C1456" s="87">
        <v>3697</v>
      </c>
      <c r="D1456" s="87">
        <v>174</v>
      </c>
      <c r="E1456" s="87">
        <v>1</v>
      </c>
      <c r="F1456" s="86">
        <v>18473</v>
      </c>
      <c r="G1456" s="87">
        <v>38</v>
      </c>
      <c r="H1456" s="87">
        <v>4</v>
      </c>
      <c r="I1456" s="87">
        <v>7</v>
      </c>
      <c r="J1456" s="88">
        <f t="shared" si="204"/>
        <v>0.000270489586150933</v>
      </c>
      <c r="K1456" s="89">
        <f t="shared" si="205"/>
        <v>1269.66</v>
      </c>
      <c r="L1456" s="89">
        <f t="shared" si="206"/>
        <v>343.429807952394</v>
      </c>
      <c r="M1456" s="90">
        <f t="shared" si="207"/>
        <v>14.5495644503253</v>
      </c>
      <c r="N1456" s="66">
        <f t="shared" si="208"/>
        <v>0.00574712643678161</v>
      </c>
      <c r="O1456" s="52">
        <f t="shared" si="209"/>
        <v>18473</v>
      </c>
      <c r="P1456" s="52">
        <f t="shared" si="210"/>
        <v>1269.66</v>
      </c>
      <c r="Q1456" s="68">
        <f t="shared" si="211"/>
        <v>33.4121052631579</v>
      </c>
    </row>
    <row r="1457" s="2" customFormat="1" spans="1:17">
      <c r="A1457" s="91">
        <v>46104</v>
      </c>
      <c r="B1457" s="86">
        <v>1255.59</v>
      </c>
      <c r="C1457" s="87">
        <v>3458</v>
      </c>
      <c r="D1457" s="92">
        <v>152</v>
      </c>
      <c r="E1457" s="87">
        <v>1</v>
      </c>
      <c r="F1457" s="86">
        <v>9069</v>
      </c>
      <c r="G1457" s="87">
        <v>34</v>
      </c>
      <c r="H1457" s="87">
        <v>1</v>
      </c>
      <c r="I1457" s="87">
        <v>4</v>
      </c>
      <c r="J1457" s="88">
        <f t="shared" si="204"/>
        <v>0.000289184499710815</v>
      </c>
      <c r="K1457" s="89">
        <f t="shared" si="205"/>
        <v>1255.59</v>
      </c>
      <c r="L1457" s="89">
        <f t="shared" si="206"/>
        <v>363.097165991903</v>
      </c>
      <c r="M1457" s="90">
        <f t="shared" si="207"/>
        <v>7.22289919480085</v>
      </c>
      <c r="N1457" s="66">
        <f t="shared" si="208"/>
        <v>0.00657894736842105</v>
      </c>
      <c r="O1457" s="52">
        <f t="shared" si="209"/>
        <v>9069</v>
      </c>
      <c r="P1457" s="52">
        <f t="shared" si="210"/>
        <v>1255.59</v>
      </c>
      <c r="Q1457" s="68">
        <f t="shared" si="211"/>
        <v>36.9291176470588</v>
      </c>
    </row>
    <row r="1458" s="2" customFormat="1" spans="1:17">
      <c r="A1458" s="91">
        <v>46105</v>
      </c>
      <c r="B1458" s="86">
        <v>1269.8</v>
      </c>
      <c r="C1458" s="87">
        <v>3386</v>
      </c>
      <c r="D1458" s="87">
        <v>137</v>
      </c>
      <c r="E1458" s="87">
        <v>1</v>
      </c>
      <c r="F1458" s="86">
        <v>8392</v>
      </c>
      <c r="G1458" s="87">
        <v>31</v>
      </c>
      <c r="H1458" s="87">
        <v>2</v>
      </c>
      <c r="I1458" s="87">
        <v>4</v>
      </c>
      <c r="J1458" s="88">
        <f t="shared" si="204"/>
        <v>0.000295333727111636</v>
      </c>
      <c r="K1458" s="89">
        <f t="shared" si="205"/>
        <v>1269.8</v>
      </c>
      <c r="L1458" s="89">
        <f t="shared" si="206"/>
        <v>375.014766686356</v>
      </c>
      <c r="M1458" s="90">
        <f t="shared" si="207"/>
        <v>6.60891478973067</v>
      </c>
      <c r="N1458" s="66">
        <f t="shared" si="208"/>
        <v>0.0072992700729927</v>
      </c>
      <c r="O1458" s="52">
        <f t="shared" si="209"/>
        <v>8392</v>
      </c>
      <c r="P1458" s="52">
        <f t="shared" si="210"/>
        <v>1269.8</v>
      </c>
      <c r="Q1458" s="68">
        <f t="shared" si="211"/>
        <v>40.9612903225806</v>
      </c>
    </row>
    <row r="1459" s="2" customFormat="1" spans="1:17">
      <c r="A1459" s="91">
        <v>46106</v>
      </c>
      <c r="B1459" s="86">
        <v>1262.2</v>
      </c>
      <c r="C1459" s="87">
        <v>3870</v>
      </c>
      <c r="D1459" s="87">
        <v>105</v>
      </c>
      <c r="E1459" s="87">
        <v>0</v>
      </c>
      <c r="F1459" s="86">
        <v>0</v>
      </c>
      <c r="G1459" s="87">
        <v>46</v>
      </c>
      <c r="H1459" s="87">
        <v>3</v>
      </c>
      <c r="I1459" s="87">
        <v>5</v>
      </c>
      <c r="J1459" s="88">
        <f t="shared" si="204"/>
        <v>0</v>
      </c>
      <c r="K1459" s="89" t="e">
        <f t="shared" si="205"/>
        <v>#DIV/0!</v>
      </c>
      <c r="L1459" s="89">
        <f t="shared" si="206"/>
        <v>326.149870801034</v>
      </c>
      <c r="M1459" s="90">
        <f t="shared" si="207"/>
        <v>0</v>
      </c>
      <c r="N1459" s="66">
        <f t="shared" si="208"/>
        <v>0</v>
      </c>
      <c r="O1459" s="52">
        <f t="shared" si="209"/>
        <v>0</v>
      </c>
      <c r="P1459" s="52">
        <f t="shared" si="210"/>
        <v>0</v>
      </c>
      <c r="Q1459" s="68">
        <f t="shared" si="211"/>
        <v>27.4391304347826</v>
      </c>
    </row>
    <row r="1460" s="2" customFormat="1" spans="1:17">
      <c r="A1460" s="91">
        <v>46107</v>
      </c>
      <c r="B1460" s="86">
        <v>1272.71</v>
      </c>
      <c r="C1460" s="87">
        <v>3779</v>
      </c>
      <c r="D1460" s="87">
        <v>118</v>
      </c>
      <c r="E1460" s="87">
        <v>1</v>
      </c>
      <c r="F1460" s="86">
        <v>10797</v>
      </c>
      <c r="G1460" s="87">
        <v>33</v>
      </c>
      <c r="H1460" s="87">
        <v>2</v>
      </c>
      <c r="I1460" s="87">
        <v>3</v>
      </c>
      <c r="J1460" s="88">
        <f t="shared" si="204"/>
        <v>0.000264620269912675</v>
      </c>
      <c r="K1460" s="89">
        <f t="shared" si="205"/>
        <v>1272.71</v>
      </c>
      <c r="L1460" s="89">
        <f t="shared" si="206"/>
        <v>336.784863720561</v>
      </c>
      <c r="M1460" s="90">
        <f t="shared" si="207"/>
        <v>8.48347227569517</v>
      </c>
      <c r="N1460" s="66">
        <f t="shared" si="208"/>
        <v>0.00847457627118644</v>
      </c>
      <c r="O1460" s="52">
        <f t="shared" si="209"/>
        <v>10797</v>
      </c>
      <c r="P1460" s="52">
        <f t="shared" si="210"/>
        <v>1272.71</v>
      </c>
      <c r="Q1460" s="68">
        <f t="shared" si="211"/>
        <v>38.5669696969697</v>
      </c>
    </row>
    <row r="1461" s="2" customFormat="1" spans="1:17">
      <c r="A1461" s="91">
        <v>46108</v>
      </c>
      <c r="B1461" s="86">
        <v>1260.27</v>
      </c>
      <c r="C1461" s="87">
        <v>3857</v>
      </c>
      <c r="D1461" s="87">
        <v>99</v>
      </c>
      <c r="E1461" s="87">
        <v>3</v>
      </c>
      <c r="F1461" s="86">
        <v>38208</v>
      </c>
      <c r="G1461" s="87">
        <v>24</v>
      </c>
      <c r="H1461" s="87">
        <v>1</v>
      </c>
      <c r="I1461" s="87">
        <v>2</v>
      </c>
      <c r="J1461" s="88">
        <f t="shared" si="204"/>
        <v>0.00077780658542909</v>
      </c>
      <c r="K1461" s="89">
        <f t="shared" si="205"/>
        <v>420.09</v>
      </c>
      <c r="L1461" s="89">
        <f t="shared" si="206"/>
        <v>326.748768472906</v>
      </c>
      <c r="M1461" s="90">
        <f t="shared" si="207"/>
        <v>30.3173129567474</v>
      </c>
      <c r="N1461" s="66">
        <f t="shared" si="208"/>
        <v>0.0303030303030303</v>
      </c>
      <c r="O1461" s="52">
        <f t="shared" si="209"/>
        <v>12736</v>
      </c>
      <c r="P1461" s="52">
        <f t="shared" si="210"/>
        <v>420.09</v>
      </c>
      <c r="Q1461" s="68">
        <f t="shared" si="211"/>
        <v>52.51125</v>
      </c>
    </row>
    <row r="1462" s="2" customFormat="1" spans="1:17">
      <c r="A1462" s="91">
        <v>46109</v>
      </c>
      <c r="B1462" s="86">
        <v>1247.77</v>
      </c>
      <c r="C1462" s="87">
        <v>4159</v>
      </c>
      <c r="D1462" s="87">
        <v>101</v>
      </c>
      <c r="E1462" s="87">
        <v>1</v>
      </c>
      <c r="F1462" s="86">
        <v>21594</v>
      </c>
      <c r="G1462" s="87">
        <v>16</v>
      </c>
      <c r="H1462" s="87">
        <v>4</v>
      </c>
      <c r="I1462" s="87">
        <v>5</v>
      </c>
      <c r="J1462" s="88">
        <f t="shared" si="204"/>
        <v>0.000240442414041837</v>
      </c>
      <c r="K1462" s="89">
        <f t="shared" si="205"/>
        <v>1247.77</v>
      </c>
      <c r="L1462" s="89">
        <f t="shared" si="206"/>
        <v>300.016830968983</v>
      </c>
      <c r="M1462" s="90">
        <f t="shared" si="207"/>
        <v>17.3060740360804</v>
      </c>
      <c r="N1462" s="66">
        <f t="shared" si="208"/>
        <v>0.0099009900990099</v>
      </c>
      <c r="O1462" s="52">
        <f t="shared" si="209"/>
        <v>21594</v>
      </c>
      <c r="P1462" s="52">
        <f t="shared" si="210"/>
        <v>1247.77</v>
      </c>
      <c r="Q1462" s="68">
        <f t="shared" si="211"/>
        <v>77.985625</v>
      </c>
    </row>
    <row r="1463" s="2" customFormat="1" spans="1:17">
      <c r="A1463" s="91">
        <v>46110</v>
      </c>
      <c r="B1463" s="86">
        <v>1266.66</v>
      </c>
      <c r="C1463" s="87">
        <v>4011</v>
      </c>
      <c r="D1463" s="87">
        <v>114</v>
      </c>
      <c r="E1463" s="87">
        <v>2</v>
      </c>
      <c r="F1463" s="86">
        <v>16836</v>
      </c>
      <c r="G1463" s="87">
        <v>14</v>
      </c>
      <c r="H1463" s="87">
        <v>1</v>
      </c>
      <c r="I1463" s="87">
        <v>3</v>
      </c>
      <c r="J1463" s="88">
        <f t="shared" si="204"/>
        <v>0.00049862877088008</v>
      </c>
      <c r="K1463" s="89">
        <f t="shared" si="205"/>
        <v>633.33</v>
      </c>
      <c r="L1463" s="89">
        <f t="shared" si="206"/>
        <v>315.796559461481</v>
      </c>
      <c r="M1463" s="90">
        <f t="shared" si="207"/>
        <v>13.2916489034153</v>
      </c>
      <c r="N1463" s="66">
        <f t="shared" si="208"/>
        <v>0.0175438596491228</v>
      </c>
      <c r="O1463" s="52">
        <f t="shared" si="209"/>
        <v>8418</v>
      </c>
      <c r="P1463" s="52">
        <f t="shared" si="210"/>
        <v>633.33</v>
      </c>
      <c r="Q1463" s="68">
        <f t="shared" si="211"/>
        <v>90.4757142857143</v>
      </c>
    </row>
    <row r="1464" s="2" customFormat="1" spans="1:17">
      <c r="A1464" s="91">
        <v>46111</v>
      </c>
      <c r="B1464" s="86">
        <v>1278.59</v>
      </c>
      <c r="C1464" s="87">
        <v>3733</v>
      </c>
      <c r="D1464" s="87">
        <v>151</v>
      </c>
      <c r="E1464" s="87">
        <v>3</v>
      </c>
      <c r="F1464" s="86">
        <v>25766</v>
      </c>
      <c r="G1464" s="87">
        <v>47</v>
      </c>
      <c r="H1464" s="87">
        <v>2</v>
      </c>
      <c r="I1464" s="87">
        <v>4</v>
      </c>
      <c r="J1464" s="88">
        <f t="shared" si="204"/>
        <v>0.000803643182427002</v>
      </c>
      <c r="K1464" s="89">
        <f t="shared" si="205"/>
        <v>426.196666666667</v>
      </c>
      <c r="L1464" s="89">
        <f t="shared" si="206"/>
        <v>342.51004553978</v>
      </c>
      <c r="M1464" s="90">
        <f t="shared" si="207"/>
        <v>20.1518860619902</v>
      </c>
      <c r="N1464" s="66">
        <f t="shared" si="208"/>
        <v>0.0198675496688742</v>
      </c>
      <c r="O1464" s="52">
        <f t="shared" si="209"/>
        <v>8588.66666666667</v>
      </c>
      <c r="P1464" s="52">
        <f t="shared" si="210"/>
        <v>426.196666666667</v>
      </c>
      <c r="Q1464" s="68">
        <f t="shared" si="211"/>
        <v>27.2040425531915</v>
      </c>
    </row>
    <row r="1465" s="2" customFormat="1" spans="1:17">
      <c r="A1465" s="91">
        <v>46112</v>
      </c>
      <c r="B1465" s="86">
        <v>1213.24</v>
      </c>
      <c r="C1465" s="87">
        <v>3383</v>
      </c>
      <c r="D1465" s="87">
        <v>125</v>
      </c>
      <c r="E1465" s="87">
        <v>1</v>
      </c>
      <c r="F1465" s="86">
        <v>10797</v>
      </c>
      <c r="G1465" s="87">
        <v>37</v>
      </c>
      <c r="H1465" s="87">
        <v>4</v>
      </c>
      <c r="I1465" s="87">
        <v>5</v>
      </c>
      <c r="J1465" s="88">
        <f t="shared" si="204"/>
        <v>0.000295595625184747</v>
      </c>
      <c r="K1465" s="89">
        <f t="shared" si="205"/>
        <v>1213.24</v>
      </c>
      <c r="L1465" s="89">
        <f t="shared" si="206"/>
        <v>358.628436299143</v>
      </c>
      <c r="M1465" s="90">
        <f t="shared" si="207"/>
        <v>8.89931093600607</v>
      </c>
      <c r="N1465" s="66">
        <f t="shared" si="208"/>
        <v>0.008</v>
      </c>
      <c r="O1465" s="52">
        <f t="shared" si="209"/>
        <v>10797</v>
      </c>
      <c r="P1465" s="52">
        <f t="shared" si="210"/>
        <v>1213.24</v>
      </c>
      <c r="Q1465" s="68">
        <f t="shared" si="211"/>
        <v>32.7902702702703</v>
      </c>
    </row>
    <row r="1466" s="2" customFormat="1" spans="1:17">
      <c r="A1466" s="91">
        <v>46113</v>
      </c>
      <c r="B1466" s="86">
        <v>1271.92</v>
      </c>
      <c r="C1466" s="87">
        <v>4016</v>
      </c>
      <c r="D1466" s="87">
        <v>140</v>
      </c>
      <c r="E1466" s="87">
        <v>0</v>
      </c>
      <c r="F1466" s="86">
        <v>0</v>
      </c>
      <c r="G1466" s="87">
        <v>28</v>
      </c>
      <c r="H1466" s="87">
        <v>3</v>
      </c>
      <c r="I1466" s="87">
        <v>7</v>
      </c>
      <c r="J1466" s="88">
        <f t="shared" si="204"/>
        <v>0</v>
      </c>
      <c r="K1466" s="89" t="e">
        <f t="shared" si="205"/>
        <v>#DIV/0!</v>
      </c>
      <c r="L1466" s="89">
        <f t="shared" si="206"/>
        <v>316.713147410359</v>
      </c>
      <c r="M1466" s="90">
        <f t="shared" si="207"/>
        <v>0</v>
      </c>
      <c r="N1466" s="66">
        <f t="shared" si="208"/>
        <v>0</v>
      </c>
      <c r="O1466" s="52">
        <f t="shared" si="209"/>
        <v>0</v>
      </c>
      <c r="P1466" s="52">
        <f t="shared" si="210"/>
        <v>0</v>
      </c>
      <c r="Q1466" s="68">
        <f t="shared" si="211"/>
        <v>45.4257142857143</v>
      </c>
    </row>
    <row r="1467" s="2" customFormat="1" spans="1:17">
      <c r="A1467" s="91">
        <v>46114</v>
      </c>
      <c r="B1467" s="86">
        <v>1259.35</v>
      </c>
      <c r="C1467" s="87">
        <v>151</v>
      </c>
      <c r="D1467" s="87">
        <v>151</v>
      </c>
      <c r="E1467" s="87">
        <v>1</v>
      </c>
      <c r="F1467" s="86">
        <v>10797</v>
      </c>
      <c r="G1467" s="87">
        <v>40</v>
      </c>
      <c r="H1467" s="87">
        <v>1</v>
      </c>
      <c r="I1467" s="87">
        <v>4</v>
      </c>
      <c r="J1467" s="88">
        <f t="shared" si="204"/>
        <v>0.00662251655629139</v>
      </c>
      <c r="K1467" s="89">
        <f t="shared" si="205"/>
        <v>1259.35</v>
      </c>
      <c r="L1467" s="89">
        <f t="shared" si="206"/>
        <v>8340.06622516556</v>
      </c>
      <c r="M1467" s="90">
        <f t="shared" si="207"/>
        <v>8.57347044110057</v>
      </c>
      <c r="N1467" s="66">
        <f t="shared" si="208"/>
        <v>0.00662251655629139</v>
      </c>
      <c r="O1467" s="52">
        <f t="shared" si="209"/>
        <v>10797</v>
      </c>
      <c r="P1467" s="52">
        <f t="shared" si="210"/>
        <v>1259.35</v>
      </c>
      <c r="Q1467" s="68">
        <f t="shared" si="211"/>
        <v>31.48375</v>
      </c>
    </row>
    <row r="1468" s="2" customFormat="1" spans="1:17">
      <c r="A1468" s="91">
        <v>46115</v>
      </c>
      <c r="B1468" s="86">
        <v>1249.93</v>
      </c>
      <c r="C1468" s="87">
        <v>3945</v>
      </c>
      <c r="D1468" s="87">
        <v>114</v>
      </c>
      <c r="E1468" s="87">
        <v>1</v>
      </c>
      <c r="F1468" s="86">
        <v>8326</v>
      </c>
      <c r="G1468" s="87">
        <v>48</v>
      </c>
      <c r="H1468" s="87">
        <v>2</v>
      </c>
      <c r="I1468" s="87">
        <v>4</v>
      </c>
      <c r="J1468" s="88">
        <f t="shared" si="204"/>
        <v>0.000253485424588086</v>
      </c>
      <c r="K1468" s="89">
        <f t="shared" si="205"/>
        <v>1249.93</v>
      </c>
      <c r="L1468" s="89">
        <f t="shared" si="206"/>
        <v>316.839036755387</v>
      </c>
      <c r="M1468" s="90">
        <f t="shared" si="207"/>
        <v>6.66117302568944</v>
      </c>
      <c r="N1468" s="66">
        <f t="shared" si="208"/>
        <v>0.0087719298245614</v>
      </c>
      <c r="O1468" s="52">
        <f t="shared" si="209"/>
        <v>8326</v>
      </c>
      <c r="P1468" s="52">
        <f t="shared" si="210"/>
        <v>1249.93</v>
      </c>
      <c r="Q1468" s="68">
        <f t="shared" si="211"/>
        <v>26.0402083333333</v>
      </c>
    </row>
    <row r="1469" s="2" customFormat="1" spans="1:17">
      <c r="A1469" s="91">
        <v>46116</v>
      </c>
      <c r="B1469" s="86">
        <v>1250.65</v>
      </c>
      <c r="C1469" s="87">
        <v>4426</v>
      </c>
      <c r="D1469" s="87">
        <v>106</v>
      </c>
      <c r="E1469" s="87">
        <v>0</v>
      </c>
      <c r="F1469" s="86">
        <v>0</v>
      </c>
      <c r="G1469" s="87">
        <v>22</v>
      </c>
      <c r="H1469" s="87">
        <v>3</v>
      </c>
      <c r="I1469" s="87">
        <v>2</v>
      </c>
      <c r="J1469" s="88">
        <f t="shared" si="204"/>
        <v>0</v>
      </c>
      <c r="K1469" s="89" t="e">
        <f t="shared" si="205"/>
        <v>#DIV/0!</v>
      </c>
      <c r="L1469" s="89">
        <f t="shared" si="206"/>
        <v>282.568910980569</v>
      </c>
      <c r="M1469" s="90">
        <f t="shared" si="207"/>
        <v>0</v>
      </c>
      <c r="N1469" s="66">
        <f t="shared" si="208"/>
        <v>0</v>
      </c>
      <c r="O1469" s="52">
        <f t="shared" si="209"/>
        <v>0</v>
      </c>
      <c r="P1469" s="52">
        <f t="shared" si="210"/>
        <v>0</v>
      </c>
      <c r="Q1469" s="68">
        <f t="shared" si="211"/>
        <v>56.8477272727273</v>
      </c>
    </row>
    <row r="1470" s="2" customFormat="1" spans="1:17">
      <c r="A1470" s="91">
        <v>46117</v>
      </c>
      <c r="B1470" s="86">
        <v>1269.9</v>
      </c>
      <c r="C1470" s="87">
        <v>4187</v>
      </c>
      <c r="D1470" s="87">
        <v>110</v>
      </c>
      <c r="E1470" s="87">
        <v>2</v>
      </c>
      <c r="F1470" s="86">
        <v>19202</v>
      </c>
      <c r="G1470" s="87">
        <v>15</v>
      </c>
      <c r="H1470" s="87">
        <v>1</v>
      </c>
      <c r="I1470" s="87">
        <v>4</v>
      </c>
      <c r="J1470" s="88">
        <f t="shared" si="204"/>
        <v>0.000477668975400048</v>
      </c>
      <c r="K1470" s="89">
        <f t="shared" si="205"/>
        <v>634.95</v>
      </c>
      <c r="L1470" s="89">
        <f t="shared" si="206"/>
        <v>303.29591593026</v>
      </c>
      <c r="M1470" s="90">
        <f t="shared" si="207"/>
        <v>15.1208756595007</v>
      </c>
      <c r="N1470" s="66">
        <f t="shared" si="208"/>
        <v>0.0181818181818182</v>
      </c>
      <c r="O1470" s="52">
        <f t="shared" si="209"/>
        <v>9601</v>
      </c>
      <c r="P1470" s="52">
        <f t="shared" si="210"/>
        <v>634.95</v>
      </c>
      <c r="Q1470" s="68">
        <f t="shared" si="211"/>
        <v>84.66</v>
      </c>
    </row>
    <row r="1471" s="2" customFormat="1" spans="1:17">
      <c r="A1471" s="91">
        <v>46118</v>
      </c>
      <c r="B1471" s="86">
        <v>1279.32</v>
      </c>
      <c r="C1471" s="87">
        <v>3707</v>
      </c>
      <c r="D1471" s="87">
        <v>132</v>
      </c>
      <c r="E1471" s="87">
        <v>0</v>
      </c>
      <c r="F1471" s="86">
        <v>0</v>
      </c>
      <c r="G1471" s="87">
        <v>20</v>
      </c>
      <c r="H1471" s="87">
        <v>1</v>
      </c>
      <c r="I1471" s="87">
        <v>4</v>
      </c>
      <c r="J1471" s="88">
        <f t="shared" si="204"/>
        <v>0</v>
      </c>
      <c r="K1471" s="89" t="e">
        <f t="shared" si="205"/>
        <v>#DIV/0!</v>
      </c>
      <c r="L1471" s="89">
        <f t="shared" si="206"/>
        <v>345.109252765039</v>
      </c>
      <c r="M1471" s="90">
        <f t="shared" si="207"/>
        <v>0</v>
      </c>
      <c r="N1471" s="66">
        <f t="shared" si="208"/>
        <v>0</v>
      </c>
      <c r="O1471" s="52">
        <f t="shared" si="209"/>
        <v>0</v>
      </c>
      <c r="P1471" s="52">
        <f t="shared" si="210"/>
        <v>0</v>
      </c>
      <c r="Q1471" s="68">
        <f t="shared" si="211"/>
        <v>63.966</v>
      </c>
    </row>
    <row r="1472" s="2" customFormat="1" spans="1:17">
      <c r="A1472" s="91">
        <v>46119</v>
      </c>
      <c r="B1472" s="86">
        <v>592.82</v>
      </c>
      <c r="C1472" s="87">
        <v>1140</v>
      </c>
      <c r="D1472" s="87">
        <v>69</v>
      </c>
      <c r="E1472" s="87">
        <v>3</v>
      </c>
      <c r="F1472" s="86">
        <v>31592</v>
      </c>
      <c r="G1472" s="87">
        <v>14</v>
      </c>
      <c r="H1472" s="87">
        <v>1</v>
      </c>
      <c r="I1472" s="87">
        <v>2</v>
      </c>
      <c r="J1472" s="88">
        <f t="shared" si="204"/>
        <v>0.00263157894736842</v>
      </c>
      <c r="K1472" s="89">
        <f t="shared" si="205"/>
        <v>197.606666666667</v>
      </c>
      <c r="L1472" s="89">
        <f t="shared" si="206"/>
        <v>520.017543859649</v>
      </c>
      <c r="M1472" s="90">
        <f t="shared" si="207"/>
        <v>53.2910495597314</v>
      </c>
      <c r="N1472" s="66">
        <f t="shared" si="208"/>
        <v>0.0434782608695652</v>
      </c>
      <c r="O1472" s="52">
        <f t="shared" si="209"/>
        <v>10530.6666666667</v>
      </c>
      <c r="P1472" s="52">
        <f t="shared" si="210"/>
        <v>197.606666666667</v>
      </c>
      <c r="Q1472" s="68">
        <f t="shared" si="211"/>
        <v>42.3442857142857</v>
      </c>
    </row>
    <row r="1473" s="2" customFormat="1" spans="1:17">
      <c r="A1473" s="91">
        <v>46120</v>
      </c>
      <c r="B1473" s="86">
        <v>796.39</v>
      </c>
      <c r="C1473" s="87">
        <v>452</v>
      </c>
      <c r="D1473" s="87">
        <v>134</v>
      </c>
      <c r="E1473" s="87">
        <v>1</v>
      </c>
      <c r="F1473" s="86">
        <v>10169.01</v>
      </c>
      <c r="G1473" s="87">
        <v>30</v>
      </c>
      <c r="H1473" s="87">
        <v>0</v>
      </c>
      <c r="I1473" s="87">
        <v>4</v>
      </c>
      <c r="J1473" s="88">
        <f t="shared" si="204"/>
        <v>0.00221238938053097</v>
      </c>
      <c r="K1473" s="89">
        <f t="shared" si="205"/>
        <v>796.39</v>
      </c>
      <c r="L1473" s="89">
        <f t="shared" si="206"/>
        <v>1761.92477876106</v>
      </c>
      <c r="M1473" s="90">
        <f t="shared" si="207"/>
        <v>12.7688820803877</v>
      </c>
      <c r="N1473" s="66">
        <f t="shared" si="208"/>
        <v>0.00746268656716418</v>
      </c>
      <c r="O1473" s="52">
        <f t="shared" si="209"/>
        <v>10169.01</v>
      </c>
      <c r="P1473" s="52">
        <f t="shared" si="210"/>
        <v>796.39</v>
      </c>
      <c r="Q1473" s="68">
        <f t="shared" si="211"/>
        <v>26.5463333333333</v>
      </c>
    </row>
    <row r="1474" s="2" customFormat="1" spans="1:17">
      <c r="A1474" s="91">
        <v>46121</v>
      </c>
      <c r="B1474" s="86">
        <v>998.53</v>
      </c>
      <c r="C1474" s="87">
        <v>568</v>
      </c>
      <c r="D1474" s="87">
        <v>195</v>
      </c>
      <c r="E1474" s="87">
        <v>0</v>
      </c>
      <c r="F1474" s="86">
        <v>0</v>
      </c>
      <c r="G1474" s="87">
        <v>41</v>
      </c>
      <c r="H1474" s="87">
        <v>4</v>
      </c>
      <c r="I1474" s="87">
        <v>7</v>
      </c>
      <c r="J1474" s="88">
        <f t="shared" si="204"/>
        <v>0</v>
      </c>
      <c r="K1474" s="89" t="e">
        <f t="shared" si="205"/>
        <v>#DIV/0!</v>
      </c>
      <c r="L1474" s="89">
        <f t="shared" si="206"/>
        <v>1757.97535211268</v>
      </c>
      <c r="M1474" s="90">
        <f t="shared" si="207"/>
        <v>0</v>
      </c>
      <c r="N1474" s="66">
        <f t="shared" si="208"/>
        <v>0</v>
      </c>
      <c r="O1474" s="52">
        <f t="shared" si="209"/>
        <v>0</v>
      </c>
      <c r="P1474" s="52">
        <f t="shared" si="210"/>
        <v>0</v>
      </c>
      <c r="Q1474" s="68">
        <f t="shared" si="211"/>
        <v>24.3543902439024</v>
      </c>
    </row>
    <row r="1475" s="2" customFormat="1" spans="1:17">
      <c r="A1475" s="91">
        <v>46122</v>
      </c>
      <c r="B1475" s="86">
        <v>869.58</v>
      </c>
      <c r="C1475" s="87">
        <v>493</v>
      </c>
      <c r="D1475" s="87">
        <v>196</v>
      </c>
      <c r="E1475" s="87">
        <v>3</v>
      </c>
      <c r="F1475" s="86">
        <v>35913.03</v>
      </c>
      <c r="G1475" s="87">
        <v>32</v>
      </c>
      <c r="H1475" s="87">
        <v>3</v>
      </c>
      <c r="I1475" s="87">
        <v>8</v>
      </c>
      <c r="J1475" s="88">
        <f t="shared" si="204"/>
        <v>0.00608519269776876</v>
      </c>
      <c r="K1475" s="89">
        <f t="shared" si="205"/>
        <v>289.86</v>
      </c>
      <c r="L1475" s="89">
        <f t="shared" si="206"/>
        <v>1763.85395537525</v>
      </c>
      <c r="M1475" s="90">
        <f t="shared" si="207"/>
        <v>41.299282412199</v>
      </c>
      <c r="N1475" s="66">
        <f t="shared" si="208"/>
        <v>0.0153061224489796</v>
      </c>
      <c r="O1475" s="52">
        <f t="shared" si="209"/>
        <v>11971.01</v>
      </c>
      <c r="P1475" s="52">
        <f t="shared" si="210"/>
        <v>289.86</v>
      </c>
      <c r="Q1475" s="68">
        <f t="shared" si="211"/>
        <v>27.174375</v>
      </c>
    </row>
    <row r="1476" s="2" customFormat="1" spans="1:17">
      <c r="A1476" s="91">
        <v>46123</v>
      </c>
      <c r="B1476" s="86">
        <v>979.33</v>
      </c>
      <c r="C1476" s="87">
        <v>551</v>
      </c>
      <c r="D1476" s="87">
        <v>160</v>
      </c>
      <c r="E1476" s="87">
        <v>4</v>
      </c>
      <c r="F1476" s="86">
        <v>41374.01</v>
      </c>
      <c r="G1476" s="87">
        <v>32</v>
      </c>
      <c r="H1476" s="87">
        <v>0</v>
      </c>
      <c r="I1476" s="87">
        <v>7</v>
      </c>
      <c r="J1476" s="88">
        <f t="shared" si="204"/>
        <v>0.00725952813067151</v>
      </c>
      <c r="K1476" s="89">
        <f t="shared" si="205"/>
        <v>244.8325</v>
      </c>
      <c r="L1476" s="89">
        <f t="shared" si="206"/>
        <v>1777.36842105263</v>
      </c>
      <c r="M1476" s="90">
        <f t="shared" si="207"/>
        <v>42.24726088244</v>
      </c>
      <c r="N1476" s="66">
        <f t="shared" si="208"/>
        <v>0.025</v>
      </c>
      <c r="O1476" s="52">
        <f t="shared" si="209"/>
        <v>10343.5025</v>
      </c>
      <c r="P1476" s="52">
        <f t="shared" si="210"/>
        <v>244.8325</v>
      </c>
      <c r="Q1476" s="68">
        <f t="shared" si="211"/>
        <v>30.6040625</v>
      </c>
    </row>
    <row r="1477" s="2" customFormat="1" spans="1:17">
      <c r="A1477" s="91">
        <v>46124</v>
      </c>
      <c r="B1477" s="86">
        <v>993.25</v>
      </c>
      <c r="C1477" s="87">
        <v>569</v>
      </c>
      <c r="D1477" s="87">
        <v>210</v>
      </c>
      <c r="E1477" s="87">
        <v>0</v>
      </c>
      <c r="F1477" s="86">
        <v>0</v>
      </c>
      <c r="G1477" s="87">
        <v>38</v>
      </c>
      <c r="H1477" s="87">
        <v>3</v>
      </c>
      <c r="I1477" s="87">
        <v>6</v>
      </c>
      <c r="J1477" s="88">
        <f t="shared" si="204"/>
        <v>0</v>
      </c>
      <c r="K1477" s="89" t="e">
        <f t="shared" si="205"/>
        <v>#DIV/0!</v>
      </c>
      <c r="L1477" s="89">
        <f t="shared" si="206"/>
        <v>1745.60632688928</v>
      </c>
      <c r="M1477" s="90">
        <f t="shared" si="207"/>
        <v>0</v>
      </c>
      <c r="N1477" s="66">
        <f t="shared" si="208"/>
        <v>0</v>
      </c>
      <c r="O1477" s="52">
        <f t="shared" si="209"/>
        <v>0</v>
      </c>
      <c r="P1477" s="52">
        <f t="shared" si="210"/>
        <v>0</v>
      </c>
      <c r="Q1477" s="68">
        <f t="shared" si="211"/>
        <v>26.1381578947368</v>
      </c>
    </row>
    <row r="1478" s="2" customFormat="1" spans="1:17">
      <c r="A1478" s="91">
        <v>46125</v>
      </c>
      <c r="B1478" s="86">
        <v>998.62</v>
      </c>
      <c r="C1478" s="87">
        <v>563</v>
      </c>
      <c r="D1478" s="87">
        <v>192</v>
      </c>
      <c r="E1478" s="87">
        <v>0</v>
      </c>
      <c r="F1478" s="86">
        <v>0</v>
      </c>
      <c r="G1478" s="87">
        <v>32</v>
      </c>
      <c r="H1478" s="87">
        <v>2</v>
      </c>
      <c r="I1478" s="87">
        <v>8</v>
      </c>
      <c r="J1478" s="88">
        <f t="shared" si="204"/>
        <v>0</v>
      </c>
      <c r="K1478" s="89" t="e">
        <f t="shared" si="205"/>
        <v>#DIV/0!</v>
      </c>
      <c r="L1478" s="89">
        <f t="shared" si="206"/>
        <v>1773.74777975133</v>
      </c>
      <c r="M1478" s="90">
        <f t="shared" si="207"/>
        <v>0</v>
      </c>
      <c r="N1478" s="66">
        <f t="shared" si="208"/>
        <v>0</v>
      </c>
      <c r="O1478" s="52">
        <f t="shared" si="209"/>
        <v>0</v>
      </c>
      <c r="P1478" s="52">
        <f t="shared" si="210"/>
        <v>0</v>
      </c>
      <c r="Q1478" s="68">
        <f t="shared" si="211"/>
        <v>31.206875</v>
      </c>
    </row>
    <row r="1479" s="2" customFormat="1" spans="1:17">
      <c r="A1479" s="91">
        <v>46126</v>
      </c>
      <c r="B1479" s="86">
        <v>995.59</v>
      </c>
      <c r="C1479" s="87">
        <v>562</v>
      </c>
      <c r="D1479" s="87">
        <v>204</v>
      </c>
      <c r="E1479" s="87">
        <v>6</v>
      </c>
      <c r="F1479" s="86">
        <v>43904</v>
      </c>
      <c r="G1479" s="87">
        <v>47</v>
      </c>
      <c r="H1479" s="87">
        <v>3</v>
      </c>
      <c r="I1479" s="87">
        <v>5</v>
      </c>
      <c r="J1479" s="88">
        <f t="shared" si="204"/>
        <v>0.0106761565836299</v>
      </c>
      <c r="K1479" s="89">
        <f t="shared" si="205"/>
        <v>165.931666666667</v>
      </c>
      <c r="L1479" s="89">
        <f t="shared" si="206"/>
        <v>1771.51245551601</v>
      </c>
      <c r="M1479" s="90">
        <f t="shared" si="207"/>
        <v>44.0984742715375</v>
      </c>
      <c r="N1479" s="66">
        <f t="shared" si="208"/>
        <v>0.0294117647058824</v>
      </c>
      <c r="O1479" s="52">
        <f t="shared" si="209"/>
        <v>7317.33333333333</v>
      </c>
      <c r="P1479" s="52">
        <f t="shared" si="210"/>
        <v>165.931666666667</v>
      </c>
      <c r="Q1479" s="68">
        <f t="shared" si="211"/>
        <v>21.1827659574468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明星店铺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ZouYuchang</dc:creator>
  <cp:lastModifiedBy>Kon·Kwok</cp:lastModifiedBy>
  <dcterms:created xsi:type="dcterms:W3CDTF">2026-04-18T14:27:00Z</dcterms:created>
  <dcterms:modified xsi:type="dcterms:W3CDTF">2026-04-18T14:40:41Z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295C64D52D0E4D1EBBEBA3ED5967C8EB_11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