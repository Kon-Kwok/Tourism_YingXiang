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10455"/>
  </bookViews>
  <sheets>
    <sheet name="万相台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<sst xmlns="http://schemas.openxmlformats.org/spreadsheetml/2006/main" count="13" uniqueCount="13">
  <si>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
时间</t>
  </si>
  <si>
    <t>Cost
花费</t>
  </si>
  <si>
    <t>IMP
观看量</t>
  </si>
  <si>
    <t>Click
点击</t>
  </si>
  <si>
    <t>Order
订单</t>
  </si>
  <si>
    <t>Sales
销量</t>
  </si>
  <si>
    <t>ShoppingCart
加入购物车</t>
  </si>
  <si>
    <t>Bookmark-Product
宝贝收藏</t>
  </si>
  <si>
    <t>CTR
点击率</t>
  </si>
  <si>
    <t>CPC
点击成本</t>
  </si>
  <si>
    <t>CPM
拉新成本</t>
  </si>
  <si>
    <t>ROI
投资回报率</t>
  </si>
  <si>
    <t>CVR
点击转化率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</si>
</sst>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_);[Red]&quot;(¥&quot;#,##0\)"/>
    <numFmt numFmtId="177" formatCode="_ \¥* #,##0.00_ ;_ \¥* \-#,##0.00_ ;_ \¥* &quot;-&quot;??_ ;_ @_ "/>
    <numFmt numFmtId="178" formatCode="0.00_ "/>
    <numFmt numFmtId="179" formatCode="\¥#,##0.00;[Red]\¥\-#,##0.00"/>
    <numFmt numFmtId="180" formatCode="#,##0.00_ "/>
    <numFmt numFmtId="181" formatCode="#,##0_ "/>
  </numFmts>
  <fonts count="24">
    <font>
      <sz val="11"/>
      <color theme="1"/>
      <name val="宋体"/>
      <charset val="134"/>
      <scheme val="minor"/>
    </font>
    <font>
      <b/>
      <sz val="10"/>
      <color theme="0" tint="-0.0499893185216834"/>
      <name val="微软雅黑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49977111117893"/>
        <bgColor rgb="FFE2F0D9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2" tint="-0.0999786370433668"/>
      </left>
      <right style="thin">
        <color theme="2" tint="-0.0999786370433668"/>
      </right>
      <top style="thin">
        <color theme="2" tint="-0.0999786370433668"/>
      </top>
      <bottom style="thin">
        <color theme="2" tint="-0.0999786370433668"/>
      </bottom>
      <diagonal/>
    </border>
    <border>
      <left style="thin">
        <color theme="2" tint="-0.0999786370433668"/>
      </left>
      <right style="thin">
        <color theme="2" tint="-0.0999786370433668"/>
      </right>
      <top style="thin">
        <color theme="2" tint="-0.0999786370433668"/>
      </top>
      <bottom/>
      <diagonal/>
    </border>
    <border>
      <left style="thin">
        <color theme="2" tint="-0.0999786370433668"/>
      </left>
      <right/>
      <top style="thin">
        <color theme="2" tint="-0.0999786370433668"/>
      </top>
      <bottom style="thin">
        <color theme="2" tint="-0.0999786370433668"/>
      </bottom>
      <diagonal/>
    </border>
    <border>
      <left/>
      <right style="thin">
        <color theme="2" tint="-0.0999786370433668"/>
      </right>
      <top/>
      <bottom style="thin">
        <color theme="2" tint="-0.0999786370433668"/>
      </bottom>
      <diagonal/>
    </border>
    <border>
      <left style="thin">
        <color theme="2" tint="-0.0999786370433668"/>
      </left>
      <right style="thin">
        <color theme="2" tint="-0.0999786370433668"/>
      </right>
      <top/>
      <bottom style="thin">
        <color theme="2" tint="-0.0999786370433668"/>
      </bottom>
      <diagonal/>
    </border>
    <border>
      <left style="thin">
        <color theme="2" tint="-0.0999786370433668"/>
      </left>
      <right/>
      <top/>
      <bottom style="thin">
        <color theme="2" tint="-0.0999786370433668"/>
      </bottom>
      <diagonal/>
    </border>
    <border>
      <left/>
      <right style="thin">
        <color theme="2" tint="-0.0999786370433668"/>
      </right>
      <top style="thin">
        <color theme="2" tint="-0.0999786370433668"/>
      </top>
      <bottom style="thin">
        <color theme="2" tint="-0.0999786370433668"/>
      </bottom>
      <diagonal/>
    </border>
    <border>
      <left/>
      <right style="thin">
        <color theme="2" tint="-0.0999786370433668"/>
      </right>
      <top style="thin">
        <color theme="2" tint="-0.0999786370433668"/>
      </top>
      <bottom/>
      <diagonal/>
    </border>
    <border>
      <left style="thin">
        <color theme="2" tint="-0.0999786370433668"/>
      </left>
      <right/>
      <top style="thin">
        <color theme="2" tint="-0.0999786370433668"/>
      </top>
      <bottom/>
      <diagonal/>
    </border>
    <border>
      <left style="thin">
        <color theme="0" tint="-0.149998474074526"/>
      </left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thin">
        <color theme="0" tint="-0.149998474074526"/>
      </left>
      <right style="thin">
        <color theme="0" tint="-0.149998474074526"/>
      </right>
      <top style="thin">
        <color theme="0" tint="-0.149998474074526"/>
      </top>
      <bottom/>
      <diagonal/>
    </border>
    <border>
      <left style="thin">
        <color theme="0" tint="-0.149998474074526"/>
      </left>
      <right style="thin">
        <color theme="0" tint="-0.149998474074526"/>
      </right>
      <top/>
      <bottom style="thin">
        <color theme="0" tint="-0.149998474074526"/>
      </bottom>
      <diagonal/>
    </border>
    <border>
      <left style="thin">
        <color theme="0" tint="-0.149998474074526"/>
      </left>
      <right/>
      <top/>
      <bottom style="thin">
        <color theme="0" tint="-0.149998474074526"/>
      </bottom>
      <diagonal/>
    </border>
    <border>
      <left style="thin">
        <color theme="0" tint="-0.149998474074526"/>
      </left>
      <right/>
      <top style="thin">
        <color theme="0" tint="-0.149998474074526"/>
      </top>
      <bottom style="thin">
        <color theme="0" tint="-0.149998474074526"/>
      </bottom>
      <diagonal/>
    </border>
    <border>
      <left/>
      <right/>
      <top style="thin">
        <color theme="0" tint="-0.149998474074526"/>
      </top>
      <bottom style="thin">
        <color theme="0" tint="-0.149998474074526"/>
      </bottom>
      <diagonal/>
    </border>
    <border>
      <left style="thin">
        <color theme="0" tint="-0.149998474074526"/>
      </left>
      <right/>
      <top style="thin">
        <color theme="0" tint="-0.149998474074526"/>
      </top>
      <bottom/>
      <diagonal/>
    </border>
    <border>
      <left style="thin">
        <color theme="2" tint="-0.1"/>
      </left>
      <right style="thin">
        <color theme="2" tint="-0.1"/>
      </right>
      <top style="thin">
        <color theme="2" tint="-0.1"/>
      </top>
      <bottom style="thin">
        <color theme="2" tint="-0.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12" fillId="0" borderId="2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24" applyNumberFormat="0" applyAlignment="0" applyProtection="0">
      <alignment vertical="center"/>
    </xf>
    <xf numFmtId="0" fontId="14" fillId="6" borderId="25" applyNumberFormat="0" applyAlignment="0" applyProtection="0">
      <alignment vertical="center"/>
    </xf>
    <xf numFmtId="0" fontId="15" fillId="6" borderId="24" applyNumberFormat="0" applyAlignment="0" applyProtection="0">
      <alignment vertical="center"/>
    </xf>
    <xf numFmtId="0" fontId="16" fillId="7" borderId="26" applyNumberFormat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119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177" fontId="1" fillId="2" borderId="1" xfId="2" applyNumberFormat="1" applyFont="1" applyFill="1" applyBorder="1" applyAlignment="1">
      <alignment horizontal="center" vertical="center" wrapText="1"/>
    </xf>
    <xf numFmtId="38" fontId="1" fillId="2" borderId="1" xfId="0" applyNumberFormat="1" applyFont="1" applyFill="1" applyBorder="1" applyAlignment="1">
      <alignment horizontal="center" vertical="center" wrapText="1"/>
    </xf>
    <xf numFmtId="10" fontId="1" fillId="2" borderId="1" xfId="3" applyNumberFormat="1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179" fontId="1" fillId="2" borderId="1" xfId="0" applyNumberFormat="1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14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distributed" vertical="center"/>
    </xf>
    <xf numFmtId="0" fontId="0" fillId="0" borderId="2" xfId="0" applyFill="1" applyBorder="1" applyAlignment="1">
      <alignment horizontal="center" vertical="center"/>
    </xf>
    <xf numFmtId="10" fontId="0" fillId="0" borderId="2" xfId="0" applyNumberFormat="1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10" fontId="0" fillId="0" borderId="2" xfId="3" applyNumberFormat="1" applyFill="1" applyBorder="1" applyAlignment="1">
      <alignment horizontal="center" vertical="center"/>
    </xf>
    <xf numFmtId="0" fontId="0" fillId="0" borderId="2" xfId="49" applyFill="1" applyBorder="1" applyAlignment="1">
      <alignment horizontal="distributed" vertical="center"/>
    </xf>
    <xf numFmtId="0" fontId="0" fillId="0" borderId="2" xfId="49" applyFill="1" applyBorder="1" applyAlignment="1">
      <alignment horizontal="center" vertical="center"/>
    </xf>
    <xf numFmtId="4" fontId="0" fillId="0" borderId="2" xfId="0" applyNumberFormat="1" applyFill="1" applyBorder="1" applyAlignment="1">
      <alignment horizontal="distributed" vertical="center" wrapText="1"/>
    </xf>
    <xf numFmtId="3" fontId="0" fillId="0" borderId="2" xfId="0" applyNumberFormat="1" applyFill="1" applyBorder="1" applyAlignment="1">
      <alignment horizontal="center" vertical="center" wrapText="1"/>
    </xf>
    <xf numFmtId="3" fontId="0" fillId="0" borderId="2" xfId="0" applyNumberFormat="1" applyFill="1" applyBorder="1" applyAlignment="1">
      <alignment horizontal="distributed" vertical="center" wrapText="1"/>
    </xf>
    <xf numFmtId="178" fontId="0" fillId="0" borderId="2" xfId="49" applyNumberFormat="1" applyFill="1" applyBorder="1" applyAlignment="1">
      <alignment horizontal="distributed" vertical="center"/>
    </xf>
    <xf numFmtId="178" fontId="0" fillId="0" borderId="2" xfId="0" applyNumberFormat="1" applyFill="1" applyBorder="1" applyAlignment="1">
      <alignment horizontal="distributed" vertical="center" wrapText="1"/>
    </xf>
    <xf numFmtId="178" fontId="0" fillId="0" borderId="3" xfId="49" applyNumberFormat="1" applyFill="1" applyBorder="1" applyAlignment="1">
      <alignment horizontal="distributed" vertical="center"/>
    </xf>
    <xf numFmtId="3" fontId="0" fillId="0" borderId="3" xfId="0" applyNumberForma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14" fontId="0" fillId="0" borderId="4" xfId="0" applyNumberFormat="1" applyFill="1" applyBorder="1" applyAlignment="1">
      <alignment horizontal="center" vertical="center"/>
    </xf>
    <xf numFmtId="180" fontId="0" fillId="0" borderId="5" xfId="0" applyNumberFormat="1" applyFill="1" applyBorder="1" applyAlignment="1">
      <alignment horizontal="distributed" vertical="center" wrapText="1"/>
    </xf>
    <xf numFmtId="3" fontId="0" fillId="0" borderId="6" xfId="0" applyNumberForma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78" fontId="0" fillId="0" borderId="9" xfId="49" applyNumberFormat="1" applyFill="1" applyBorder="1" applyAlignment="1">
      <alignment horizontal="distributed" vertical="center"/>
    </xf>
    <xf numFmtId="0" fontId="0" fillId="0" borderId="1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8" fontId="0" fillId="0" borderId="3" xfId="0" applyNumberFormat="1" applyFill="1" applyBorder="1" applyAlignment="1">
      <alignment horizontal="distributed" vertical="center" wrapText="1"/>
    </xf>
    <xf numFmtId="178" fontId="0" fillId="0" borderId="0" xfId="0" applyNumberFormat="1" applyFill="1" applyAlignment="1">
      <alignment horizontal="distributed" vertical="center" wrapText="1"/>
    </xf>
    <xf numFmtId="3" fontId="0" fillId="0" borderId="0" xfId="0" applyNumberFormat="1" applyFill="1" applyAlignment="1">
      <alignment horizontal="center" vertical="center" wrapText="1"/>
    </xf>
    <xf numFmtId="178" fontId="0" fillId="0" borderId="0" xfId="49" applyNumberFormat="1" applyFill="1" applyAlignment="1">
      <alignment horizontal="distributed" vertical="center"/>
    </xf>
    <xf numFmtId="178" fontId="0" fillId="0" borderId="0" xfId="49" applyNumberFormat="1" applyFill="1" applyAlignment="1">
      <alignment horizontal="center" vertical="center"/>
    </xf>
    <xf numFmtId="0" fontId="0" fillId="0" borderId="0" xfId="49" applyFill="1" applyAlignment="1">
      <alignment horizontal="center" vertical="center"/>
    </xf>
    <xf numFmtId="14" fontId="0" fillId="0" borderId="10" xfId="0" applyNumberFormat="1" applyFill="1" applyBorder="1" applyAlignment="1">
      <alignment horizontal="center" vertical="center"/>
    </xf>
    <xf numFmtId="178" fontId="0" fillId="0" borderId="2" xfId="49" applyNumberFormat="1" applyFill="1" applyBorder="1" applyAlignment="1">
      <alignment horizontal="center" vertical="center"/>
    </xf>
    <xf numFmtId="178" fontId="0" fillId="0" borderId="3" xfId="49" applyNumberFormat="1" applyFill="1" applyBorder="1" applyAlignment="1">
      <alignment horizontal="center" vertical="center"/>
    </xf>
    <xf numFmtId="0" fontId="0" fillId="0" borderId="3" xfId="49" applyFill="1" applyBorder="1" applyAlignment="1">
      <alignment horizontal="center" vertical="center"/>
    </xf>
    <xf numFmtId="14" fontId="2" fillId="0" borderId="4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center"/>
    </xf>
    <xf numFmtId="38" fontId="2" fillId="0" borderId="11" xfId="0" applyNumberFormat="1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3" fontId="2" fillId="0" borderId="11" xfId="0" applyNumberFormat="1" applyFont="1" applyFill="1" applyBorder="1" applyAlignment="1">
      <alignment horizontal="center" vertical="center"/>
    </xf>
    <xf numFmtId="3" fontId="2" fillId="0" borderId="11" xfId="0" applyNumberFormat="1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 vertical="center"/>
    </xf>
    <xf numFmtId="180" fontId="2" fillId="0" borderId="6" xfId="0" applyNumberFormat="1" applyFont="1" applyFill="1" applyBorder="1" applyAlignment="1">
      <alignment horizontal="center" vertical="center" wrapText="1"/>
    </xf>
    <xf numFmtId="3" fontId="2" fillId="0" borderId="6" xfId="0" applyNumberFormat="1" applyFont="1" applyFill="1" applyBorder="1" applyAlignment="1">
      <alignment horizontal="center" vertical="center" wrapText="1"/>
    </xf>
    <xf numFmtId="178" fontId="2" fillId="0" borderId="5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distributed" vertical="center"/>
    </xf>
    <xf numFmtId="178" fontId="2" fillId="0" borderId="11" xfId="0" applyNumberFormat="1" applyFont="1" applyFill="1" applyBorder="1" applyAlignment="1">
      <alignment horizontal="center" vertical="center" wrapText="1"/>
    </xf>
    <xf numFmtId="3" fontId="2" fillId="0" borderId="11" xfId="0" applyNumberFormat="1" applyFont="1" applyFill="1" applyBorder="1" applyAlignment="1">
      <alignment horizontal="center" vertical="center" wrapText="1"/>
    </xf>
    <xf numFmtId="178" fontId="0" fillId="0" borderId="12" xfId="0" applyNumberFormat="1" applyFill="1" applyBorder="1" applyAlignment="1">
      <alignment horizontal="center" vertical="center" wrapText="1"/>
    </xf>
    <xf numFmtId="3" fontId="0" fillId="0" borderId="12" xfId="0" applyNumberFormat="1" applyFill="1" applyBorder="1" applyAlignment="1">
      <alignment horizontal="center" vertical="center" wrapText="1"/>
    </xf>
    <xf numFmtId="180" fontId="0" fillId="0" borderId="12" xfId="0" applyNumberForma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/>
    </xf>
    <xf numFmtId="180" fontId="0" fillId="0" borderId="11" xfId="0" applyNumberFormat="1" applyFill="1" applyBorder="1" applyAlignment="1">
      <alignment horizontal="center" vertical="center" wrapText="1"/>
    </xf>
    <xf numFmtId="3" fontId="0" fillId="0" borderId="11" xfId="0" applyNumberFormat="1" applyFill="1" applyBorder="1" applyAlignment="1">
      <alignment horizontal="center" vertical="center" wrapText="1"/>
    </xf>
    <xf numFmtId="180" fontId="2" fillId="0" borderId="13" xfId="0" applyNumberFormat="1" applyFont="1" applyFill="1" applyBorder="1" applyAlignment="1">
      <alignment horizontal="center" vertical="center" wrapText="1"/>
    </xf>
    <xf numFmtId="3" fontId="2" fillId="0" borderId="13" xfId="0" applyNumberFormat="1" applyFont="1" applyFill="1" applyBorder="1" applyAlignment="1">
      <alignment horizontal="center" vertical="center" wrapText="1"/>
    </xf>
    <xf numFmtId="3" fontId="2" fillId="0" borderId="14" xfId="0" applyNumberFormat="1" applyFont="1" applyFill="1" applyBorder="1" applyAlignment="1">
      <alignment horizontal="center" vertical="center" wrapText="1"/>
    </xf>
    <xf numFmtId="10" fontId="2" fillId="0" borderId="8" xfId="0" applyNumberFormat="1" applyFont="1" applyFill="1" applyBorder="1" applyAlignment="1">
      <alignment horizontal="center" vertical="center"/>
    </xf>
    <xf numFmtId="178" fontId="2" fillId="0" borderId="2" xfId="0" applyNumberFormat="1" applyFont="1" applyFill="1" applyBorder="1" applyAlignment="1">
      <alignment horizontal="center" vertical="center"/>
    </xf>
    <xf numFmtId="10" fontId="2" fillId="0" borderId="2" xfId="3" applyNumberFormat="1" applyFont="1" applyFill="1" applyBorder="1" applyAlignment="1">
      <alignment horizontal="center" vertical="center"/>
    </xf>
    <xf numFmtId="180" fontId="2" fillId="0" borderId="11" xfId="0" applyNumberFormat="1" applyFont="1" applyFill="1" applyBorder="1" applyAlignment="1">
      <alignment horizontal="center" vertical="center" wrapText="1"/>
    </xf>
    <xf numFmtId="3" fontId="2" fillId="0" borderId="12" xfId="0" applyNumberFormat="1" applyFont="1" applyFill="1" applyBorder="1" applyAlignment="1">
      <alignment horizontal="center" vertical="center" wrapText="1"/>
    </xf>
    <xf numFmtId="3" fontId="2" fillId="0" borderId="15" xfId="0" applyNumberFormat="1" applyFont="1" applyFill="1" applyBorder="1" applyAlignment="1">
      <alignment horizontal="center" vertical="center" wrapText="1"/>
    </xf>
    <xf numFmtId="180" fontId="2" fillId="0" borderId="15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Fill="1" applyAlignment="1">
      <alignment horizontal="center" vertical="center" wrapText="1"/>
    </xf>
    <xf numFmtId="3" fontId="2" fillId="0" borderId="16" xfId="0" applyNumberFormat="1" applyFont="1" applyFill="1" applyBorder="1" applyAlignment="1">
      <alignment horizontal="center" vertical="center" wrapText="1"/>
    </xf>
    <xf numFmtId="180" fontId="2" fillId="0" borderId="17" xfId="0" applyNumberFormat="1" applyFont="1" applyFill="1" applyBorder="1" applyAlignment="1">
      <alignment horizontal="center" vertical="center" wrapText="1"/>
    </xf>
    <xf numFmtId="178" fontId="2" fillId="0" borderId="0" xfId="0" applyNumberFormat="1" applyFont="1" applyFill="1" applyAlignment="1">
      <alignment horizontal="center"/>
    </xf>
    <xf numFmtId="3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3" fontId="2" fillId="0" borderId="0" xfId="0" applyNumberFormat="1" applyFont="1" applyFill="1" applyAlignment="1">
      <alignment horizontal="center" vertical="center"/>
    </xf>
    <xf numFmtId="181" fontId="2" fillId="0" borderId="0" xfId="0" applyNumberFormat="1" applyFont="1" applyFill="1" applyAlignment="1">
      <alignment horizontal="center"/>
    </xf>
    <xf numFmtId="10" fontId="2" fillId="0" borderId="2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Alignment="1">
      <alignment horizontal="center"/>
    </xf>
    <xf numFmtId="178" fontId="2" fillId="0" borderId="0" xfId="2" applyNumberFormat="1" applyFont="1" applyFill="1" applyBorder="1" applyAlignment="1">
      <alignment horizontal="center" vertical="center"/>
    </xf>
    <xf numFmtId="181" fontId="2" fillId="0" borderId="0" xfId="0" applyNumberFormat="1" applyFont="1" applyFill="1" applyAlignment="1">
      <alignment horizontal="center" vertical="center"/>
    </xf>
    <xf numFmtId="178" fontId="3" fillId="0" borderId="0" xfId="0" applyNumberFormat="1" applyFont="1" applyFill="1" applyAlignment="1">
      <alignment horizontal="center" vertical="center"/>
    </xf>
    <xf numFmtId="14" fontId="2" fillId="0" borderId="10" xfId="0" applyNumberFormat="1" applyFont="1" applyFill="1" applyBorder="1" applyAlignment="1">
      <alignment horizontal="center" vertical="center"/>
    </xf>
    <xf numFmtId="10" fontId="2" fillId="0" borderId="9" xfId="0" applyNumberFormat="1" applyFont="1" applyFill="1" applyBorder="1" applyAlignment="1">
      <alignment horizontal="center" vertical="center"/>
    </xf>
    <xf numFmtId="178" fontId="2" fillId="0" borderId="3" xfId="0" applyNumberFormat="1" applyFont="1" applyFill="1" applyBorder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10" fontId="2" fillId="0" borderId="0" xfId="0" applyNumberFormat="1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178" fontId="2" fillId="0" borderId="8" xfId="0" applyNumberFormat="1" applyFont="1" applyFill="1" applyBorder="1" applyAlignment="1">
      <alignment horizontal="center" vertical="center"/>
    </xf>
    <xf numFmtId="178" fontId="0" fillId="0" borderId="0" xfId="0" applyNumberFormat="1" applyFill="1" applyAlignment="1">
      <alignment horizontal="distributed" vertical="center"/>
    </xf>
    <xf numFmtId="3" fontId="0" fillId="0" borderId="0" xfId="0" applyNumberFormat="1" applyFill="1" applyAlignment="1">
      <alignment horizontal="center" vertical="center"/>
    </xf>
    <xf numFmtId="178" fontId="0" fillId="0" borderId="11" xfId="49" applyNumberFormat="1" applyFill="1" applyBorder="1" applyAlignment="1">
      <alignment horizontal="center" vertical="center"/>
    </xf>
    <xf numFmtId="3" fontId="0" fillId="0" borderId="11" xfId="49" applyNumberFormat="1" applyFill="1" applyBorder="1" applyAlignment="1">
      <alignment horizontal="center" vertical="center"/>
    </xf>
    <xf numFmtId="0" fontId="0" fillId="0" borderId="11" xfId="49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0" xfId="0" applyFill="1" applyAlignment="1">
      <alignment horizontal="distributed" vertical="center"/>
    </xf>
    <xf numFmtId="3" fontId="0" fillId="0" borderId="0" xfId="49" applyNumberFormat="1" applyFill="1" applyAlignment="1">
      <alignment horizontal="center" vertical="center"/>
    </xf>
    <xf numFmtId="10" fontId="2" fillId="0" borderId="2" xfId="3" applyNumberFormat="1" applyFont="1" applyBorder="1" applyAlignment="1">
      <alignment horizontal="center" vertical="center"/>
    </xf>
    <xf numFmtId="178" fontId="2" fillId="0" borderId="9" xfId="0" applyNumberFormat="1" applyFont="1" applyFill="1" applyBorder="1" applyAlignment="1">
      <alignment horizontal="center" vertical="center"/>
    </xf>
    <xf numFmtId="10" fontId="2" fillId="0" borderId="3" xfId="3" applyNumberFormat="1" applyFont="1" applyBorder="1" applyAlignment="1">
      <alignment horizontal="center" vertical="center"/>
    </xf>
    <xf numFmtId="180" fontId="2" fillId="3" borderId="2" xfId="0" applyNumberFormat="1" applyFont="1" applyFill="1" applyBorder="1" applyAlignment="1">
      <alignment horizontal="center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0" fillId="0" borderId="2" xfId="0" applyNumberFormat="1" applyFill="1" applyBorder="1" applyAlignment="1">
      <alignment horizontal="center" vertical="center"/>
    </xf>
    <xf numFmtId="10" fontId="2" fillId="0" borderId="18" xfId="0" applyNumberFormat="1" applyFont="1" applyFill="1" applyBorder="1" applyAlignment="1">
      <alignment horizontal="center" vertical="center"/>
    </xf>
    <xf numFmtId="178" fontId="2" fillId="0" borderId="18" xfId="0" applyNumberFormat="1" applyFont="1" applyFill="1" applyBorder="1" applyAlignment="1">
      <alignment horizontal="center" vertical="center"/>
    </xf>
    <xf numFmtId="10" fontId="2" fillId="0" borderId="18" xfId="3" applyNumberFormat="1" applyFont="1" applyBorder="1" applyAlignment="1">
      <alignment horizontal="center" vertical="center"/>
    </xf>
    <xf numFmtId="4" fontId="0" fillId="0" borderId="0" xfId="0" applyNumberFormat="1" applyFill="1" applyAlignment="1">
      <alignment horizontal="distributed" vertical="center"/>
    </xf>
    <xf numFmtId="4" fontId="0" fillId="0" borderId="0" xfId="0" applyNumberFormat="1" applyFill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4" fillId="0" borderId="0" xfId="0" applyFont="1" applyFill="1" applyAlignment="1">
      <alignment horizontal="distributed" vertical="center"/>
    </xf>
    <xf numFmtId="0" fontId="4" fillId="0" borderId="0" xfId="0" applyFont="1" applyFill="1" applyAlignment="1">
      <alignment horizontal="center" vertical="center"/>
    </xf>
    <xf numFmtId="14" fontId="4" fillId="0" borderId="20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WeChat\WeChat Files\ylovexiaoti\FileStorage\File\2024-06\2024&#24180;&#38463;&#37324;&#22920;&#22920;&#25237;&#25918;&#27599;&#26085;&#25968;&#25454;06revised(13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月数据汇总"/>
      <sheetName val="月数据汇总 (2)"/>
      <sheetName val="对比超品日"/>
      <sheetName val="对比前30天"/>
      <sheetName val="月度环比"/>
      <sheetName val="明星店铺"/>
      <sheetName val="钻展素材"/>
      <sheetName val="明星店铺素材"/>
      <sheetName val="直通车"/>
      <sheetName val="直通车素材"/>
      <sheetName val="引力魔方"/>
      <sheetName val="万相台"/>
      <sheetName val="万相台2"/>
      <sheetName val="阿里妈妈Raw Data"/>
      <sheetName val="超级互动城"/>
      <sheetName val=" 钻展 "/>
      <sheetName val="超级推荐素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53">
          <cell r="C153">
            <v>491.59</v>
          </cell>
          <cell r="D153">
            <v>6892</v>
          </cell>
          <cell r="E153">
            <v>1148</v>
          </cell>
          <cell r="F153">
            <v>0</v>
          </cell>
          <cell r="G153">
            <v>0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967"/>
  <sheetViews>
    <sheetView tabSelected="1" topLeftCell="A97" workbookViewId="0">
      <selection activeCell="O109" sqref="O109"/>
    </sheetView>
  </sheetViews>
  <sheetFormatPr defaultColWidth="9.02654867256637" defaultRowHeight="13.5"/>
  <cols>
    <col min="1" max="1" width="12.4867256637168" customWidth="1"/>
  </cols>
  <sheetData>
    <row r="1" ht="58.5" spans="1:13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6" t="s">
        <v>10</v>
      </c>
      <c r="L1" s="1" t="s">
        <v>11</v>
      </c>
      <c r="M1" s="7" t="s">
        <v>12</v>
      </c>
    </row>
    <row r="2" spans="1:13">
      <c r="A2" s="8">
        <v>45161</v>
      </c>
      <c r="B2" s="9">
        <v>100</v>
      </c>
      <c r="C2" s="10">
        <v>3753</v>
      </c>
      <c r="D2" s="10">
        <v>62</v>
      </c>
      <c r="E2" s="10">
        <v>0</v>
      </c>
      <c r="F2" s="10">
        <v>0</v>
      </c>
      <c r="G2" s="10">
        <v>0</v>
      </c>
      <c r="H2" s="10">
        <v>0</v>
      </c>
      <c r="I2" s="11">
        <f t="shared" ref="I2:I65" si="0">D2/C2</f>
        <v>0.0165201172395417</v>
      </c>
      <c r="J2" s="12">
        <f t="shared" ref="J2:J65" si="1">B2/D2</f>
        <v>1.61290322580645</v>
      </c>
      <c r="K2" s="12">
        <f t="shared" ref="K2:K65" si="2">B2/C2*1000</f>
        <v>26.6453503863576</v>
      </c>
      <c r="L2" s="10">
        <f t="shared" ref="L2:L65" si="3">F2/B2</f>
        <v>0</v>
      </c>
      <c r="M2" s="13">
        <f t="shared" ref="M2:M65" si="4">E2/D2</f>
        <v>0</v>
      </c>
    </row>
    <row r="3" spans="1:13">
      <c r="A3" s="8">
        <v>45162</v>
      </c>
      <c r="B3" s="9">
        <v>100</v>
      </c>
      <c r="C3" s="10">
        <v>427</v>
      </c>
      <c r="D3" s="10">
        <v>57</v>
      </c>
      <c r="E3" s="10">
        <v>0</v>
      </c>
      <c r="F3" s="10">
        <v>0</v>
      </c>
      <c r="G3" s="10">
        <v>0</v>
      </c>
      <c r="H3" s="10">
        <v>0</v>
      </c>
      <c r="I3" s="11">
        <f t="shared" si="0"/>
        <v>0.133489461358314</v>
      </c>
      <c r="J3" s="12">
        <f t="shared" si="1"/>
        <v>1.75438596491228</v>
      </c>
      <c r="K3" s="12">
        <f t="shared" si="2"/>
        <v>234.192037470726</v>
      </c>
      <c r="L3" s="10">
        <f t="shared" si="3"/>
        <v>0</v>
      </c>
      <c r="M3" s="13">
        <f t="shared" si="4"/>
        <v>0</v>
      </c>
    </row>
    <row r="4" spans="1:13">
      <c r="A4" s="8">
        <v>45163</v>
      </c>
      <c r="B4" s="9">
        <v>100</v>
      </c>
      <c r="C4" s="10">
        <v>369</v>
      </c>
      <c r="D4" s="10">
        <v>83</v>
      </c>
      <c r="E4" s="10">
        <v>0</v>
      </c>
      <c r="F4" s="10">
        <v>0</v>
      </c>
      <c r="G4" s="10">
        <v>1</v>
      </c>
      <c r="H4" s="10">
        <v>1</v>
      </c>
      <c r="I4" s="11">
        <f t="shared" si="0"/>
        <v>0.224932249322493</v>
      </c>
      <c r="J4" s="12">
        <f t="shared" si="1"/>
        <v>1.20481927710843</v>
      </c>
      <c r="K4" s="12">
        <f t="shared" si="2"/>
        <v>271.0027100271</v>
      </c>
      <c r="L4" s="10">
        <f t="shared" si="3"/>
        <v>0</v>
      </c>
      <c r="M4" s="13">
        <f t="shared" si="4"/>
        <v>0</v>
      </c>
    </row>
    <row r="5" spans="1:13">
      <c r="A5" s="8">
        <v>45164</v>
      </c>
      <c r="B5" s="9">
        <v>98.9</v>
      </c>
      <c r="C5" s="10">
        <v>1022</v>
      </c>
      <c r="D5" s="10">
        <v>57</v>
      </c>
      <c r="E5" s="10">
        <v>0</v>
      </c>
      <c r="F5" s="10">
        <v>0</v>
      </c>
      <c r="G5" s="10">
        <v>2</v>
      </c>
      <c r="H5" s="10">
        <v>1</v>
      </c>
      <c r="I5" s="11">
        <f t="shared" si="0"/>
        <v>0.0557729941291585</v>
      </c>
      <c r="J5" s="12">
        <f t="shared" si="1"/>
        <v>1.73508771929825</v>
      </c>
      <c r="K5" s="12">
        <f t="shared" si="2"/>
        <v>96.7710371819961</v>
      </c>
      <c r="L5" s="10">
        <f t="shared" si="3"/>
        <v>0</v>
      </c>
      <c r="M5" s="13">
        <f t="shared" si="4"/>
        <v>0</v>
      </c>
    </row>
    <row r="6" spans="1:13">
      <c r="A6" s="8">
        <v>45165</v>
      </c>
      <c r="B6" s="9">
        <v>99.86</v>
      </c>
      <c r="C6" s="10">
        <v>1470</v>
      </c>
      <c r="D6" s="10">
        <v>113</v>
      </c>
      <c r="E6" s="10">
        <v>0</v>
      </c>
      <c r="F6" s="10">
        <v>0</v>
      </c>
      <c r="G6" s="10">
        <v>6</v>
      </c>
      <c r="H6" s="10">
        <v>2</v>
      </c>
      <c r="I6" s="11">
        <f t="shared" si="0"/>
        <v>0.0768707482993197</v>
      </c>
      <c r="J6" s="12">
        <f t="shared" si="1"/>
        <v>0.883716814159292</v>
      </c>
      <c r="K6" s="12">
        <f t="shared" si="2"/>
        <v>67.9319727891156</v>
      </c>
      <c r="L6" s="10">
        <f t="shared" si="3"/>
        <v>0</v>
      </c>
      <c r="M6" s="13">
        <f t="shared" si="4"/>
        <v>0</v>
      </c>
    </row>
    <row r="7" spans="1:13">
      <c r="A7" s="8">
        <v>45166</v>
      </c>
      <c r="B7" s="9">
        <v>99.85</v>
      </c>
      <c r="C7" s="10">
        <v>836</v>
      </c>
      <c r="D7" s="10">
        <v>70</v>
      </c>
      <c r="E7" s="10">
        <v>0</v>
      </c>
      <c r="F7" s="10">
        <v>0</v>
      </c>
      <c r="G7" s="10">
        <v>2</v>
      </c>
      <c r="H7" s="10">
        <v>1</v>
      </c>
      <c r="I7" s="11">
        <f t="shared" si="0"/>
        <v>0.0837320574162679</v>
      </c>
      <c r="J7" s="12">
        <f t="shared" si="1"/>
        <v>1.42642857142857</v>
      </c>
      <c r="K7" s="12">
        <f t="shared" si="2"/>
        <v>119.437799043062</v>
      </c>
      <c r="L7" s="10">
        <f t="shared" si="3"/>
        <v>0</v>
      </c>
      <c r="M7" s="13">
        <f t="shared" si="4"/>
        <v>0</v>
      </c>
    </row>
    <row r="8" spans="1:13">
      <c r="A8" s="8">
        <v>45167</v>
      </c>
      <c r="B8" s="9">
        <f>99.55+16.15</f>
        <v>115.7</v>
      </c>
      <c r="C8" s="10">
        <f>1117+564</f>
        <v>1681</v>
      </c>
      <c r="D8" s="10">
        <f>89+6</f>
        <v>95</v>
      </c>
      <c r="E8" s="10">
        <v>0</v>
      </c>
      <c r="F8" s="10">
        <v>0</v>
      </c>
      <c r="G8" s="10">
        <v>4</v>
      </c>
      <c r="H8" s="10">
        <v>1</v>
      </c>
      <c r="I8" s="11">
        <f t="shared" si="0"/>
        <v>0.0565139797739441</v>
      </c>
      <c r="J8" s="12">
        <f t="shared" si="1"/>
        <v>1.21789473684211</v>
      </c>
      <c r="K8" s="12">
        <f t="shared" si="2"/>
        <v>68.8280785246877</v>
      </c>
      <c r="L8" s="10">
        <f t="shared" si="3"/>
        <v>0</v>
      </c>
      <c r="M8" s="13">
        <f t="shared" si="4"/>
        <v>0</v>
      </c>
    </row>
    <row r="9" spans="1:13">
      <c r="A9" s="8">
        <v>45168</v>
      </c>
      <c r="B9" s="9">
        <f>100+49.99</f>
        <v>149.99</v>
      </c>
      <c r="C9" s="10">
        <f>1513+20522</f>
        <v>22035</v>
      </c>
      <c r="D9" s="10">
        <f>89+128</f>
        <v>217</v>
      </c>
      <c r="E9" s="10">
        <v>0</v>
      </c>
      <c r="F9" s="10">
        <v>0</v>
      </c>
      <c r="G9" s="10">
        <v>4</v>
      </c>
      <c r="H9" s="10">
        <v>4</v>
      </c>
      <c r="I9" s="11">
        <f t="shared" si="0"/>
        <v>0.00984796914000454</v>
      </c>
      <c r="J9" s="12">
        <f t="shared" si="1"/>
        <v>0.691198156682028</v>
      </c>
      <c r="K9" s="12">
        <f t="shared" si="2"/>
        <v>6.80689811663263</v>
      </c>
      <c r="L9" s="10">
        <f t="shared" si="3"/>
        <v>0</v>
      </c>
      <c r="M9" s="13">
        <f t="shared" si="4"/>
        <v>0</v>
      </c>
    </row>
    <row r="10" spans="1:13">
      <c r="A10" s="8">
        <v>45169</v>
      </c>
      <c r="B10" s="9">
        <f>100+49.73</f>
        <v>149.73</v>
      </c>
      <c r="C10" s="10">
        <f>1449+63352</f>
        <v>64801</v>
      </c>
      <c r="D10" s="10">
        <f>86+286</f>
        <v>372</v>
      </c>
      <c r="E10" s="10">
        <v>0</v>
      </c>
      <c r="F10" s="10">
        <v>0</v>
      </c>
      <c r="G10" s="10">
        <f>1+2</f>
        <v>3</v>
      </c>
      <c r="H10" s="10">
        <f>1+1</f>
        <v>2</v>
      </c>
      <c r="I10" s="11">
        <f t="shared" si="0"/>
        <v>0.00574065215042978</v>
      </c>
      <c r="J10" s="12">
        <f t="shared" si="1"/>
        <v>0.4025</v>
      </c>
      <c r="K10" s="12">
        <f t="shared" si="2"/>
        <v>2.31061249054799</v>
      </c>
      <c r="L10" s="10">
        <f t="shared" si="3"/>
        <v>0</v>
      </c>
      <c r="M10" s="13">
        <f t="shared" si="4"/>
        <v>0</v>
      </c>
    </row>
    <row r="11" spans="1:13">
      <c r="A11" s="8">
        <v>45170</v>
      </c>
      <c r="B11" s="14">
        <f>100+48.46</f>
        <v>148.46</v>
      </c>
      <c r="C11" s="15">
        <f>1505+88321</f>
        <v>89826</v>
      </c>
      <c r="D11" s="15">
        <f>87+289</f>
        <v>376</v>
      </c>
      <c r="E11" s="10">
        <v>0</v>
      </c>
      <c r="F11" s="10">
        <v>0</v>
      </c>
      <c r="G11" s="10">
        <v>3</v>
      </c>
      <c r="H11" s="10">
        <v>1</v>
      </c>
      <c r="I11" s="11">
        <f t="shared" si="0"/>
        <v>0.0041858704606684</v>
      </c>
      <c r="J11" s="12">
        <f t="shared" si="1"/>
        <v>0.394840425531915</v>
      </c>
      <c r="K11" s="12">
        <f t="shared" si="2"/>
        <v>1.65275087391179</v>
      </c>
      <c r="L11" s="10">
        <f t="shared" si="3"/>
        <v>0</v>
      </c>
      <c r="M11" s="13">
        <f t="shared" si="4"/>
        <v>0</v>
      </c>
    </row>
    <row r="12" spans="1:13">
      <c r="A12" s="8">
        <v>45171</v>
      </c>
      <c r="B12" s="14">
        <f>98.92+48.89</f>
        <v>147.81</v>
      </c>
      <c r="C12" s="15">
        <f>2061+80573</f>
        <v>82634</v>
      </c>
      <c r="D12" s="15">
        <f>115+446</f>
        <v>561</v>
      </c>
      <c r="E12" s="10">
        <v>0</v>
      </c>
      <c r="F12" s="10">
        <v>0</v>
      </c>
      <c r="G12" s="10">
        <v>2</v>
      </c>
      <c r="H12" s="10">
        <v>3</v>
      </c>
      <c r="I12" s="11">
        <f t="shared" si="0"/>
        <v>0.00678897306193576</v>
      </c>
      <c r="J12" s="12">
        <f t="shared" si="1"/>
        <v>0.263475935828877</v>
      </c>
      <c r="K12" s="12">
        <f t="shared" si="2"/>
        <v>1.78873103081056</v>
      </c>
      <c r="L12" s="10">
        <f t="shared" si="3"/>
        <v>0</v>
      </c>
      <c r="M12" s="13">
        <f t="shared" si="4"/>
        <v>0</v>
      </c>
    </row>
    <row r="13" spans="1:13">
      <c r="A13" s="8">
        <v>45172</v>
      </c>
      <c r="B13" s="14">
        <f>99.58+49.56</f>
        <v>149.14</v>
      </c>
      <c r="C13" s="15">
        <f>1772+75598</f>
        <v>77370</v>
      </c>
      <c r="D13" s="15">
        <f>109+485</f>
        <v>594</v>
      </c>
      <c r="E13" s="10">
        <v>0</v>
      </c>
      <c r="F13" s="10">
        <v>0</v>
      </c>
      <c r="G13" s="10">
        <v>3</v>
      </c>
      <c r="H13" s="10">
        <v>2</v>
      </c>
      <c r="I13" s="11">
        <f t="shared" si="0"/>
        <v>0.00767739433889104</v>
      </c>
      <c r="J13" s="12">
        <f t="shared" si="1"/>
        <v>0.251077441077441</v>
      </c>
      <c r="K13" s="12">
        <f t="shared" si="2"/>
        <v>1.9276205247512</v>
      </c>
      <c r="L13" s="10">
        <f t="shared" si="3"/>
        <v>0</v>
      </c>
      <c r="M13" s="13">
        <f t="shared" si="4"/>
        <v>0</v>
      </c>
    </row>
    <row r="14" spans="1:13">
      <c r="A14" s="8">
        <v>45173</v>
      </c>
      <c r="B14" s="16">
        <f>100+49.58</f>
        <v>149.58</v>
      </c>
      <c r="C14" s="17">
        <f>1643+38704</f>
        <v>40347</v>
      </c>
      <c r="D14" s="17">
        <f>95+278</f>
        <v>373</v>
      </c>
      <c r="E14" s="10">
        <v>0</v>
      </c>
      <c r="F14" s="10">
        <v>0</v>
      </c>
      <c r="G14" s="10">
        <v>5</v>
      </c>
      <c r="H14" s="10">
        <v>7</v>
      </c>
      <c r="I14" s="11">
        <f t="shared" si="0"/>
        <v>0.00924480134830347</v>
      </c>
      <c r="J14" s="12">
        <f t="shared" si="1"/>
        <v>0.401018766756032</v>
      </c>
      <c r="K14" s="12">
        <f t="shared" si="2"/>
        <v>3.70733883560116</v>
      </c>
      <c r="L14" s="10">
        <f t="shared" si="3"/>
        <v>0</v>
      </c>
      <c r="M14" s="13">
        <f t="shared" si="4"/>
        <v>0</v>
      </c>
    </row>
    <row r="15" spans="1:13">
      <c r="A15" s="8">
        <v>45174</v>
      </c>
      <c r="B15" s="16">
        <f>100+48.53</f>
        <v>148.53</v>
      </c>
      <c r="C15" s="17">
        <f>1870+26465</f>
        <v>28335</v>
      </c>
      <c r="D15" s="17">
        <f>104+190</f>
        <v>294</v>
      </c>
      <c r="E15" s="10">
        <v>0</v>
      </c>
      <c r="F15" s="10">
        <v>0</v>
      </c>
      <c r="G15" s="10">
        <v>6</v>
      </c>
      <c r="H15" s="10">
        <v>4</v>
      </c>
      <c r="I15" s="11">
        <f t="shared" si="0"/>
        <v>0.0103758602435151</v>
      </c>
      <c r="J15" s="12">
        <f t="shared" si="1"/>
        <v>0.505204081632653</v>
      </c>
      <c r="K15" s="12">
        <f t="shared" si="2"/>
        <v>5.2419269454738</v>
      </c>
      <c r="L15" s="10">
        <f t="shared" si="3"/>
        <v>0</v>
      </c>
      <c r="M15" s="13">
        <f t="shared" si="4"/>
        <v>0</v>
      </c>
    </row>
    <row r="16" spans="1:13">
      <c r="A16" s="8">
        <v>45175</v>
      </c>
      <c r="B16" s="16">
        <f>98.92+48.82</f>
        <v>147.74</v>
      </c>
      <c r="C16" s="17">
        <f>1920+10265</f>
        <v>12185</v>
      </c>
      <c r="D16" s="17">
        <f>85+98</f>
        <v>183</v>
      </c>
      <c r="E16" s="10">
        <v>0</v>
      </c>
      <c r="F16" s="10">
        <v>0</v>
      </c>
      <c r="G16" s="10">
        <v>2</v>
      </c>
      <c r="H16" s="10">
        <v>7</v>
      </c>
      <c r="I16" s="11">
        <f t="shared" si="0"/>
        <v>0.0150184653262208</v>
      </c>
      <c r="J16" s="12">
        <f t="shared" si="1"/>
        <v>0.807322404371585</v>
      </c>
      <c r="K16" s="12">
        <f t="shared" si="2"/>
        <v>12.1247435371358</v>
      </c>
      <c r="L16" s="10">
        <f t="shared" si="3"/>
        <v>0</v>
      </c>
      <c r="M16" s="13">
        <f t="shared" si="4"/>
        <v>0</v>
      </c>
    </row>
    <row r="17" spans="1:13">
      <c r="A17" s="8">
        <v>45176</v>
      </c>
      <c r="B17" s="18">
        <f>99.92+49.69</f>
        <v>149.61</v>
      </c>
      <c r="C17" s="17">
        <f>2272+9284</f>
        <v>11556</v>
      </c>
      <c r="D17" s="17">
        <f>116+110</f>
        <v>226</v>
      </c>
      <c r="E17" s="10">
        <v>0</v>
      </c>
      <c r="F17" s="10">
        <v>0</v>
      </c>
      <c r="G17" s="10">
        <v>5</v>
      </c>
      <c r="H17" s="10">
        <v>5</v>
      </c>
      <c r="I17" s="11">
        <f t="shared" si="0"/>
        <v>0.0195569401176878</v>
      </c>
      <c r="J17" s="12">
        <f t="shared" si="1"/>
        <v>0.661991150442478</v>
      </c>
      <c r="K17" s="12">
        <f t="shared" si="2"/>
        <v>12.9465212876428</v>
      </c>
      <c r="L17" s="10">
        <f t="shared" si="3"/>
        <v>0</v>
      </c>
      <c r="M17" s="13">
        <f t="shared" si="4"/>
        <v>0</v>
      </c>
    </row>
    <row r="18" spans="1:13">
      <c r="A18" s="8">
        <v>45177</v>
      </c>
      <c r="B18" s="19">
        <v>148.75</v>
      </c>
      <c r="C18" s="15">
        <v>16076</v>
      </c>
      <c r="D18" s="15">
        <v>255</v>
      </c>
      <c r="E18" s="10">
        <v>0</v>
      </c>
      <c r="F18" s="10">
        <v>0</v>
      </c>
      <c r="G18" s="10">
        <v>7</v>
      </c>
      <c r="H18" s="10">
        <v>9</v>
      </c>
      <c r="I18" s="11">
        <f t="shared" si="0"/>
        <v>0.0158621547648669</v>
      </c>
      <c r="J18" s="12">
        <f t="shared" si="1"/>
        <v>0.583333333333333</v>
      </c>
      <c r="K18" s="12">
        <f t="shared" si="2"/>
        <v>9.25292361283902</v>
      </c>
      <c r="L18" s="10">
        <f t="shared" si="3"/>
        <v>0</v>
      </c>
      <c r="M18" s="13">
        <f t="shared" si="4"/>
        <v>0</v>
      </c>
    </row>
    <row r="19" spans="1:13">
      <c r="A19" s="8">
        <v>45178</v>
      </c>
      <c r="B19" s="19">
        <v>149.28</v>
      </c>
      <c r="C19" s="15">
        <v>17407</v>
      </c>
      <c r="D19" s="15">
        <v>387</v>
      </c>
      <c r="E19" s="10">
        <v>0</v>
      </c>
      <c r="F19" s="10">
        <v>0</v>
      </c>
      <c r="G19" s="10">
        <v>5</v>
      </c>
      <c r="H19" s="10">
        <v>3</v>
      </c>
      <c r="I19" s="11">
        <f t="shared" si="0"/>
        <v>0.0222324352272074</v>
      </c>
      <c r="J19" s="12">
        <f t="shared" si="1"/>
        <v>0.385736434108527</v>
      </c>
      <c r="K19" s="12">
        <f t="shared" si="2"/>
        <v>8.5758602860918</v>
      </c>
      <c r="L19" s="10">
        <f t="shared" si="3"/>
        <v>0</v>
      </c>
      <c r="M19" s="13">
        <f t="shared" si="4"/>
        <v>0</v>
      </c>
    </row>
    <row r="20" spans="1:13">
      <c r="A20" s="8">
        <v>45179</v>
      </c>
      <c r="B20" s="19">
        <v>147.9</v>
      </c>
      <c r="C20" s="15">
        <v>17213</v>
      </c>
      <c r="D20" s="15">
        <v>428</v>
      </c>
      <c r="E20" s="10">
        <v>0</v>
      </c>
      <c r="F20" s="10">
        <v>0</v>
      </c>
      <c r="G20" s="10">
        <v>7</v>
      </c>
      <c r="H20" s="10">
        <v>9</v>
      </c>
      <c r="I20" s="11">
        <f t="shared" si="0"/>
        <v>0.0248649276709464</v>
      </c>
      <c r="J20" s="12">
        <f t="shared" si="1"/>
        <v>0.345560747663551</v>
      </c>
      <c r="K20" s="12">
        <f t="shared" si="2"/>
        <v>8.59234299657236</v>
      </c>
      <c r="L20" s="12">
        <f t="shared" si="3"/>
        <v>0</v>
      </c>
      <c r="M20" s="13">
        <f t="shared" si="4"/>
        <v>0</v>
      </c>
    </row>
    <row r="21" spans="1:13">
      <c r="A21" s="8">
        <v>45180</v>
      </c>
      <c r="B21" s="20">
        <v>149.62</v>
      </c>
      <c r="C21" s="17">
        <f>3506+13717</f>
        <v>17223</v>
      </c>
      <c r="D21" s="17">
        <f>115+228</f>
        <v>343</v>
      </c>
      <c r="E21" s="10">
        <v>0</v>
      </c>
      <c r="F21" s="10">
        <v>0</v>
      </c>
      <c r="G21" s="10">
        <v>8</v>
      </c>
      <c r="H21" s="10">
        <v>9</v>
      </c>
      <c r="I21" s="11">
        <f t="shared" si="0"/>
        <v>0.0199152296347907</v>
      </c>
      <c r="J21" s="12">
        <f t="shared" si="1"/>
        <v>0.436209912536443</v>
      </c>
      <c r="K21" s="12">
        <f t="shared" si="2"/>
        <v>8.68722057713522</v>
      </c>
      <c r="L21" s="12">
        <f t="shared" si="3"/>
        <v>0</v>
      </c>
      <c r="M21" s="13">
        <f t="shared" si="4"/>
        <v>0</v>
      </c>
    </row>
    <row r="22" spans="1:13">
      <c r="A22" s="8">
        <v>45181</v>
      </c>
      <c r="B22" s="21">
        <v>206</v>
      </c>
      <c r="C22" s="22">
        <v>11164</v>
      </c>
      <c r="D22" s="22">
        <v>187</v>
      </c>
      <c r="E22" s="23">
        <v>0</v>
      </c>
      <c r="F22" s="23">
        <v>0</v>
      </c>
      <c r="G22" s="23">
        <v>5</v>
      </c>
      <c r="H22" s="23">
        <v>10</v>
      </c>
      <c r="I22" s="11">
        <f t="shared" si="0"/>
        <v>0.0167502687208886</v>
      </c>
      <c r="J22" s="12">
        <f t="shared" si="1"/>
        <v>1.10160427807487</v>
      </c>
      <c r="K22" s="12">
        <f t="shared" si="2"/>
        <v>18.4521676818345</v>
      </c>
      <c r="L22" s="12">
        <f t="shared" si="3"/>
        <v>0</v>
      </c>
      <c r="M22" s="13">
        <f t="shared" si="4"/>
        <v>0</v>
      </c>
    </row>
    <row r="23" spans="1:13">
      <c r="A23" s="24">
        <v>45182</v>
      </c>
      <c r="B23" s="25">
        <f>99.31+46.06</f>
        <v>145.37</v>
      </c>
      <c r="C23" s="26">
        <f>14620+3933</f>
        <v>18553</v>
      </c>
      <c r="D23" s="26">
        <f>116+265</f>
        <v>381</v>
      </c>
      <c r="E23" s="27">
        <v>0</v>
      </c>
      <c r="F23" s="28">
        <v>0</v>
      </c>
      <c r="G23" s="10">
        <v>2</v>
      </c>
      <c r="H23" s="10">
        <v>5</v>
      </c>
      <c r="I23" s="11">
        <f t="shared" si="0"/>
        <v>0.0205357624103919</v>
      </c>
      <c r="J23" s="12">
        <f t="shared" si="1"/>
        <v>0.381548556430446</v>
      </c>
      <c r="K23" s="12">
        <f t="shared" si="2"/>
        <v>7.83539050288363</v>
      </c>
      <c r="L23" s="12">
        <f t="shared" si="3"/>
        <v>0</v>
      </c>
      <c r="M23" s="13">
        <f t="shared" si="4"/>
        <v>0</v>
      </c>
    </row>
    <row r="24" spans="1:13">
      <c r="A24" s="24">
        <v>45183</v>
      </c>
      <c r="B24" s="29">
        <v>142.38</v>
      </c>
      <c r="C24" s="22">
        <f>3416+4903</f>
        <v>8319</v>
      </c>
      <c r="D24" s="22">
        <f>206+41</f>
        <v>247</v>
      </c>
      <c r="E24" s="30">
        <v>0</v>
      </c>
      <c r="F24" s="28">
        <v>0</v>
      </c>
      <c r="G24" s="10">
        <v>0</v>
      </c>
      <c r="H24" s="10">
        <v>1</v>
      </c>
      <c r="I24" s="11">
        <f t="shared" si="0"/>
        <v>0.0296910686380575</v>
      </c>
      <c r="J24" s="12">
        <f t="shared" si="1"/>
        <v>0.576437246963563</v>
      </c>
      <c r="K24" s="12">
        <f t="shared" si="2"/>
        <v>17.115037865128</v>
      </c>
      <c r="L24" s="12">
        <f t="shared" si="3"/>
        <v>0</v>
      </c>
      <c r="M24" s="13">
        <f t="shared" si="4"/>
        <v>0</v>
      </c>
    </row>
    <row r="25" spans="1:13">
      <c r="A25" s="24">
        <v>45184</v>
      </c>
      <c r="B25" s="20">
        <f>43.62+99.83</f>
        <v>143.45</v>
      </c>
      <c r="C25" s="17">
        <f>6174+1749</f>
        <v>7923</v>
      </c>
      <c r="D25" s="17">
        <f>45+124</f>
        <v>169</v>
      </c>
      <c r="E25" s="31">
        <v>0</v>
      </c>
      <c r="F25" s="31">
        <v>0</v>
      </c>
      <c r="G25" s="31">
        <v>6</v>
      </c>
      <c r="H25" s="31">
        <v>0</v>
      </c>
      <c r="I25" s="11">
        <f t="shared" si="0"/>
        <v>0.0213303041777105</v>
      </c>
      <c r="J25" s="12">
        <f t="shared" si="1"/>
        <v>0.848816568047337</v>
      </c>
      <c r="K25" s="12">
        <f t="shared" si="2"/>
        <v>18.10551558753</v>
      </c>
      <c r="L25" s="12">
        <f t="shared" si="3"/>
        <v>0</v>
      </c>
      <c r="M25" s="13">
        <f t="shared" si="4"/>
        <v>0</v>
      </c>
    </row>
    <row r="26" spans="1:13">
      <c r="A26" s="24">
        <v>45185</v>
      </c>
      <c r="B26" s="32">
        <f>98.94+49.95</f>
        <v>148.89</v>
      </c>
      <c r="C26" s="22">
        <f>3872+1803</f>
        <v>5675</v>
      </c>
      <c r="D26" s="22">
        <f>40+124</f>
        <v>164</v>
      </c>
      <c r="E26" s="31">
        <v>0</v>
      </c>
      <c r="F26" s="31">
        <v>0</v>
      </c>
      <c r="G26" s="31">
        <v>2</v>
      </c>
      <c r="H26" s="31">
        <v>1</v>
      </c>
      <c r="I26" s="11">
        <f t="shared" si="0"/>
        <v>0.0288986784140969</v>
      </c>
      <c r="J26" s="12">
        <f t="shared" si="1"/>
        <v>0.907865853658536</v>
      </c>
      <c r="K26" s="12">
        <f t="shared" si="2"/>
        <v>26.2361233480176</v>
      </c>
      <c r="L26" s="12">
        <f t="shared" si="3"/>
        <v>0</v>
      </c>
      <c r="M26" s="13">
        <f t="shared" si="4"/>
        <v>0</v>
      </c>
    </row>
    <row r="27" spans="1:13">
      <c r="A27" s="24">
        <v>45186</v>
      </c>
      <c r="B27" s="20">
        <f>99.76+43.62</f>
        <v>143.38</v>
      </c>
      <c r="C27" s="17">
        <f>4798+2062</f>
        <v>6860</v>
      </c>
      <c r="D27" s="17">
        <f>40+159</f>
        <v>199</v>
      </c>
      <c r="E27" s="10">
        <v>0</v>
      </c>
      <c r="F27" s="31">
        <v>0</v>
      </c>
      <c r="G27" s="31">
        <v>0</v>
      </c>
      <c r="H27" s="31">
        <v>0</v>
      </c>
      <c r="I27" s="11">
        <f t="shared" si="0"/>
        <v>0.0290087463556851</v>
      </c>
      <c r="J27" s="12">
        <f t="shared" si="1"/>
        <v>0.720502512562814</v>
      </c>
      <c r="K27" s="12">
        <f t="shared" si="2"/>
        <v>20.9008746355685</v>
      </c>
      <c r="L27" s="12">
        <f t="shared" si="3"/>
        <v>0</v>
      </c>
      <c r="M27" s="13">
        <f t="shared" si="4"/>
        <v>0</v>
      </c>
    </row>
    <row r="28" spans="1:13">
      <c r="A28" s="24">
        <v>45187</v>
      </c>
      <c r="B28" s="21">
        <v>141.52</v>
      </c>
      <c r="C28" s="22">
        <f>2252+2877</f>
        <v>5129</v>
      </c>
      <c r="D28" s="22">
        <f>132+49</f>
        <v>181</v>
      </c>
      <c r="E28" s="10">
        <v>0</v>
      </c>
      <c r="F28" s="31">
        <v>0</v>
      </c>
      <c r="G28" s="31">
        <v>2</v>
      </c>
      <c r="H28" s="31">
        <v>1</v>
      </c>
      <c r="I28" s="11">
        <f t="shared" si="0"/>
        <v>0.035289530122831</v>
      </c>
      <c r="J28" s="12">
        <f t="shared" si="1"/>
        <v>0.781878453038674</v>
      </c>
      <c r="K28" s="12">
        <f t="shared" si="2"/>
        <v>27.5921232209008</v>
      </c>
      <c r="L28" s="12">
        <f t="shared" si="3"/>
        <v>0</v>
      </c>
      <c r="M28" s="13">
        <f t="shared" si="4"/>
        <v>0</v>
      </c>
    </row>
    <row r="29" spans="1:13">
      <c r="A29" s="24">
        <v>45188</v>
      </c>
      <c r="B29" s="33">
        <f>99.11+48.96</f>
        <v>148.07</v>
      </c>
      <c r="C29" s="34">
        <f>3065+2559</f>
        <v>5624</v>
      </c>
      <c r="D29" s="34">
        <f>31+158</f>
        <v>189</v>
      </c>
      <c r="E29" s="31">
        <v>0</v>
      </c>
      <c r="F29" s="31">
        <v>0</v>
      </c>
      <c r="G29" s="31">
        <v>0</v>
      </c>
      <c r="H29" s="31">
        <v>1</v>
      </c>
      <c r="I29" s="11">
        <f t="shared" si="0"/>
        <v>0.0336059743954481</v>
      </c>
      <c r="J29" s="12">
        <f t="shared" si="1"/>
        <v>0.783439153439153</v>
      </c>
      <c r="K29" s="12">
        <f t="shared" si="2"/>
        <v>26.3282361308677</v>
      </c>
      <c r="L29" s="12">
        <f t="shared" si="3"/>
        <v>0</v>
      </c>
      <c r="M29" s="13">
        <f t="shared" si="4"/>
        <v>0</v>
      </c>
    </row>
    <row r="30" spans="1:13">
      <c r="A30" s="24">
        <v>45189</v>
      </c>
      <c r="B30" s="35">
        <v>313</v>
      </c>
      <c r="C30" s="34">
        <f>3484+630</f>
        <v>4114</v>
      </c>
      <c r="D30" s="34">
        <v>175</v>
      </c>
      <c r="E30" s="31">
        <v>0</v>
      </c>
      <c r="F30" s="31">
        <v>0</v>
      </c>
      <c r="G30" s="31">
        <v>0</v>
      </c>
      <c r="H30" s="31">
        <v>0</v>
      </c>
      <c r="I30" s="11">
        <f t="shared" si="0"/>
        <v>0.0425376762275158</v>
      </c>
      <c r="J30" s="12">
        <f t="shared" si="1"/>
        <v>1.78857142857143</v>
      </c>
      <c r="K30" s="12">
        <f t="shared" si="2"/>
        <v>76.0816723383568</v>
      </c>
      <c r="L30" s="12">
        <f t="shared" si="3"/>
        <v>0</v>
      </c>
      <c r="M30" s="13">
        <f t="shared" si="4"/>
        <v>0</v>
      </c>
    </row>
    <row r="31" spans="1:13">
      <c r="A31" s="24">
        <v>45190</v>
      </c>
      <c r="B31" s="33">
        <f>51.78+88.78+97.76+95.17+93.5+22.8+100+100</f>
        <v>649.79</v>
      </c>
      <c r="C31" s="34">
        <f>63+263+450+731+147+34+283+3735</f>
        <v>5706</v>
      </c>
      <c r="D31" s="34">
        <v>205</v>
      </c>
      <c r="E31" s="31">
        <v>0</v>
      </c>
      <c r="F31" s="31">
        <v>0</v>
      </c>
      <c r="G31" s="31">
        <v>1</v>
      </c>
      <c r="H31" s="31">
        <v>1</v>
      </c>
      <c r="I31" s="11">
        <f t="shared" si="0"/>
        <v>0.0359270942867157</v>
      </c>
      <c r="J31" s="12">
        <f t="shared" si="1"/>
        <v>3.16970731707317</v>
      </c>
      <c r="K31" s="12">
        <f t="shared" si="2"/>
        <v>113.878373641781</v>
      </c>
      <c r="L31" s="12">
        <f t="shared" si="3"/>
        <v>0</v>
      </c>
      <c r="M31" s="13">
        <f t="shared" si="4"/>
        <v>0</v>
      </c>
    </row>
    <row r="32" spans="1:13">
      <c r="A32" s="24">
        <v>45191</v>
      </c>
      <c r="B32" s="36">
        <v>100</v>
      </c>
      <c r="C32" s="37">
        <v>3966</v>
      </c>
      <c r="D32" s="37">
        <v>253</v>
      </c>
      <c r="E32" s="31">
        <v>0</v>
      </c>
      <c r="F32" s="31">
        <v>0</v>
      </c>
      <c r="G32" s="31">
        <v>1</v>
      </c>
      <c r="H32" s="31">
        <v>3</v>
      </c>
      <c r="I32" s="11">
        <f t="shared" si="0"/>
        <v>0.0637922339889057</v>
      </c>
      <c r="J32" s="12">
        <f t="shared" si="1"/>
        <v>0.395256916996047</v>
      </c>
      <c r="K32" s="12">
        <f t="shared" si="2"/>
        <v>25.2143217347453</v>
      </c>
      <c r="L32" s="12">
        <f t="shared" si="3"/>
        <v>0</v>
      </c>
      <c r="M32" s="13">
        <f t="shared" si="4"/>
        <v>0</v>
      </c>
    </row>
    <row r="33" spans="1:13">
      <c r="A33" s="24">
        <v>45192</v>
      </c>
      <c r="B33" s="36">
        <v>129.05</v>
      </c>
      <c r="C33" s="37">
        <v>5201</v>
      </c>
      <c r="D33" s="37">
        <v>193</v>
      </c>
      <c r="E33" s="31">
        <v>0</v>
      </c>
      <c r="F33" s="31">
        <v>0</v>
      </c>
      <c r="G33" s="31">
        <v>2</v>
      </c>
      <c r="H33" s="31">
        <v>1</v>
      </c>
      <c r="I33" s="11">
        <f t="shared" si="0"/>
        <v>0.0371082484137666</v>
      </c>
      <c r="J33" s="12">
        <f t="shared" si="1"/>
        <v>0.668652849740933</v>
      </c>
      <c r="K33" s="12">
        <f t="shared" si="2"/>
        <v>24.8125360507595</v>
      </c>
      <c r="L33" s="12">
        <f t="shared" si="3"/>
        <v>0</v>
      </c>
      <c r="M33" s="13">
        <f t="shared" si="4"/>
        <v>0</v>
      </c>
    </row>
    <row r="34" spans="1:13">
      <c r="A34" s="38">
        <v>45193</v>
      </c>
      <c r="B34" s="36">
        <v>146.71</v>
      </c>
      <c r="C34" s="37">
        <v>5251</v>
      </c>
      <c r="D34" s="37">
        <v>424</v>
      </c>
      <c r="E34" s="31">
        <v>0</v>
      </c>
      <c r="F34" s="31">
        <v>0</v>
      </c>
      <c r="G34" s="31">
        <v>1</v>
      </c>
      <c r="H34" s="31">
        <v>4</v>
      </c>
      <c r="I34" s="11">
        <f t="shared" si="0"/>
        <v>0.0807465244715292</v>
      </c>
      <c r="J34" s="12">
        <f t="shared" si="1"/>
        <v>0.346014150943396</v>
      </c>
      <c r="K34" s="12">
        <f t="shared" si="2"/>
        <v>27.9394401066464</v>
      </c>
      <c r="L34" s="12">
        <f t="shared" si="3"/>
        <v>0</v>
      </c>
      <c r="M34" s="13">
        <f t="shared" si="4"/>
        <v>0</v>
      </c>
    </row>
    <row r="35" spans="1:13">
      <c r="A35" s="8">
        <v>45194</v>
      </c>
      <c r="B35" s="39">
        <f>99.7+100+100+91.89+99.38+100+49.71</f>
        <v>640.68</v>
      </c>
      <c r="C35" s="15">
        <f>50434+2967+2825</f>
        <v>56226</v>
      </c>
      <c r="D35" s="15">
        <f>229+198+60</f>
        <v>487</v>
      </c>
      <c r="E35" s="10">
        <v>1</v>
      </c>
      <c r="F35" s="10">
        <v>1</v>
      </c>
      <c r="G35" s="10">
        <v>3</v>
      </c>
      <c r="H35" s="10">
        <v>0</v>
      </c>
      <c r="I35" s="11">
        <f t="shared" si="0"/>
        <v>0.00866147333973607</v>
      </c>
      <c r="J35" s="12">
        <f t="shared" si="1"/>
        <v>1.31556468172485</v>
      </c>
      <c r="K35" s="12">
        <f t="shared" si="2"/>
        <v>11.3947284174581</v>
      </c>
      <c r="L35" s="12">
        <f t="shared" si="3"/>
        <v>0.00156084160579384</v>
      </c>
      <c r="M35" s="13">
        <f t="shared" si="4"/>
        <v>0.00205338809034908</v>
      </c>
    </row>
    <row r="36" spans="1:13">
      <c r="A36" s="8">
        <v>45195</v>
      </c>
      <c r="B36" s="40">
        <f>49.8+100</f>
        <v>149.8</v>
      </c>
      <c r="C36" s="41">
        <f>1818+61479</f>
        <v>63297</v>
      </c>
      <c r="D36" s="41">
        <f>225+121</f>
        <v>346</v>
      </c>
      <c r="E36" s="10">
        <v>0</v>
      </c>
      <c r="F36" s="10">
        <v>0</v>
      </c>
      <c r="G36" s="10">
        <v>3</v>
      </c>
      <c r="H36" s="10">
        <v>3</v>
      </c>
      <c r="I36" s="11">
        <f t="shared" si="0"/>
        <v>0.00546629382119216</v>
      </c>
      <c r="J36" s="12">
        <f t="shared" si="1"/>
        <v>0.432947976878613</v>
      </c>
      <c r="K36" s="12">
        <f t="shared" si="2"/>
        <v>2.36662085090921</v>
      </c>
      <c r="L36" s="12">
        <f t="shared" si="3"/>
        <v>0</v>
      </c>
      <c r="M36" s="13">
        <f t="shared" si="4"/>
        <v>0</v>
      </c>
    </row>
    <row r="37" ht="13.85" spans="1:13">
      <c r="A37" s="42">
        <v>45196</v>
      </c>
      <c r="B37" s="43">
        <f>100+49.82</f>
        <v>149.82</v>
      </c>
      <c r="C37" s="44">
        <v>52701</v>
      </c>
      <c r="D37" s="45">
        <f>190+105</f>
        <v>295</v>
      </c>
      <c r="E37" s="46">
        <v>2</v>
      </c>
      <c r="F37" s="47">
        <v>3400</v>
      </c>
      <c r="G37" s="47">
        <v>2</v>
      </c>
      <c r="H37" s="47">
        <v>1</v>
      </c>
      <c r="I37" s="11">
        <f t="shared" si="0"/>
        <v>0.0055976167435153</v>
      </c>
      <c r="J37" s="12">
        <f t="shared" si="1"/>
        <v>0.507864406779661</v>
      </c>
      <c r="K37" s="12">
        <f t="shared" si="2"/>
        <v>2.8428303068253</v>
      </c>
      <c r="L37" s="12">
        <f t="shared" si="3"/>
        <v>22.6938993458817</v>
      </c>
      <c r="M37" s="13">
        <f t="shared" si="4"/>
        <v>0.00677966101694915</v>
      </c>
    </row>
    <row r="38" ht="13.85" spans="1:13">
      <c r="A38" s="42">
        <v>45197</v>
      </c>
      <c r="B38" s="43">
        <f>483.78+99.82+49.58</f>
        <v>633.18</v>
      </c>
      <c r="C38" s="45">
        <f>44226+1495+7689</f>
        <v>53410</v>
      </c>
      <c r="D38" s="45">
        <f>225+108+195</f>
        <v>528</v>
      </c>
      <c r="E38" s="46">
        <v>0</v>
      </c>
      <c r="F38" s="47">
        <v>0</v>
      </c>
      <c r="G38" s="47">
        <v>7</v>
      </c>
      <c r="H38" s="47">
        <v>1</v>
      </c>
      <c r="I38" s="11">
        <f t="shared" si="0"/>
        <v>0.00988578917805654</v>
      </c>
      <c r="J38" s="12">
        <f t="shared" si="1"/>
        <v>1.19920454545455</v>
      </c>
      <c r="K38" s="12">
        <f t="shared" si="2"/>
        <v>11.8550833177308</v>
      </c>
      <c r="L38" s="12">
        <f t="shared" si="3"/>
        <v>0</v>
      </c>
      <c r="M38" s="13">
        <f t="shared" si="4"/>
        <v>0</v>
      </c>
    </row>
    <row r="39" ht="13.85" spans="1:13">
      <c r="A39" s="42">
        <v>45198</v>
      </c>
      <c r="B39" s="48">
        <f>100+49.36</f>
        <v>149.36</v>
      </c>
      <c r="C39" s="44">
        <v>18104</v>
      </c>
      <c r="D39" s="49">
        <f>72+130</f>
        <v>202</v>
      </c>
      <c r="E39" s="46">
        <v>3</v>
      </c>
      <c r="F39" s="47">
        <v>2969</v>
      </c>
      <c r="G39" s="47">
        <v>13</v>
      </c>
      <c r="H39" s="47">
        <v>1</v>
      </c>
      <c r="I39" s="11">
        <f t="shared" si="0"/>
        <v>0.0111577551922227</v>
      </c>
      <c r="J39" s="12">
        <f t="shared" si="1"/>
        <v>0.73940594059406</v>
      </c>
      <c r="K39" s="12">
        <f t="shared" si="2"/>
        <v>8.25011047282369</v>
      </c>
      <c r="L39" s="12">
        <f t="shared" si="3"/>
        <v>19.8781467595072</v>
      </c>
      <c r="M39" s="13">
        <f t="shared" si="4"/>
        <v>0.0148514851485149</v>
      </c>
    </row>
    <row r="40" ht="13.85" spans="1:13">
      <c r="A40" s="42">
        <v>45199</v>
      </c>
      <c r="B40" s="43">
        <f>99.47+49.69</f>
        <v>149.16</v>
      </c>
      <c r="C40" s="45">
        <f>1442+7575</f>
        <v>9017</v>
      </c>
      <c r="D40" s="45">
        <f>64+99</f>
        <v>163</v>
      </c>
      <c r="E40" s="46">
        <v>1</v>
      </c>
      <c r="F40" s="47">
        <v>9.9</v>
      </c>
      <c r="G40" s="47">
        <v>12</v>
      </c>
      <c r="H40" s="47">
        <v>3</v>
      </c>
      <c r="I40" s="11">
        <f t="shared" si="0"/>
        <v>0.0180769657313963</v>
      </c>
      <c r="J40" s="12">
        <f t="shared" si="1"/>
        <v>0.915092024539877</v>
      </c>
      <c r="K40" s="12">
        <f t="shared" si="2"/>
        <v>16.5420871686814</v>
      </c>
      <c r="L40" s="12">
        <f t="shared" si="3"/>
        <v>0.0663716814159292</v>
      </c>
      <c r="M40" s="13">
        <f t="shared" si="4"/>
        <v>0.00613496932515337</v>
      </c>
    </row>
    <row r="41" ht="13.85" spans="1:13">
      <c r="A41" s="42">
        <v>45200</v>
      </c>
      <c r="B41" s="48">
        <f>49.51+98.24</f>
        <v>147.75</v>
      </c>
      <c r="C41" s="49">
        <v>6236</v>
      </c>
      <c r="D41" s="50">
        <v>130</v>
      </c>
      <c r="E41" s="46">
        <v>0</v>
      </c>
      <c r="F41" s="47">
        <v>0</v>
      </c>
      <c r="G41" s="47">
        <v>7</v>
      </c>
      <c r="H41" s="47">
        <v>3</v>
      </c>
      <c r="I41" s="11">
        <f t="shared" si="0"/>
        <v>0.0208466966003849</v>
      </c>
      <c r="J41" s="12">
        <f t="shared" si="1"/>
        <v>1.13653846153846</v>
      </c>
      <c r="K41" s="12">
        <f t="shared" si="2"/>
        <v>23.6930724823605</v>
      </c>
      <c r="L41" s="12">
        <f t="shared" si="3"/>
        <v>0</v>
      </c>
      <c r="M41" s="13">
        <f t="shared" si="4"/>
        <v>0</v>
      </c>
    </row>
    <row r="42" ht="13.85" spans="1:13">
      <c r="A42" s="42">
        <v>45201</v>
      </c>
      <c r="B42" s="43">
        <f>49.16+99.87</f>
        <v>149.03</v>
      </c>
      <c r="C42" s="45">
        <v>5775</v>
      </c>
      <c r="D42" s="45">
        <f>91+90</f>
        <v>181</v>
      </c>
      <c r="E42" s="46">
        <v>0</v>
      </c>
      <c r="F42" s="47">
        <v>0</v>
      </c>
      <c r="G42" s="47">
        <v>2</v>
      </c>
      <c r="H42" s="47">
        <v>1</v>
      </c>
      <c r="I42" s="11">
        <f t="shared" si="0"/>
        <v>0.0313419913419913</v>
      </c>
      <c r="J42" s="12">
        <f t="shared" si="1"/>
        <v>0.823370165745856</v>
      </c>
      <c r="K42" s="12">
        <f t="shared" si="2"/>
        <v>25.8060606060606</v>
      </c>
      <c r="L42" s="12">
        <f t="shared" si="3"/>
        <v>0</v>
      </c>
      <c r="M42" s="13">
        <f t="shared" si="4"/>
        <v>0</v>
      </c>
    </row>
    <row r="43" ht="13.85" spans="1:13">
      <c r="A43" s="42">
        <v>45202</v>
      </c>
      <c r="B43" s="43">
        <f>49.36+99.23</f>
        <v>148.59</v>
      </c>
      <c r="C43" s="45">
        <v>5499</v>
      </c>
      <c r="D43" s="45">
        <f>54+102</f>
        <v>156</v>
      </c>
      <c r="E43" s="46">
        <v>2</v>
      </c>
      <c r="F43" s="47">
        <v>19.8</v>
      </c>
      <c r="G43" s="47">
        <v>4</v>
      </c>
      <c r="H43" s="47">
        <v>6</v>
      </c>
      <c r="I43" s="11">
        <f t="shared" si="0"/>
        <v>0.0283687943262411</v>
      </c>
      <c r="J43" s="12">
        <f t="shared" si="1"/>
        <v>0.9525</v>
      </c>
      <c r="K43" s="12">
        <f t="shared" si="2"/>
        <v>27.0212765957447</v>
      </c>
      <c r="L43" s="12">
        <f t="shared" si="3"/>
        <v>0.133252574197456</v>
      </c>
      <c r="M43" s="13">
        <f t="shared" si="4"/>
        <v>0.0128205128205128</v>
      </c>
    </row>
    <row r="44" ht="13.85" spans="1:13">
      <c r="A44" s="42">
        <v>45203</v>
      </c>
      <c r="B44" s="43">
        <f>47.82+100</f>
        <v>147.82</v>
      </c>
      <c r="C44" s="45">
        <v>5674</v>
      </c>
      <c r="D44" s="45">
        <f>91+77</f>
        <v>168</v>
      </c>
      <c r="E44" s="46">
        <v>0</v>
      </c>
      <c r="F44" s="47">
        <v>0</v>
      </c>
      <c r="G44" s="47">
        <v>1</v>
      </c>
      <c r="H44" s="47">
        <v>2</v>
      </c>
      <c r="I44" s="11">
        <f t="shared" si="0"/>
        <v>0.0296087416284808</v>
      </c>
      <c r="J44" s="12">
        <f t="shared" si="1"/>
        <v>0.879880952380952</v>
      </c>
      <c r="K44" s="12">
        <f t="shared" si="2"/>
        <v>26.0521677828692</v>
      </c>
      <c r="L44" s="12">
        <f t="shared" si="3"/>
        <v>0</v>
      </c>
      <c r="M44" s="13">
        <f t="shared" si="4"/>
        <v>0</v>
      </c>
    </row>
    <row r="45" ht="13.85" spans="1:13">
      <c r="A45" s="42">
        <v>45204</v>
      </c>
      <c r="B45" s="43">
        <f>49.25+100</f>
        <v>149.25</v>
      </c>
      <c r="C45" s="45">
        <v>4376</v>
      </c>
      <c r="D45" s="45">
        <f>48+102</f>
        <v>150</v>
      </c>
      <c r="E45" s="46">
        <v>1</v>
      </c>
      <c r="F45" s="47">
        <v>9.9</v>
      </c>
      <c r="G45" s="47">
        <v>6</v>
      </c>
      <c r="H45" s="47">
        <v>2</v>
      </c>
      <c r="I45" s="11">
        <f t="shared" si="0"/>
        <v>0.0342778793418647</v>
      </c>
      <c r="J45" s="12">
        <f t="shared" si="1"/>
        <v>0.995</v>
      </c>
      <c r="K45" s="12">
        <f t="shared" si="2"/>
        <v>34.1064899451554</v>
      </c>
      <c r="L45" s="12">
        <f t="shared" si="3"/>
        <v>0.0663316582914573</v>
      </c>
      <c r="M45" s="13">
        <f t="shared" si="4"/>
        <v>0.00666666666666667</v>
      </c>
    </row>
    <row r="46" ht="13.85" spans="1:13">
      <c r="A46" s="42">
        <v>45205</v>
      </c>
      <c r="B46" s="43">
        <v>148.17</v>
      </c>
      <c r="C46" s="45">
        <v>3952</v>
      </c>
      <c r="D46" s="51">
        <v>155</v>
      </c>
      <c r="E46" s="46">
        <v>0</v>
      </c>
      <c r="F46" s="47">
        <v>0</v>
      </c>
      <c r="G46" s="47">
        <v>6</v>
      </c>
      <c r="H46" s="47">
        <v>1</v>
      </c>
      <c r="I46" s="11">
        <f t="shared" si="0"/>
        <v>0.0392206477732794</v>
      </c>
      <c r="J46" s="12">
        <f t="shared" si="1"/>
        <v>0.955935483870968</v>
      </c>
      <c r="K46" s="12">
        <f t="shared" si="2"/>
        <v>37.4924089068826</v>
      </c>
      <c r="L46" s="12">
        <f t="shared" si="3"/>
        <v>0</v>
      </c>
      <c r="M46" s="13">
        <f t="shared" si="4"/>
        <v>0</v>
      </c>
    </row>
    <row r="47" ht="13.85" spans="1:13">
      <c r="A47" s="42">
        <v>45206</v>
      </c>
      <c r="B47" s="43">
        <f>41.79+98.43</f>
        <v>140.22</v>
      </c>
      <c r="C47" s="45">
        <v>2623</v>
      </c>
      <c r="D47" s="51">
        <v>112</v>
      </c>
      <c r="E47" s="46">
        <v>1</v>
      </c>
      <c r="F47" s="47">
        <v>9.9</v>
      </c>
      <c r="G47" s="47">
        <v>2</v>
      </c>
      <c r="H47" s="47">
        <v>0</v>
      </c>
      <c r="I47" s="11">
        <f t="shared" si="0"/>
        <v>0.0426991993900114</v>
      </c>
      <c r="J47" s="12">
        <f t="shared" si="1"/>
        <v>1.25196428571429</v>
      </c>
      <c r="K47" s="12">
        <f t="shared" si="2"/>
        <v>53.4578726648875</v>
      </c>
      <c r="L47" s="12">
        <f t="shared" si="3"/>
        <v>0.0706033376123235</v>
      </c>
      <c r="M47" s="13">
        <f t="shared" si="4"/>
        <v>0.00892857142857143</v>
      </c>
    </row>
    <row r="48" ht="13.85" spans="1:13">
      <c r="A48" s="42">
        <v>45207</v>
      </c>
      <c r="B48" s="43">
        <f>45.74+99.97</f>
        <v>145.71</v>
      </c>
      <c r="C48" s="45">
        <v>3106</v>
      </c>
      <c r="D48" s="51">
        <v>115</v>
      </c>
      <c r="E48" s="46">
        <v>0</v>
      </c>
      <c r="F48" s="47">
        <v>0</v>
      </c>
      <c r="G48" s="47">
        <v>5</v>
      </c>
      <c r="H48" s="47">
        <v>0</v>
      </c>
      <c r="I48" s="11">
        <f t="shared" si="0"/>
        <v>0.0370251126851256</v>
      </c>
      <c r="J48" s="12">
        <f t="shared" si="1"/>
        <v>1.26704347826087</v>
      </c>
      <c r="K48" s="12">
        <f t="shared" si="2"/>
        <v>46.9124275595621</v>
      </c>
      <c r="L48" s="12">
        <f t="shared" si="3"/>
        <v>0</v>
      </c>
      <c r="M48" s="13">
        <f t="shared" si="4"/>
        <v>0</v>
      </c>
    </row>
    <row r="49" ht="13.85" spans="1:13">
      <c r="A49" s="42">
        <v>45208</v>
      </c>
      <c r="B49" s="43">
        <f>48.36+100</f>
        <v>148.36</v>
      </c>
      <c r="C49" s="45">
        <v>2501</v>
      </c>
      <c r="D49" s="51">
        <v>92</v>
      </c>
      <c r="E49" s="46">
        <v>0</v>
      </c>
      <c r="F49" s="47">
        <v>0</v>
      </c>
      <c r="G49" s="47">
        <v>5</v>
      </c>
      <c r="H49" s="47">
        <v>1</v>
      </c>
      <c r="I49" s="11">
        <f t="shared" si="0"/>
        <v>0.0367852858856457</v>
      </c>
      <c r="J49" s="12">
        <f t="shared" si="1"/>
        <v>1.61260869565217</v>
      </c>
      <c r="K49" s="12">
        <f t="shared" si="2"/>
        <v>59.3202718912435</v>
      </c>
      <c r="L49" s="12">
        <f t="shared" si="3"/>
        <v>0</v>
      </c>
      <c r="M49" s="13">
        <f t="shared" si="4"/>
        <v>0</v>
      </c>
    </row>
    <row r="50" ht="13.85" spans="1:13">
      <c r="A50" s="52">
        <v>45209</v>
      </c>
      <c r="B50" s="53">
        <f>100+32.33</f>
        <v>132.33</v>
      </c>
      <c r="C50" s="54">
        <f>1282+901</f>
        <v>2183</v>
      </c>
      <c r="D50" s="54">
        <f>83+22</f>
        <v>105</v>
      </c>
      <c r="E50" s="47">
        <v>1</v>
      </c>
      <c r="F50" s="47">
        <v>9.9</v>
      </c>
      <c r="G50" s="47">
        <v>5</v>
      </c>
      <c r="H50" s="47">
        <v>1</v>
      </c>
      <c r="I50" s="11">
        <f t="shared" si="0"/>
        <v>0.0480989464040312</v>
      </c>
      <c r="J50" s="12">
        <f t="shared" si="1"/>
        <v>1.26028571428571</v>
      </c>
      <c r="K50" s="12">
        <f t="shared" si="2"/>
        <v>60.6184150251947</v>
      </c>
      <c r="L50" s="12">
        <f t="shared" si="3"/>
        <v>0.0748129675810474</v>
      </c>
      <c r="M50" s="13">
        <f t="shared" si="4"/>
        <v>0.00952380952380952</v>
      </c>
    </row>
    <row r="51" ht="13.85" spans="1:13">
      <c r="A51" s="52">
        <v>45210</v>
      </c>
      <c r="B51" s="55">
        <f>48.55+100</f>
        <v>148.55</v>
      </c>
      <c r="C51" s="54">
        <f>801+872</f>
        <v>1673</v>
      </c>
      <c r="D51" s="54">
        <f>29+67</f>
        <v>96</v>
      </c>
      <c r="E51" s="56">
        <v>1</v>
      </c>
      <c r="F51" s="56">
        <v>3800</v>
      </c>
      <c r="G51" s="56">
        <v>2</v>
      </c>
      <c r="H51" s="56">
        <v>1</v>
      </c>
      <c r="I51" s="11">
        <f t="shared" si="0"/>
        <v>0.0573819485953377</v>
      </c>
      <c r="J51" s="12">
        <f t="shared" si="1"/>
        <v>1.54739583333333</v>
      </c>
      <c r="K51" s="12">
        <f t="shared" si="2"/>
        <v>88.7925881649731</v>
      </c>
      <c r="L51" s="12">
        <f t="shared" si="3"/>
        <v>25.5806125883541</v>
      </c>
      <c r="M51" s="13">
        <f t="shared" si="4"/>
        <v>0.0104166666666667</v>
      </c>
    </row>
    <row r="52" ht="13.85" spans="1:13">
      <c r="A52" s="52">
        <v>45211</v>
      </c>
      <c r="B52" s="57">
        <f>100+24.16</f>
        <v>124.16</v>
      </c>
      <c r="C52" s="56">
        <f>1171+399</f>
        <v>1570</v>
      </c>
      <c r="D52" s="56">
        <f>72+15</f>
        <v>87</v>
      </c>
      <c r="E52" s="56">
        <v>0</v>
      </c>
      <c r="F52" s="56">
        <v>0</v>
      </c>
      <c r="G52" s="56">
        <v>1</v>
      </c>
      <c r="H52" s="56">
        <v>2</v>
      </c>
      <c r="I52" s="11">
        <f t="shared" si="0"/>
        <v>0.0554140127388535</v>
      </c>
      <c r="J52" s="12">
        <f t="shared" si="1"/>
        <v>1.42712643678161</v>
      </c>
      <c r="K52" s="12">
        <f t="shared" si="2"/>
        <v>79.0828025477707</v>
      </c>
      <c r="L52" s="12">
        <f t="shared" si="3"/>
        <v>0</v>
      </c>
      <c r="M52" s="13">
        <f t="shared" si="4"/>
        <v>0</v>
      </c>
    </row>
    <row r="53" ht="13.85" spans="1:13">
      <c r="A53" s="42">
        <v>45212</v>
      </c>
      <c r="B53" s="58">
        <v>99.07</v>
      </c>
      <c r="C53" s="59">
        <v>1019</v>
      </c>
      <c r="D53" s="59">
        <v>66</v>
      </c>
      <c r="E53" s="56">
        <v>0</v>
      </c>
      <c r="F53" s="56">
        <v>0</v>
      </c>
      <c r="G53" s="56">
        <v>4</v>
      </c>
      <c r="H53" s="56">
        <v>0</v>
      </c>
      <c r="I53" s="11">
        <f t="shared" si="0"/>
        <v>0.0647693817468106</v>
      </c>
      <c r="J53" s="12">
        <f t="shared" si="1"/>
        <v>1.50106060606061</v>
      </c>
      <c r="K53" s="12">
        <f t="shared" si="2"/>
        <v>97.2227674190383</v>
      </c>
      <c r="L53" s="12">
        <f t="shared" si="3"/>
        <v>0</v>
      </c>
      <c r="M53" s="13">
        <f t="shared" si="4"/>
        <v>0</v>
      </c>
    </row>
    <row r="54" ht="13.85" spans="1:13">
      <c r="A54" s="42">
        <v>45213</v>
      </c>
      <c r="B54" s="58">
        <v>98.13</v>
      </c>
      <c r="C54" s="59">
        <v>1079</v>
      </c>
      <c r="D54" s="59">
        <v>83</v>
      </c>
      <c r="E54" s="56">
        <v>0</v>
      </c>
      <c r="F54" s="56">
        <v>0</v>
      </c>
      <c r="G54" s="56">
        <v>5</v>
      </c>
      <c r="H54" s="56">
        <v>2</v>
      </c>
      <c r="I54" s="11">
        <f t="shared" si="0"/>
        <v>0.0769230769230769</v>
      </c>
      <c r="J54" s="12">
        <f t="shared" si="1"/>
        <v>1.18228915662651</v>
      </c>
      <c r="K54" s="12">
        <f t="shared" si="2"/>
        <v>90.9453197405005</v>
      </c>
      <c r="L54" s="12">
        <f t="shared" si="3"/>
        <v>0</v>
      </c>
      <c r="M54" s="13">
        <f t="shared" si="4"/>
        <v>0</v>
      </c>
    </row>
    <row r="55" ht="13.85" spans="1:13">
      <c r="A55" s="42">
        <v>45214</v>
      </c>
      <c r="B55" s="58">
        <v>99.53</v>
      </c>
      <c r="C55" s="59">
        <v>1082</v>
      </c>
      <c r="D55" s="59">
        <v>60</v>
      </c>
      <c r="E55" s="56">
        <v>0</v>
      </c>
      <c r="F55" s="56">
        <v>0</v>
      </c>
      <c r="G55" s="56">
        <v>5</v>
      </c>
      <c r="H55" s="56">
        <v>0</v>
      </c>
      <c r="I55" s="11">
        <f t="shared" si="0"/>
        <v>0.055452865064695</v>
      </c>
      <c r="J55" s="12">
        <f t="shared" si="1"/>
        <v>1.65883333333333</v>
      </c>
      <c r="K55" s="12">
        <f t="shared" si="2"/>
        <v>91.9870609981516</v>
      </c>
      <c r="L55" s="12">
        <f t="shared" si="3"/>
        <v>0</v>
      </c>
      <c r="M55" s="13">
        <f t="shared" si="4"/>
        <v>0</v>
      </c>
    </row>
    <row r="56" ht="13.85" spans="1:13">
      <c r="A56" s="42">
        <v>45215</v>
      </c>
      <c r="B56" s="58">
        <v>100</v>
      </c>
      <c r="C56" s="59">
        <v>2121</v>
      </c>
      <c r="D56" s="59">
        <v>68</v>
      </c>
      <c r="E56" s="56">
        <v>0</v>
      </c>
      <c r="F56" s="56">
        <v>0</v>
      </c>
      <c r="G56" s="56">
        <v>3</v>
      </c>
      <c r="H56" s="56">
        <v>0</v>
      </c>
      <c r="I56" s="11">
        <f t="shared" si="0"/>
        <v>0.0320603488920321</v>
      </c>
      <c r="J56" s="12">
        <f t="shared" si="1"/>
        <v>1.47058823529412</v>
      </c>
      <c r="K56" s="12">
        <f t="shared" si="2"/>
        <v>47.1475719000471</v>
      </c>
      <c r="L56" s="12">
        <f t="shared" si="3"/>
        <v>0</v>
      </c>
      <c r="M56" s="13">
        <f t="shared" si="4"/>
        <v>0</v>
      </c>
    </row>
    <row r="57" ht="13.85" spans="1:13">
      <c r="A57" s="42">
        <v>45216</v>
      </c>
      <c r="B57" s="60">
        <f>100+24.6</f>
        <v>124.6</v>
      </c>
      <c r="C57" s="61">
        <f>1919+721</f>
        <v>2640</v>
      </c>
      <c r="D57" s="61">
        <f>87+13</f>
        <v>100</v>
      </c>
      <c r="E57" s="56">
        <v>0</v>
      </c>
      <c r="F57" s="56">
        <v>0</v>
      </c>
      <c r="G57" s="56">
        <v>1</v>
      </c>
      <c r="H57" s="56">
        <v>1</v>
      </c>
      <c r="I57" s="11">
        <f t="shared" si="0"/>
        <v>0.0378787878787879</v>
      </c>
      <c r="J57" s="12">
        <f t="shared" si="1"/>
        <v>1.246</v>
      </c>
      <c r="K57" s="12">
        <f t="shared" si="2"/>
        <v>47.1969696969697</v>
      </c>
      <c r="L57" s="12">
        <f t="shared" si="3"/>
        <v>0</v>
      </c>
      <c r="M57" s="13">
        <f t="shared" si="4"/>
        <v>0</v>
      </c>
    </row>
    <row r="58" ht="13.85" spans="1:13">
      <c r="A58" s="42">
        <v>45217</v>
      </c>
      <c r="B58" s="62">
        <f>100+48.75</f>
        <v>148.75</v>
      </c>
      <c r="C58" s="61">
        <f>3272+518</f>
        <v>3790</v>
      </c>
      <c r="D58" s="61">
        <f>105+20</f>
        <v>125</v>
      </c>
      <c r="E58" s="63">
        <v>0</v>
      </c>
      <c r="F58" s="56">
        <v>0</v>
      </c>
      <c r="G58" s="56">
        <v>2</v>
      </c>
      <c r="H58" s="56">
        <v>1</v>
      </c>
      <c r="I58" s="11">
        <f t="shared" si="0"/>
        <v>0.0329815303430079</v>
      </c>
      <c r="J58" s="12">
        <f t="shared" si="1"/>
        <v>1.19</v>
      </c>
      <c r="K58" s="12">
        <f t="shared" si="2"/>
        <v>39.2480211081794</v>
      </c>
      <c r="L58" s="12">
        <f t="shared" si="3"/>
        <v>0</v>
      </c>
      <c r="M58" s="13">
        <f t="shared" si="4"/>
        <v>0</v>
      </c>
    </row>
    <row r="59" ht="13.85" spans="1:13">
      <c r="A59" s="42">
        <v>45218</v>
      </c>
      <c r="B59" s="64">
        <f>100+48.91</f>
        <v>148.91</v>
      </c>
      <c r="C59" s="65">
        <f>3140+1586</f>
        <v>4726</v>
      </c>
      <c r="D59" s="65">
        <f>32+105</f>
        <v>137</v>
      </c>
      <c r="E59" s="63">
        <v>0</v>
      </c>
      <c r="F59" s="63">
        <v>0</v>
      </c>
      <c r="G59" s="63">
        <v>1</v>
      </c>
      <c r="H59" s="63">
        <v>0</v>
      </c>
      <c r="I59" s="11">
        <f t="shared" si="0"/>
        <v>0.0289885738468049</v>
      </c>
      <c r="J59" s="12">
        <f t="shared" si="1"/>
        <v>1.08693430656934</v>
      </c>
      <c r="K59" s="12">
        <f t="shared" si="2"/>
        <v>31.5086754126111</v>
      </c>
      <c r="L59" s="12">
        <f t="shared" si="3"/>
        <v>0</v>
      </c>
      <c r="M59" s="13">
        <f t="shared" si="4"/>
        <v>0</v>
      </c>
    </row>
    <row r="60" ht="13.85" spans="1:13">
      <c r="A60" s="42">
        <v>45219</v>
      </c>
      <c r="B60" s="66">
        <f>49.99+100</f>
        <v>149.99</v>
      </c>
      <c r="C60" s="67">
        <f>4136+953</f>
        <v>5089</v>
      </c>
      <c r="D60" s="68">
        <f>37+82</f>
        <v>119</v>
      </c>
      <c r="E60" s="56">
        <v>0</v>
      </c>
      <c r="F60" s="56">
        <v>0</v>
      </c>
      <c r="G60" s="56">
        <v>1</v>
      </c>
      <c r="H60" s="56">
        <v>0</v>
      </c>
      <c r="I60" s="69">
        <f t="shared" si="0"/>
        <v>0.0233837689133425</v>
      </c>
      <c r="J60" s="70">
        <f t="shared" si="1"/>
        <v>1.26042016806723</v>
      </c>
      <c r="K60" s="70">
        <f t="shared" si="2"/>
        <v>29.4733739438004</v>
      </c>
      <c r="L60" s="70">
        <f t="shared" si="3"/>
        <v>0</v>
      </c>
      <c r="M60" s="71">
        <f t="shared" si="4"/>
        <v>0</v>
      </c>
    </row>
    <row r="61" ht="13.85" spans="1:13">
      <c r="A61" s="42">
        <v>45220</v>
      </c>
      <c r="B61" s="72">
        <f>45.49+100</f>
        <v>145.49</v>
      </c>
      <c r="C61" s="73">
        <f>866+883</f>
        <v>1749</v>
      </c>
      <c r="D61" s="74">
        <f>25+90</f>
        <v>115</v>
      </c>
      <c r="E61" s="56">
        <v>0</v>
      </c>
      <c r="F61" s="56">
        <v>0</v>
      </c>
      <c r="G61" s="56">
        <v>10</v>
      </c>
      <c r="H61" s="56">
        <v>3</v>
      </c>
      <c r="I61" s="69">
        <f t="shared" si="0"/>
        <v>0.0657518582046884</v>
      </c>
      <c r="J61" s="70">
        <f t="shared" si="1"/>
        <v>1.26513043478261</v>
      </c>
      <c r="K61" s="70">
        <f t="shared" si="2"/>
        <v>83.1846769582619</v>
      </c>
      <c r="L61" s="70">
        <f t="shared" si="3"/>
        <v>0</v>
      </c>
      <c r="M61" s="71">
        <f t="shared" si="4"/>
        <v>0</v>
      </c>
    </row>
    <row r="62" ht="13.85" spans="1:13">
      <c r="A62" s="42">
        <v>45221</v>
      </c>
      <c r="B62" s="75">
        <f>47.28+99.81</f>
        <v>147.09</v>
      </c>
      <c r="C62" s="76">
        <f>455+1052</f>
        <v>1507</v>
      </c>
      <c r="D62" s="77">
        <f>19+92</f>
        <v>111</v>
      </c>
      <c r="E62" s="56">
        <v>0</v>
      </c>
      <c r="F62" s="56">
        <v>0</v>
      </c>
      <c r="G62" s="56">
        <v>13</v>
      </c>
      <c r="H62" s="56">
        <v>1</v>
      </c>
      <c r="I62" s="69">
        <f t="shared" si="0"/>
        <v>0.0736562707365627</v>
      </c>
      <c r="J62" s="70">
        <f t="shared" si="1"/>
        <v>1.32513513513514</v>
      </c>
      <c r="K62" s="70">
        <f t="shared" si="2"/>
        <v>97.6045122760451</v>
      </c>
      <c r="L62" s="70">
        <f t="shared" si="3"/>
        <v>0</v>
      </c>
      <c r="M62" s="71">
        <f t="shared" si="4"/>
        <v>0</v>
      </c>
    </row>
    <row r="63" ht="13.85" spans="1:13">
      <c r="A63" s="42">
        <v>45222</v>
      </c>
      <c r="B63" s="78">
        <f>48.48+100</f>
        <v>148.48</v>
      </c>
      <c r="C63" s="76">
        <f>697+533</f>
        <v>1230</v>
      </c>
      <c r="D63" s="77">
        <f>69+25</f>
        <v>94</v>
      </c>
      <c r="E63" s="56">
        <v>0</v>
      </c>
      <c r="F63" s="56">
        <v>0</v>
      </c>
      <c r="G63" s="56">
        <v>4</v>
      </c>
      <c r="H63" s="56">
        <v>4</v>
      </c>
      <c r="I63" s="69">
        <f t="shared" si="0"/>
        <v>0.0764227642276423</v>
      </c>
      <c r="J63" s="70">
        <f t="shared" si="1"/>
        <v>1.57957446808511</v>
      </c>
      <c r="K63" s="70">
        <f t="shared" si="2"/>
        <v>120.715447154472</v>
      </c>
      <c r="L63" s="70">
        <f t="shared" si="3"/>
        <v>0</v>
      </c>
      <c r="M63" s="71">
        <f t="shared" si="4"/>
        <v>0</v>
      </c>
    </row>
    <row r="64" ht="13.85" spans="1:13">
      <c r="A64" s="42">
        <v>45223</v>
      </c>
      <c r="B64" s="79">
        <v>146.62</v>
      </c>
      <c r="C64" s="80">
        <f>428+606</f>
        <v>1034</v>
      </c>
      <c r="D64" s="56">
        <v>84</v>
      </c>
      <c r="E64" s="81">
        <v>1</v>
      </c>
      <c r="F64" s="80">
        <v>15597</v>
      </c>
      <c r="G64" s="56">
        <v>1</v>
      </c>
      <c r="H64" s="56">
        <v>0</v>
      </c>
      <c r="I64" s="69">
        <f t="shared" si="0"/>
        <v>0.0812379110251451</v>
      </c>
      <c r="J64" s="70">
        <f t="shared" si="1"/>
        <v>1.74547619047619</v>
      </c>
      <c r="K64" s="70">
        <f t="shared" si="2"/>
        <v>141.798839458414</v>
      </c>
      <c r="L64" s="70">
        <f t="shared" si="3"/>
        <v>106.377029054699</v>
      </c>
      <c r="M64" s="71">
        <f t="shared" si="4"/>
        <v>0.0119047619047619</v>
      </c>
    </row>
    <row r="65" ht="13.85" spans="1:13">
      <c r="A65" s="42">
        <v>45224</v>
      </c>
      <c r="B65" s="79">
        <v>3536.38</v>
      </c>
      <c r="C65" s="82">
        <f>620+968</f>
        <v>1588</v>
      </c>
      <c r="D65" s="56">
        <v>615</v>
      </c>
      <c r="E65" s="81">
        <v>2</v>
      </c>
      <c r="F65" s="83">
        <f>2000+2000</f>
        <v>4000</v>
      </c>
      <c r="G65" s="56">
        <v>1</v>
      </c>
      <c r="H65" s="56">
        <v>11</v>
      </c>
      <c r="I65" s="69">
        <f t="shared" si="0"/>
        <v>0.38727959697733</v>
      </c>
      <c r="J65" s="70">
        <f t="shared" si="1"/>
        <v>5.75021138211382</v>
      </c>
      <c r="K65" s="70">
        <f t="shared" si="2"/>
        <v>2226.9395465995</v>
      </c>
      <c r="L65" s="70">
        <f t="shared" si="3"/>
        <v>1.13110016457507</v>
      </c>
      <c r="M65" s="71">
        <f t="shared" si="4"/>
        <v>0.0032520325203252</v>
      </c>
    </row>
    <row r="66" ht="13.85" spans="1:13">
      <c r="A66" s="42">
        <v>45225</v>
      </c>
      <c r="B66" s="79">
        <v>150</v>
      </c>
      <c r="C66" s="82">
        <f>901+711</f>
        <v>1612</v>
      </c>
      <c r="D66" s="56">
        <v>121</v>
      </c>
      <c r="E66" s="81">
        <v>2</v>
      </c>
      <c r="F66" s="83">
        <v>32192</v>
      </c>
      <c r="G66" s="56">
        <v>1</v>
      </c>
      <c r="H66" s="56">
        <v>4</v>
      </c>
      <c r="I66" s="69">
        <f t="shared" ref="I66:I129" si="5">D66/C66</f>
        <v>0.0750620347394541</v>
      </c>
      <c r="J66" s="70">
        <f t="shared" ref="J66:J129" si="6">B66/D66</f>
        <v>1.2396694214876</v>
      </c>
      <c r="K66" s="70">
        <f t="shared" ref="K66:K129" si="7">B66/C66*1000</f>
        <v>93.0521091811414</v>
      </c>
      <c r="L66" s="70">
        <f t="shared" ref="L66:L129" si="8">F66/B66</f>
        <v>214.613333333333</v>
      </c>
      <c r="M66" s="71">
        <f t="shared" ref="M66:M129" si="9">E66/D66</f>
        <v>0.0165289256198347</v>
      </c>
    </row>
    <row r="67" ht="13.85" spans="1:13">
      <c r="A67" s="42">
        <v>45226</v>
      </c>
      <c r="B67" s="79">
        <v>145</v>
      </c>
      <c r="C67" s="82">
        <f>985+670</f>
        <v>1655</v>
      </c>
      <c r="D67" s="56">
        <v>128</v>
      </c>
      <c r="E67" s="56">
        <v>0</v>
      </c>
      <c r="F67" s="56">
        <v>0</v>
      </c>
      <c r="G67" s="56">
        <v>1</v>
      </c>
      <c r="H67" s="56">
        <v>5</v>
      </c>
      <c r="I67" s="69">
        <f t="shared" si="5"/>
        <v>0.0773413897280967</v>
      </c>
      <c r="J67" s="70">
        <f t="shared" si="6"/>
        <v>1.1328125</v>
      </c>
      <c r="K67" s="70">
        <f t="shared" si="7"/>
        <v>87.6132930513595</v>
      </c>
      <c r="L67" s="70">
        <f t="shared" si="8"/>
        <v>0</v>
      </c>
      <c r="M67" s="71">
        <f t="shared" si="9"/>
        <v>0</v>
      </c>
    </row>
    <row r="68" ht="13.85" spans="1:13">
      <c r="A68" s="42">
        <v>45227</v>
      </c>
      <c r="B68" s="79">
        <f>100+44.57+47.98</f>
        <v>192.55</v>
      </c>
      <c r="C68" s="81">
        <f>541+2191+1055</f>
        <v>3787</v>
      </c>
      <c r="D68" s="56">
        <v>191</v>
      </c>
      <c r="E68" s="56">
        <v>1</v>
      </c>
      <c r="F68" s="82">
        <v>11907</v>
      </c>
      <c r="G68" s="56">
        <v>2</v>
      </c>
      <c r="H68" s="56">
        <v>4</v>
      </c>
      <c r="I68" s="69">
        <f t="shared" si="5"/>
        <v>0.0504357010826512</v>
      </c>
      <c r="J68" s="70">
        <f t="shared" si="6"/>
        <v>1.00811518324607</v>
      </c>
      <c r="K68" s="70">
        <f t="shared" si="7"/>
        <v>50.8449960390811</v>
      </c>
      <c r="L68" s="70">
        <f t="shared" si="8"/>
        <v>61.8384835107764</v>
      </c>
      <c r="M68" s="71">
        <f t="shared" si="9"/>
        <v>0.00523560209424084</v>
      </c>
    </row>
    <row r="69" ht="13.85" spans="1:13">
      <c r="A69" s="42">
        <v>45228</v>
      </c>
      <c r="B69" s="79">
        <v>146.63</v>
      </c>
      <c r="C69" s="83">
        <f>1102+645</f>
        <v>1747</v>
      </c>
      <c r="D69" s="56">
        <v>98</v>
      </c>
      <c r="E69" s="56">
        <v>0</v>
      </c>
      <c r="F69" s="56">
        <v>0</v>
      </c>
      <c r="G69" s="56">
        <v>0</v>
      </c>
      <c r="H69" s="56">
        <v>1</v>
      </c>
      <c r="I69" s="69">
        <f t="shared" si="5"/>
        <v>0.0560961648540355</v>
      </c>
      <c r="J69" s="70">
        <f t="shared" si="6"/>
        <v>1.49622448979592</v>
      </c>
      <c r="K69" s="70">
        <f t="shared" si="7"/>
        <v>83.932455638237</v>
      </c>
      <c r="L69" s="70">
        <f t="shared" si="8"/>
        <v>0</v>
      </c>
      <c r="M69" s="71">
        <f t="shared" si="9"/>
        <v>0</v>
      </c>
    </row>
    <row r="70" ht="13.85" spans="1:13">
      <c r="A70" s="42">
        <v>45229</v>
      </c>
      <c r="B70" s="79">
        <v>691.99</v>
      </c>
      <c r="C70" s="83">
        <f>742+709</f>
        <v>1451</v>
      </c>
      <c r="D70" s="56">
        <v>236</v>
      </c>
      <c r="E70" s="56">
        <v>0</v>
      </c>
      <c r="F70" s="56">
        <v>0</v>
      </c>
      <c r="G70" s="56">
        <v>4</v>
      </c>
      <c r="H70" s="56">
        <v>1</v>
      </c>
      <c r="I70" s="84">
        <f t="shared" si="5"/>
        <v>0.162646450723639</v>
      </c>
      <c r="J70" s="70">
        <f t="shared" si="6"/>
        <v>2.93216101694915</v>
      </c>
      <c r="K70" s="70">
        <f t="shared" si="7"/>
        <v>476.905582356995</v>
      </c>
      <c r="L70" s="70">
        <f t="shared" si="8"/>
        <v>0</v>
      </c>
      <c r="M70" s="71">
        <f t="shared" si="9"/>
        <v>0</v>
      </c>
    </row>
    <row r="71" ht="13.85" spans="1:13">
      <c r="A71" s="42">
        <v>45230</v>
      </c>
      <c r="B71" s="79">
        <f>335.21+496.38+500</f>
        <v>1331.59</v>
      </c>
      <c r="C71" s="83">
        <f>2891+2460+2274</f>
        <v>7625</v>
      </c>
      <c r="D71" s="56">
        <v>369</v>
      </c>
      <c r="E71" s="56">
        <v>0</v>
      </c>
      <c r="F71" s="56">
        <v>0</v>
      </c>
      <c r="G71" s="56">
        <v>9</v>
      </c>
      <c r="H71" s="56">
        <v>2</v>
      </c>
      <c r="I71" s="84">
        <f t="shared" si="5"/>
        <v>0.0483934426229508</v>
      </c>
      <c r="J71" s="70">
        <f t="shared" si="6"/>
        <v>3.60864498644986</v>
      </c>
      <c r="K71" s="70">
        <f t="shared" si="7"/>
        <v>174.634754098361</v>
      </c>
      <c r="L71" s="70">
        <f t="shared" si="8"/>
        <v>0</v>
      </c>
      <c r="M71" s="71">
        <f t="shared" si="9"/>
        <v>0</v>
      </c>
    </row>
    <row r="72" ht="13.85" spans="1:13">
      <c r="A72" s="42">
        <v>45231</v>
      </c>
      <c r="B72" s="79">
        <v>989.49</v>
      </c>
      <c r="C72" s="83">
        <f>1148+714</f>
        <v>1862</v>
      </c>
      <c r="D72" s="56">
        <v>261</v>
      </c>
      <c r="E72" s="56">
        <v>0</v>
      </c>
      <c r="F72" s="56">
        <v>0</v>
      </c>
      <c r="G72" s="56">
        <v>3</v>
      </c>
      <c r="H72" s="56">
        <v>1</v>
      </c>
      <c r="I72" s="84">
        <f t="shared" si="5"/>
        <v>0.140171858216971</v>
      </c>
      <c r="J72" s="70">
        <f t="shared" si="6"/>
        <v>3.79114942528736</v>
      </c>
      <c r="K72" s="70">
        <f t="shared" si="7"/>
        <v>531.41245972073</v>
      </c>
      <c r="L72" s="70">
        <f t="shared" si="8"/>
        <v>0</v>
      </c>
      <c r="M72" s="71">
        <f t="shared" si="9"/>
        <v>0</v>
      </c>
    </row>
    <row r="73" ht="13.85" spans="1:13">
      <c r="A73" s="42">
        <v>45232</v>
      </c>
      <c r="B73" s="85">
        <f>94.29+99.35+48.3</f>
        <v>241.94</v>
      </c>
      <c r="C73" s="83">
        <f>2295+964</f>
        <v>3259</v>
      </c>
      <c r="D73" s="56">
        <v>147</v>
      </c>
      <c r="E73" s="56">
        <v>0</v>
      </c>
      <c r="F73" s="56">
        <v>0</v>
      </c>
      <c r="G73" s="56">
        <v>10</v>
      </c>
      <c r="H73" s="56">
        <v>2</v>
      </c>
      <c r="I73" s="84">
        <f t="shared" si="5"/>
        <v>0.0451058606934643</v>
      </c>
      <c r="J73" s="70">
        <f t="shared" si="6"/>
        <v>1.64585034013605</v>
      </c>
      <c r="K73" s="70">
        <f t="shared" si="7"/>
        <v>74.2374961644676</v>
      </c>
      <c r="L73" s="70">
        <f t="shared" si="8"/>
        <v>0</v>
      </c>
      <c r="M73" s="71">
        <f t="shared" si="9"/>
        <v>0</v>
      </c>
    </row>
    <row r="74" ht="13.85" spans="1:13">
      <c r="A74" s="42">
        <v>45233</v>
      </c>
      <c r="B74" s="79">
        <f>99.37+49.99+62.26</f>
        <v>211.62</v>
      </c>
      <c r="C74" s="83">
        <f>3369+932</f>
        <v>4301</v>
      </c>
      <c r="D74" s="56">
        <v>188</v>
      </c>
      <c r="E74" s="56">
        <v>0</v>
      </c>
      <c r="F74" s="56">
        <v>0</v>
      </c>
      <c r="G74" s="56">
        <v>8</v>
      </c>
      <c r="H74" s="56">
        <v>1</v>
      </c>
      <c r="I74" s="84">
        <f t="shared" si="5"/>
        <v>0.0437107649383864</v>
      </c>
      <c r="J74" s="70">
        <f t="shared" si="6"/>
        <v>1.12563829787234</v>
      </c>
      <c r="K74" s="70">
        <f t="shared" si="7"/>
        <v>49.2025110439433</v>
      </c>
      <c r="L74" s="70">
        <f t="shared" si="8"/>
        <v>0</v>
      </c>
      <c r="M74" s="71">
        <f t="shared" si="9"/>
        <v>0</v>
      </c>
    </row>
    <row r="75" ht="13.85" spans="1:13">
      <c r="A75" s="42">
        <v>45234</v>
      </c>
      <c r="B75" s="86">
        <f>90.1+99.32+47.5</f>
        <v>236.92</v>
      </c>
      <c r="C75" s="87">
        <f>3296+910+2262</f>
        <v>6468</v>
      </c>
      <c r="D75" s="56">
        <v>250</v>
      </c>
      <c r="E75" s="56">
        <v>0</v>
      </c>
      <c r="F75" s="56">
        <v>0</v>
      </c>
      <c r="G75" s="56">
        <v>12</v>
      </c>
      <c r="H75" s="56">
        <v>2</v>
      </c>
      <c r="I75" s="84">
        <f t="shared" si="5"/>
        <v>0.0386518243661101</v>
      </c>
      <c r="J75" s="70">
        <f t="shared" si="6"/>
        <v>0.94768</v>
      </c>
      <c r="K75" s="70">
        <f t="shared" si="7"/>
        <v>36.6295609152752</v>
      </c>
      <c r="L75" s="70">
        <f t="shared" si="8"/>
        <v>0</v>
      </c>
      <c r="M75" s="71">
        <f t="shared" si="9"/>
        <v>0</v>
      </c>
    </row>
    <row r="76" ht="13.85" spans="1:13">
      <c r="A76" s="42">
        <v>45235</v>
      </c>
      <c r="B76" s="79">
        <f>179.28+49.51</f>
        <v>228.79</v>
      </c>
      <c r="C76" s="87">
        <f>3557+1292+2456</f>
        <v>7305</v>
      </c>
      <c r="D76" s="56">
        <v>295</v>
      </c>
      <c r="E76" s="31">
        <v>8</v>
      </c>
      <c r="F76" s="82">
        <v>126435</v>
      </c>
      <c r="G76" s="56">
        <v>27</v>
      </c>
      <c r="H76" s="56">
        <v>2</v>
      </c>
      <c r="I76" s="84">
        <f t="shared" si="5"/>
        <v>0.0403832991101985</v>
      </c>
      <c r="J76" s="70">
        <f t="shared" si="6"/>
        <v>0.775559322033898</v>
      </c>
      <c r="K76" s="70">
        <f t="shared" si="7"/>
        <v>31.3196440793977</v>
      </c>
      <c r="L76" s="70">
        <f t="shared" si="8"/>
        <v>552.624677651995</v>
      </c>
      <c r="M76" s="71">
        <f t="shared" si="9"/>
        <v>0.0271186440677966</v>
      </c>
    </row>
    <row r="77" ht="13.85" spans="1:13">
      <c r="A77" s="42">
        <v>45236</v>
      </c>
      <c r="B77" s="86">
        <f>80.18+99.1+49.51</f>
        <v>228.79</v>
      </c>
      <c r="C77" s="87">
        <f>2916+1376+1729</f>
        <v>6021</v>
      </c>
      <c r="D77" s="56">
        <v>295</v>
      </c>
      <c r="E77" s="56">
        <v>0</v>
      </c>
      <c r="F77" s="82">
        <v>0</v>
      </c>
      <c r="G77" s="56">
        <v>11</v>
      </c>
      <c r="H77" s="56">
        <v>2</v>
      </c>
      <c r="I77" s="84">
        <f t="shared" si="5"/>
        <v>0.0489951835243315</v>
      </c>
      <c r="J77" s="70">
        <f t="shared" si="6"/>
        <v>0.775559322033898</v>
      </c>
      <c r="K77" s="70">
        <f t="shared" si="7"/>
        <v>37.998671317057</v>
      </c>
      <c r="L77" s="70">
        <f t="shared" si="8"/>
        <v>0</v>
      </c>
      <c r="M77" s="71">
        <f t="shared" si="9"/>
        <v>0</v>
      </c>
    </row>
    <row r="78" ht="13.85" spans="1:13">
      <c r="A78" s="42">
        <v>45237</v>
      </c>
      <c r="B78" s="86">
        <f>83.7+198.18+48.9</f>
        <v>330.78</v>
      </c>
      <c r="C78" s="87">
        <f>2945+3239+495</f>
        <v>6679</v>
      </c>
      <c r="D78" s="82">
        <f>69+179+20</f>
        <v>268</v>
      </c>
      <c r="E78" s="56">
        <v>0</v>
      </c>
      <c r="F78" s="82">
        <v>0</v>
      </c>
      <c r="G78" s="56">
        <v>7</v>
      </c>
      <c r="H78" s="56">
        <v>5</v>
      </c>
      <c r="I78" s="69">
        <f t="shared" si="5"/>
        <v>0.0401257673304387</v>
      </c>
      <c r="J78" s="70">
        <f t="shared" si="6"/>
        <v>1.23425373134328</v>
      </c>
      <c r="K78" s="70">
        <f t="shared" si="7"/>
        <v>49.5253780506064</v>
      </c>
      <c r="L78" s="70">
        <f t="shared" si="8"/>
        <v>0</v>
      </c>
      <c r="M78" s="71">
        <f t="shared" si="9"/>
        <v>0</v>
      </c>
    </row>
    <row r="79" ht="13.85" spans="1:13">
      <c r="A79" s="42">
        <v>45238</v>
      </c>
      <c r="B79" s="57">
        <f>81.65+49.74+200</f>
        <v>331.39</v>
      </c>
      <c r="C79" s="56">
        <f>2790+621+2654</f>
        <v>6065</v>
      </c>
      <c r="D79" s="56">
        <f>47+22+168</f>
        <v>237</v>
      </c>
      <c r="E79" s="56">
        <v>0</v>
      </c>
      <c r="F79" s="82">
        <v>0</v>
      </c>
      <c r="G79" s="56">
        <f>1+2+1</f>
        <v>4</v>
      </c>
      <c r="H79" s="56">
        <v>1</v>
      </c>
      <c r="I79" s="69">
        <f t="shared" si="5"/>
        <v>0.0390766694146744</v>
      </c>
      <c r="J79" s="70">
        <f t="shared" si="6"/>
        <v>1.39827004219409</v>
      </c>
      <c r="K79" s="70">
        <f t="shared" si="7"/>
        <v>54.6397361912613</v>
      </c>
      <c r="L79" s="70">
        <f t="shared" si="8"/>
        <v>0</v>
      </c>
      <c r="M79" s="71">
        <f t="shared" si="9"/>
        <v>0</v>
      </c>
    </row>
    <row r="80" ht="13.85" spans="1:13">
      <c r="A80" s="42">
        <v>45239</v>
      </c>
      <c r="B80" s="88">
        <f>73.46+45.13+144.03+500</f>
        <v>762.62</v>
      </c>
      <c r="C80" s="56">
        <f>3020+763+2204+1545</f>
        <v>7532</v>
      </c>
      <c r="D80" s="56">
        <f>94+121+24+56</f>
        <v>295</v>
      </c>
      <c r="E80" s="56">
        <v>0</v>
      </c>
      <c r="F80" s="82">
        <v>0</v>
      </c>
      <c r="G80" s="56">
        <v>1</v>
      </c>
      <c r="H80" s="56">
        <v>0</v>
      </c>
      <c r="I80" s="69">
        <f t="shared" si="5"/>
        <v>0.039166224110462</v>
      </c>
      <c r="J80" s="70">
        <f t="shared" si="6"/>
        <v>2.58515254237288</v>
      </c>
      <c r="K80" s="70">
        <f t="shared" si="7"/>
        <v>101.250663834307</v>
      </c>
      <c r="L80" s="70">
        <f t="shared" si="8"/>
        <v>0</v>
      </c>
      <c r="M80" s="71">
        <f t="shared" si="9"/>
        <v>0</v>
      </c>
    </row>
    <row r="81" ht="13.85" spans="1:13">
      <c r="A81" s="42">
        <v>45240</v>
      </c>
      <c r="B81" s="86">
        <f>88.57+198.58+47.84</f>
        <v>334.99</v>
      </c>
      <c r="C81" s="87">
        <f>1506+2110+1551</f>
        <v>5167</v>
      </c>
      <c r="D81" s="82">
        <f>33+173+15</f>
        <v>221</v>
      </c>
      <c r="E81" s="81">
        <v>8</v>
      </c>
      <c r="F81" s="80">
        <f>21994.02+24355.02</f>
        <v>46349.04</v>
      </c>
      <c r="G81" s="56">
        <v>10</v>
      </c>
      <c r="H81" s="56">
        <v>2</v>
      </c>
      <c r="I81" s="69">
        <f t="shared" si="5"/>
        <v>0.0427714341010257</v>
      </c>
      <c r="J81" s="70">
        <f t="shared" si="6"/>
        <v>1.51579185520362</v>
      </c>
      <c r="K81" s="70">
        <f t="shared" si="7"/>
        <v>64.8325914457132</v>
      </c>
      <c r="L81" s="70">
        <f t="shared" si="8"/>
        <v>138.359473417117</v>
      </c>
      <c r="M81" s="71">
        <f t="shared" si="9"/>
        <v>0.0361990950226244</v>
      </c>
    </row>
    <row r="82" ht="13.85" spans="1:13">
      <c r="A82" s="89">
        <v>45241</v>
      </c>
      <c r="B82" s="86">
        <f>123.61+198.36+48.66+1244.81</f>
        <v>1615.44</v>
      </c>
      <c r="C82" s="87">
        <f>2494+2660+952+6637</f>
        <v>12743</v>
      </c>
      <c r="D82" s="82">
        <f>77+164+29+451</f>
        <v>721</v>
      </c>
      <c r="E82" s="81">
        <v>10</v>
      </c>
      <c r="F82" s="80">
        <f>11125.01+11125.01+35218.01+22122</f>
        <v>79590.03</v>
      </c>
      <c r="G82" s="56">
        <v>16</v>
      </c>
      <c r="H82" s="31">
        <v>2</v>
      </c>
      <c r="I82" s="90">
        <f t="shared" si="5"/>
        <v>0.056580083182924</v>
      </c>
      <c r="J82" s="91">
        <f t="shared" si="6"/>
        <v>2.2405547850208</v>
      </c>
      <c r="K82" s="70">
        <f t="shared" si="7"/>
        <v>126.770776112375</v>
      </c>
      <c r="L82" s="70">
        <f t="shared" si="8"/>
        <v>49.2683293715644</v>
      </c>
      <c r="M82" s="71">
        <f t="shared" si="9"/>
        <v>0.013869625520111</v>
      </c>
    </row>
    <row r="83" ht="13.85" spans="1:13">
      <c r="A83" s="92">
        <v>45242</v>
      </c>
      <c r="B83" s="86">
        <f>52.35+199.77+43.35</f>
        <v>295.47</v>
      </c>
      <c r="C83" s="87">
        <f>2148+6852+1120</f>
        <v>10120</v>
      </c>
      <c r="D83" s="82">
        <f>70+461+38</f>
        <v>569</v>
      </c>
      <c r="E83" s="81">
        <v>1</v>
      </c>
      <c r="F83" s="80">
        <v>0.01</v>
      </c>
      <c r="G83" s="56">
        <v>9</v>
      </c>
      <c r="H83" s="31">
        <v>9</v>
      </c>
      <c r="I83" s="93">
        <f t="shared" si="5"/>
        <v>0.0562252964426877</v>
      </c>
      <c r="J83" s="94">
        <f t="shared" si="6"/>
        <v>0.519279437609842</v>
      </c>
      <c r="K83" s="95">
        <f t="shared" si="7"/>
        <v>29.1966403162055</v>
      </c>
      <c r="L83" s="70">
        <f t="shared" si="8"/>
        <v>3.38443835245541e-5</v>
      </c>
      <c r="M83" s="71">
        <f t="shared" si="9"/>
        <v>0.00175746924428822</v>
      </c>
    </row>
    <row r="84" ht="13.85" spans="1:13">
      <c r="A84" s="92">
        <v>45243</v>
      </c>
      <c r="B84" s="96">
        <f>56.49+49.43+199.41</f>
        <v>305.33</v>
      </c>
      <c r="C84" s="97">
        <f>6706+2683+4891</f>
        <v>14280</v>
      </c>
      <c r="D84" s="31">
        <f>62+39+342</f>
        <v>443</v>
      </c>
      <c r="E84" s="31">
        <v>2</v>
      </c>
      <c r="F84" s="97">
        <v>13196</v>
      </c>
      <c r="G84" s="31">
        <v>14</v>
      </c>
      <c r="H84" s="31">
        <v>5</v>
      </c>
      <c r="I84" s="93">
        <f t="shared" si="5"/>
        <v>0.0310224089635854</v>
      </c>
      <c r="J84" s="94">
        <f t="shared" si="6"/>
        <v>0.689232505643341</v>
      </c>
      <c r="K84" s="95">
        <f t="shared" si="7"/>
        <v>21.3816526610644</v>
      </c>
      <c r="L84" s="70">
        <f t="shared" si="8"/>
        <v>43.2188124324501</v>
      </c>
      <c r="M84" s="71">
        <f t="shared" si="9"/>
        <v>0.00451467268623025</v>
      </c>
    </row>
    <row r="85" ht="13.85" spans="1:13">
      <c r="A85" s="92">
        <v>45244</v>
      </c>
      <c r="B85" s="86">
        <v>279</v>
      </c>
      <c r="C85" s="76">
        <f>1390+5623</f>
        <v>7013</v>
      </c>
      <c r="D85" s="76">
        <f>54+330</f>
        <v>384</v>
      </c>
      <c r="E85" s="31">
        <v>0</v>
      </c>
      <c r="F85" s="97">
        <v>0</v>
      </c>
      <c r="G85" s="31">
        <v>15</v>
      </c>
      <c r="H85" s="31">
        <v>1</v>
      </c>
      <c r="I85" s="93">
        <f t="shared" si="5"/>
        <v>0.0547554541565664</v>
      </c>
      <c r="J85" s="94">
        <f t="shared" si="6"/>
        <v>0.7265625</v>
      </c>
      <c r="K85" s="95">
        <f t="shared" si="7"/>
        <v>39.7832596606303</v>
      </c>
      <c r="L85" s="70">
        <f t="shared" si="8"/>
        <v>0</v>
      </c>
      <c r="M85" s="71">
        <f t="shared" si="9"/>
        <v>0</v>
      </c>
    </row>
    <row r="86" ht="13.85" spans="1:13">
      <c r="A86" s="92">
        <v>45245</v>
      </c>
      <c r="B86" s="60">
        <f>49.51+200</f>
        <v>249.51</v>
      </c>
      <c r="C86" s="61">
        <f>2743+4010</f>
        <v>6753</v>
      </c>
      <c r="D86" s="61">
        <f>70+291</f>
        <v>361</v>
      </c>
      <c r="E86" s="31">
        <v>0</v>
      </c>
      <c r="F86" s="97">
        <v>0</v>
      </c>
      <c r="G86" s="31">
        <v>9</v>
      </c>
      <c r="H86" s="31">
        <v>3</v>
      </c>
      <c r="I86" s="93">
        <f t="shared" si="5"/>
        <v>0.0534577224937065</v>
      </c>
      <c r="J86" s="94">
        <f t="shared" si="6"/>
        <v>0.691163434903047</v>
      </c>
      <c r="K86" s="95">
        <f t="shared" si="7"/>
        <v>36.9480231008441</v>
      </c>
      <c r="L86" s="70">
        <f t="shared" si="8"/>
        <v>0</v>
      </c>
      <c r="M86" s="71">
        <f t="shared" si="9"/>
        <v>0</v>
      </c>
    </row>
    <row r="87" ht="13.85" spans="1:13">
      <c r="A87" s="92">
        <v>45246</v>
      </c>
      <c r="B87" s="98">
        <v>235.99</v>
      </c>
      <c r="C87" s="99">
        <v>9435</v>
      </c>
      <c r="D87" s="100">
        <v>418</v>
      </c>
      <c r="E87" s="101">
        <v>0</v>
      </c>
      <c r="F87" s="97">
        <v>0</v>
      </c>
      <c r="G87" s="31">
        <v>10</v>
      </c>
      <c r="H87" s="31">
        <v>3</v>
      </c>
      <c r="I87" s="93">
        <f t="shared" si="5"/>
        <v>0.0443031266560678</v>
      </c>
      <c r="J87" s="94">
        <f t="shared" si="6"/>
        <v>0.564569377990431</v>
      </c>
      <c r="K87" s="95">
        <f t="shared" si="7"/>
        <v>25.0121886592475</v>
      </c>
      <c r="L87" s="70">
        <f t="shared" si="8"/>
        <v>0</v>
      </c>
      <c r="M87" s="71">
        <f t="shared" si="9"/>
        <v>0</v>
      </c>
    </row>
    <row r="88" ht="13.85" spans="1:13">
      <c r="A88" s="92">
        <v>45247</v>
      </c>
      <c r="B88" s="64">
        <f>12.05+199.34</f>
        <v>211.39</v>
      </c>
      <c r="C88" s="65">
        <f>2567+5777</f>
        <v>8344</v>
      </c>
      <c r="D88" s="65">
        <f>19+337</f>
        <v>356</v>
      </c>
      <c r="E88" s="31">
        <v>0</v>
      </c>
      <c r="F88" s="97">
        <v>0</v>
      </c>
      <c r="G88" s="31">
        <v>8</v>
      </c>
      <c r="H88" s="31">
        <v>0</v>
      </c>
      <c r="I88" s="93">
        <f t="shared" si="5"/>
        <v>0.0426653883029722</v>
      </c>
      <c r="J88" s="94">
        <f t="shared" si="6"/>
        <v>0.593792134831461</v>
      </c>
      <c r="K88" s="95">
        <f t="shared" si="7"/>
        <v>25.3343720038351</v>
      </c>
      <c r="L88" s="70">
        <f t="shared" si="8"/>
        <v>0</v>
      </c>
      <c r="M88" s="71">
        <f t="shared" si="9"/>
        <v>0</v>
      </c>
    </row>
    <row r="89" ht="13.85" spans="1:13">
      <c r="A89" s="92">
        <v>45248</v>
      </c>
      <c r="B89" s="64">
        <f>198.81+30.5</f>
        <v>229.31</v>
      </c>
      <c r="C89" s="65">
        <f>4004+1381</f>
        <v>5385</v>
      </c>
      <c r="D89" s="65">
        <f>261+37</f>
        <v>298</v>
      </c>
      <c r="E89" s="101">
        <v>0</v>
      </c>
      <c r="F89" s="97">
        <v>0</v>
      </c>
      <c r="G89" s="31">
        <v>10</v>
      </c>
      <c r="H89" s="31">
        <v>2</v>
      </c>
      <c r="I89" s="93">
        <f t="shared" si="5"/>
        <v>0.055338904363974</v>
      </c>
      <c r="J89" s="94">
        <f t="shared" si="6"/>
        <v>0.769496644295302</v>
      </c>
      <c r="K89" s="95">
        <f t="shared" si="7"/>
        <v>42.5831012070566</v>
      </c>
      <c r="L89" s="70">
        <f t="shared" si="8"/>
        <v>0</v>
      </c>
      <c r="M89" s="71">
        <f t="shared" si="9"/>
        <v>0</v>
      </c>
    </row>
    <row r="90" ht="13.85" spans="1:13">
      <c r="A90" s="92">
        <v>45249</v>
      </c>
      <c r="B90" s="64">
        <f>24.15+198.74</f>
        <v>222.89</v>
      </c>
      <c r="C90" s="65">
        <f>1292+6610</f>
        <v>7902</v>
      </c>
      <c r="D90" s="65">
        <f>22+288</f>
        <v>310</v>
      </c>
      <c r="E90" s="31">
        <v>0</v>
      </c>
      <c r="F90" s="97">
        <v>0</v>
      </c>
      <c r="G90" s="31">
        <v>5</v>
      </c>
      <c r="H90" s="31">
        <v>0</v>
      </c>
      <c r="I90" s="93">
        <f t="shared" si="5"/>
        <v>0.0392305745380916</v>
      </c>
      <c r="J90" s="94">
        <f t="shared" si="6"/>
        <v>0.719</v>
      </c>
      <c r="K90" s="95">
        <f t="shared" si="7"/>
        <v>28.2067830928879</v>
      </c>
      <c r="L90" s="70">
        <f t="shared" si="8"/>
        <v>0</v>
      </c>
      <c r="M90" s="71">
        <f t="shared" si="9"/>
        <v>0</v>
      </c>
    </row>
    <row r="91" ht="13.85" spans="1:13">
      <c r="A91" s="92">
        <v>45250</v>
      </c>
      <c r="B91" s="102">
        <f>49.27+198.6</f>
        <v>247.87</v>
      </c>
      <c r="C91" s="97">
        <f>3824+5554</f>
        <v>9378</v>
      </c>
      <c r="D91" s="31">
        <f>34+285</f>
        <v>319</v>
      </c>
      <c r="E91" s="31">
        <v>0</v>
      </c>
      <c r="F91" s="97">
        <v>0</v>
      </c>
      <c r="G91" s="31">
        <v>7</v>
      </c>
      <c r="H91" s="31">
        <v>1</v>
      </c>
      <c r="I91" s="93">
        <f t="shared" si="5"/>
        <v>0.0340157816165494</v>
      </c>
      <c r="J91" s="94">
        <f t="shared" si="6"/>
        <v>0.777021943573668</v>
      </c>
      <c r="K91" s="95">
        <f t="shared" si="7"/>
        <v>26.4310087438686</v>
      </c>
      <c r="L91" s="70">
        <f t="shared" si="8"/>
        <v>0</v>
      </c>
      <c r="M91" s="71">
        <f t="shared" si="9"/>
        <v>0</v>
      </c>
    </row>
    <row r="92" ht="13.85" spans="1:13">
      <c r="A92" s="92">
        <v>45251</v>
      </c>
      <c r="B92" s="102">
        <f>51.24+198.24</f>
        <v>249.48</v>
      </c>
      <c r="C92" s="97">
        <f>6754+3266</f>
        <v>10020</v>
      </c>
      <c r="D92" s="31">
        <f>41+210</f>
        <v>251</v>
      </c>
      <c r="E92" s="31">
        <v>0</v>
      </c>
      <c r="F92" s="97">
        <v>0</v>
      </c>
      <c r="G92" s="31">
        <v>5</v>
      </c>
      <c r="H92" s="31">
        <v>2</v>
      </c>
      <c r="I92" s="93">
        <f t="shared" si="5"/>
        <v>0.0250499001996008</v>
      </c>
      <c r="J92" s="94">
        <f t="shared" si="6"/>
        <v>0.99394422310757</v>
      </c>
      <c r="K92" s="95">
        <f t="shared" si="7"/>
        <v>24.8982035928144</v>
      </c>
      <c r="L92" s="70">
        <f t="shared" si="8"/>
        <v>0</v>
      </c>
      <c r="M92" s="71">
        <f t="shared" si="9"/>
        <v>0</v>
      </c>
    </row>
    <row r="93" ht="13.85" spans="1:13">
      <c r="A93" s="92">
        <v>45252</v>
      </c>
      <c r="B93" s="102">
        <f>47.49+198.66</f>
        <v>246.15</v>
      </c>
      <c r="C93" s="97">
        <f>2971+5889</f>
        <v>8860</v>
      </c>
      <c r="D93" s="31">
        <f>52+308</f>
        <v>360</v>
      </c>
      <c r="E93" s="31">
        <v>0</v>
      </c>
      <c r="F93" s="97">
        <v>0</v>
      </c>
      <c r="G93" s="31">
        <v>1</v>
      </c>
      <c r="H93" s="31">
        <v>0</v>
      </c>
      <c r="I93" s="93">
        <f t="shared" si="5"/>
        <v>0.0406320541760722</v>
      </c>
      <c r="J93" s="94">
        <f t="shared" si="6"/>
        <v>0.68375</v>
      </c>
      <c r="K93" s="95">
        <f t="shared" si="7"/>
        <v>27.7821670428894</v>
      </c>
      <c r="L93" s="70">
        <f t="shared" si="8"/>
        <v>0</v>
      </c>
      <c r="M93" s="71">
        <f t="shared" si="9"/>
        <v>0</v>
      </c>
    </row>
    <row r="94" ht="13.85" spans="1:13">
      <c r="A94" s="92">
        <v>45253</v>
      </c>
      <c r="B94" s="37">
        <f>50.12+199.91</f>
        <v>250.03</v>
      </c>
      <c r="C94" s="103">
        <f>2989+15237</f>
        <v>18226</v>
      </c>
      <c r="D94" s="37">
        <f>47+338</f>
        <v>385</v>
      </c>
      <c r="E94" s="31">
        <v>0</v>
      </c>
      <c r="F94" s="97">
        <v>0</v>
      </c>
      <c r="G94" s="31">
        <v>3</v>
      </c>
      <c r="H94" s="31">
        <v>1</v>
      </c>
      <c r="I94" s="93">
        <f t="shared" si="5"/>
        <v>0.0211236694831559</v>
      </c>
      <c r="J94" s="94">
        <f t="shared" si="6"/>
        <v>0.649428571428571</v>
      </c>
      <c r="K94" s="95">
        <f t="shared" si="7"/>
        <v>13.7183144957753</v>
      </c>
      <c r="L94" s="70">
        <f t="shared" si="8"/>
        <v>0</v>
      </c>
      <c r="M94" s="71">
        <f t="shared" si="9"/>
        <v>0</v>
      </c>
    </row>
    <row r="95" ht="13.85" spans="1:13">
      <c r="A95" s="92">
        <v>45254</v>
      </c>
      <c r="B95" s="102">
        <f>47.17+200</f>
        <v>247.17</v>
      </c>
      <c r="C95" s="97">
        <f>2035+6465</f>
        <v>8500</v>
      </c>
      <c r="D95" s="31">
        <f>47+341</f>
        <v>388</v>
      </c>
      <c r="E95" s="31">
        <v>0</v>
      </c>
      <c r="F95" s="97">
        <v>0</v>
      </c>
      <c r="G95" s="31">
        <v>6</v>
      </c>
      <c r="H95" s="31">
        <v>0</v>
      </c>
      <c r="I95" s="93">
        <f t="shared" si="5"/>
        <v>0.0456470588235294</v>
      </c>
      <c r="J95" s="94">
        <f t="shared" si="6"/>
        <v>0.637036082474227</v>
      </c>
      <c r="K95" s="95">
        <f t="shared" si="7"/>
        <v>29.0788235294118</v>
      </c>
      <c r="L95" s="70">
        <f t="shared" si="8"/>
        <v>0</v>
      </c>
      <c r="M95" s="71">
        <f t="shared" si="9"/>
        <v>0</v>
      </c>
    </row>
    <row r="96" ht="13.85" spans="1:13">
      <c r="A96" s="92">
        <v>45255</v>
      </c>
      <c r="B96" s="102">
        <f>199.02+42.44</f>
        <v>241.46</v>
      </c>
      <c r="C96" s="97">
        <f>7196+2093</f>
        <v>9289</v>
      </c>
      <c r="D96" s="31">
        <f>694+29</f>
        <v>723</v>
      </c>
      <c r="E96" s="31">
        <v>0</v>
      </c>
      <c r="F96" s="97">
        <v>0</v>
      </c>
      <c r="G96" s="31">
        <v>4</v>
      </c>
      <c r="H96" s="31">
        <v>2</v>
      </c>
      <c r="I96" s="93">
        <f t="shared" si="5"/>
        <v>0.0778339972009904</v>
      </c>
      <c r="J96" s="94">
        <f t="shared" si="6"/>
        <v>0.333969571230982</v>
      </c>
      <c r="K96" s="95">
        <f t="shared" si="7"/>
        <v>25.9941866724082</v>
      </c>
      <c r="L96" s="70">
        <f t="shared" si="8"/>
        <v>0</v>
      </c>
      <c r="M96" s="71">
        <f t="shared" si="9"/>
        <v>0</v>
      </c>
    </row>
    <row r="97" ht="13.85" spans="1:13">
      <c r="A97" s="92">
        <v>45256</v>
      </c>
      <c r="B97" s="102">
        <f>24.14+200</f>
        <v>224.14</v>
      </c>
      <c r="C97" s="97">
        <f>2417+6435</f>
        <v>8852</v>
      </c>
      <c r="D97" s="31">
        <f>40+601</f>
        <v>641</v>
      </c>
      <c r="E97" s="31">
        <v>0</v>
      </c>
      <c r="F97" s="97">
        <v>0</v>
      </c>
      <c r="G97" s="31">
        <v>6</v>
      </c>
      <c r="H97" s="31">
        <v>1</v>
      </c>
      <c r="I97" s="93">
        <f t="shared" si="5"/>
        <v>0.0724130140081338</v>
      </c>
      <c r="J97" s="94">
        <f t="shared" si="6"/>
        <v>0.349672386895476</v>
      </c>
      <c r="K97" s="95">
        <f t="shared" si="7"/>
        <v>25.3208314505197</v>
      </c>
      <c r="L97" s="70">
        <f t="shared" si="8"/>
        <v>0</v>
      </c>
      <c r="M97" s="71">
        <f t="shared" si="9"/>
        <v>0</v>
      </c>
    </row>
    <row r="98" ht="13.85" spans="1:13">
      <c r="A98" s="92">
        <v>45257</v>
      </c>
      <c r="B98" s="102">
        <f>34.5+199.27</f>
        <v>233.77</v>
      </c>
      <c r="C98" s="97">
        <f>1803+5808</f>
        <v>7611</v>
      </c>
      <c r="D98" s="31">
        <f>32+482</f>
        <v>514</v>
      </c>
      <c r="E98" s="31">
        <v>0</v>
      </c>
      <c r="F98" s="97">
        <v>0</v>
      </c>
      <c r="G98" s="31">
        <v>0</v>
      </c>
      <c r="H98" s="31">
        <v>1</v>
      </c>
      <c r="I98" s="93">
        <f t="shared" si="5"/>
        <v>0.0675338326106951</v>
      </c>
      <c r="J98" s="94">
        <f t="shared" si="6"/>
        <v>0.454805447470817</v>
      </c>
      <c r="K98" s="95">
        <f t="shared" si="7"/>
        <v>30.7147549599264</v>
      </c>
      <c r="L98" s="70">
        <f t="shared" si="8"/>
        <v>0</v>
      </c>
      <c r="M98" s="71">
        <f t="shared" si="9"/>
        <v>0</v>
      </c>
    </row>
    <row r="99" ht="13.85" spans="1:13">
      <c r="A99" s="92">
        <v>45258</v>
      </c>
      <c r="B99" s="102">
        <f>31.91+199.96</f>
        <v>231.87</v>
      </c>
      <c r="C99" s="97">
        <f>1866+7376</f>
        <v>9242</v>
      </c>
      <c r="D99" s="31">
        <f>36+357</f>
        <v>393</v>
      </c>
      <c r="E99" s="31">
        <v>0</v>
      </c>
      <c r="F99" s="97">
        <v>0</v>
      </c>
      <c r="G99" s="31">
        <v>2</v>
      </c>
      <c r="H99" s="31">
        <v>1</v>
      </c>
      <c r="I99" s="93">
        <f t="shared" si="5"/>
        <v>0.0425232633629085</v>
      </c>
      <c r="J99" s="94">
        <f t="shared" si="6"/>
        <v>0.59</v>
      </c>
      <c r="K99" s="95">
        <f t="shared" si="7"/>
        <v>25.088725384116</v>
      </c>
      <c r="L99" s="70">
        <f t="shared" si="8"/>
        <v>0</v>
      </c>
      <c r="M99" s="71">
        <f t="shared" si="9"/>
        <v>0</v>
      </c>
    </row>
    <row r="100" ht="13.85" spans="1:13">
      <c r="A100" s="92">
        <v>45259</v>
      </c>
      <c r="B100" s="102">
        <f>50.5+196.77</f>
        <v>247.27</v>
      </c>
      <c r="C100" s="97">
        <f>1925+23801</f>
        <v>25726</v>
      </c>
      <c r="D100" s="31">
        <f>37+388</f>
        <v>425</v>
      </c>
      <c r="E100" s="31">
        <v>0</v>
      </c>
      <c r="F100" s="97">
        <v>0</v>
      </c>
      <c r="G100" s="31">
        <v>4</v>
      </c>
      <c r="H100" s="31">
        <v>2</v>
      </c>
      <c r="I100" s="93">
        <f t="shared" si="5"/>
        <v>0.0165202518852523</v>
      </c>
      <c r="J100" s="94">
        <f t="shared" si="6"/>
        <v>0.581811764705882</v>
      </c>
      <c r="K100" s="95">
        <f t="shared" si="7"/>
        <v>9.61167690274431</v>
      </c>
      <c r="L100" s="70">
        <f t="shared" si="8"/>
        <v>0</v>
      </c>
      <c r="M100" s="71">
        <f t="shared" si="9"/>
        <v>0</v>
      </c>
    </row>
    <row r="101" ht="13.85" spans="1:13">
      <c r="A101" s="92">
        <v>45260</v>
      </c>
      <c r="B101" s="102">
        <f>23.87+197.88</f>
        <v>221.75</v>
      </c>
      <c r="C101" s="97">
        <f>602+4173</f>
        <v>4775</v>
      </c>
      <c r="D101" s="31">
        <f>17+172</f>
        <v>189</v>
      </c>
      <c r="E101" s="31">
        <v>0</v>
      </c>
      <c r="F101" s="97">
        <v>0</v>
      </c>
      <c r="G101" s="31">
        <v>4</v>
      </c>
      <c r="H101" s="31">
        <v>2</v>
      </c>
      <c r="I101" s="93">
        <f t="shared" si="5"/>
        <v>0.0395811518324607</v>
      </c>
      <c r="J101" s="94">
        <f t="shared" si="6"/>
        <v>1.17328042328042</v>
      </c>
      <c r="K101" s="95">
        <f t="shared" si="7"/>
        <v>46.4397905759162</v>
      </c>
      <c r="L101" s="70">
        <f t="shared" si="8"/>
        <v>0</v>
      </c>
      <c r="M101" s="71">
        <f t="shared" si="9"/>
        <v>0</v>
      </c>
    </row>
    <row r="102" ht="13.85" spans="1:13">
      <c r="A102" s="92">
        <v>45261</v>
      </c>
      <c r="B102" s="102">
        <v>238.56</v>
      </c>
      <c r="C102" s="97">
        <v>7388</v>
      </c>
      <c r="D102" s="31">
        <v>205</v>
      </c>
      <c r="E102" s="31">
        <v>0</v>
      </c>
      <c r="F102" s="97">
        <v>0</v>
      </c>
      <c r="G102" s="31">
        <v>11</v>
      </c>
      <c r="H102" s="31">
        <v>3</v>
      </c>
      <c r="I102" s="93">
        <f t="shared" si="5"/>
        <v>0.0277476989713048</v>
      </c>
      <c r="J102" s="94">
        <f t="shared" si="6"/>
        <v>1.16370731707317</v>
      </c>
      <c r="K102" s="95">
        <f t="shared" si="7"/>
        <v>32.2902003248511</v>
      </c>
      <c r="L102" s="70">
        <f t="shared" si="8"/>
        <v>0</v>
      </c>
      <c r="M102" s="104">
        <f t="shared" si="9"/>
        <v>0</v>
      </c>
    </row>
    <row r="103" ht="13.85" spans="1:13">
      <c r="A103" s="92">
        <v>45262</v>
      </c>
      <c r="B103" s="102">
        <v>234.42</v>
      </c>
      <c r="C103" s="97">
        <v>9223</v>
      </c>
      <c r="D103" s="31">
        <v>275</v>
      </c>
      <c r="E103" s="31">
        <v>0</v>
      </c>
      <c r="F103" s="97">
        <v>0</v>
      </c>
      <c r="G103" s="31">
        <v>6</v>
      </c>
      <c r="H103" s="31">
        <v>9</v>
      </c>
      <c r="I103" s="93">
        <f t="shared" si="5"/>
        <v>0.0298167624417218</v>
      </c>
      <c r="J103" s="94">
        <f t="shared" si="6"/>
        <v>0.852436363636364</v>
      </c>
      <c r="K103" s="95">
        <f t="shared" si="7"/>
        <v>25.4168925512306</v>
      </c>
      <c r="L103" s="70">
        <f t="shared" si="8"/>
        <v>0</v>
      </c>
      <c r="M103" s="104">
        <f t="shared" si="9"/>
        <v>0</v>
      </c>
    </row>
    <row r="104" ht="13.85" spans="1:13">
      <c r="A104" s="92">
        <v>45263</v>
      </c>
      <c r="B104" s="102">
        <v>281.55</v>
      </c>
      <c r="C104" s="97">
        <v>50391</v>
      </c>
      <c r="D104" s="31">
        <v>484</v>
      </c>
      <c r="E104" s="31">
        <v>0</v>
      </c>
      <c r="F104" s="97">
        <v>0</v>
      </c>
      <c r="G104" s="31">
        <v>11</v>
      </c>
      <c r="H104" s="31">
        <v>2</v>
      </c>
      <c r="I104" s="93">
        <f t="shared" si="5"/>
        <v>0.00960488976206069</v>
      </c>
      <c r="J104" s="94">
        <f t="shared" si="6"/>
        <v>0.581714876033058</v>
      </c>
      <c r="K104" s="95">
        <f t="shared" si="7"/>
        <v>5.58730725724832</v>
      </c>
      <c r="L104" s="70">
        <f t="shared" si="8"/>
        <v>0</v>
      </c>
      <c r="M104" s="104">
        <f t="shared" si="9"/>
        <v>0</v>
      </c>
    </row>
    <row r="105" ht="13.85" spans="1:13">
      <c r="A105" s="92">
        <v>45264</v>
      </c>
      <c r="B105" s="102">
        <v>295.41</v>
      </c>
      <c r="C105" s="97">
        <v>48157</v>
      </c>
      <c r="D105" s="31">
        <v>417</v>
      </c>
      <c r="E105" s="31">
        <v>0</v>
      </c>
      <c r="F105" s="97">
        <v>0</v>
      </c>
      <c r="G105" s="31">
        <v>22</v>
      </c>
      <c r="H105" s="31">
        <v>2</v>
      </c>
      <c r="I105" s="93">
        <f t="shared" si="5"/>
        <v>0.00865917727433187</v>
      </c>
      <c r="J105" s="94">
        <f t="shared" si="6"/>
        <v>0.70841726618705</v>
      </c>
      <c r="K105" s="95">
        <f t="shared" si="7"/>
        <v>6.13431069211122</v>
      </c>
      <c r="L105" s="70">
        <f t="shared" si="8"/>
        <v>0</v>
      </c>
      <c r="M105" s="104">
        <f t="shared" si="9"/>
        <v>0</v>
      </c>
    </row>
    <row r="106" ht="13.85" spans="1:13">
      <c r="A106" s="92">
        <v>45265</v>
      </c>
      <c r="B106" s="102">
        <v>339.81</v>
      </c>
      <c r="C106" s="97">
        <v>34517</v>
      </c>
      <c r="D106" s="31">
        <v>455</v>
      </c>
      <c r="E106" s="31">
        <v>0</v>
      </c>
      <c r="F106" s="97">
        <v>0</v>
      </c>
      <c r="G106" s="31">
        <v>9</v>
      </c>
      <c r="H106" s="31">
        <v>2</v>
      </c>
      <c r="I106" s="93">
        <f t="shared" si="5"/>
        <v>0.0131819103630095</v>
      </c>
      <c r="J106" s="94">
        <f t="shared" si="6"/>
        <v>0.746835164835165</v>
      </c>
      <c r="K106" s="95">
        <f t="shared" si="7"/>
        <v>9.84471419880059</v>
      </c>
      <c r="L106" s="70">
        <f t="shared" si="8"/>
        <v>0</v>
      </c>
      <c r="M106" s="104">
        <f t="shared" si="9"/>
        <v>0</v>
      </c>
    </row>
    <row r="107" ht="13.85" spans="1:13">
      <c r="A107" s="92">
        <v>45266</v>
      </c>
      <c r="B107" s="102">
        <v>496.84</v>
      </c>
      <c r="C107" s="97">
        <v>91865</v>
      </c>
      <c r="D107" s="31">
        <v>827</v>
      </c>
      <c r="E107" s="31">
        <v>2</v>
      </c>
      <c r="F107" s="97">
        <v>31262</v>
      </c>
      <c r="G107" s="31">
        <v>19</v>
      </c>
      <c r="H107" s="31">
        <v>0</v>
      </c>
      <c r="I107" s="93">
        <f t="shared" si="5"/>
        <v>0.00900234039079083</v>
      </c>
      <c r="J107" s="94">
        <f t="shared" si="6"/>
        <v>0.600773881499395</v>
      </c>
      <c r="K107" s="95">
        <f t="shared" si="7"/>
        <v>5.40837097915419</v>
      </c>
      <c r="L107" s="70">
        <f t="shared" si="8"/>
        <v>62.921664922309</v>
      </c>
      <c r="M107" s="104">
        <f t="shared" si="9"/>
        <v>0.00241837968561064</v>
      </c>
    </row>
    <row r="108" ht="13.85" spans="1:13">
      <c r="A108" s="92">
        <v>45267</v>
      </c>
      <c r="B108" s="102">
        <v>436.96</v>
      </c>
      <c r="C108" s="97">
        <v>44731</v>
      </c>
      <c r="D108" s="31">
        <v>537</v>
      </c>
      <c r="E108" s="31">
        <v>0</v>
      </c>
      <c r="F108" s="97">
        <v>0</v>
      </c>
      <c r="G108" s="31">
        <v>11</v>
      </c>
      <c r="H108" s="31">
        <v>5</v>
      </c>
      <c r="I108" s="93">
        <f t="shared" si="5"/>
        <v>0.0120050971362143</v>
      </c>
      <c r="J108" s="94">
        <f t="shared" si="6"/>
        <v>0.813705772811918</v>
      </c>
      <c r="K108" s="95">
        <f t="shared" si="7"/>
        <v>9.76861684290537</v>
      </c>
      <c r="L108" s="70">
        <f t="shared" si="8"/>
        <v>0</v>
      </c>
      <c r="M108" s="104">
        <f t="shared" si="9"/>
        <v>0</v>
      </c>
    </row>
    <row r="109" ht="13.85" spans="1:13">
      <c r="A109" s="92">
        <v>45268</v>
      </c>
      <c r="B109" s="102">
        <v>396.92</v>
      </c>
      <c r="C109" s="97">
        <v>65855</v>
      </c>
      <c r="D109" s="31">
        <v>494</v>
      </c>
      <c r="E109" s="31">
        <v>0</v>
      </c>
      <c r="F109" s="97">
        <v>0</v>
      </c>
      <c r="G109" s="31">
        <v>10</v>
      </c>
      <c r="H109" s="31">
        <v>0</v>
      </c>
      <c r="I109" s="93">
        <f t="shared" si="5"/>
        <v>0.00750132867663807</v>
      </c>
      <c r="J109" s="94">
        <f t="shared" si="6"/>
        <v>0.803481781376518</v>
      </c>
      <c r="K109" s="95">
        <f t="shared" si="7"/>
        <v>6.02718092779592</v>
      </c>
      <c r="L109" s="70">
        <f t="shared" si="8"/>
        <v>0</v>
      </c>
      <c r="M109" s="104">
        <f t="shared" si="9"/>
        <v>0</v>
      </c>
    </row>
    <row r="110" ht="13.85" spans="1:13">
      <c r="A110" s="92">
        <v>45269</v>
      </c>
      <c r="B110" s="102">
        <v>537.92</v>
      </c>
      <c r="C110" s="97">
        <v>42852</v>
      </c>
      <c r="D110" s="31">
        <v>617</v>
      </c>
      <c r="E110" s="31">
        <v>1</v>
      </c>
      <c r="F110" s="97">
        <v>22993</v>
      </c>
      <c r="G110" s="31">
        <v>10</v>
      </c>
      <c r="H110" s="31">
        <v>1</v>
      </c>
      <c r="I110" s="93">
        <f t="shared" si="5"/>
        <v>0.0143983944740035</v>
      </c>
      <c r="J110" s="94">
        <f t="shared" si="6"/>
        <v>0.871831442463533</v>
      </c>
      <c r="K110" s="95">
        <f t="shared" si="7"/>
        <v>12.5529730234295</v>
      </c>
      <c r="L110" s="70">
        <f t="shared" si="8"/>
        <v>42.7442742415229</v>
      </c>
      <c r="M110" s="104">
        <f t="shared" si="9"/>
        <v>0.00162074554294976</v>
      </c>
    </row>
    <row r="111" ht="13.85" spans="1:13">
      <c r="A111" s="92">
        <v>45270</v>
      </c>
      <c r="B111" s="102">
        <v>541.23</v>
      </c>
      <c r="C111" s="97">
        <v>42159</v>
      </c>
      <c r="D111" s="31">
        <v>529</v>
      </c>
      <c r="E111" s="31">
        <v>1</v>
      </c>
      <c r="F111" s="97">
        <v>10790</v>
      </c>
      <c r="G111" s="31">
        <v>23</v>
      </c>
      <c r="H111" s="31">
        <v>5</v>
      </c>
      <c r="I111" s="93">
        <f t="shared" si="5"/>
        <v>0.0125477359519913</v>
      </c>
      <c r="J111" s="94">
        <f t="shared" si="6"/>
        <v>1.0231190926276</v>
      </c>
      <c r="K111" s="95">
        <f t="shared" si="7"/>
        <v>12.837828221732</v>
      </c>
      <c r="L111" s="70">
        <f t="shared" si="8"/>
        <v>19.9360715407498</v>
      </c>
      <c r="M111" s="104">
        <f t="shared" si="9"/>
        <v>0.00189035916824197</v>
      </c>
    </row>
    <row r="112" ht="13.85" spans="1:13">
      <c r="A112" s="92">
        <v>45271</v>
      </c>
      <c r="B112" s="102">
        <v>427.23</v>
      </c>
      <c r="C112" s="97">
        <v>43511</v>
      </c>
      <c r="D112" s="31">
        <v>748</v>
      </c>
      <c r="E112" s="31">
        <v>0</v>
      </c>
      <c r="F112" s="97">
        <v>0</v>
      </c>
      <c r="G112" s="31">
        <v>2</v>
      </c>
      <c r="H112" s="31">
        <v>3</v>
      </c>
      <c r="I112" s="93">
        <f t="shared" si="5"/>
        <v>0.017191055135483</v>
      </c>
      <c r="J112" s="94">
        <f t="shared" si="6"/>
        <v>0.571163101604278</v>
      </c>
      <c r="K112" s="95">
        <f t="shared" si="7"/>
        <v>9.81889637103261</v>
      </c>
      <c r="L112" s="70">
        <f t="shared" si="8"/>
        <v>0</v>
      </c>
      <c r="M112" s="104">
        <f t="shared" si="9"/>
        <v>0</v>
      </c>
    </row>
    <row r="113" ht="13.85" spans="1:13">
      <c r="A113" s="92">
        <v>45272</v>
      </c>
      <c r="B113" s="102">
        <v>1857.18</v>
      </c>
      <c r="C113" s="97">
        <v>29553</v>
      </c>
      <c r="D113" s="31">
        <v>522</v>
      </c>
      <c r="E113" s="31">
        <v>0</v>
      </c>
      <c r="F113" s="97">
        <v>0</v>
      </c>
      <c r="G113" s="31">
        <v>6</v>
      </c>
      <c r="H113" s="31">
        <v>4</v>
      </c>
      <c r="I113" s="93">
        <f t="shared" si="5"/>
        <v>0.0176631814029033</v>
      </c>
      <c r="J113" s="94">
        <f t="shared" si="6"/>
        <v>3.55781609195402</v>
      </c>
      <c r="K113" s="95">
        <f t="shared" si="7"/>
        <v>62.8423510303523</v>
      </c>
      <c r="L113" s="70">
        <f t="shared" si="8"/>
        <v>0</v>
      </c>
      <c r="M113" s="104">
        <f t="shared" si="9"/>
        <v>0</v>
      </c>
    </row>
    <row r="114" ht="13.85" spans="1:13">
      <c r="A114" s="92">
        <v>45273</v>
      </c>
      <c r="B114" s="102">
        <v>414.37</v>
      </c>
      <c r="C114" s="97">
        <v>31171</v>
      </c>
      <c r="D114" s="31">
        <v>564</v>
      </c>
      <c r="E114" s="31">
        <v>1</v>
      </c>
      <c r="F114" s="97">
        <v>10725</v>
      </c>
      <c r="G114" s="31">
        <v>8</v>
      </c>
      <c r="H114" s="31">
        <v>2</v>
      </c>
      <c r="I114" s="93">
        <f t="shared" si="5"/>
        <v>0.0180937409771903</v>
      </c>
      <c r="J114" s="94">
        <f t="shared" si="6"/>
        <v>0.734698581560284</v>
      </c>
      <c r="K114" s="95">
        <f t="shared" si="7"/>
        <v>13.2934458310609</v>
      </c>
      <c r="L114" s="70">
        <f t="shared" si="8"/>
        <v>25.8826652508628</v>
      </c>
      <c r="M114" s="104">
        <f t="shared" si="9"/>
        <v>0.00177304964539007</v>
      </c>
    </row>
    <row r="115" ht="13.85" spans="1:13">
      <c r="A115" s="92">
        <v>45274</v>
      </c>
      <c r="B115" s="102">
        <f>170.76+198.08</f>
        <v>368.84</v>
      </c>
      <c r="C115" s="97">
        <f>4515+6627</f>
        <v>11142</v>
      </c>
      <c r="D115" s="31">
        <f>92+251</f>
        <v>343</v>
      </c>
      <c r="E115" s="31">
        <v>0</v>
      </c>
      <c r="F115" s="97">
        <v>0</v>
      </c>
      <c r="G115" s="31">
        <f>1+4</f>
        <v>5</v>
      </c>
      <c r="H115" s="31">
        <f>1+5</f>
        <v>6</v>
      </c>
      <c r="I115" s="93">
        <f t="shared" si="5"/>
        <v>0.0307844193143062</v>
      </c>
      <c r="J115" s="94">
        <f t="shared" si="6"/>
        <v>1.07533527696793</v>
      </c>
      <c r="K115" s="105">
        <f t="shared" si="7"/>
        <v>33.1035720696464</v>
      </c>
      <c r="L115" s="91">
        <f t="shared" si="8"/>
        <v>0</v>
      </c>
      <c r="M115" s="106">
        <f t="shared" si="9"/>
        <v>0</v>
      </c>
    </row>
    <row r="116" ht="13.85" spans="1:13">
      <c r="A116" s="52">
        <v>45275</v>
      </c>
      <c r="B116" s="107">
        <f>158.76+199.39</f>
        <v>358.15</v>
      </c>
      <c r="C116" s="108">
        <f>6089+4341</f>
        <v>10430</v>
      </c>
      <c r="D116" s="108">
        <f>132+244</f>
        <v>376</v>
      </c>
      <c r="E116" s="10">
        <v>0</v>
      </c>
      <c r="F116" s="109">
        <v>0</v>
      </c>
      <c r="G116" s="10">
        <v>12</v>
      </c>
      <c r="H116" s="10">
        <v>2</v>
      </c>
      <c r="I116" s="84">
        <f t="shared" si="5"/>
        <v>0.0360498561840844</v>
      </c>
      <c r="J116" s="70">
        <f t="shared" si="6"/>
        <v>0.952526595744681</v>
      </c>
      <c r="K116" s="70">
        <f t="shared" si="7"/>
        <v>34.3384467881112</v>
      </c>
      <c r="L116" s="70">
        <f t="shared" si="8"/>
        <v>0</v>
      </c>
      <c r="M116" s="104">
        <f t="shared" si="9"/>
        <v>0</v>
      </c>
    </row>
    <row r="117" ht="13.85" spans="1:13">
      <c r="A117" s="52">
        <v>45276</v>
      </c>
      <c r="B117" s="107">
        <f>184.39+199.05</f>
        <v>383.44</v>
      </c>
      <c r="C117" s="108">
        <f>5064+8473</f>
        <v>13537</v>
      </c>
      <c r="D117" s="108">
        <f>128+364</f>
        <v>492</v>
      </c>
      <c r="E117" s="10">
        <v>0</v>
      </c>
      <c r="F117" s="109">
        <v>0</v>
      </c>
      <c r="G117" s="10">
        <v>8</v>
      </c>
      <c r="H117" s="10">
        <v>6</v>
      </c>
      <c r="I117" s="84">
        <f t="shared" si="5"/>
        <v>0.0363448326808008</v>
      </c>
      <c r="J117" s="70">
        <f t="shared" si="6"/>
        <v>0.779349593495935</v>
      </c>
      <c r="K117" s="70">
        <f t="shared" si="7"/>
        <v>28.3253305754598</v>
      </c>
      <c r="L117" s="70">
        <f t="shared" si="8"/>
        <v>0</v>
      </c>
      <c r="M117" s="104">
        <f t="shared" si="9"/>
        <v>0</v>
      </c>
    </row>
    <row r="118" ht="13.85" spans="1:13">
      <c r="A118" s="52">
        <v>45277</v>
      </c>
      <c r="B118" s="107">
        <f>216.71+199.47</f>
        <v>416.18</v>
      </c>
      <c r="C118" s="108">
        <f>6102+9221</f>
        <v>15323</v>
      </c>
      <c r="D118" s="108">
        <f>122+389</f>
        <v>511</v>
      </c>
      <c r="E118" s="10">
        <v>0</v>
      </c>
      <c r="F118" s="109">
        <v>0</v>
      </c>
      <c r="G118" s="10">
        <v>7</v>
      </c>
      <c r="H118" s="10">
        <v>3</v>
      </c>
      <c r="I118" s="84">
        <f t="shared" si="5"/>
        <v>0.0333485609867519</v>
      </c>
      <c r="J118" s="70">
        <f t="shared" si="6"/>
        <v>0.814442270058708</v>
      </c>
      <c r="K118" s="70">
        <f t="shared" si="7"/>
        <v>27.1604777132415</v>
      </c>
      <c r="L118" s="70">
        <f t="shared" si="8"/>
        <v>0</v>
      </c>
      <c r="M118" s="104">
        <f t="shared" si="9"/>
        <v>0</v>
      </c>
    </row>
    <row r="119" ht="13.85" spans="1:13">
      <c r="A119" s="52">
        <v>45278</v>
      </c>
      <c r="B119" s="9">
        <f>269.44+199.1</f>
        <v>468.54</v>
      </c>
      <c r="C119" s="109">
        <f>6814+11845</f>
        <v>18659</v>
      </c>
      <c r="D119" s="10">
        <f>158+261</f>
        <v>419</v>
      </c>
      <c r="E119" s="10">
        <v>0</v>
      </c>
      <c r="F119" s="10">
        <v>0</v>
      </c>
      <c r="G119" s="10">
        <v>2</v>
      </c>
      <c r="H119" s="10">
        <v>4</v>
      </c>
      <c r="I119" s="84">
        <f t="shared" si="5"/>
        <v>0.0224556514282652</v>
      </c>
      <c r="J119" s="70">
        <f t="shared" si="6"/>
        <v>1.1182338902148</v>
      </c>
      <c r="K119" s="70">
        <f t="shared" si="7"/>
        <v>25.1106704539364</v>
      </c>
      <c r="L119" s="70">
        <f t="shared" si="8"/>
        <v>0</v>
      </c>
      <c r="M119" s="104">
        <f t="shared" si="9"/>
        <v>0</v>
      </c>
    </row>
    <row r="120" ht="13.85" spans="1:13">
      <c r="A120" s="52">
        <v>45279</v>
      </c>
      <c r="B120" s="9">
        <f>215.2+199.47</f>
        <v>414.67</v>
      </c>
      <c r="C120" s="109">
        <f>6553+9258</f>
        <v>15811</v>
      </c>
      <c r="D120" s="10">
        <f>95+279</f>
        <v>374</v>
      </c>
      <c r="E120" s="10">
        <v>0</v>
      </c>
      <c r="F120" s="10">
        <v>0</v>
      </c>
      <c r="G120" s="10">
        <v>2</v>
      </c>
      <c r="H120" s="10">
        <v>3</v>
      </c>
      <c r="I120" s="84">
        <f t="shared" si="5"/>
        <v>0.0236544178103852</v>
      </c>
      <c r="J120" s="70">
        <f t="shared" si="6"/>
        <v>1.10874331550802</v>
      </c>
      <c r="K120" s="70">
        <f t="shared" si="7"/>
        <v>26.2266776294984</v>
      </c>
      <c r="L120" s="70">
        <f t="shared" si="8"/>
        <v>0</v>
      </c>
      <c r="M120" s="104">
        <f t="shared" si="9"/>
        <v>0</v>
      </c>
    </row>
    <row r="121" ht="13.85" spans="1:13">
      <c r="A121" s="52">
        <v>45280</v>
      </c>
      <c r="B121" s="9">
        <f>95.71+198.68</f>
        <v>294.39</v>
      </c>
      <c r="C121" s="109">
        <f>3945+17312</f>
        <v>21257</v>
      </c>
      <c r="D121" s="10">
        <f>83+290</f>
        <v>373</v>
      </c>
      <c r="E121" s="10">
        <v>0</v>
      </c>
      <c r="F121" s="10">
        <v>0</v>
      </c>
      <c r="G121" s="10">
        <v>3</v>
      </c>
      <c r="H121" s="10">
        <v>1</v>
      </c>
      <c r="I121" s="84">
        <f t="shared" si="5"/>
        <v>0.0175471609352213</v>
      </c>
      <c r="J121" s="70">
        <f t="shared" si="6"/>
        <v>0.789249329758713</v>
      </c>
      <c r="K121" s="70">
        <f t="shared" si="7"/>
        <v>13.8490850072917</v>
      </c>
      <c r="L121" s="70">
        <f t="shared" si="8"/>
        <v>0</v>
      </c>
      <c r="M121" s="104">
        <f t="shared" si="9"/>
        <v>0</v>
      </c>
    </row>
    <row r="122" ht="13.85" spans="1:13">
      <c r="A122" s="52">
        <v>45281</v>
      </c>
      <c r="B122" s="9">
        <f>81.24+80.53+198.87</f>
        <v>360.64</v>
      </c>
      <c r="C122" s="109">
        <f>6032+1529+18145</f>
        <v>25706</v>
      </c>
      <c r="D122" s="10">
        <f>96+17+241</f>
        <v>354</v>
      </c>
      <c r="E122" s="10">
        <v>0</v>
      </c>
      <c r="F122" s="10">
        <v>0</v>
      </c>
      <c r="G122" s="10">
        <v>1</v>
      </c>
      <c r="H122" s="10">
        <v>0</v>
      </c>
      <c r="I122" s="84">
        <f t="shared" si="5"/>
        <v>0.0137711040224072</v>
      </c>
      <c r="J122" s="70">
        <f t="shared" si="6"/>
        <v>1.01875706214689</v>
      </c>
      <c r="K122" s="70">
        <f t="shared" si="7"/>
        <v>14.0294094763868</v>
      </c>
      <c r="L122" s="70">
        <f t="shared" si="8"/>
        <v>0</v>
      </c>
      <c r="M122" s="104">
        <f t="shared" si="9"/>
        <v>0</v>
      </c>
    </row>
    <row r="123" ht="13.85" spans="1:13">
      <c r="A123" s="52">
        <v>45282</v>
      </c>
      <c r="B123" s="9">
        <f>83.65+19.89+198.91</f>
        <v>302.45</v>
      </c>
      <c r="C123" s="109">
        <f>5523+1154+18838</f>
        <v>25515</v>
      </c>
      <c r="D123" s="10">
        <f>106+20+290</f>
        <v>416</v>
      </c>
      <c r="E123" s="10">
        <v>0</v>
      </c>
      <c r="F123" s="10">
        <v>0</v>
      </c>
      <c r="G123" s="10">
        <v>6</v>
      </c>
      <c r="H123" s="10">
        <v>3</v>
      </c>
      <c r="I123" s="84">
        <f t="shared" si="5"/>
        <v>0.0163041348226533</v>
      </c>
      <c r="J123" s="70">
        <f t="shared" si="6"/>
        <v>0.727043269230769</v>
      </c>
      <c r="K123" s="70">
        <f t="shared" si="7"/>
        <v>11.8538114834411</v>
      </c>
      <c r="L123" s="70">
        <f t="shared" si="8"/>
        <v>0</v>
      </c>
      <c r="M123" s="104">
        <f t="shared" si="9"/>
        <v>0</v>
      </c>
    </row>
    <row r="124" ht="13.85" spans="1:13">
      <c r="A124" s="52">
        <v>45283</v>
      </c>
      <c r="B124" s="9">
        <f>82.17+81.45+195.4</f>
        <v>359.02</v>
      </c>
      <c r="C124" s="109">
        <f>2596+615+12081</f>
        <v>15292</v>
      </c>
      <c r="D124" s="10">
        <f>58+30+173</f>
        <v>261</v>
      </c>
      <c r="E124" s="10">
        <v>0</v>
      </c>
      <c r="F124" s="10">
        <v>0</v>
      </c>
      <c r="G124" s="10">
        <v>12</v>
      </c>
      <c r="H124" s="10">
        <v>1</v>
      </c>
      <c r="I124" s="84">
        <f t="shared" si="5"/>
        <v>0.0170677478420089</v>
      </c>
      <c r="J124" s="70">
        <f t="shared" si="6"/>
        <v>1.37555555555556</v>
      </c>
      <c r="K124" s="70">
        <f t="shared" si="7"/>
        <v>23.4776353648967</v>
      </c>
      <c r="L124" s="70">
        <f t="shared" si="8"/>
        <v>0</v>
      </c>
      <c r="M124" s="104">
        <f t="shared" si="9"/>
        <v>0</v>
      </c>
    </row>
    <row r="125" ht="13.85" spans="1:13">
      <c r="A125" s="52">
        <v>45284</v>
      </c>
      <c r="B125" s="9">
        <f>93.18+66.06+190.93</f>
        <v>350.17</v>
      </c>
      <c r="C125" s="109">
        <f>2005+1151+11603</f>
        <v>14759</v>
      </c>
      <c r="D125" s="10">
        <f>28+35+206</f>
        <v>269</v>
      </c>
      <c r="E125" s="10">
        <v>0</v>
      </c>
      <c r="F125" s="10">
        <v>0</v>
      </c>
      <c r="G125" s="10">
        <v>1</v>
      </c>
      <c r="H125" s="10">
        <v>1</v>
      </c>
      <c r="I125" s="84">
        <f t="shared" si="5"/>
        <v>0.0182261670844908</v>
      </c>
      <c r="J125" s="70">
        <f t="shared" si="6"/>
        <v>1.30174721189591</v>
      </c>
      <c r="K125" s="70">
        <f t="shared" si="7"/>
        <v>23.7258621857849</v>
      </c>
      <c r="L125" s="70">
        <f t="shared" si="8"/>
        <v>0</v>
      </c>
      <c r="M125" s="104">
        <f t="shared" si="9"/>
        <v>0</v>
      </c>
    </row>
    <row r="126" ht="13.85" spans="1:13">
      <c r="A126" s="52">
        <v>45285</v>
      </c>
      <c r="B126" s="102">
        <f>94.7+75.18+191.75</f>
        <v>361.63</v>
      </c>
      <c r="C126" s="97">
        <f>3213+1386+47396</f>
        <v>51995</v>
      </c>
      <c r="D126" s="31">
        <f>76+44+408</f>
        <v>528</v>
      </c>
      <c r="E126" s="31">
        <v>0</v>
      </c>
      <c r="F126" s="31">
        <v>0</v>
      </c>
      <c r="G126" s="31">
        <f>2+3+4</f>
        <v>9</v>
      </c>
      <c r="H126" s="31">
        <f>1+2</f>
        <v>3</v>
      </c>
      <c r="I126" s="84">
        <f t="shared" si="5"/>
        <v>0.0101548225790941</v>
      </c>
      <c r="J126" s="70">
        <f t="shared" si="6"/>
        <v>0.684905303030303</v>
      </c>
      <c r="K126" s="70">
        <f t="shared" si="7"/>
        <v>6.95509183575344</v>
      </c>
      <c r="L126" s="70">
        <f t="shared" si="8"/>
        <v>0</v>
      </c>
      <c r="M126" s="104">
        <f t="shared" si="9"/>
        <v>0</v>
      </c>
    </row>
    <row r="127" ht="13.85" spans="1:13">
      <c r="A127" s="52">
        <v>45286</v>
      </c>
      <c r="B127" s="102">
        <v>283.72</v>
      </c>
      <c r="C127" s="97">
        <v>36085</v>
      </c>
      <c r="D127" s="31">
        <v>418</v>
      </c>
      <c r="E127" s="10">
        <v>0</v>
      </c>
      <c r="F127" s="10">
        <v>0</v>
      </c>
      <c r="G127" s="31">
        <v>9</v>
      </c>
      <c r="H127" s="31">
        <v>2</v>
      </c>
      <c r="I127" s="84">
        <f t="shared" si="5"/>
        <v>0.0115837605653319</v>
      </c>
      <c r="J127" s="70">
        <f t="shared" si="6"/>
        <v>0.678755980861244</v>
      </c>
      <c r="K127" s="70">
        <f t="shared" si="7"/>
        <v>7.86254676458362</v>
      </c>
      <c r="L127" s="70">
        <f t="shared" si="8"/>
        <v>0</v>
      </c>
      <c r="M127" s="104">
        <f t="shared" si="9"/>
        <v>0</v>
      </c>
    </row>
    <row r="128" ht="13.85" spans="1:13">
      <c r="A128" s="52">
        <v>45287</v>
      </c>
      <c r="B128" s="96">
        <v>267.7</v>
      </c>
      <c r="C128" s="97">
        <v>27098</v>
      </c>
      <c r="D128" s="31">
        <v>345</v>
      </c>
      <c r="E128" s="31">
        <v>0</v>
      </c>
      <c r="F128" s="31">
        <v>0</v>
      </c>
      <c r="G128" s="31">
        <v>4</v>
      </c>
      <c r="H128" s="31">
        <v>1</v>
      </c>
      <c r="I128" s="84">
        <f t="shared" si="5"/>
        <v>0.0127315669053067</v>
      </c>
      <c r="J128" s="70">
        <f t="shared" si="6"/>
        <v>0.775942028985507</v>
      </c>
      <c r="K128" s="70">
        <f t="shared" si="7"/>
        <v>9.87895785666839</v>
      </c>
      <c r="L128" s="70">
        <f t="shared" si="8"/>
        <v>0</v>
      </c>
      <c r="M128" s="104">
        <f t="shared" si="9"/>
        <v>0</v>
      </c>
    </row>
    <row r="129" ht="13.85" spans="1:13">
      <c r="A129" s="52">
        <v>45288</v>
      </c>
      <c r="B129" s="102">
        <f>80.89+189.23</f>
        <v>270.12</v>
      </c>
      <c r="C129" s="97">
        <f>4627+16012</f>
        <v>20639</v>
      </c>
      <c r="D129" s="31">
        <f>67+238</f>
        <v>305</v>
      </c>
      <c r="E129" s="31">
        <v>0</v>
      </c>
      <c r="F129" s="31">
        <v>0</v>
      </c>
      <c r="G129" s="31">
        <v>4</v>
      </c>
      <c r="H129" s="31">
        <v>4</v>
      </c>
      <c r="I129" s="84">
        <f t="shared" si="5"/>
        <v>0.0147778477639421</v>
      </c>
      <c r="J129" s="70">
        <f t="shared" si="6"/>
        <v>0.885639344262295</v>
      </c>
      <c r="K129" s="70">
        <f t="shared" si="7"/>
        <v>13.0878434032657</v>
      </c>
      <c r="L129" s="70">
        <f t="shared" si="8"/>
        <v>0</v>
      </c>
      <c r="M129" s="104">
        <f t="shared" si="9"/>
        <v>0</v>
      </c>
    </row>
    <row r="130" ht="13.85" spans="1:13">
      <c r="A130" s="52">
        <v>45289</v>
      </c>
      <c r="B130" s="102">
        <v>345.55</v>
      </c>
      <c r="C130" s="97">
        <v>15770</v>
      </c>
      <c r="D130" s="31">
        <v>279</v>
      </c>
      <c r="E130" s="31">
        <v>0</v>
      </c>
      <c r="F130" s="31">
        <v>0</v>
      </c>
      <c r="G130" s="31">
        <v>3</v>
      </c>
      <c r="H130" s="31">
        <v>4</v>
      </c>
      <c r="I130" s="84">
        <f t="shared" ref="I130:I193" si="10">D130/C130</f>
        <v>0.0176918199112238</v>
      </c>
      <c r="J130" s="70">
        <f t="shared" ref="J130:J193" si="11">B130/D130</f>
        <v>1.23853046594982</v>
      </c>
      <c r="K130" s="70">
        <f t="shared" ref="K130:K193" si="12">B130/C130*1000</f>
        <v>21.9118579581484</v>
      </c>
      <c r="L130" s="70">
        <f t="shared" ref="L130:L193" si="13">F130/B130</f>
        <v>0</v>
      </c>
      <c r="M130" s="104">
        <f t="shared" ref="M130:M193" si="14">E130/D130</f>
        <v>0</v>
      </c>
    </row>
    <row r="131" ht="13.85" spans="1:13">
      <c r="A131" s="52">
        <v>45290</v>
      </c>
      <c r="B131" s="102">
        <v>372.9</v>
      </c>
      <c r="C131" s="97">
        <v>15741</v>
      </c>
      <c r="D131" s="31">
        <v>300</v>
      </c>
      <c r="E131" s="31">
        <v>0</v>
      </c>
      <c r="F131" s="31">
        <v>0</v>
      </c>
      <c r="G131" s="31">
        <v>5</v>
      </c>
      <c r="H131" s="31">
        <v>0</v>
      </c>
      <c r="I131" s="84">
        <f t="shared" si="10"/>
        <v>0.0190585096245474</v>
      </c>
      <c r="J131" s="70">
        <f t="shared" si="11"/>
        <v>1.243</v>
      </c>
      <c r="K131" s="70">
        <f t="shared" si="12"/>
        <v>23.6897274633124</v>
      </c>
      <c r="L131" s="70">
        <f t="shared" si="13"/>
        <v>0</v>
      </c>
      <c r="M131" s="104">
        <f t="shared" si="14"/>
        <v>0</v>
      </c>
    </row>
    <row r="132" ht="13.85" spans="1:13">
      <c r="A132" s="52">
        <v>45291</v>
      </c>
      <c r="B132" s="102">
        <v>337.78</v>
      </c>
      <c r="C132" s="97">
        <v>17677</v>
      </c>
      <c r="D132" s="31">
        <v>285</v>
      </c>
      <c r="E132" s="31">
        <v>0</v>
      </c>
      <c r="F132" s="31">
        <v>0</v>
      </c>
      <c r="G132" s="31">
        <v>1</v>
      </c>
      <c r="H132" s="31">
        <v>1</v>
      </c>
      <c r="I132" s="84">
        <f t="shared" si="10"/>
        <v>0.0161226452452339</v>
      </c>
      <c r="J132" s="70">
        <f t="shared" si="11"/>
        <v>1.18519298245614</v>
      </c>
      <c r="K132" s="70">
        <f t="shared" si="12"/>
        <v>19.1084460032811</v>
      </c>
      <c r="L132" s="70">
        <f t="shared" si="13"/>
        <v>0</v>
      </c>
      <c r="M132" s="104">
        <f t="shared" si="14"/>
        <v>0</v>
      </c>
    </row>
    <row r="133" ht="13.85" spans="1:13">
      <c r="A133" s="52">
        <v>45292</v>
      </c>
      <c r="B133" s="102">
        <v>352.36</v>
      </c>
      <c r="C133" s="97">
        <v>17802</v>
      </c>
      <c r="D133" s="31">
        <v>318</v>
      </c>
      <c r="E133" s="31">
        <v>1</v>
      </c>
      <c r="F133" s="97">
        <v>19491</v>
      </c>
      <c r="G133" s="31">
        <v>9</v>
      </c>
      <c r="H133" s="31">
        <v>2</v>
      </c>
      <c r="I133" s="84">
        <f t="shared" si="10"/>
        <v>0.0178631614425345</v>
      </c>
      <c r="J133" s="70">
        <f t="shared" si="11"/>
        <v>1.10805031446541</v>
      </c>
      <c r="K133" s="70">
        <f t="shared" si="12"/>
        <v>19.7932816537468</v>
      </c>
      <c r="L133" s="70">
        <f t="shared" si="13"/>
        <v>55.3155863321603</v>
      </c>
      <c r="M133" s="104">
        <f t="shared" si="14"/>
        <v>0.00314465408805031</v>
      </c>
    </row>
    <row r="134" ht="13.85" spans="1:13">
      <c r="A134" s="52">
        <v>45293</v>
      </c>
      <c r="B134" s="102">
        <f>94.07+177.13+58.35</f>
        <v>329.55</v>
      </c>
      <c r="C134" s="97">
        <f>8042+12423+2183</f>
        <v>22648</v>
      </c>
      <c r="D134" s="31">
        <f>83+217+89</f>
        <v>389</v>
      </c>
      <c r="E134" s="31">
        <v>0</v>
      </c>
      <c r="F134" s="31">
        <v>0</v>
      </c>
      <c r="G134" s="31">
        <v>3</v>
      </c>
      <c r="H134" s="31">
        <v>5</v>
      </c>
      <c r="I134" s="84">
        <f t="shared" si="10"/>
        <v>0.0171759095725892</v>
      </c>
      <c r="J134" s="70">
        <f t="shared" si="11"/>
        <v>0.847172236503856</v>
      </c>
      <c r="K134" s="70">
        <f t="shared" si="12"/>
        <v>14.5509537265984</v>
      </c>
      <c r="L134" s="70">
        <f t="shared" si="13"/>
        <v>0</v>
      </c>
      <c r="M134" s="104">
        <f t="shared" si="14"/>
        <v>0</v>
      </c>
    </row>
    <row r="135" ht="13.85" spans="1:13">
      <c r="A135" s="52">
        <v>45294</v>
      </c>
      <c r="B135" s="102">
        <f>79.83+76.47+184.16</f>
        <v>340.46</v>
      </c>
      <c r="C135" s="97">
        <f>1885+6534+15867</f>
        <v>24286</v>
      </c>
      <c r="D135" s="31">
        <f>34+80+218</f>
        <v>332</v>
      </c>
      <c r="E135" s="31">
        <v>1</v>
      </c>
      <c r="F135" s="97">
        <v>13566</v>
      </c>
      <c r="G135" s="31">
        <v>6</v>
      </c>
      <c r="H135" s="31">
        <v>0</v>
      </c>
      <c r="I135" s="84">
        <f t="shared" si="10"/>
        <v>0.0136704274067364</v>
      </c>
      <c r="J135" s="70">
        <f t="shared" si="11"/>
        <v>1.02548192771084</v>
      </c>
      <c r="K135" s="70">
        <f t="shared" si="12"/>
        <v>14.0187762496912</v>
      </c>
      <c r="L135" s="70">
        <f t="shared" si="13"/>
        <v>39.8460905833284</v>
      </c>
      <c r="M135" s="104">
        <f t="shared" si="14"/>
        <v>0.00301204819277108</v>
      </c>
    </row>
    <row r="136" ht="13.85" spans="1:13">
      <c r="A136" s="52">
        <v>45295</v>
      </c>
      <c r="B136" s="102">
        <f>83.75+79.07+187.97</f>
        <v>350.79</v>
      </c>
      <c r="C136" s="97">
        <f>2070+3848+13491</f>
        <v>19409</v>
      </c>
      <c r="D136" s="31">
        <f>29+46+211</f>
        <v>286</v>
      </c>
      <c r="E136" s="31">
        <v>0</v>
      </c>
      <c r="F136" s="31">
        <v>0</v>
      </c>
      <c r="G136" s="31">
        <v>8</v>
      </c>
      <c r="H136" s="31">
        <v>0</v>
      </c>
      <c r="I136" s="84">
        <f t="shared" si="10"/>
        <v>0.014735432016075</v>
      </c>
      <c r="J136" s="70">
        <f t="shared" si="11"/>
        <v>1.22653846153846</v>
      </c>
      <c r="K136" s="70">
        <f t="shared" si="12"/>
        <v>18.0735741151012</v>
      </c>
      <c r="L136" s="70">
        <f t="shared" si="13"/>
        <v>0</v>
      </c>
      <c r="M136" s="104">
        <f t="shared" si="14"/>
        <v>0</v>
      </c>
    </row>
    <row r="137" ht="13.85" spans="1:13">
      <c r="A137" s="52">
        <v>45296</v>
      </c>
      <c r="B137" s="102">
        <v>316.76</v>
      </c>
      <c r="C137" s="97">
        <v>16777</v>
      </c>
      <c r="D137" s="31">
        <v>270</v>
      </c>
      <c r="E137" s="31">
        <v>0</v>
      </c>
      <c r="F137" s="31">
        <v>0</v>
      </c>
      <c r="G137" s="31">
        <v>3</v>
      </c>
      <c r="H137" s="31">
        <v>0</v>
      </c>
      <c r="I137" s="84">
        <f t="shared" si="10"/>
        <v>0.0160934612862848</v>
      </c>
      <c r="J137" s="70">
        <f t="shared" si="11"/>
        <v>1.17318518518519</v>
      </c>
      <c r="K137" s="70">
        <f t="shared" si="12"/>
        <v>18.8806103594206</v>
      </c>
      <c r="L137" s="70">
        <f t="shared" si="13"/>
        <v>0</v>
      </c>
      <c r="M137" s="104">
        <f t="shared" si="14"/>
        <v>0</v>
      </c>
    </row>
    <row r="138" ht="13.85" spans="1:13">
      <c r="A138" s="52">
        <v>45297</v>
      </c>
      <c r="B138" s="102">
        <f>66.33+193.73+82.62</f>
        <v>342.68</v>
      </c>
      <c r="C138" s="97">
        <f>1290+9539+1770</f>
        <v>12599</v>
      </c>
      <c r="D138" s="31">
        <f>32+202+40</f>
        <v>274</v>
      </c>
      <c r="E138" s="31">
        <v>5</v>
      </c>
      <c r="F138" s="97">
        <v>58186</v>
      </c>
      <c r="G138" s="31">
        <v>3</v>
      </c>
      <c r="H138" s="31">
        <v>1</v>
      </c>
      <c r="I138" s="84">
        <f t="shared" si="10"/>
        <v>0.0217477577585523</v>
      </c>
      <c r="J138" s="70">
        <f t="shared" si="11"/>
        <v>1.25065693430657</v>
      </c>
      <c r="K138" s="70">
        <f t="shared" si="12"/>
        <v>27.1989840463529</v>
      </c>
      <c r="L138" s="70">
        <f t="shared" si="13"/>
        <v>169.796895062449</v>
      </c>
      <c r="M138" s="104">
        <f t="shared" si="14"/>
        <v>0.0182481751824818</v>
      </c>
    </row>
    <row r="139" ht="13.85" spans="1:13">
      <c r="A139" s="52">
        <v>45298</v>
      </c>
      <c r="B139" s="102">
        <f>66.1+95.86+188.69</f>
        <v>350.65</v>
      </c>
      <c r="C139" s="97">
        <f>2860+2257+13550</f>
        <v>18667</v>
      </c>
      <c r="D139" s="31">
        <f>47+46+212</f>
        <v>305</v>
      </c>
      <c r="E139" s="31">
        <v>1</v>
      </c>
      <c r="F139" s="97">
        <v>13566</v>
      </c>
      <c r="G139" s="31">
        <v>6</v>
      </c>
      <c r="H139" s="31">
        <v>1</v>
      </c>
      <c r="I139" s="84">
        <f t="shared" si="10"/>
        <v>0.0163389939465367</v>
      </c>
      <c r="J139" s="70">
        <f t="shared" si="11"/>
        <v>1.14967213114754</v>
      </c>
      <c r="K139" s="70">
        <f t="shared" si="12"/>
        <v>18.7844859913216</v>
      </c>
      <c r="L139" s="70">
        <f t="shared" si="13"/>
        <v>38.6881505774989</v>
      </c>
      <c r="M139" s="104">
        <f t="shared" si="14"/>
        <v>0.00327868852459016</v>
      </c>
    </row>
    <row r="140" ht="13.85" spans="1:13">
      <c r="A140" s="52">
        <v>45299</v>
      </c>
      <c r="B140" s="102">
        <f>69.97+60.44+165.14</f>
        <v>295.55</v>
      </c>
      <c r="C140" s="97">
        <f>1710+2882+10913</f>
        <v>15505</v>
      </c>
      <c r="D140" s="31">
        <f>37+41+216</f>
        <v>294</v>
      </c>
      <c r="E140" s="31">
        <v>0</v>
      </c>
      <c r="F140" s="31">
        <v>0</v>
      </c>
      <c r="G140" s="31">
        <v>4</v>
      </c>
      <c r="H140" s="31">
        <v>0</v>
      </c>
      <c r="I140" s="84">
        <f t="shared" si="10"/>
        <v>0.018961625282167</v>
      </c>
      <c r="J140" s="70">
        <f t="shared" si="11"/>
        <v>1.00527210884354</v>
      </c>
      <c r="K140" s="70">
        <f t="shared" si="12"/>
        <v>19.061593034505</v>
      </c>
      <c r="L140" s="70">
        <f t="shared" si="13"/>
        <v>0</v>
      </c>
      <c r="M140" s="104">
        <f t="shared" si="14"/>
        <v>0</v>
      </c>
    </row>
    <row r="141" ht="13.85" spans="1:13">
      <c r="A141" s="52">
        <v>45300</v>
      </c>
      <c r="B141" s="102">
        <f>59.7+78.8+173.11</f>
        <v>311.61</v>
      </c>
      <c r="C141" s="97">
        <f>3127+1900+16642</f>
        <v>21669</v>
      </c>
      <c r="D141" s="31">
        <f>48+40+268</f>
        <v>356</v>
      </c>
      <c r="E141" s="31">
        <v>0</v>
      </c>
      <c r="F141" s="31">
        <v>0</v>
      </c>
      <c r="G141" s="31">
        <v>6</v>
      </c>
      <c r="H141" s="31">
        <v>4</v>
      </c>
      <c r="I141" s="110">
        <f t="shared" si="10"/>
        <v>0.0164289999538511</v>
      </c>
      <c r="J141" s="111">
        <f t="shared" si="11"/>
        <v>0.875308988764045</v>
      </c>
      <c r="K141" s="111">
        <f t="shared" si="12"/>
        <v>14.38045133601</v>
      </c>
      <c r="L141" s="111">
        <f t="shared" si="13"/>
        <v>0</v>
      </c>
      <c r="M141" s="112">
        <f t="shared" si="14"/>
        <v>0</v>
      </c>
    </row>
    <row r="142" ht="13.85" spans="1:13">
      <c r="A142" s="52">
        <v>45301</v>
      </c>
      <c r="B142" s="102">
        <f>93.92+89.83+198.8</f>
        <v>382.55</v>
      </c>
      <c r="C142" s="97">
        <f>2487+3278+26802</f>
        <v>32567</v>
      </c>
      <c r="D142" s="31">
        <f>70+41+283</f>
        <v>394</v>
      </c>
      <c r="E142" s="31">
        <v>1</v>
      </c>
      <c r="F142" s="97">
        <v>10998</v>
      </c>
      <c r="G142" s="31">
        <v>7</v>
      </c>
      <c r="H142" s="31">
        <v>2</v>
      </c>
      <c r="I142" s="110">
        <f t="shared" si="10"/>
        <v>0.0120981361500906</v>
      </c>
      <c r="J142" s="111">
        <f t="shared" si="11"/>
        <v>0.970939086294416</v>
      </c>
      <c r="K142" s="111">
        <f t="shared" si="12"/>
        <v>11.7465532594344</v>
      </c>
      <c r="L142" s="111">
        <f t="shared" si="13"/>
        <v>28.7491831133185</v>
      </c>
      <c r="M142" s="112">
        <f t="shared" si="14"/>
        <v>0.00253807106598985</v>
      </c>
    </row>
    <row r="143" ht="13.85" spans="1:13">
      <c r="A143" s="52">
        <v>45302</v>
      </c>
      <c r="B143" s="102">
        <f>83.34+62.52+191.77</f>
        <v>337.63</v>
      </c>
      <c r="C143" s="97">
        <f>3372+1546+10544</f>
        <v>15462</v>
      </c>
      <c r="D143" s="31">
        <f>82+28+238</f>
        <v>348</v>
      </c>
      <c r="E143" s="31">
        <v>0</v>
      </c>
      <c r="F143" s="31">
        <v>0</v>
      </c>
      <c r="G143" s="31">
        <v>11</v>
      </c>
      <c r="H143" s="31">
        <v>0</v>
      </c>
      <c r="I143" s="110">
        <f t="shared" si="10"/>
        <v>0.0225067908420644</v>
      </c>
      <c r="J143" s="111">
        <f t="shared" si="11"/>
        <v>0.970201149425287</v>
      </c>
      <c r="K143" s="111">
        <f t="shared" si="12"/>
        <v>21.8361143448454</v>
      </c>
      <c r="L143" s="111">
        <f t="shared" si="13"/>
        <v>0</v>
      </c>
      <c r="M143" s="112">
        <f t="shared" si="14"/>
        <v>0</v>
      </c>
    </row>
    <row r="144" ht="13.85" spans="1:13">
      <c r="A144" s="52">
        <v>45303</v>
      </c>
      <c r="B144" s="102">
        <f>75.01+73.92+197.01</f>
        <v>345.94</v>
      </c>
      <c r="C144" s="97">
        <f>2414+4272+14427</f>
        <v>21113</v>
      </c>
      <c r="D144" s="31">
        <f>60+48+254</f>
        <v>362</v>
      </c>
      <c r="E144" s="31">
        <v>0</v>
      </c>
      <c r="F144" s="31">
        <v>0</v>
      </c>
      <c r="G144" s="31">
        <v>10</v>
      </c>
      <c r="H144" s="31">
        <v>2</v>
      </c>
      <c r="I144" s="110">
        <f t="shared" si="10"/>
        <v>0.0171458343200871</v>
      </c>
      <c r="J144" s="111">
        <f t="shared" si="11"/>
        <v>0.955635359116022</v>
      </c>
      <c r="K144" s="111">
        <f t="shared" si="12"/>
        <v>16.3851655378203</v>
      </c>
      <c r="L144" s="111">
        <f t="shared" si="13"/>
        <v>0</v>
      </c>
      <c r="M144" s="112">
        <f t="shared" si="14"/>
        <v>0</v>
      </c>
    </row>
    <row r="145" ht="13.85" spans="1:13">
      <c r="A145" s="52">
        <v>45304</v>
      </c>
      <c r="B145" s="102">
        <f>179.99+92.36+85.19</f>
        <v>357.54</v>
      </c>
      <c r="C145" s="97">
        <f>10992+3404+1816</f>
        <v>16212</v>
      </c>
      <c r="D145" s="31">
        <f>237+69+26</f>
        <v>332</v>
      </c>
      <c r="E145" s="31">
        <v>0</v>
      </c>
      <c r="F145" s="31">
        <v>0</v>
      </c>
      <c r="G145" s="31">
        <v>9</v>
      </c>
      <c r="H145" s="31">
        <v>0</v>
      </c>
      <c r="I145" s="110">
        <f t="shared" si="10"/>
        <v>0.0204786577843573</v>
      </c>
      <c r="J145" s="111">
        <f t="shared" si="11"/>
        <v>1.07692771084337</v>
      </c>
      <c r="K145" s="111">
        <f t="shared" si="12"/>
        <v>22.0540340488527</v>
      </c>
      <c r="L145" s="111">
        <f t="shared" si="13"/>
        <v>0</v>
      </c>
      <c r="M145" s="112">
        <f t="shared" si="14"/>
        <v>0</v>
      </c>
    </row>
    <row r="146" ht="13.85" spans="1:13">
      <c r="A146" s="52">
        <v>45305</v>
      </c>
      <c r="B146" s="102">
        <f>184.32+87.02+96.17</f>
        <v>367.51</v>
      </c>
      <c r="C146" s="97">
        <f>23252+2959+4840</f>
        <v>31051</v>
      </c>
      <c r="D146" s="31">
        <f>318+32+105</f>
        <v>455</v>
      </c>
      <c r="E146" s="31">
        <v>0</v>
      </c>
      <c r="F146" s="31">
        <v>0</v>
      </c>
      <c r="G146" s="31">
        <v>3</v>
      </c>
      <c r="H146" s="31">
        <v>1</v>
      </c>
      <c r="I146" s="110">
        <f t="shared" si="10"/>
        <v>0.0146533122926798</v>
      </c>
      <c r="J146" s="111">
        <f t="shared" si="11"/>
        <v>0.807714285714286</v>
      </c>
      <c r="K146" s="111">
        <f t="shared" si="12"/>
        <v>11.8356896718302</v>
      </c>
      <c r="L146" s="111">
        <f t="shared" si="13"/>
        <v>0</v>
      </c>
      <c r="M146" s="112">
        <f t="shared" si="14"/>
        <v>0</v>
      </c>
    </row>
    <row r="147" ht="13.85" spans="1:13">
      <c r="A147" s="52">
        <v>45306</v>
      </c>
      <c r="B147" s="102">
        <f>72.09+91.33+181.19</f>
        <v>344.61</v>
      </c>
      <c r="C147" s="97">
        <f>6675+3904+16970</f>
        <v>27549</v>
      </c>
      <c r="D147" s="31">
        <f>82+47+259</f>
        <v>388</v>
      </c>
      <c r="E147" s="31">
        <v>0</v>
      </c>
      <c r="F147" s="31">
        <v>0</v>
      </c>
      <c r="G147" s="31">
        <v>10</v>
      </c>
      <c r="H147" s="31">
        <v>0</v>
      </c>
      <c r="I147" s="110">
        <f t="shared" si="10"/>
        <v>0.0140839957893208</v>
      </c>
      <c r="J147" s="111">
        <f t="shared" si="11"/>
        <v>0.888170103092784</v>
      </c>
      <c r="K147" s="111">
        <f t="shared" si="12"/>
        <v>12.5089839921594</v>
      </c>
      <c r="L147" s="111">
        <f t="shared" si="13"/>
        <v>0</v>
      </c>
      <c r="M147" s="112">
        <f t="shared" si="14"/>
        <v>0</v>
      </c>
    </row>
    <row r="148" ht="13.85" spans="1:13">
      <c r="A148" s="52">
        <v>45307</v>
      </c>
      <c r="B148" s="113">
        <f>81.15+66.14+182.06+587.87+272.14</f>
        <v>1189.36</v>
      </c>
      <c r="C148" s="97">
        <f>5209+1484+14718+4316+3271</f>
        <v>28998</v>
      </c>
      <c r="D148" s="31">
        <f>72+33+261+16</f>
        <v>382</v>
      </c>
      <c r="E148" s="31">
        <v>1</v>
      </c>
      <c r="F148" s="31">
        <v>19851</v>
      </c>
      <c r="G148" s="31">
        <v>4</v>
      </c>
      <c r="H148" s="31">
        <v>2</v>
      </c>
      <c r="I148" s="110">
        <f t="shared" si="10"/>
        <v>0.0131733222980895</v>
      </c>
      <c r="J148" s="111">
        <f t="shared" si="11"/>
        <v>3.11350785340314</v>
      </c>
      <c r="K148" s="111">
        <f t="shared" si="12"/>
        <v>41.0152424305125</v>
      </c>
      <c r="L148" s="111">
        <f t="shared" si="13"/>
        <v>16.6904890024887</v>
      </c>
      <c r="M148" s="112">
        <f t="shared" si="14"/>
        <v>0.00261780104712042</v>
      </c>
    </row>
    <row r="149" ht="13.85" spans="1:13">
      <c r="A149" s="52">
        <v>45308</v>
      </c>
      <c r="B149" s="102">
        <f>77.73+86.89+182.32</f>
        <v>346.94</v>
      </c>
      <c r="C149" s="97">
        <f>4164+1938+15635</f>
        <v>21737</v>
      </c>
      <c r="D149" s="31">
        <f>66+38+227</f>
        <v>331</v>
      </c>
      <c r="E149" s="31">
        <v>1</v>
      </c>
      <c r="F149" s="97">
        <v>19851</v>
      </c>
      <c r="G149" s="31">
        <v>2</v>
      </c>
      <c r="H149" s="31">
        <v>2</v>
      </c>
      <c r="I149" s="110">
        <f t="shared" si="10"/>
        <v>0.0152274922942448</v>
      </c>
      <c r="J149" s="111">
        <f t="shared" si="11"/>
        <v>1.04815709969789</v>
      </c>
      <c r="K149" s="111">
        <f t="shared" si="12"/>
        <v>15.9608041588076</v>
      </c>
      <c r="L149" s="111">
        <f t="shared" si="13"/>
        <v>57.2173862915778</v>
      </c>
      <c r="M149" s="112">
        <f t="shared" si="14"/>
        <v>0.00302114803625378</v>
      </c>
    </row>
    <row r="150" ht="13.85" spans="1:13">
      <c r="A150" s="52">
        <v>45309</v>
      </c>
      <c r="B150" s="102">
        <f>94.45+70.28+178.75+585.57</f>
        <v>929.05</v>
      </c>
      <c r="C150" s="97">
        <f>3837+1182+18778+4280</f>
        <v>28077</v>
      </c>
      <c r="D150" s="31">
        <f>72+27+216+41</f>
        <v>356</v>
      </c>
      <c r="E150" s="31">
        <v>0</v>
      </c>
      <c r="F150" s="31">
        <v>0</v>
      </c>
      <c r="G150" s="31">
        <v>5</v>
      </c>
      <c r="H150" s="31">
        <v>3</v>
      </c>
      <c r="I150" s="110">
        <f t="shared" si="10"/>
        <v>0.0126794173166649</v>
      </c>
      <c r="J150" s="111">
        <f t="shared" si="11"/>
        <v>2.60969101123595</v>
      </c>
      <c r="K150" s="111">
        <f t="shared" si="12"/>
        <v>33.0893613990099</v>
      </c>
      <c r="L150" s="111">
        <f t="shared" si="13"/>
        <v>0</v>
      </c>
      <c r="M150" s="112">
        <f t="shared" si="14"/>
        <v>0</v>
      </c>
    </row>
    <row r="151" ht="13.85" spans="1:13">
      <c r="A151" s="52">
        <v>45310</v>
      </c>
      <c r="B151" s="102">
        <f>52.51+83.18+179.67</f>
        <v>315.36</v>
      </c>
      <c r="C151" s="97">
        <f>2833+1372+15938</f>
        <v>20143</v>
      </c>
      <c r="D151" s="31">
        <f>54+27+240</f>
        <v>321</v>
      </c>
      <c r="E151" s="31">
        <v>0</v>
      </c>
      <c r="F151" s="31">
        <v>0</v>
      </c>
      <c r="G151" s="31">
        <f>4+5</f>
        <v>9</v>
      </c>
      <c r="H151" s="31">
        <v>1</v>
      </c>
      <c r="I151" s="110">
        <f t="shared" si="10"/>
        <v>0.0159360571910837</v>
      </c>
      <c r="J151" s="111">
        <f t="shared" si="11"/>
        <v>0.982429906542056</v>
      </c>
      <c r="K151" s="111">
        <f t="shared" si="12"/>
        <v>15.6560591768853</v>
      </c>
      <c r="L151" s="111">
        <f t="shared" si="13"/>
        <v>0</v>
      </c>
      <c r="M151" s="112">
        <f t="shared" si="14"/>
        <v>0</v>
      </c>
    </row>
    <row r="152" ht="13.85" spans="1:13">
      <c r="A152" s="52">
        <v>45311</v>
      </c>
      <c r="B152" s="102">
        <f>188.06+80.49+97.72</f>
        <v>366.27</v>
      </c>
      <c r="C152" s="97">
        <f>21340+2870+4046</f>
        <v>28256</v>
      </c>
      <c r="D152" s="31">
        <f>303+38+76</f>
        <v>417</v>
      </c>
      <c r="E152" s="31">
        <v>0</v>
      </c>
      <c r="F152" s="31">
        <v>0</v>
      </c>
      <c r="G152" s="31">
        <v>6</v>
      </c>
      <c r="H152" s="31">
        <v>2</v>
      </c>
      <c r="I152" s="110">
        <f t="shared" si="10"/>
        <v>0.0147579275198188</v>
      </c>
      <c r="J152" s="111">
        <f t="shared" si="11"/>
        <v>0.878345323741007</v>
      </c>
      <c r="K152" s="111">
        <f t="shared" si="12"/>
        <v>12.9625566251416</v>
      </c>
      <c r="L152" s="111">
        <f t="shared" si="13"/>
        <v>0</v>
      </c>
      <c r="M152" s="112">
        <f t="shared" si="14"/>
        <v>0</v>
      </c>
    </row>
    <row r="153" ht="13.85" spans="1:13">
      <c r="A153" s="52">
        <v>45312</v>
      </c>
      <c r="B153" s="102">
        <f>181.77+73.66+71.55</f>
        <v>326.98</v>
      </c>
      <c r="C153" s="97">
        <f>20711+5391+2307</f>
        <v>28409</v>
      </c>
      <c r="D153" s="31">
        <f>270+57+29</f>
        <v>356</v>
      </c>
      <c r="E153" s="31">
        <v>0</v>
      </c>
      <c r="F153" s="31">
        <v>0</v>
      </c>
      <c r="G153" s="31">
        <v>4</v>
      </c>
      <c r="H153" s="31">
        <v>0</v>
      </c>
      <c r="I153" s="110">
        <f t="shared" si="10"/>
        <v>0.0125312400999683</v>
      </c>
      <c r="J153" s="111">
        <f t="shared" si="11"/>
        <v>0.918483146067416</v>
      </c>
      <c r="K153" s="111">
        <f t="shared" si="12"/>
        <v>11.5097328311451</v>
      </c>
      <c r="L153" s="111">
        <f t="shared" si="13"/>
        <v>0</v>
      </c>
      <c r="M153" s="112">
        <f t="shared" si="14"/>
        <v>0</v>
      </c>
    </row>
    <row r="154" ht="13.85" spans="1:13">
      <c r="A154" s="52">
        <v>45313</v>
      </c>
      <c r="B154" s="102">
        <f>87.76+77.82+194.22</f>
        <v>359.8</v>
      </c>
      <c r="C154" s="31">
        <f>6956+3211+24086</f>
        <v>34253</v>
      </c>
      <c r="D154" s="31">
        <f>82+32+318</f>
        <v>432</v>
      </c>
      <c r="E154" s="31">
        <v>0</v>
      </c>
      <c r="F154" s="31">
        <v>0</v>
      </c>
      <c r="G154" s="31">
        <v>3</v>
      </c>
      <c r="H154" s="31">
        <v>0</v>
      </c>
      <c r="I154" s="110">
        <f t="shared" si="10"/>
        <v>0.0126120339824249</v>
      </c>
      <c r="J154" s="111">
        <f t="shared" si="11"/>
        <v>0.83287037037037</v>
      </c>
      <c r="K154" s="111">
        <f t="shared" si="12"/>
        <v>10.5041894140659</v>
      </c>
      <c r="L154" s="111">
        <f t="shared" si="13"/>
        <v>0</v>
      </c>
      <c r="M154" s="112">
        <f t="shared" si="14"/>
        <v>0</v>
      </c>
    </row>
    <row r="155" ht="13.85" spans="1:13">
      <c r="A155" s="52">
        <v>45314</v>
      </c>
      <c r="B155" s="102">
        <f>90.79+80.76+199.73</f>
        <v>371.28</v>
      </c>
      <c r="C155" s="97">
        <f>5901+1668+38126</f>
        <v>45695</v>
      </c>
      <c r="D155" s="31">
        <f>71+30+349</f>
        <v>450</v>
      </c>
      <c r="E155" s="31">
        <v>0</v>
      </c>
      <c r="F155" s="31">
        <v>0</v>
      </c>
      <c r="G155" s="31">
        <v>5</v>
      </c>
      <c r="H155" s="31">
        <v>1</v>
      </c>
      <c r="I155" s="110">
        <f t="shared" si="10"/>
        <v>0.00984790458474669</v>
      </c>
      <c r="J155" s="111">
        <f t="shared" si="11"/>
        <v>0.825066666666667</v>
      </c>
      <c r="K155" s="111">
        <f t="shared" si="12"/>
        <v>8.12517780938833</v>
      </c>
      <c r="L155" s="111">
        <f t="shared" si="13"/>
        <v>0</v>
      </c>
      <c r="M155" s="112">
        <f t="shared" si="14"/>
        <v>0</v>
      </c>
    </row>
    <row r="156" ht="13.85" spans="1:13">
      <c r="A156" s="52">
        <v>45315</v>
      </c>
      <c r="B156" s="102">
        <f>84.31+77.9+200+598.7</f>
        <v>960.91</v>
      </c>
      <c r="C156" s="97">
        <f>3932+1786+40605+5251</f>
        <v>51574</v>
      </c>
      <c r="D156" s="31">
        <f>68+28+391+69</f>
        <v>556</v>
      </c>
      <c r="E156" s="31">
        <v>0</v>
      </c>
      <c r="F156" s="31">
        <v>0</v>
      </c>
      <c r="G156" s="31">
        <v>6</v>
      </c>
      <c r="H156" s="31">
        <v>0</v>
      </c>
      <c r="I156" s="110">
        <f t="shared" si="10"/>
        <v>0.0107806258967697</v>
      </c>
      <c r="J156" s="111">
        <f t="shared" si="11"/>
        <v>1.72825539568345</v>
      </c>
      <c r="K156" s="111">
        <f t="shared" si="12"/>
        <v>18.631674874937</v>
      </c>
      <c r="L156" s="111">
        <f t="shared" si="13"/>
        <v>0</v>
      </c>
      <c r="M156" s="112">
        <f t="shared" si="14"/>
        <v>0</v>
      </c>
    </row>
    <row r="157" ht="13.85" spans="1:13">
      <c r="A157" s="52">
        <v>45316</v>
      </c>
      <c r="B157" s="102">
        <f>200+97.61+81.49</f>
        <v>379.1</v>
      </c>
      <c r="C157" s="97">
        <f>35844+3472+1069</f>
        <v>40385</v>
      </c>
      <c r="D157" s="31">
        <f>388+60+30</f>
        <v>478</v>
      </c>
      <c r="E157" s="31">
        <v>0</v>
      </c>
      <c r="F157" s="31">
        <v>0</v>
      </c>
      <c r="G157" s="31">
        <v>7</v>
      </c>
      <c r="H157" s="31">
        <v>1</v>
      </c>
      <c r="I157" s="110">
        <f t="shared" si="10"/>
        <v>0.0118360777516405</v>
      </c>
      <c r="J157" s="111">
        <f t="shared" si="11"/>
        <v>0.793096234309624</v>
      </c>
      <c r="K157" s="111">
        <f t="shared" si="12"/>
        <v>9.38714869382197</v>
      </c>
      <c r="L157" s="111">
        <f t="shared" si="13"/>
        <v>0</v>
      </c>
      <c r="M157" s="112">
        <f t="shared" si="14"/>
        <v>0</v>
      </c>
    </row>
    <row r="158" ht="13.85" spans="1:13">
      <c r="A158" s="52">
        <v>45317</v>
      </c>
      <c r="B158" s="102">
        <f>76.1+84.97+188.04</f>
        <v>349.11</v>
      </c>
      <c r="C158" s="97">
        <f>3646+1743+55626</f>
        <v>61015</v>
      </c>
      <c r="D158" s="31">
        <f>52+33+544</f>
        <v>629</v>
      </c>
      <c r="E158" s="31">
        <v>0</v>
      </c>
      <c r="F158" s="31">
        <v>0</v>
      </c>
      <c r="G158" s="31">
        <v>6</v>
      </c>
      <c r="H158" s="31">
        <v>0</v>
      </c>
      <c r="I158" s="110">
        <f t="shared" si="10"/>
        <v>0.0103089404244858</v>
      </c>
      <c r="J158" s="111">
        <f t="shared" si="11"/>
        <v>0.555023847376789</v>
      </c>
      <c r="K158" s="111">
        <f t="shared" si="12"/>
        <v>5.7217077767762</v>
      </c>
      <c r="L158" s="111">
        <f t="shared" si="13"/>
        <v>0</v>
      </c>
      <c r="M158" s="112">
        <f t="shared" si="14"/>
        <v>0</v>
      </c>
    </row>
    <row r="159" ht="13.85" spans="1:13">
      <c r="A159" s="52">
        <v>45318</v>
      </c>
      <c r="B159" s="102">
        <f>90.91+58.7+195.5</f>
        <v>345.11</v>
      </c>
      <c r="C159" s="97">
        <f>2969+2152+55943</f>
        <v>61064</v>
      </c>
      <c r="D159" s="31">
        <f>50+24+486</f>
        <v>560</v>
      </c>
      <c r="E159" s="31">
        <v>0</v>
      </c>
      <c r="F159" s="31">
        <v>0</v>
      </c>
      <c r="G159" s="31">
        <v>4</v>
      </c>
      <c r="H159" s="31">
        <v>1</v>
      </c>
      <c r="I159" s="110">
        <f t="shared" si="10"/>
        <v>0.00917070614437312</v>
      </c>
      <c r="J159" s="111">
        <f t="shared" si="11"/>
        <v>0.616267857142857</v>
      </c>
      <c r="K159" s="111">
        <f t="shared" si="12"/>
        <v>5.65161142407965</v>
      </c>
      <c r="L159" s="111">
        <f t="shared" si="13"/>
        <v>0</v>
      </c>
      <c r="M159" s="112">
        <f t="shared" si="14"/>
        <v>0</v>
      </c>
    </row>
    <row r="160" ht="13.85" spans="1:13">
      <c r="A160" s="52">
        <v>45319</v>
      </c>
      <c r="B160" s="102">
        <f>91.5+77.8+200</f>
        <v>369.3</v>
      </c>
      <c r="C160" s="97">
        <f>3106+1546+27583</f>
        <v>32235</v>
      </c>
      <c r="D160" s="31">
        <f>58+28+310</f>
        <v>396</v>
      </c>
      <c r="E160" s="31">
        <v>0</v>
      </c>
      <c r="F160" s="31">
        <v>0</v>
      </c>
      <c r="G160" s="31">
        <v>11</v>
      </c>
      <c r="H160" s="31">
        <v>2</v>
      </c>
      <c r="I160" s="110">
        <f t="shared" si="10"/>
        <v>0.0122847836202885</v>
      </c>
      <c r="J160" s="111">
        <f t="shared" si="11"/>
        <v>0.932575757575758</v>
      </c>
      <c r="K160" s="111">
        <f t="shared" si="12"/>
        <v>11.4564913913448</v>
      </c>
      <c r="L160" s="111">
        <f t="shared" si="13"/>
        <v>0</v>
      </c>
      <c r="M160" s="112">
        <f t="shared" si="14"/>
        <v>0</v>
      </c>
    </row>
    <row r="161" ht="13.85" spans="1:13">
      <c r="A161" s="52">
        <v>45320</v>
      </c>
      <c r="B161" s="102">
        <f>43.9+42.65+154.15</f>
        <v>240.7</v>
      </c>
      <c r="C161" s="97">
        <f>2640+915+16358</f>
        <v>19913</v>
      </c>
      <c r="D161" s="31">
        <f>41+19+260</f>
        <v>320</v>
      </c>
      <c r="E161" s="31">
        <v>0</v>
      </c>
      <c r="F161" s="31">
        <v>0</v>
      </c>
      <c r="G161" s="31">
        <f>5+3+4</f>
        <v>12</v>
      </c>
      <c r="H161" s="31">
        <v>5</v>
      </c>
      <c r="I161" s="110">
        <f t="shared" si="10"/>
        <v>0.01606990408276</v>
      </c>
      <c r="J161" s="111">
        <f t="shared" si="11"/>
        <v>0.7521875</v>
      </c>
      <c r="K161" s="111">
        <f t="shared" si="12"/>
        <v>12.087580977251</v>
      </c>
      <c r="L161" s="111">
        <f t="shared" si="13"/>
        <v>0</v>
      </c>
      <c r="M161" s="112">
        <f t="shared" si="14"/>
        <v>0</v>
      </c>
    </row>
    <row r="162" ht="13.85" spans="1:13">
      <c r="A162" s="52">
        <v>45321</v>
      </c>
      <c r="B162" s="102">
        <f>31.96+45.84+99.66</f>
        <v>177.46</v>
      </c>
      <c r="C162" s="97">
        <f>2517+1223+11069</f>
        <v>14809</v>
      </c>
      <c r="D162" s="31">
        <f>31+27+240</f>
        <v>298</v>
      </c>
      <c r="E162" s="31">
        <v>0</v>
      </c>
      <c r="F162" s="31">
        <v>0</v>
      </c>
      <c r="G162" s="31">
        <v>1</v>
      </c>
      <c r="H162" s="31">
        <v>0</v>
      </c>
      <c r="I162" s="110">
        <f t="shared" si="10"/>
        <v>0.0201228982375582</v>
      </c>
      <c r="J162" s="111">
        <f t="shared" si="11"/>
        <v>0.595503355704698</v>
      </c>
      <c r="K162" s="111">
        <f t="shared" si="12"/>
        <v>11.9832534269701</v>
      </c>
      <c r="L162" s="111">
        <f t="shared" si="13"/>
        <v>0</v>
      </c>
      <c r="M162" s="112">
        <f t="shared" si="14"/>
        <v>0</v>
      </c>
    </row>
    <row r="163" ht="13.85" spans="1:13">
      <c r="A163" s="52">
        <v>45322</v>
      </c>
      <c r="B163" s="113">
        <f>40.26+40.94+99.8</f>
        <v>181</v>
      </c>
      <c r="C163" s="97">
        <f>2414+1686+9614</f>
        <v>13714</v>
      </c>
      <c r="D163" s="31">
        <f>37+24+233</f>
        <v>294</v>
      </c>
      <c r="E163" s="31">
        <v>0</v>
      </c>
      <c r="F163" s="31">
        <v>0</v>
      </c>
      <c r="G163" s="31">
        <v>4</v>
      </c>
      <c r="H163" s="31">
        <v>2</v>
      </c>
      <c r="I163" s="110">
        <f t="shared" si="10"/>
        <v>0.021437946623888</v>
      </c>
      <c r="J163" s="111">
        <f t="shared" si="11"/>
        <v>0.615646258503401</v>
      </c>
      <c r="K163" s="111">
        <f t="shared" si="12"/>
        <v>13.1981916289923</v>
      </c>
      <c r="L163" s="111">
        <f t="shared" si="13"/>
        <v>0</v>
      </c>
      <c r="M163" s="112">
        <f t="shared" si="14"/>
        <v>0</v>
      </c>
    </row>
    <row r="164" ht="13.85" spans="1:13">
      <c r="A164" s="52">
        <v>45323</v>
      </c>
      <c r="B164" s="102">
        <f>45.9+34.95+100</f>
        <v>180.85</v>
      </c>
      <c r="C164" s="97">
        <f>869+1619+8209</f>
        <v>10697</v>
      </c>
      <c r="D164" s="31">
        <f>28+20+238</f>
        <v>286</v>
      </c>
      <c r="E164" s="31">
        <v>0</v>
      </c>
      <c r="F164" s="31">
        <v>0</v>
      </c>
      <c r="G164" s="31">
        <v>3</v>
      </c>
      <c r="H164" s="31">
        <v>3</v>
      </c>
      <c r="I164" s="110">
        <f t="shared" si="10"/>
        <v>0.0267364681686454</v>
      </c>
      <c r="J164" s="111">
        <f t="shared" si="11"/>
        <v>0.632342657342657</v>
      </c>
      <c r="K164" s="111">
        <f t="shared" si="12"/>
        <v>16.9066093297186</v>
      </c>
      <c r="L164" s="111">
        <f t="shared" si="13"/>
        <v>0</v>
      </c>
      <c r="M164" s="112">
        <f t="shared" si="14"/>
        <v>0</v>
      </c>
    </row>
    <row r="165" ht="13.85" spans="1:13">
      <c r="A165" s="52">
        <v>45324</v>
      </c>
      <c r="B165" s="102">
        <f>100+39.56+46.87</f>
        <v>186.43</v>
      </c>
      <c r="C165" s="97">
        <f>12989+1003+1460</f>
        <v>15452</v>
      </c>
      <c r="D165" s="31">
        <f>307+18+27</f>
        <v>352</v>
      </c>
      <c r="E165" s="31">
        <v>0</v>
      </c>
      <c r="F165" s="31">
        <v>0</v>
      </c>
      <c r="G165" s="31">
        <v>5</v>
      </c>
      <c r="H165" s="31">
        <v>0</v>
      </c>
      <c r="I165" s="110">
        <f t="shared" si="10"/>
        <v>0.0227802226249029</v>
      </c>
      <c r="J165" s="111">
        <f t="shared" si="11"/>
        <v>0.529630681818182</v>
      </c>
      <c r="K165" s="111">
        <f t="shared" si="12"/>
        <v>12.0651048407973</v>
      </c>
      <c r="L165" s="111">
        <f t="shared" si="13"/>
        <v>0</v>
      </c>
      <c r="M165" s="112">
        <f t="shared" si="14"/>
        <v>0</v>
      </c>
    </row>
    <row r="166" ht="13.85" spans="1:13">
      <c r="A166" s="52">
        <v>45325</v>
      </c>
      <c r="B166" s="102">
        <f>42.9+41.72+100</f>
        <v>184.62</v>
      </c>
      <c r="C166" s="97">
        <f>755+1436+19447</f>
        <v>21638</v>
      </c>
      <c r="D166" s="31">
        <f>22+26+346</f>
        <v>394</v>
      </c>
      <c r="E166" s="31">
        <v>0</v>
      </c>
      <c r="F166" s="31">
        <v>0</v>
      </c>
      <c r="G166" s="31">
        <v>5</v>
      </c>
      <c r="H166" s="31">
        <v>0</v>
      </c>
      <c r="I166" s="110">
        <f t="shared" si="10"/>
        <v>0.0182087069045198</v>
      </c>
      <c r="J166" s="111">
        <f t="shared" si="11"/>
        <v>0.468578680203046</v>
      </c>
      <c r="K166" s="111">
        <f t="shared" si="12"/>
        <v>8.53221184952399</v>
      </c>
      <c r="L166" s="111">
        <f t="shared" si="13"/>
        <v>0</v>
      </c>
      <c r="M166" s="112">
        <f t="shared" si="14"/>
        <v>0</v>
      </c>
    </row>
    <row r="167" ht="13.85" spans="1:13">
      <c r="A167" s="52">
        <v>45326</v>
      </c>
      <c r="B167" s="102">
        <f>36.38+39.88+100</f>
        <v>176.26</v>
      </c>
      <c r="C167" s="97">
        <f>1040+1035+20832</f>
        <v>22907</v>
      </c>
      <c r="D167" s="31">
        <f>20+22+388</f>
        <v>430</v>
      </c>
      <c r="E167" s="31">
        <v>0</v>
      </c>
      <c r="F167" s="31">
        <v>0</v>
      </c>
      <c r="G167" s="31">
        <v>1</v>
      </c>
      <c r="H167" s="31">
        <v>1</v>
      </c>
      <c r="I167" s="110">
        <f t="shared" si="10"/>
        <v>0.0187715545466451</v>
      </c>
      <c r="J167" s="111">
        <f t="shared" si="11"/>
        <v>0.409906976744186</v>
      </c>
      <c r="K167" s="111">
        <f t="shared" si="12"/>
        <v>7.69459117300388</v>
      </c>
      <c r="L167" s="111">
        <f t="shared" si="13"/>
        <v>0</v>
      </c>
      <c r="M167" s="112">
        <f t="shared" si="14"/>
        <v>0</v>
      </c>
    </row>
    <row r="168" ht="13.85" spans="1:13">
      <c r="A168" s="52">
        <v>45327</v>
      </c>
      <c r="B168" s="102">
        <f>47.02+30.15+99.78</f>
        <v>176.95</v>
      </c>
      <c r="C168" s="97">
        <f>2297+22405+1751</f>
        <v>26453</v>
      </c>
      <c r="D168" s="31">
        <f>40+458+18</f>
        <v>516</v>
      </c>
      <c r="E168" s="31">
        <v>0</v>
      </c>
      <c r="F168" s="31">
        <v>0</v>
      </c>
      <c r="G168" s="31">
        <v>3</v>
      </c>
      <c r="H168" s="31">
        <v>2</v>
      </c>
      <c r="I168" s="110">
        <f t="shared" si="10"/>
        <v>0.0195062941821344</v>
      </c>
      <c r="J168" s="111">
        <f t="shared" si="11"/>
        <v>0.342926356589147</v>
      </c>
      <c r="K168" s="111">
        <f t="shared" si="12"/>
        <v>6.68922239443541</v>
      </c>
      <c r="L168" s="111">
        <f t="shared" si="13"/>
        <v>0</v>
      </c>
      <c r="M168" s="112">
        <f t="shared" si="14"/>
        <v>0</v>
      </c>
    </row>
    <row r="169" ht="13.85" spans="1:13">
      <c r="A169" s="52">
        <v>45328</v>
      </c>
      <c r="B169" s="113">
        <f>43.42+41.57+99.91</f>
        <v>184.9</v>
      </c>
      <c r="C169" s="97">
        <f>1669+1059+25650</f>
        <v>28378</v>
      </c>
      <c r="D169" s="31">
        <f>25+23+529</f>
        <v>577</v>
      </c>
      <c r="E169" s="31">
        <v>0</v>
      </c>
      <c r="F169" s="31">
        <v>0</v>
      </c>
      <c r="G169" s="31">
        <v>9</v>
      </c>
      <c r="H169" s="31">
        <v>1</v>
      </c>
      <c r="I169" s="110">
        <f t="shared" si="10"/>
        <v>0.0203326520544083</v>
      </c>
      <c r="J169" s="111">
        <f t="shared" si="11"/>
        <v>0.320450606585789</v>
      </c>
      <c r="K169" s="111">
        <f t="shared" si="12"/>
        <v>6.51561068433293</v>
      </c>
      <c r="L169" s="111">
        <f t="shared" si="13"/>
        <v>0</v>
      </c>
      <c r="M169" s="112">
        <f t="shared" si="14"/>
        <v>0</v>
      </c>
    </row>
    <row r="170" ht="13.85" spans="1:13">
      <c r="A170" s="52">
        <v>45329</v>
      </c>
      <c r="B170" s="102">
        <f>36.65+47.85+99.94</f>
        <v>184.44</v>
      </c>
      <c r="C170" s="97">
        <f>1662+1218+19416</f>
        <v>22296</v>
      </c>
      <c r="D170" s="31">
        <f>19+18+511</f>
        <v>548</v>
      </c>
      <c r="E170" s="31">
        <v>0</v>
      </c>
      <c r="F170" s="31">
        <v>0</v>
      </c>
      <c r="G170" s="31">
        <v>3</v>
      </c>
      <c r="H170" s="31">
        <v>4</v>
      </c>
      <c r="I170" s="110">
        <f t="shared" si="10"/>
        <v>0.024578399712953</v>
      </c>
      <c r="J170" s="111">
        <f t="shared" si="11"/>
        <v>0.336569343065693</v>
      </c>
      <c r="K170" s="111">
        <f t="shared" si="12"/>
        <v>8.27233584499462</v>
      </c>
      <c r="L170" s="111">
        <f t="shared" si="13"/>
        <v>0</v>
      </c>
      <c r="M170" s="112">
        <f t="shared" si="14"/>
        <v>0</v>
      </c>
    </row>
    <row r="171" ht="13.85" spans="1:13">
      <c r="A171" s="52">
        <v>45330</v>
      </c>
      <c r="B171" s="102">
        <f>32.66+42.53+100</f>
        <v>175.19</v>
      </c>
      <c r="C171" s="31">
        <f>4858+1818+32976</f>
        <v>39652</v>
      </c>
      <c r="D171" s="31">
        <f>23+14+634</f>
        <v>671</v>
      </c>
      <c r="E171" s="31">
        <v>0</v>
      </c>
      <c r="F171" s="31">
        <v>0</v>
      </c>
      <c r="G171" s="31">
        <v>2</v>
      </c>
      <c r="H171" s="31">
        <v>0</v>
      </c>
      <c r="I171" s="110">
        <f t="shared" si="10"/>
        <v>0.0169222233430848</v>
      </c>
      <c r="J171" s="111">
        <f t="shared" si="11"/>
        <v>0.261087928464978</v>
      </c>
      <c r="K171" s="111">
        <f t="shared" si="12"/>
        <v>4.41818823766771</v>
      </c>
      <c r="L171" s="111">
        <f t="shared" si="13"/>
        <v>0</v>
      </c>
      <c r="M171" s="112">
        <f t="shared" si="14"/>
        <v>0</v>
      </c>
    </row>
    <row r="172" ht="13.85" spans="1:13">
      <c r="A172" s="52">
        <v>45331</v>
      </c>
      <c r="B172" s="102">
        <f>99.84+42.53+37.84</f>
        <v>180.21</v>
      </c>
      <c r="C172" s="97">
        <f>31654+1818+1601</f>
        <v>35073</v>
      </c>
      <c r="D172" s="31">
        <f>500+14+19</f>
        <v>533</v>
      </c>
      <c r="E172" s="31">
        <v>0</v>
      </c>
      <c r="F172" s="31">
        <v>0</v>
      </c>
      <c r="G172" s="31">
        <v>1</v>
      </c>
      <c r="H172" s="31">
        <v>2</v>
      </c>
      <c r="I172" s="110">
        <f t="shared" si="10"/>
        <v>0.0151968750890999</v>
      </c>
      <c r="J172" s="111">
        <f t="shared" si="11"/>
        <v>0.338105065666041</v>
      </c>
      <c r="K172" s="111">
        <f t="shared" si="12"/>
        <v>5.13814044991874</v>
      </c>
      <c r="L172" s="111">
        <f t="shared" si="13"/>
        <v>0</v>
      </c>
      <c r="M172" s="112">
        <f t="shared" si="14"/>
        <v>0</v>
      </c>
    </row>
    <row r="173" ht="13.85" spans="1:13">
      <c r="A173" s="52">
        <v>45332</v>
      </c>
      <c r="B173" s="102">
        <f>29.53+33.69+99.87</f>
        <v>163.09</v>
      </c>
      <c r="C173" s="97">
        <f>3391+2063+32754</f>
        <v>38208</v>
      </c>
      <c r="D173" s="31">
        <f>17+16+645</f>
        <v>678</v>
      </c>
      <c r="E173" s="31">
        <v>0</v>
      </c>
      <c r="F173" s="31">
        <v>0</v>
      </c>
      <c r="G173" s="31">
        <v>2</v>
      </c>
      <c r="H173" s="31">
        <v>1</v>
      </c>
      <c r="I173" s="110">
        <f t="shared" si="10"/>
        <v>0.0177449748743719</v>
      </c>
      <c r="J173" s="111">
        <f t="shared" si="11"/>
        <v>0.240545722713864</v>
      </c>
      <c r="K173" s="111">
        <f t="shared" si="12"/>
        <v>4.26847780569514</v>
      </c>
      <c r="L173" s="111">
        <f t="shared" si="13"/>
        <v>0</v>
      </c>
      <c r="M173" s="112">
        <f t="shared" si="14"/>
        <v>0</v>
      </c>
    </row>
    <row r="174" ht="13.85" spans="1:13">
      <c r="A174" s="52">
        <v>45333</v>
      </c>
      <c r="B174" s="102">
        <f>21.48+43.96+100</f>
        <v>165.44</v>
      </c>
      <c r="C174" s="97">
        <f>1823+1969+26234</f>
        <v>30026</v>
      </c>
      <c r="D174" s="31">
        <f>13+12+604</f>
        <v>629</v>
      </c>
      <c r="E174" s="31">
        <v>0</v>
      </c>
      <c r="F174" s="31">
        <v>0</v>
      </c>
      <c r="G174" s="31">
        <v>4</v>
      </c>
      <c r="H174" s="31">
        <v>1</v>
      </c>
      <c r="I174" s="110">
        <f t="shared" si="10"/>
        <v>0.0209485112902151</v>
      </c>
      <c r="J174" s="111">
        <f t="shared" si="11"/>
        <v>0.26302066772655</v>
      </c>
      <c r="K174" s="111">
        <f t="shared" si="12"/>
        <v>5.50989142742956</v>
      </c>
      <c r="L174" s="111">
        <f t="shared" si="13"/>
        <v>0</v>
      </c>
      <c r="M174" s="112">
        <f t="shared" si="14"/>
        <v>0</v>
      </c>
    </row>
    <row r="175" ht="13.85" spans="1:13">
      <c r="A175" s="52">
        <v>45334</v>
      </c>
      <c r="B175" s="102">
        <f>36.19+50+100</f>
        <v>186.19</v>
      </c>
      <c r="C175" s="97">
        <f>1781+1344+31308</f>
        <v>34433</v>
      </c>
      <c r="D175" s="31">
        <f>18+27+726</f>
        <v>771</v>
      </c>
      <c r="E175" s="31">
        <v>0</v>
      </c>
      <c r="F175" s="31">
        <v>0</v>
      </c>
      <c r="G175" s="31">
        <v>6</v>
      </c>
      <c r="H175" s="31">
        <v>2</v>
      </c>
      <c r="I175" s="110">
        <f t="shared" si="10"/>
        <v>0.0223913106612842</v>
      </c>
      <c r="J175" s="111">
        <f t="shared" si="11"/>
        <v>0.241491569390402</v>
      </c>
      <c r="K175" s="111">
        <f t="shared" si="12"/>
        <v>5.40731275230157</v>
      </c>
      <c r="L175" s="111">
        <f t="shared" si="13"/>
        <v>0</v>
      </c>
      <c r="M175" s="112">
        <f t="shared" si="14"/>
        <v>0</v>
      </c>
    </row>
    <row r="176" ht="13.85" spans="1:13">
      <c r="A176" s="52">
        <v>45335</v>
      </c>
      <c r="B176" s="102">
        <f>32.46+42.98+100</f>
        <v>175.44</v>
      </c>
      <c r="C176" s="97">
        <f>1923+1641+32469</f>
        <v>36033</v>
      </c>
      <c r="D176" s="31">
        <f>24+28+813</f>
        <v>865</v>
      </c>
      <c r="E176" s="31">
        <v>0</v>
      </c>
      <c r="F176" s="31">
        <v>0</v>
      </c>
      <c r="G176" s="31">
        <v>1</v>
      </c>
      <c r="H176" s="31">
        <v>4</v>
      </c>
      <c r="I176" s="110">
        <f t="shared" si="10"/>
        <v>0.024005772486332</v>
      </c>
      <c r="J176" s="111">
        <f t="shared" si="11"/>
        <v>0.202820809248555</v>
      </c>
      <c r="K176" s="111">
        <f t="shared" si="12"/>
        <v>4.86887020231454</v>
      </c>
      <c r="L176" s="111">
        <f t="shared" si="13"/>
        <v>0</v>
      </c>
      <c r="M176" s="112">
        <f t="shared" si="14"/>
        <v>0</v>
      </c>
    </row>
    <row r="177" ht="13.85" spans="1:13">
      <c r="A177" s="52">
        <v>45336</v>
      </c>
      <c r="B177" s="102">
        <f>39.9+39+100</f>
        <v>178.9</v>
      </c>
      <c r="C177" s="97">
        <f>1658+1103+37379</f>
        <v>40140</v>
      </c>
      <c r="D177" s="31">
        <f>28+25+746</f>
        <v>799</v>
      </c>
      <c r="E177" s="31">
        <v>0</v>
      </c>
      <c r="F177" s="31">
        <v>0</v>
      </c>
      <c r="G177" s="31">
        <v>2</v>
      </c>
      <c r="H177" s="31">
        <v>6</v>
      </c>
      <c r="I177" s="110">
        <f t="shared" si="10"/>
        <v>0.0199053313403089</v>
      </c>
      <c r="J177" s="111">
        <f t="shared" si="11"/>
        <v>0.223904881101377</v>
      </c>
      <c r="K177" s="111">
        <f t="shared" si="12"/>
        <v>4.45690084703538</v>
      </c>
      <c r="L177" s="111">
        <f t="shared" si="13"/>
        <v>0</v>
      </c>
      <c r="M177" s="112">
        <f t="shared" si="14"/>
        <v>0</v>
      </c>
    </row>
    <row r="178" ht="13.85" spans="1:13">
      <c r="A178" s="52">
        <v>45337</v>
      </c>
      <c r="B178" s="102">
        <f>41.39+46.01+100</f>
        <v>187.4</v>
      </c>
      <c r="C178" s="97">
        <f>2093+1500+35374</f>
        <v>38967</v>
      </c>
      <c r="D178" s="31">
        <f>38+43+758</f>
        <v>839</v>
      </c>
      <c r="E178" s="31">
        <v>0</v>
      </c>
      <c r="F178" s="31">
        <v>0</v>
      </c>
      <c r="G178" s="31">
        <v>7</v>
      </c>
      <c r="H178" s="31">
        <v>6</v>
      </c>
      <c r="I178" s="110">
        <f t="shared" si="10"/>
        <v>0.0215310390843534</v>
      </c>
      <c r="J178" s="111">
        <f t="shared" si="11"/>
        <v>0.223361144219309</v>
      </c>
      <c r="K178" s="111">
        <f t="shared" si="12"/>
        <v>4.80919752611184</v>
      </c>
      <c r="L178" s="111">
        <f t="shared" si="13"/>
        <v>0</v>
      </c>
      <c r="M178" s="112">
        <f t="shared" si="14"/>
        <v>0</v>
      </c>
    </row>
    <row r="179" ht="13.85" spans="1:13">
      <c r="A179" s="52">
        <v>45338</v>
      </c>
      <c r="B179" s="102">
        <f>47.3+50+100</f>
        <v>197.3</v>
      </c>
      <c r="C179" s="97">
        <f>1775+2095+25217</f>
        <v>29087</v>
      </c>
      <c r="D179" s="31">
        <f>44+45+748</f>
        <v>837</v>
      </c>
      <c r="E179" s="31">
        <v>0</v>
      </c>
      <c r="F179" s="31">
        <v>0</v>
      </c>
      <c r="G179" s="31">
        <v>6</v>
      </c>
      <c r="H179" s="31">
        <v>14</v>
      </c>
      <c r="I179" s="110">
        <f t="shared" si="10"/>
        <v>0.0287757417402964</v>
      </c>
      <c r="J179" s="111">
        <f t="shared" si="11"/>
        <v>0.235722819593787</v>
      </c>
      <c r="K179" s="111">
        <f t="shared" si="12"/>
        <v>6.78309897892529</v>
      </c>
      <c r="L179" s="111">
        <f t="shared" si="13"/>
        <v>0</v>
      </c>
      <c r="M179" s="112">
        <f t="shared" si="14"/>
        <v>0</v>
      </c>
    </row>
    <row r="180" ht="13.85" spans="1:13">
      <c r="A180" s="52">
        <v>45339</v>
      </c>
      <c r="B180" s="102">
        <f>48.89+48.35+99.8</f>
        <v>197.04</v>
      </c>
      <c r="C180" s="97">
        <f>2566+1733+25952</f>
        <v>30251</v>
      </c>
      <c r="D180" s="31">
        <f>37+46+731</f>
        <v>814</v>
      </c>
      <c r="E180" s="31">
        <v>0</v>
      </c>
      <c r="F180" s="31">
        <v>0</v>
      </c>
      <c r="G180" s="31">
        <v>8</v>
      </c>
      <c r="H180" s="31">
        <v>7</v>
      </c>
      <c r="I180" s="110">
        <f t="shared" si="10"/>
        <v>0.0269082013817725</v>
      </c>
      <c r="J180" s="111">
        <f t="shared" si="11"/>
        <v>0.242063882063882</v>
      </c>
      <c r="K180" s="111">
        <f t="shared" si="12"/>
        <v>6.51350368582857</v>
      </c>
      <c r="L180" s="111">
        <f t="shared" si="13"/>
        <v>0</v>
      </c>
      <c r="M180" s="112">
        <f t="shared" si="14"/>
        <v>0</v>
      </c>
    </row>
    <row r="181" ht="13.85" spans="1:13">
      <c r="A181" s="52">
        <v>45340</v>
      </c>
      <c r="B181" s="102">
        <f>35.41+45.54+100</f>
        <v>180.95</v>
      </c>
      <c r="C181" s="97">
        <f>2196+1436+36993</f>
        <v>40625</v>
      </c>
      <c r="D181" s="31">
        <f>50+18+702</f>
        <v>770</v>
      </c>
      <c r="E181" s="31">
        <v>1</v>
      </c>
      <c r="F181" s="97">
        <v>15880</v>
      </c>
      <c r="G181" s="31">
        <v>12</v>
      </c>
      <c r="H181" s="31">
        <v>2</v>
      </c>
      <c r="I181" s="110">
        <f t="shared" si="10"/>
        <v>0.0189538461538462</v>
      </c>
      <c r="J181" s="111">
        <f t="shared" si="11"/>
        <v>0.235</v>
      </c>
      <c r="K181" s="111">
        <f t="shared" si="12"/>
        <v>4.45415384615385</v>
      </c>
      <c r="L181" s="111">
        <f t="shared" si="13"/>
        <v>87.7590494611771</v>
      </c>
      <c r="M181" s="112">
        <f t="shared" si="14"/>
        <v>0.0012987012987013</v>
      </c>
    </row>
    <row r="182" ht="13.85" spans="1:13">
      <c r="A182" s="52">
        <v>45341</v>
      </c>
      <c r="B182" s="102">
        <f>38.82+48.25+100</f>
        <v>187.07</v>
      </c>
      <c r="C182" s="97">
        <f>1365+1491+8081</f>
        <v>10937</v>
      </c>
      <c r="D182" s="31">
        <f>24+26+169</f>
        <v>219</v>
      </c>
      <c r="E182" s="31">
        <v>0</v>
      </c>
      <c r="F182" s="31">
        <v>0</v>
      </c>
      <c r="G182" s="31">
        <v>4</v>
      </c>
      <c r="H182" s="31">
        <v>1</v>
      </c>
      <c r="I182" s="110">
        <f t="shared" si="10"/>
        <v>0.020023772515315</v>
      </c>
      <c r="J182" s="111">
        <f t="shared" si="11"/>
        <v>0.854200913242009</v>
      </c>
      <c r="K182" s="111">
        <f t="shared" si="12"/>
        <v>17.1043247691323</v>
      </c>
      <c r="L182" s="111">
        <f t="shared" si="13"/>
        <v>0</v>
      </c>
      <c r="M182" s="112">
        <f t="shared" si="14"/>
        <v>0</v>
      </c>
    </row>
    <row r="183" ht="13.85" spans="1:13">
      <c r="A183" s="52">
        <v>45342</v>
      </c>
      <c r="B183" s="102">
        <f>41.93+41.83+100</f>
        <v>183.76</v>
      </c>
      <c r="C183" s="97">
        <f>1490+1135+34476</f>
        <v>37101</v>
      </c>
      <c r="D183" s="31">
        <f>35+18+645</f>
        <v>698</v>
      </c>
      <c r="E183" s="31">
        <v>0</v>
      </c>
      <c r="F183" s="31">
        <v>0</v>
      </c>
      <c r="G183" s="31">
        <v>3</v>
      </c>
      <c r="H183" s="31">
        <v>2</v>
      </c>
      <c r="I183" s="110">
        <f t="shared" si="10"/>
        <v>0.0188135090698364</v>
      </c>
      <c r="J183" s="111">
        <f t="shared" si="11"/>
        <v>0.263266475644699</v>
      </c>
      <c r="K183" s="111">
        <f t="shared" si="12"/>
        <v>4.95296622732541</v>
      </c>
      <c r="L183" s="111">
        <f t="shared" si="13"/>
        <v>0</v>
      </c>
      <c r="M183" s="112">
        <f t="shared" si="14"/>
        <v>0</v>
      </c>
    </row>
    <row r="184" ht="13.85" spans="1:13">
      <c r="A184" s="52">
        <v>45343</v>
      </c>
      <c r="B184" s="102">
        <f>50+43.75+100+587</f>
        <v>780.75</v>
      </c>
      <c r="C184" s="34">
        <f>862+1695+32593+4817</f>
        <v>39967</v>
      </c>
      <c r="D184" s="31">
        <f>24+26+627+19</f>
        <v>696</v>
      </c>
      <c r="E184" s="31">
        <v>0</v>
      </c>
      <c r="F184" s="31">
        <v>0</v>
      </c>
      <c r="G184" s="31">
        <v>3</v>
      </c>
      <c r="H184" s="31">
        <v>0</v>
      </c>
      <c r="I184" s="110">
        <f t="shared" si="10"/>
        <v>0.0174143668526534</v>
      </c>
      <c r="J184" s="111">
        <f t="shared" si="11"/>
        <v>1.12176724137931</v>
      </c>
      <c r="K184" s="111">
        <f t="shared" si="12"/>
        <v>19.5348662646684</v>
      </c>
      <c r="L184" s="111">
        <f t="shared" si="13"/>
        <v>0</v>
      </c>
      <c r="M184" s="112">
        <f t="shared" si="14"/>
        <v>0</v>
      </c>
    </row>
    <row r="185" ht="13.85" spans="1:13">
      <c r="A185" s="52">
        <v>45344</v>
      </c>
      <c r="B185" s="102">
        <f>44.02+43.24+99.77</f>
        <v>187.03</v>
      </c>
      <c r="C185" s="34">
        <f>1820+1167+33346</f>
        <v>36333</v>
      </c>
      <c r="D185" s="31">
        <f>31+31+564</f>
        <v>626</v>
      </c>
      <c r="E185" s="31">
        <v>0</v>
      </c>
      <c r="F185" s="31">
        <v>0</v>
      </c>
      <c r="G185" s="31">
        <v>2</v>
      </c>
      <c r="H185" s="31">
        <v>3</v>
      </c>
      <c r="I185" s="110">
        <f t="shared" si="10"/>
        <v>0.017229515867118</v>
      </c>
      <c r="J185" s="111">
        <f t="shared" si="11"/>
        <v>0.298769968051118</v>
      </c>
      <c r="K185" s="111">
        <f t="shared" si="12"/>
        <v>5.14766190515509</v>
      </c>
      <c r="L185" s="111">
        <f t="shared" si="13"/>
        <v>0</v>
      </c>
      <c r="M185" s="112">
        <f t="shared" si="14"/>
        <v>0</v>
      </c>
    </row>
    <row r="186" ht="13.85" spans="1:13">
      <c r="A186" s="52">
        <v>45345</v>
      </c>
      <c r="B186" s="102">
        <f>48.89+47.23+99.86</f>
        <v>195.98</v>
      </c>
      <c r="C186" s="34">
        <f>2566+987+25860</f>
        <v>29413</v>
      </c>
      <c r="D186" s="31">
        <f>37+27+401</f>
        <v>465</v>
      </c>
      <c r="E186" s="31">
        <v>0</v>
      </c>
      <c r="F186" s="31">
        <v>0</v>
      </c>
      <c r="G186" s="31">
        <v>8</v>
      </c>
      <c r="H186" s="31">
        <v>0</v>
      </c>
      <c r="I186" s="110">
        <f t="shared" si="10"/>
        <v>0.0158093360078877</v>
      </c>
      <c r="J186" s="111">
        <f t="shared" si="11"/>
        <v>0.421462365591398</v>
      </c>
      <c r="K186" s="111">
        <f t="shared" si="12"/>
        <v>6.6630401523136</v>
      </c>
      <c r="L186" s="111">
        <f t="shared" si="13"/>
        <v>0</v>
      </c>
      <c r="M186" s="112">
        <f t="shared" si="14"/>
        <v>0</v>
      </c>
    </row>
    <row r="187" ht="13.85" spans="1:13">
      <c r="A187" s="52">
        <v>45346</v>
      </c>
      <c r="B187" s="102">
        <f>43.07+37.51+99.6</f>
        <v>180.18</v>
      </c>
      <c r="C187" s="34">
        <f>1306+1466+24556</f>
        <v>27328</v>
      </c>
      <c r="D187" s="31">
        <f>31+26+413</f>
        <v>470</v>
      </c>
      <c r="E187" s="31">
        <v>0</v>
      </c>
      <c r="F187" s="31">
        <v>0</v>
      </c>
      <c r="G187" s="31">
        <v>3</v>
      </c>
      <c r="H187" s="31">
        <v>2</v>
      </c>
      <c r="I187" s="110">
        <f t="shared" si="10"/>
        <v>0.0171984777517564</v>
      </c>
      <c r="J187" s="111">
        <f t="shared" si="11"/>
        <v>0.38336170212766</v>
      </c>
      <c r="K187" s="111">
        <f t="shared" si="12"/>
        <v>6.59323770491803</v>
      </c>
      <c r="L187" s="111">
        <f t="shared" si="13"/>
        <v>0</v>
      </c>
      <c r="M187" s="112">
        <f t="shared" si="14"/>
        <v>0</v>
      </c>
    </row>
    <row r="188" ht="13.85" spans="1:13">
      <c r="A188" s="52">
        <v>45347</v>
      </c>
      <c r="B188" s="102">
        <f>43+43.07+99.55</f>
        <v>185.62</v>
      </c>
      <c r="C188" s="34">
        <f>1466+1306+24877</f>
        <v>27649</v>
      </c>
      <c r="D188" s="31">
        <f>26+31+441</f>
        <v>498</v>
      </c>
      <c r="E188" s="31">
        <v>0</v>
      </c>
      <c r="F188" s="31">
        <v>0</v>
      </c>
      <c r="G188" s="31">
        <v>3</v>
      </c>
      <c r="H188" s="31">
        <v>1</v>
      </c>
      <c r="I188" s="110">
        <f t="shared" si="10"/>
        <v>0.0180115013201201</v>
      </c>
      <c r="J188" s="111">
        <f t="shared" si="11"/>
        <v>0.372730923694779</v>
      </c>
      <c r="K188" s="111">
        <f t="shared" si="12"/>
        <v>6.71344352417809</v>
      </c>
      <c r="L188" s="111">
        <f t="shared" si="13"/>
        <v>0</v>
      </c>
      <c r="M188" s="112">
        <f t="shared" si="14"/>
        <v>0</v>
      </c>
    </row>
    <row r="189" ht="13.85" spans="1:13">
      <c r="A189" s="52">
        <v>45348</v>
      </c>
      <c r="B189" s="102">
        <f>37.81+44+99.2</f>
        <v>181.01</v>
      </c>
      <c r="C189" s="34">
        <f>866+625+18966</f>
        <v>20457</v>
      </c>
      <c r="D189" s="31">
        <f>30+19+344</f>
        <v>393</v>
      </c>
      <c r="E189" s="31">
        <v>0</v>
      </c>
      <c r="F189" s="31">
        <v>0</v>
      </c>
      <c r="G189" s="31">
        <v>2</v>
      </c>
      <c r="H189" s="31">
        <v>0</v>
      </c>
      <c r="I189" s="110">
        <f t="shared" si="10"/>
        <v>0.0192110280099721</v>
      </c>
      <c r="J189" s="111">
        <f t="shared" si="11"/>
        <v>0.46058524173028</v>
      </c>
      <c r="K189" s="111">
        <f t="shared" si="12"/>
        <v>8.84831597986019</v>
      </c>
      <c r="L189" s="111">
        <f t="shared" si="13"/>
        <v>0</v>
      </c>
      <c r="M189" s="112">
        <f t="shared" si="14"/>
        <v>0</v>
      </c>
    </row>
    <row r="190" ht="13.85" spans="1:13">
      <c r="A190" s="52">
        <v>45349</v>
      </c>
      <c r="B190" s="102">
        <f>43.68+99.64</f>
        <v>143.32</v>
      </c>
      <c r="C190" s="34">
        <f>617+16834</f>
        <v>17451</v>
      </c>
      <c r="D190" s="31">
        <f>30+315</f>
        <v>345</v>
      </c>
      <c r="E190" s="31">
        <v>0</v>
      </c>
      <c r="F190" s="31">
        <v>0</v>
      </c>
      <c r="G190" s="31">
        <v>2</v>
      </c>
      <c r="H190" s="31">
        <v>0</v>
      </c>
      <c r="I190" s="110">
        <f t="shared" si="10"/>
        <v>0.0197696407082689</v>
      </c>
      <c r="J190" s="111">
        <f t="shared" si="11"/>
        <v>0.415420289855072</v>
      </c>
      <c r="K190" s="111">
        <f t="shared" si="12"/>
        <v>8.21270987335969</v>
      </c>
      <c r="L190" s="111">
        <f t="shared" si="13"/>
        <v>0</v>
      </c>
      <c r="M190" s="112">
        <f t="shared" si="14"/>
        <v>0</v>
      </c>
    </row>
    <row r="191" ht="13.85" spans="1:13">
      <c r="A191" s="52">
        <v>45350</v>
      </c>
      <c r="B191" s="113">
        <f>48.99+99.81</f>
        <v>148.8</v>
      </c>
      <c r="C191" s="34">
        <f>584+19860</f>
        <v>20444</v>
      </c>
      <c r="D191" s="31">
        <f>31+410</f>
        <v>441</v>
      </c>
      <c r="E191" s="31">
        <v>0</v>
      </c>
      <c r="F191" s="31">
        <v>0</v>
      </c>
      <c r="G191" s="31">
        <v>5</v>
      </c>
      <c r="H191" s="31">
        <v>0</v>
      </c>
      <c r="I191" s="110">
        <f t="shared" si="10"/>
        <v>0.0215711211113285</v>
      </c>
      <c r="J191" s="111">
        <f t="shared" si="11"/>
        <v>0.337414965986395</v>
      </c>
      <c r="K191" s="111">
        <f t="shared" si="12"/>
        <v>7.27841909606731</v>
      </c>
      <c r="L191" s="111">
        <f t="shared" si="13"/>
        <v>0</v>
      </c>
      <c r="M191" s="112">
        <f t="shared" si="14"/>
        <v>0</v>
      </c>
    </row>
    <row r="192" ht="13.85" spans="1:13">
      <c r="A192" s="52">
        <v>45351</v>
      </c>
      <c r="B192" s="102">
        <f>46.42+99.55</f>
        <v>145.97</v>
      </c>
      <c r="C192" s="34">
        <f>692+19419</f>
        <v>20111</v>
      </c>
      <c r="D192" s="31">
        <f>56+407</f>
        <v>463</v>
      </c>
      <c r="E192" s="31">
        <v>0</v>
      </c>
      <c r="F192" s="31">
        <v>0</v>
      </c>
      <c r="G192" s="31">
        <v>8</v>
      </c>
      <c r="H192" s="31">
        <v>2</v>
      </c>
      <c r="I192" s="110">
        <f t="shared" si="10"/>
        <v>0.0230222266421361</v>
      </c>
      <c r="J192" s="111">
        <f t="shared" si="11"/>
        <v>0.315269978401728</v>
      </c>
      <c r="K192" s="111">
        <f t="shared" si="12"/>
        <v>7.25821689622595</v>
      </c>
      <c r="L192" s="111">
        <f t="shared" si="13"/>
        <v>0</v>
      </c>
      <c r="M192" s="112">
        <f t="shared" si="14"/>
        <v>0</v>
      </c>
    </row>
    <row r="193" ht="13.85" spans="1:13">
      <c r="A193" s="52">
        <v>45352</v>
      </c>
      <c r="B193" s="102">
        <f>41.83+100</f>
        <v>141.83</v>
      </c>
      <c r="C193" s="34">
        <f>483+20778</f>
        <v>21261</v>
      </c>
      <c r="D193" s="31">
        <f>25+441</f>
        <v>466</v>
      </c>
      <c r="E193" s="31">
        <v>0</v>
      </c>
      <c r="F193" s="31">
        <v>0</v>
      </c>
      <c r="G193" s="31">
        <v>3</v>
      </c>
      <c r="H193" s="31">
        <v>0</v>
      </c>
      <c r="I193" s="110">
        <f t="shared" si="10"/>
        <v>0.0219180659423357</v>
      </c>
      <c r="J193" s="111">
        <f t="shared" si="11"/>
        <v>0.304356223175966</v>
      </c>
      <c r="K193" s="111">
        <f t="shared" si="12"/>
        <v>6.67089976953107</v>
      </c>
      <c r="L193" s="111">
        <f t="shared" si="13"/>
        <v>0</v>
      </c>
      <c r="M193" s="112">
        <f t="shared" si="14"/>
        <v>0</v>
      </c>
    </row>
    <row r="194" ht="13.85" spans="1:13">
      <c r="A194" s="52">
        <v>45353</v>
      </c>
      <c r="B194" s="102">
        <f>91.53+99.76</f>
        <v>191.29</v>
      </c>
      <c r="C194" s="34">
        <f>814+19605</f>
        <v>20419</v>
      </c>
      <c r="D194" s="31">
        <f>54+415</f>
        <v>469</v>
      </c>
      <c r="E194" s="31">
        <v>0</v>
      </c>
      <c r="F194" s="31">
        <v>0</v>
      </c>
      <c r="G194" s="31">
        <v>14</v>
      </c>
      <c r="H194" s="31">
        <v>2</v>
      </c>
      <c r="I194" s="110">
        <f t="shared" ref="I194:I257" si="15">D194/C194</f>
        <v>0.0229688035653068</v>
      </c>
      <c r="J194" s="111">
        <f t="shared" ref="J194:J257" si="16">B194/D194</f>
        <v>0.407867803837953</v>
      </c>
      <c r="K194" s="111">
        <f t="shared" ref="K194:K257" si="17">B194/C194*1000</f>
        <v>9.36823546696704</v>
      </c>
      <c r="L194" s="111">
        <f t="shared" ref="L194:L257" si="18">F194/B194</f>
        <v>0</v>
      </c>
      <c r="M194" s="112">
        <f t="shared" ref="M194:M257" si="19">E194/D194</f>
        <v>0</v>
      </c>
    </row>
    <row r="195" ht="13.85" spans="1:13">
      <c r="A195" s="52">
        <v>45354</v>
      </c>
      <c r="B195" s="102">
        <f>72.62+99.34</f>
        <v>171.96</v>
      </c>
      <c r="C195" s="34">
        <f>674+18234</f>
        <v>18908</v>
      </c>
      <c r="D195" s="31">
        <f>37+402</f>
        <v>439</v>
      </c>
      <c r="E195" s="31">
        <v>0</v>
      </c>
      <c r="F195" s="31">
        <v>0</v>
      </c>
      <c r="G195" s="31">
        <v>0</v>
      </c>
      <c r="H195" s="31">
        <v>2</v>
      </c>
      <c r="I195" s="110">
        <f t="shared" si="15"/>
        <v>0.0232176856357098</v>
      </c>
      <c r="J195" s="111">
        <f t="shared" si="16"/>
        <v>0.391708428246014</v>
      </c>
      <c r="K195" s="111">
        <f t="shared" si="17"/>
        <v>9.09456314787392</v>
      </c>
      <c r="L195" s="111">
        <f t="shared" si="18"/>
        <v>0</v>
      </c>
      <c r="M195" s="112">
        <f t="shared" si="19"/>
        <v>0</v>
      </c>
    </row>
    <row r="196" ht="13.85" spans="1:13">
      <c r="A196" s="52">
        <v>45355</v>
      </c>
      <c r="B196" s="102">
        <f>95.91+100</f>
        <v>195.91</v>
      </c>
      <c r="C196" s="34">
        <f>870+15554</f>
        <v>16424</v>
      </c>
      <c r="D196" s="31">
        <f>39+357</f>
        <v>396</v>
      </c>
      <c r="E196" s="31">
        <v>0</v>
      </c>
      <c r="F196" s="31">
        <v>0</v>
      </c>
      <c r="G196" s="31">
        <f>4+0</f>
        <v>4</v>
      </c>
      <c r="H196" s="31">
        <v>1</v>
      </c>
      <c r="I196" s="110">
        <f t="shared" si="15"/>
        <v>0.0241110569897711</v>
      </c>
      <c r="J196" s="111">
        <f t="shared" si="16"/>
        <v>0.494722222222222</v>
      </c>
      <c r="K196" s="111">
        <f t="shared" si="17"/>
        <v>11.9282756941062</v>
      </c>
      <c r="L196" s="111">
        <f t="shared" si="18"/>
        <v>0</v>
      </c>
      <c r="M196" s="112">
        <f t="shared" si="19"/>
        <v>0</v>
      </c>
    </row>
    <row r="197" ht="13.85" spans="1:13">
      <c r="A197" s="52">
        <v>45356</v>
      </c>
      <c r="B197" s="102">
        <f>99.91+90.44</f>
        <v>190.35</v>
      </c>
      <c r="C197" s="34">
        <f>19204+582</f>
        <v>19786</v>
      </c>
      <c r="D197" s="31">
        <f>398+40</f>
        <v>438</v>
      </c>
      <c r="E197" s="31">
        <v>0</v>
      </c>
      <c r="F197" s="31">
        <v>0</v>
      </c>
      <c r="G197" s="31">
        <v>1</v>
      </c>
      <c r="H197" s="31">
        <v>1</v>
      </c>
      <c r="I197" s="110">
        <f t="shared" si="15"/>
        <v>0.0221368644496108</v>
      </c>
      <c r="J197" s="111">
        <f t="shared" si="16"/>
        <v>0.43458904109589</v>
      </c>
      <c r="K197" s="111">
        <f t="shared" si="17"/>
        <v>9.62043869402608</v>
      </c>
      <c r="L197" s="111">
        <f t="shared" si="18"/>
        <v>0</v>
      </c>
      <c r="M197" s="112">
        <f t="shared" si="19"/>
        <v>0</v>
      </c>
    </row>
    <row r="198" ht="13.85" spans="1:13">
      <c r="A198" s="52">
        <v>45357</v>
      </c>
      <c r="B198" s="102">
        <f>100+64.12+311.63</f>
        <v>475.75</v>
      </c>
      <c r="C198" s="34">
        <f>20962+419+1433</f>
        <v>22814</v>
      </c>
      <c r="D198" s="102">
        <f>391+31</f>
        <v>422</v>
      </c>
      <c r="E198" s="31">
        <v>3</v>
      </c>
      <c r="F198" s="114">
        <v>48866</v>
      </c>
      <c r="G198" s="31">
        <f>7+5</f>
        <v>12</v>
      </c>
      <c r="H198" s="31">
        <v>0</v>
      </c>
      <c r="I198" s="110">
        <f t="shared" si="15"/>
        <v>0.0184974138686771</v>
      </c>
      <c r="J198" s="111">
        <f t="shared" si="16"/>
        <v>1.12736966824645</v>
      </c>
      <c r="K198" s="111">
        <f t="shared" si="17"/>
        <v>20.8534233365477</v>
      </c>
      <c r="L198" s="111">
        <f t="shared" si="18"/>
        <v>102.713610089333</v>
      </c>
      <c r="M198" s="112">
        <f t="shared" si="19"/>
        <v>0.00710900473933649</v>
      </c>
    </row>
    <row r="199" ht="13.85" spans="1:13">
      <c r="A199" s="52">
        <v>45358</v>
      </c>
      <c r="B199" s="102">
        <f>99+87.12</f>
        <v>186.12</v>
      </c>
      <c r="C199" s="34">
        <f>15260+847</f>
        <v>16107</v>
      </c>
      <c r="D199" s="102">
        <f>332+33</f>
        <v>365</v>
      </c>
      <c r="E199" s="31">
        <v>0</v>
      </c>
      <c r="F199" s="31">
        <v>0</v>
      </c>
      <c r="G199" s="31">
        <f>2+6</f>
        <v>8</v>
      </c>
      <c r="H199" s="31">
        <v>2</v>
      </c>
      <c r="I199" s="110">
        <f t="shared" si="15"/>
        <v>0.0226609548643447</v>
      </c>
      <c r="J199" s="111">
        <f t="shared" si="16"/>
        <v>0.509917808219178</v>
      </c>
      <c r="K199" s="111">
        <f t="shared" si="17"/>
        <v>11.5552244365804</v>
      </c>
      <c r="L199" s="111">
        <f t="shared" si="18"/>
        <v>0</v>
      </c>
      <c r="M199" s="112">
        <f t="shared" si="19"/>
        <v>0</v>
      </c>
    </row>
    <row r="200" ht="13.85" spans="1:13">
      <c r="A200" s="52">
        <v>45359</v>
      </c>
      <c r="B200" s="102">
        <v>458.53</v>
      </c>
      <c r="C200" s="34">
        <v>45196</v>
      </c>
      <c r="D200" s="102">
        <v>295</v>
      </c>
      <c r="E200" s="31">
        <v>1</v>
      </c>
      <c r="F200" s="31">
        <v>10774</v>
      </c>
      <c r="G200" s="31">
        <v>8</v>
      </c>
      <c r="H200" s="31">
        <v>1</v>
      </c>
      <c r="I200" s="110">
        <f t="shared" si="15"/>
        <v>0.00652712629436233</v>
      </c>
      <c r="J200" s="111">
        <f t="shared" si="16"/>
        <v>1.55433898305085</v>
      </c>
      <c r="K200" s="111">
        <f t="shared" si="17"/>
        <v>10.1453668466236</v>
      </c>
      <c r="L200" s="111">
        <f t="shared" si="18"/>
        <v>23.4968268161298</v>
      </c>
      <c r="M200" s="112">
        <f t="shared" si="19"/>
        <v>0.00338983050847458</v>
      </c>
    </row>
    <row r="201" ht="13.85" spans="1:13">
      <c r="A201" s="52">
        <v>45360</v>
      </c>
      <c r="B201" s="102">
        <v>1614.61</v>
      </c>
      <c r="C201" s="34">
        <v>197066</v>
      </c>
      <c r="D201" s="102">
        <v>1748</v>
      </c>
      <c r="E201" s="31">
        <v>0</v>
      </c>
      <c r="F201" s="31">
        <v>0</v>
      </c>
      <c r="G201" s="31">
        <v>14</v>
      </c>
      <c r="H201" s="31">
        <v>45</v>
      </c>
      <c r="I201" s="110">
        <f t="shared" si="15"/>
        <v>0.00887012472978596</v>
      </c>
      <c r="J201" s="111">
        <f t="shared" si="16"/>
        <v>0.923689931350114</v>
      </c>
      <c r="K201" s="111">
        <f t="shared" si="17"/>
        <v>8.19324490272295</v>
      </c>
      <c r="L201" s="111">
        <f t="shared" si="18"/>
        <v>0</v>
      </c>
      <c r="M201" s="112">
        <f t="shared" si="19"/>
        <v>0</v>
      </c>
    </row>
    <row r="202" ht="13.85" spans="1:13">
      <c r="A202" s="52">
        <v>45361</v>
      </c>
      <c r="B202" s="102">
        <v>1674.5</v>
      </c>
      <c r="C202" s="34">
        <v>473383</v>
      </c>
      <c r="D202" s="102">
        <v>3459</v>
      </c>
      <c r="E202" s="31">
        <v>0</v>
      </c>
      <c r="F202" s="31">
        <v>0</v>
      </c>
      <c r="G202" s="31">
        <v>26</v>
      </c>
      <c r="H202" s="31">
        <v>68</v>
      </c>
      <c r="I202" s="110">
        <f t="shared" si="15"/>
        <v>0.00730697976057442</v>
      </c>
      <c r="J202" s="111">
        <f t="shared" si="16"/>
        <v>0.484099450708297</v>
      </c>
      <c r="K202" s="111">
        <f t="shared" si="17"/>
        <v>3.53730488843072</v>
      </c>
      <c r="L202" s="111">
        <f t="shared" si="18"/>
        <v>0</v>
      </c>
      <c r="M202" s="112">
        <f t="shared" si="19"/>
        <v>0</v>
      </c>
    </row>
    <row r="203" ht="13.85" spans="1:13">
      <c r="A203" s="52">
        <v>45362</v>
      </c>
      <c r="B203" s="102">
        <v>1233.3</v>
      </c>
      <c r="C203" s="34">
        <v>899385</v>
      </c>
      <c r="D203" s="102">
        <v>4103</v>
      </c>
      <c r="E203" s="31">
        <v>0</v>
      </c>
      <c r="F203" s="31">
        <v>0</v>
      </c>
      <c r="G203" s="31">
        <v>42</v>
      </c>
      <c r="H203" s="31">
        <v>58</v>
      </c>
      <c r="I203" s="110">
        <f t="shared" si="15"/>
        <v>0.00456200625983311</v>
      </c>
      <c r="J203" s="111">
        <f t="shared" si="16"/>
        <v>0.300584937850353</v>
      </c>
      <c r="K203" s="111">
        <f t="shared" si="17"/>
        <v>1.37127036808486</v>
      </c>
      <c r="L203" s="111">
        <f t="shared" si="18"/>
        <v>0</v>
      </c>
      <c r="M203" s="112">
        <f t="shared" si="19"/>
        <v>0</v>
      </c>
    </row>
    <row r="204" ht="13.85" spans="1:13">
      <c r="A204" s="52">
        <v>45363</v>
      </c>
      <c r="B204" s="102">
        <v>1230.3</v>
      </c>
      <c r="C204" s="34">
        <v>900708</v>
      </c>
      <c r="D204" s="102">
        <v>4396</v>
      </c>
      <c r="E204" s="31">
        <v>1</v>
      </c>
      <c r="F204" s="31">
        <v>35328</v>
      </c>
      <c r="G204" s="31">
        <v>54</v>
      </c>
      <c r="H204" s="31">
        <v>53</v>
      </c>
      <c r="I204" s="110">
        <f t="shared" si="15"/>
        <v>0.00488060503515013</v>
      </c>
      <c r="J204" s="111">
        <f t="shared" si="16"/>
        <v>0.279868061874431</v>
      </c>
      <c r="K204" s="111">
        <f t="shared" si="17"/>
        <v>1.36592547196206</v>
      </c>
      <c r="L204" s="111">
        <f t="shared" si="18"/>
        <v>28.7149475737625</v>
      </c>
      <c r="M204" s="112">
        <f t="shared" si="19"/>
        <v>0.000227479526842584</v>
      </c>
    </row>
    <row r="205" ht="13.85" spans="1:13">
      <c r="A205" s="52">
        <v>45364</v>
      </c>
      <c r="B205" s="102">
        <v>1196.69</v>
      </c>
      <c r="C205" s="34">
        <v>779094</v>
      </c>
      <c r="D205" s="102">
        <v>3670</v>
      </c>
      <c r="E205" s="31">
        <v>0</v>
      </c>
      <c r="F205" s="31">
        <v>0</v>
      </c>
      <c r="G205" s="31">
        <v>37</v>
      </c>
      <c r="H205" s="31">
        <v>93</v>
      </c>
      <c r="I205" s="110">
        <f t="shared" si="15"/>
        <v>0.00471059974791232</v>
      </c>
      <c r="J205" s="111">
        <f t="shared" si="16"/>
        <v>0.326073569482289</v>
      </c>
      <c r="K205" s="111">
        <f t="shared" si="17"/>
        <v>1.53600207420414</v>
      </c>
      <c r="L205" s="111">
        <f t="shared" si="18"/>
        <v>0</v>
      </c>
      <c r="M205" s="112">
        <f t="shared" si="19"/>
        <v>0</v>
      </c>
    </row>
    <row r="206" ht="13.85" spans="1:13">
      <c r="A206" s="52">
        <v>45365</v>
      </c>
      <c r="B206" s="102">
        <v>1207.05</v>
      </c>
      <c r="C206" s="34">
        <v>691636</v>
      </c>
      <c r="D206" s="102">
        <v>3790</v>
      </c>
      <c r="E206" s="31">
        <v>0</v>
      </c>
      <c r="F206" s="31">
        <v>0</v>
      </c>
      <c r="G206" s="31">
        <v>42</v>
      </c>
      <c r="H206" s="31">
        <v>96</v>
      </c>
      <c r="I206" s="110">
        <f t="shared" si="15"/>
        <v>0.00547976103036858</v>
      </c>
      <c r="J206" s="111">
        <f t="shared" si="16"/>
        <v>0.318482849604222</v>
      </c>
      <c r="K206" s="111">
        <f t="shared" si="17"/>
        <v>1.74520990810195</v>
      </c>
      <c r="L206" s="111">
        <f t="shared" si="18"/>
        <v>0</v>
      </c>
      <c r="M206" s="112">
        <f t="shared" si="19"/>
        <v>0</v>
      </c>
    </row>
    <row r="207" ht="13.85" spans="1:13">
      <c r="A207" s="52">
        <v>45366</v>
      </c>
      <c r="B207" s="102">
        <v>1298.95</v>
      </c>
      <c r="C207" s="34">
        <v>301390</v>
      </c>
      <c r="D207" s="31">
        <v>2297</v>
      </c>
      <c r="E207" s="31">
        <v>0</v>
      </c>
      <c r="F207" s="31">
        <v>0</v>
      </c>
      <c r="G207" s="31">
        <v>20</v>
      </c>
      <c r="H207" s="31">
        <v>64</v>
      </c>
      <c r="I207" s="110">
        <f t="shared" si="15"/>
        <v>0.00762135439132022</v>
      </c>
      <c r="J207" s="111">
        <f t="shared" si="16"/>
        <v>0.5654984762734</v>
      </c>
      <c r="K207" s="111">
        <f t="shared" si="17"/>
        <v>4.30986429543117</v>
      </c>
      <c r="L207" s="111">
        <f t="shared" si="18"/>
        <v>0</v>
      </c>
      <c r="M207" s="112">
        <f t="shared" si="19"/>
        <v>0</v>
      </c>
    </row>
    <row r="208" ht="13.85" spans="1:13">
      <c r="A208" s="52">
        <v>45367</v>
      </c>
      <c r="B208" s="102">
        <v>3380.16</v>
      </c>
      <c r="C208" s="34">
        <v>691782</v>
      </c>
      <c r="D208" s="31">
        <v>4818</v>
      </c>
      <c r="E208" s="31">
        <v>3</v>
      </c>
      <c r="F208" s="31">
        <v>39264</v>
      </c>
      <c r="G208" s="31">
        <v>78</v>
      </c>
      <c r="H208" s="31">
        <v>200</v>
      </c>
      <c r="I208" s="110">
        <f t="shared" si="15"/>
        <v>0.00696462180282228</v>
      </c>
      <c r="J208" s="111">
        <f t="shared" si="16"/>
        <v>0.701569115815691</v>
      </c>
      <c r="K208" s="111">
        <f t="shared" si="17"/>
        <v>4.88616356019671</v>
      </c>
      <c r="L208" s="111">
        <f t="shared" si="18"/>
        <v>11.6160181766544</v>
      </c>
      <c r="M208" s="112">
        <f t="shared" si="19"/>
        <v>0.00062266500622665</v>
      </c>
    </row>
    <row r="209" ht="13.85" spans="1:13">
      <c r="A209" s="52">
        <v>45368</v>
      </c>
      <c r="B209" s="102">
        <v>3410.98</v>
      </c>
      <c r="C209" s="34">
        <v>602138</v>
      </c>
      <c r="D209" s="31">
        <v>4497</v>
      </c>
      <c r="E209" s="31">
        <v>0</v>
      </c>
      <c r="F209" s="31">
        <v>0</v>
      </c>
      <c r="G209" s="31">
        <v>66</v>
      </c>
      <c r="H209" s="31">
        <v>211</v>
      </c>
      <c r="I209" s="110">
        <f t="shared" si="15"/>
        <v>0.00746838764535704</v>
      </c>
      <c r="J209" s="111">
        <f t="shared" si="16"/>
        <v>0.758501223037581</v>
      </c>
      <c r="K209" s="111">
        <f t="shared" si="17"/>
        <v>5.66478116312207</v>
      </c>
      <c r="L209" s="111">
        <f t="shared" si="18"/>
        <v>0</v>
      </c>
      <c r="M209" s="112">
        <f t="shared" si="19"/>
        <v>0</v>
      </c>
    </row>
    <row r="210" ht="13.85" spans="1:13">
      <c r="A210" s="52">
        <v>45369</v>
      </c>
      <c r="B210" s="102">
        <v>3435.94</v>
      </c>
      <c r="C210" s="34">
        <v>730957</v>
      </c>
      <c r="D210" s="31">
        <v>5078</v>
      </c>
      <c r="E210" s="31">
        <v>1</v>
      </c>
      <c r="F210" s="31">
        <v>16881</v>
      </c>
      <c r="G210" s="31">
        <v>59</v>
      </c>
      <c r="H210" s="31">
        <v>146</v>
      </c>
      <c r="I210" s="110">
        <f t="shared" si="15"/>
        <v>0.00694705707722889</v>
      </c>
      <c r="J210" s="111">
        <f t="shared" si="16"/>
        <v>0.676632532493108</v>
      </c>
      <c r="K210" s="111">
        <f t="shared" si="17"/>
        <v>4.70060482353955</v>
      </c>
      <c r="L210" s="111">
        <f t="shared" si="18"/>
        <v>4.91306600231669</v>
      </c>
      <c r="M210" s="112">
        <f t="shared" si="19"/>
        <v>0.000196927924379677</v>
      </c>
    </row>
    <row r="211" ht="13.85" spans="1:13">
      <c r="A211" s="52">
        <v>45370</v>
      </c>
      <c r="B211" s="102">
        <v>3441.7</v>
      </c>
      <c r="C211" s="34">
        <v>914915</v>
      </c>
      <c r="D211" s="31">
        <v>6349</v>
      </c>
      <c r="E211" s="31">
        <v>0</v>
      </c>
      <c r="F211" s="31">
        <v>0</v>
      </c>
      <c r="G211" s="31">
        <v>62</v>
      </c>
      <c r="H211" s="31">
        <v>164</v>
      </c>
      <c r="I211" s="110">
        <f t="shared" si="15"/>
        <v>0.00693944246186804</v>
      </c>
      <c r="J211" s="111">
        <f t="shared" si="16"/>
        <v>0.542085367774453</v>
      </c>
      <c r="K211" s="111">
        <f t="shared" si="17"/>
        <v>3.76177021909139</v>
      </c>
      <c r="L211" s="111">
        <f t="shared" si="18"/>
        <v>0</v>
      </c>
      <c r="M211" s="112">
        <f t="shared" si="19"/>
        <v>0</v>
      </c>
    </row>
    <row r="212" ht="13.85" spans="1:13">
      <c r="A212" s="52">
        <v>45371</v>
      </c>
      <c r="B212" s="102">
        <v>3638.11</v>
      </c>
      <c r="C212" s="34">
        <v>1204654</v>
      </c>
      <c r="D212" s="31">
        <v>7364</v>
      </c>
      <c r="E212" s="31">
        <v>0</v>
      </c>
      <c r="F212" s="31">
        <v>0</v>
      </c>
      <c r="G212" s="31">
        <v>74</v>
      </c>
      <c r="H212" s="31">
        <v>179</v>
      </c>
      <c r="I212" s="110">
        <f t="shared" si="15"/>
        <v>0.00611295857565741</v>
      </c>
      <c r="J212" s="111">
        <f t="shared" si="16"/>
        <v>0.494039923954373</v>
      </c>
      <c r="K212" s="111">
        <f t="shared" si="17"/>
        <v>3.02004558985402</v>
      </c>
      <c r="L212" s="111">
        <f t="shared" si="18"/>
        <v>0</v>
      </c>
      <c r="M212" s="112">
        <f t="shared" si="19"/>
        <v>0</v>
      </c>
    </row>
    <row r="213" ht="13.85" spans="1:13">
      <c r="A213" s="52">
        <v>45372</v>
      </c>
      <c r="B213" s="102">
        <v>3675.74</v>
      </c>
      <c r="C213" s="34">
        <v>1075900</v>
      </c>
      <c r="D213" s="31">
        <v>7162</v>
      </c>
      <c r="E213" s="31">
        <v>0</v>
      </c>
      <c r="F213" s="31">
        <v>0</v>
      </c>
      <c r="G213" s="31">
        <v>61</v>
      </c>
      <c r="H213" s="31">
        <v>172</v>
      </c>
      <c r="I213" s="110">
        <f t="shared" si="15"/>
        <v>0.00665675248629055</v>
      </c>
      <c r="J213" s="111">
        <f t="shared" si="16"/>
        <v>0.513228148561854</v>
      </c>
      <c r="K213" s="111">
        <f t="shared" si="17"/>
        <v>3.41643275397342</v>
      </c>
      <c r="L213" s="111">
        <f t="shared" si="18"/>
        <v>0</v>
      </c>
      <c r="M213" s="112">
        <f t="shared" si="19"/>
        <v>0</v>
      </c>
    </row>
    <row r="214" ht="13.85" spans="1:13">
      <c r="A214" s="52">
        <v>45373</v>
      </c>
      <c r="B214" s="102">
        <v>3731.19</v>
      </c>
      <c r="C214" s="34">
        <v>1145947</v>
      </c>
      <c r="D214" s="31">
        <v>6939</v>
      </c>
      <c r="E214" s="31">
        <v>1</v>
      </c>
      <c r="F214" s="31">
        <v>39006</v>
      </c>
      <c r="G214" s="31">
        <v>66</v>
      </c>
      <c r="H214" s="31">
        <v>187</v>
      </c>
      <c r="I214" s="110">
        <f t="shared" si="15"/>
        <v>0.00605525386427121</v>
      </c>
      <c r="J214" s="111">
        <f t="shared" si="16"/>
        <v>0.537712926934717</v>
      </c>
      <c r="K214" s="111">
        <f t="shared" si="17"/>
        <v>3.25598827869003</v>
      </c>
      <c r="L214" s="111">
        <f t="shared" si="18"/>
        <v>10.4540374518585</v>
      </c>
      <c r="M214" s="112">
        <f t="shared" si="19"/>
        <v>0.000144112984579911</v>
      </c>
    </row>
    <row r="215" ht="13.85" spans="1:13">
      <c r="A215" s="52">
        <v>45374</v>
      </c>
      <c r="B215" s="102">
        <v>3728.22</v>
      </c>
      <c r="C215" s="34">
        <v>1498879</v>
      </c>
      <c r="D215" s="31">
        <v>7529</v>
      </c>
      <c r="E215" s="31">
        <v>0</v>
      </c>
      <c r="F215" s="31">
        <v>0</v>
      </c>
      <c r="G215" s="31">
        <v>41</v>
      </c>
      <c r="H215" s="31">
        <v>188</v>
      </c>
      <c r="I215" s="110">
        <f t="shared" si="15"/>
        <v>0.0050230872538744</v>
      </c>
      <c r="J215" s="111">
        <f t="shared" si="16"/>
        <v>0.495181298977288</v>
      </c>
      <c r="K215" s="111">
        <f t="shared" si="17"/>
        <v>2.48733887124978</v>
      </c>
      <c r="L215" s="111">
        <f t="shared" si="18"/>
        <v>0</v>
      </c>
      <c r="M215" s="112">
        <f t="shared" si="19"/>
        <v>0</v>
      </c>
    </row>
    <row r="216" ht="13.85" spans="1:13">
      <c r="A216" s="52">
        <v>45375</v>
      </c>
      <c r="B216" s="102">
        <v>3677.33</v>
      </c>
      <c r="C216" s="34">
        <v>1008390</v>
      </c>
      <c r="D216" s="31">
        <v>6570</v>
      </c>
      <c r="E216" s="31">
        <v>0</v>
      </c>
      <c r="F216" s="31">
        <v>0</v>
      </c>
      <c r="G216" s="31">
        <v>61</v>
      </c>
      <c r="H216" s="31">
        <v>166</v>
      </c>
      <c r="I216" s="110">
        <f t="shared" si="15"/>
        <v>0.00651533632820635</v>
      </c>
      <c r="J216" s="111">
        <f t="shared" si="16"/>
        <v>0.559715372907154</v>
      </c>
      <c r="K216" s="111">
        <f t="shared" si="17"/>
        <v>3.64673390255754</v>
      </c>
      <c r="L216" s="111">
        <f t="shared" si="18"/>
        <v>0</v>
      </c>
      <c r="M216" s="112">
        <f t="shared" si="19"/>
        <v>0</v>
      </c>
    </row>
    <row r="217" ht="13.85" spans="1:13">
      <c r="A217" s="52">
        <v>45376</v>
      </c>
      <c r="B217" s="102">
        <v>3817.29</v>
      </c>
      <c r="C217" s="34">
        <v>1026710</v>
      </c>
      <c r="D217" s="31">
        <v>6853</v>
      </c>
      <c r="E217" s="31">
        <v>0</v>
      </c>
      <c r="F217" s="31">
        <v>0</v>
      </c>
      <c r="G217" s="31">
        <v>60</v>
      </c>
      <c r="H217" s="31">
        <v>143</v>
      </c>
      <c r="I217" s="110">
        <f t="shared" si="15"/>
        <v>0.00667471827487801</v>
      </c>
      <c r="J217" s="111">
        <f t="shared" si="16"/>
        <v>0.557024660732526</v>
      </c>
      <c r="K217" s="111">
        <f t="shared" si="17"/>
        <v>3.71798268254911</v>
      </c>
      <c r="L217" s="111">
        <f t="shared" si="18"/>
        <v>0</v>
      </c>
      <c r="M217" s="112">
        <f t="shared" si="19"/>
        <v>0</v>
      </c>
    </row>
    <row r="218" ht="13.85" spans="1:13">
      <c r="A218" s="52">
        <v>45377</v>
      </c>
      <c r="B218" s="102">
        <v>3274.85</v>
      </c>
      <c r="C218" s="34">
        <v>737775</v>
      </c>
      <c r="D218" s="31">
        <v>5534</v>
      </c>
      <c r="E218" s="31">
        <v>3</v>
      </c>
      <c r="F218" s="31">
        <v>22865</v>
      </c>
      <c r="G218" s="31">
        <v>41</v>
      </c>
      <c r="H218" s="31">
        <v>68</v>
      </c>
      <c r="I218" s="110">
        <f t="shared" si="15"/>
        <v>0.00750093185591813</v>
      </c>
      <c r="J218" s="111">
        <f t="shared" si="16"/>
        <v>0.591769063968197</v>
      </c>
      <c r="K218" s="111">
        <f t="shared" si="17"/>
        <v>4.4388194232659</v>
      </c>
      <c r="L218" s="111">
        <f t="shared" si="18"/>
        <v>6.98199917553476</v>
      </c>
      <c r="M218" s="112">
        <f t="shared" si="19"/>
        <v>0.000542103361040838</v>
      </c>
    </row>
    <row r="219" ht="13.85" spans="1:13">
      <c r="A219" s="52">
        <v>45378</v>
      </c>
      <c r="B219" s="102">
        <v>2656.88</v>
      </c>
      <c r="C219" s="34">
        <v>752779</v>
      </c>
      <c r="D219" s="31">
        <v>5185</v>
      </c>
      <c r="E219" s="31">
        <v>2</v>
      </c>
      <c r="F219" s="31">
        <v>13377</v>
      </c>
      <c r="G219" s="31">
        <v>36</v>
      </c>
      <c r="H219" s="31">
        <v>96</v>
      </c>
      <c r="I219" s="110">
        <f t="shared" si="15"/>
        <v>0.00688781169506588</v>
      </c>
      <c r="J219" s="111">
        <f t="shared" si="16"/>
        <v>0.512416586306654</v>
      </c>
      <c r="K219" s="111">
        <f t="shared" si="17"/>
        <v>3.52942895590871</v>
      </c>
      <c r="L219" s="111">
        <f t="shared" si="18"/>
        <v>5.03485291018036</v>
      </c>
      <c r="M219" s="112">
        <f t="shared" si="19"/>
        <v>0.00038572806171649</v>
      </c>
    </row>
    <row r="220" ht="13.85" spans="1:13">
      <c r="A220" s="52">
        <v>45379</v>
      </c>
      <c r="B220" s="102">
        <v>2603.52</v>
      </c>
      <c r="C220" s="34">
        <v>690425</v>
      </c>
      <c r="D220" s="31">
        <v>4176</v>
      </c>
      <c r="E220" s="31">
        <v>0</v>
      </c>
      <c r="F220" s="31">
        <v>0</v>
      </c>
      <c r="G220" s="31">
        <v>34</v>
      </c>
      <c r="H220" s="31">
        <v>125</v>
      </c>
      <c r="I220" s="110">
        <f t="shared" si="15"/>
        <v>0.00604844841945179</v>
      </c>
      <c r="J220" s="111">
        <f t="shared" si="16"/>
        <v>0.623448275862069</v>
      </c>
      <c r="K220" s="111">
        <f t="shared" si="17"/>
        <v>3.77089473874787</v>
      </c>
      <c r="L220" s="111">
        <f t="shared" si="18"/>
        <v>0</v>
      </c>
      <c r="M220" s="112">
        <f t="shared" si="19"/>
        <v>0</v>
      </c>
    </row>
    <row r="221" ht="13.85" spans="1:13">
      <c r="A221" s="52">
        <v>45380</v>
      </c>
      <c r="B221" s="102">
        <v>2842.34</v>
      </c>
      <c r="C221" s="34">
        <v>600035</v>
      </c>
      <c r="D221" s="31">
        <v>4074</v>
      </c>
      <c r="E221" s="31">
        <v>1</v>
      </c>
      <c r="F221" s="31">
        <v>20873</v>
      </c>
      <c r="G221" s="31">
        <v>44</v>
      </c>
      <c r="H221" s="31">
        <v>113</v>
      </c>
      <c r="I221" s="110">
        <f t="shared" si="15"/>
        <v>0.00678960393977018</v>
      </c>
      <c r="J221" s="111">
        <f t="shared" si="16"/>
        <v>0.697677957781051</v>
      </c>
      <c r="K221" s="111">
        <f t="shared" si="17"/>
        <v>4.73695701084104</v>
      </c>
      <c r="L221" s="111">
        <f t="shared" si="18"/>
        <v>7.3435971769739</v>
      </c>
      <c r="M221" s="112">
        <f t="shared" si="19"/>
        <v>0.000245459008345606</v>
      </c>
    </row>
    <row r="222" ht="13.85" spans="1:13">
      <c r="A222" s="52">
        <v>45381</v>
      </c>
      <c r="B222" s="102">
        <v>2877.09</v>
      </c>
      <c r="C222" s="34">
        <v>644841</v>
      </c>
      <c r="D222" s="31">
        <v>3939</v>
      </c>
      <c r="E222" s="31">
        <v>3</v>
      </c>
      <c r="F222" s="31">
        <v>57280</v>
      </c>
      <c r="G222" s="31">
        <v>58</v>
      </c>
      <c r="H222" s="31">
        <v>153</v>
      </c>
      <c r="I222" s="110">
        <f t="shared" si="15"/>
        <v>0.00610848255616501</v>
      </c>
      <c r="J222" s="111">
        <f t="shared" si="16"/>
        <v>0.73041127189642</v>
      </c>
      <c r="K222" s="111">
        <f t="shared" si="17"/>
        <v>4.46170451320558</v>
      </c>
      <c r="L222" s="111">
        <f t="shared" si="18"/>
        <v>19.9090052796402</v>
      </c>
      <c r="M222" s="112">
        <f t="shared" si="19"/>
        <v>0.000761614623000762</v>
      </c>
    </row>
    <row r="223" ht="13.85" spans="1:13">
      <c r="A223" s="52">
        <v>45382</v>
      </c>
      <c r="B223" s="102">
        <v>2785.47</v>
      </c>
      <c r="C223" s="34">
        <v>722221</v>
      </c>
      <c r="D223" s="102">
        <v>4131</v>
      </c>
      <c r="E223" s="31">
        <v>0</v>
      </c>
      <c r="F223" s="31">
        <v>0</v>
      </c>
      <c r="G223" s="31">
        <v>20</v>
      </c>
      <c r="H223" s="31">
        <v>139</v>
      </c>
      <c r="I223" s="110">
        <f t="shared" si="15"/>
        <v>0.00571985583360218</v>
      </c>
      <c r="J223" s="111">
        <f t="shared" si="16"/>
        <v>0.674284676833696</v>
      </c>
      <c r="K223" s="111">
        <f t="shared" si="17"/>
        <v>3.85681114229578</v>
      </c>
      <c r="L223" s="111">
        <f t="shared" si="18"/>
        <v>0</v>
      </c>
      <c r="M223" s="112">
        <f t="shared" si="19"/>
        <v>0</v>
      </c>
    </row>
    <row r="224" ht="13.85" spans="1:13">
      <c r="A224" s="52">
        <v>45383</v>
      </c>
      <c r="B224" s="102">
        <v>1085.55</v>
      </c>
      <c r="C224" s="34">
        <v>398033</v>
      </c>
      <c r="D224" s="102">
        <v>1720</v>
      </c>
      <c r="E224" s="31">
        <v>0</v>
      </c>
      <c r="F224" s="31">
        <v>0</v>
      </c>
      <c r="G224" s="31">
        <v>15</v>
      </c>
      <c r="H224" s="31">
        <v>51</v>
      </c>
      <c r="I224" s="110">
        <f t="shared" si="15"/>
        <v>0.00432124974562411</v>
      </c>
      <c r="J224" s="111">
        <f t="shared" si="16"/>
        <v>0.631133720930233</v>
      </c>
      <c r="K224" s="111">
        <f t="shared" si="17"/>
        <v>2.72728643102456</v>
      </c>
      <c r="L224" s="111">
        <f t="shared" si="18"/>
        <v>0</v>
      </c>
      <c r="M224" s="112">
        <f t="shared" si="19"/>
        <v>0</v>
      </c>
    </row>
    <row r="225" ht="13.85" spans="1:13">
      <c r="A225" s="52">
        <v>45384</v>
      </c>
      <c r="B225" s="102">
        <v>1471.24</v>
      </c>
      <c r="C225" s="34">
        <v>243970</v>
      </c>
      <c r="D225" s="102">
        <v>1372</v>
      </c>
      <c r="E225" s="31">
        <v>0</v>
      </c>
      <c r="F225" s="31">
        <v>0</v>
      </c>
      <c r="G225" s="31">
        <v>13</v>
      </c>
      <c r="H225" s="31">
        <v>51</v>
      </c>
      <c r="I225" s="110">
        <f t="shared" si="15"/>
        <v>0.00562364225109645</v>
      </c>
      <c r="J225" s="111">
        <f t="shared" si="16"/>
        <v>1.07233236151603</v>
      </c>
      <c r="K225" s="111">
        <f t="shared" si="17"/>
        <v>6.0304135754396</v>
      </c>
      <c r="L225" s="111">
        <f t="shared" si="18"/>
        <v>0</v>
      </c>
      <c r="M225" s="112">
        <f t="shared" si="19"/>
        <v>0</v>
      </c>
    </row>
    <row r="226" ht="13.85" spans="1:13">
      <c r="A226" s="52">
        <v>45385</v>
      </c>
      <c r="B226" s="102">
        <v>1090.26</v>
      </c>
      <c r="C226" s="34">
        <v>354186</v>
      </c>
      <c r="D226" s="102">
        <v>1684</v>
      </c>
      <c r="E226" s="31">
        <v>0</v>
      </c>
      <c r="F226" s="31">
        <v>0</v>
      </c>
      <c r="G226" s="31">
        <v>20</v>
      </c>
      <c r="H226" s="31">
        <v>50</v>
      </c>
      <c r="I226" s="110">
        <f t="shared" si="15"/>
        <v>0.00475456398615417</v>
      </c>
      <c r="J226" s="111">
        <f t="shared" si="16"/>
        <v>0.647422802850356</v>
      </c>
      <c r="K226" s="111">
        <f t="shared" si="17"/>
        <v>3.07821314224729</v>
      </c>
      <c r="L226" s="111">
        <f t="shared" si="18"/>
        <v>0</v>
      </c>
      <c r="M226" s="112">
        <f t="shared" si="19"/>
        <v>0</v>
      </c>
    </row>
    <row r="227" ht="13.85" spans="1:13">
      <c r="A227" s="52">
        <v>45386</v>
      </c>
      <c r="B227" s="102">
        <v>1137.09</v>
      </c>
      <c r="C227" s="34">
        <v>218799</v>
      </c>
      <c r="D227" s="102">
        <v>1628</v>
      </c>
      <c r="E227" s="31">
        <v>1</v>
      </c>
      <c r="F227" s="31">
        <v>8974</v>
      </c>
      <c r="G227" s="31">
        <v>16</v>
      </c>
      <c r="H227" s="31">
        <v>56</v>
      </c>
      <c r="I227" s="110">
        <f t="shared" si="15"/>
        <v>0.00744061901562621</v>
      </c>
      <c r="J227" s="111">
        <f t="shared" si="16"/>
        <v>0.698458230958231</v>
      </c>
      <c r="K227" s="111">
        <f t="shared" si="17"/>
        <v>5.19696159488846</v>
      </c>
      <c r="L227" s="111">
        <f t="shared" si="18"/>
        <v>7.89207538541364</v>
      </c>
      <c r="M227" s="112">
        <f t="shared" si="19"/>
        <v>0.000614250614250614</v>
      </c>
    </row>
    <row r="228" ht="13.85" spans="1:13">
      <c r="A228" s="52">
        <v>45387</v>
      </c>
      <c r="B228" s="102">
        <v>1161.06</v>
      </c>
      <c r="C228" s="34">
        <v>274663</v>
      </c>
      <c r="D228" s="102">
        <v>1704</v>
      </c>
      <c r="E228" s="31">
        <v>0</v>
      </c>
      <c r="F228" s="31">
        <v>0</v>
      </c>
      <c r="G228" s="31">
        <v>12</v>
      </c>
      <c r="H228" s="31">
        <v>57</v>
      </c>
      <c r="I228" s="110">
        <f t="shared" si="15"/>
        <v>0.0062039663150843</v>
      </c>
      <c r="J228" s="111">
        <f t="shared" si="16"/>
        <v>0.68137323943662</v>
      </c>
      <c r="K228" s="111">
        <f t="shared" si="17"/>
        <v>4.22721662546466</v>
      </c>
      <c r="L228" s="111">
        <f t="shared" si="18"/>
        <v>0</v>
      </c>
      <c r="M228" s="112">
        <f t="shared" si="19"/>
        <v>0</v>
      </c>
    </row>
    <row r="229" ht="13.85" spans="1:13">
      <c r="A229" s="52">
        <v>45388</v>
      </c>
      <c r="B229" s="102">
        <v>1107.44</v>
      </c>
      <c r="C229" s="34">
        <v>273408</v>
      </c>
      <c r="D229" s="102">
        <v>1625</v>
      </c>
      <c r="E229" s="31">
        <v>0</v>
      </c>
      <c r="F229" s="31">
        <v>0</v>
      </c>
      <c r="G229" s="31">
        <v>9</v>
      </c>
      <c r="H229" s="31">
        <v>56</v>
      </c>
      <c r="I229" s="110">
        <f t="shared" si="15"/>
        <v>0.00594349836142322</v>
      </c>
      <c r="J229" s="111">
        <f t="shared" si="16"/>
        <v>0.681501538461538</v>
      </c>
      <c r="K229" s="111">
        <f t="shared" si="17"/>
        <v>4.05050327715356</v>
      </c>
      <c r="L229" s="111">
        <f t="shared" si="18"/>
        <v>0</v>
      </c>
      <c r="M229" s="112">
        <f t="shared" si="19"/>
        <v>0</v>
      </c>
    </row>
    <row r="230" ht="13.85" spans="1:13">
      <c r="A230" s="52">
        <v>45389</v>
      </c>
      <c r="B230" s="102">
        <v>1215.86</v>
      </c>
      <c r="C230" s="34">
        <v>327334</v>
      </c>
      <c r="D230" s="102">
        <v>1807</v>
      </c>
      <c r="E230" s="31">
        <v>0</v>
      </c>
      <c r="F230" s="31">
        <v>0</v>
      </c>
      <c r="G230" s="31">
        <v>20</v>
      </c>
      <c r="H230" s="31">
        <v>58</v>
      </c>
      <c r="I230" s="110">
        <f t="shared" si="15"/>
        <v>0.00552035535569174</v>
      </c>
      <c r="J230" s="111">
        <f t="shared" si="16"/>
        <v>0.672861095738793</v>
      </c>
      <c r="K230" s="111">
        <f t="shared" si="17"/>
        <v>3.71443235349826</v>
      </c>
      <c r="L230" s="111">
        <f t="shared" si="18"/>
        <v>0</v>
      </c>
      <c r="M230" s="112">
        <f t="shared" si="19"/>
        <v>0</v>
      </c>
    </row>
    <row r="231" ht="13.85" spans="1:13">
      <c r="A231" s="52">
        <v>45390</v>
      </c>
      <c r="B231" s="102">
        <v>1254.4</v>
      </c>
      <c r="C231" s="34">
        <v>323944</v>
      </c>
      <c r="D231" s="102">
        <v>2152</v>
      </c>
      <c r="E231" s="31">
        <v>0</v>
      </c>
      <c r="F231" s="31">
        <v>0</v>
      </c>
      <c r="G231" s="31">
        <v>32</v>
      </c>
      <c r="H231" s="31">
        <v>66</v>
      </c>
      <c r="I231" s="110">
        <f t="shared" si="15"/>
        <v>0.00664312350282765</v>
      </c>
      <c r="J231" s="111">
        <f t="shared" si="16"/>
        <v>0.582899628252788</v>
      </c>
      <c r="K231" s="111">
        <f t="shared" si="17"/>
        <v>3.8722742202356</v>
      </c>
      <c r="L231" s="111">
        <f t="shared" si="18"/>
        <v>0</v>
      </c>
      <c r="M231" s="112">
        <f t="shared" si="19"/>
        <v>0</v>
      </c>
    </row>
    <row r="232" ht="13.85" spans="1:13">
      <c r="A232" s="52">
        <v>45391</v>
      </c>
      <c r="B232" s="102">
        <v>1248.13</v>
      </c>
      <c r="C232" s="34">
        <v>241513</v>
      </c>
      <c r="D232" s="102">
        <v>1704</v>
      </c>
      <c r="E232" s="31">
        <v>0</v>
      </c>
      <c r="F232" s="31">
        <v>0</v>
      </c>
      <c r="G232" s="31">
        <v>19</v>
      </c>
      <c r="H232" s="31">
        <v>62</v>
      </c>
      <c r="I232" s="110">
        <f t="shared" si="15"/>
        <v>0.00705552082082538</v>
      </c>
      <c r="J232" s="111">
        <f t="shared" si="16"/>
        <v>0.732470657276995</v>
      </c>
      <c r="K232" s="111">
        <f t="shared" si="17"/>
        <v>5.16796197306149</v>
      </c>
      <c r="L232" s="111">
        <f t="shared" si="18"/>
        <v>0</v>
      </c>
      <c r="M232" s="112">
        <f t="shared" si="19"/>
        <v>0</v>
      </c>
    </row>
    <row r="233" ht="13.85" spans="1:13">
      <c r="A233" s="52">
        <v>45392</v>
      </c>
      <c r="B233" s="102">
        <v>2259.79</v>
      </c>
      <c r="C233" s="34">
        <v>246039</v>
      </c>
      <c r="D233" s="102">
        <v>1723</v>
      </c>
      <c r="E233" s="31">
        <v>0</v>
      </c>
      <c r="F233" s="31">
        <v>0</v>
      </c>
      <c r="G233" s="31">
        <v>23</v>
      </c>
      <c r="H233" s="31">
        <v>100</v>
      </c>
      <c r="I233" s="110">
        <f t="shared" si="15"/>
        <v>0.00700295481610639</v>
      </c>
      <c r="J233" s="111">
        <f t="shared" si="16"/>
        <v>1.31154381892049</v>
      </c>
      <c r="K233" s="111">
        <f t="shared" si="17"/>
        <v>9.18468210324379</v>
      </c>
      <c r="L233" s="111">
        <f t="shared" si="18"/>
        <v>0</v>
      </c>
      <c r="M233" s="112">
        <f t="shared" si="19"/>
        <v>0</v>
      </c>
    </row>
    <row r="234" ht="13.85" spans="1:13">
      <c r="A234" s="52">
        <v>45393</v>
      </c>
      <c r="B234" s="102">
        <v>1769.76</v>
      </c>
      <c r="C234" s="34">
        <v>355225</v>
      </c>
      <c r="D234" s="102">
        <v>2210</v>
      </c>
      <c r="E234" s="31">
        <v>0</v>
      </c>
      <c r="F234" s="31">
        <v>0</v>
      </c>
      <c r="G234" s="31">
        <v>36</v>
      </c>
      <c r="H234" s="31">
        <v>100</v>
      </c>
      <c r="I234" s="110">
        <f t="shared" si="15"/>
        <v>0.00622140896614822</v>
      </c>
      <c r="J234" s="111">
        <f t="shared" si="16"/>
        <v>0.800796380090498</v>
      </c>
      <c r="K234" s="111">
        <f t="shared" si="17"/>
        <v>4.98208177915406</v>
      </c>
      <c r="L234" s="111">
        <f t="shared" si="18"/>
        <v>0</v>
      </c>
      <c r="M234" s="112">
        <f t="shared" si="19"/>
        <v>0</v>
      </c>
    </row>
    <row r="235" ht="13.85" spans="1:13">
      <c r="A235" s="52">
        <v>45394</v>
      </c>
      <c r="B235" s="102">
        <v>1821.98</v>
      </c>
      <c r="C235" s="34">
        <v>597115</v>
      </c>
      <c r="D235" s="102">
        <v>2642</v>
      </c>
      <c r="E235" s="31">
        <v>0</v>
      </c>
      <c r="F235" s="31">
        <v>0</v>
      </c>
      <c r="G235" s="31">
        <v>37</v>
      </c>
      <c r="H235" s="31">
        <v>124</v>
      </c>
      <c r="I235" s="110">
        <f t="shared" si="15"/>
        <v>0.00442460832502952</v>
      </c>
      <c r="J235" s="111">
        <f t="shared" si="16"/>
        <v>0.689621498864497</v>
      </c>
      <c r="K235" s="111">
        <f t="shared" si="17"/>
        <v>3.05130502499519</v>
      </c>
      <c r="L235" s="111">
        <f t="shared" si="18"/>
        <v>0</v>
      </c>
      <c r="M235" s="112">
        <f t="shared" si="19"/>
        <v>0</v>
      </c>
    </row>
    <row r="236" ht="13.85" spans="1:13">
      <c r="A236" s="52">
        <v>45395</v>
      </c>
      <c r="B236" s="102">
        <v>1821.97</v>
      </c>
      <c r="C236" s="34">
        <v>861596</v>
      </c>
      <c r="D236" s="102">
        <v>3011</v>
      </c>
      <c r="E236" s="31">
        <v>0</v>
      </c>
      <c r="F236" s="31">
        <v>0</v>
      </c>
      <c r="G236" s="31">
        <v>24</v>
      </c>
      <c r="H236" s="31">
        <v>130</v>
      </c>
      <c r="I236" s="110">
        <f t="shared" si="15"/>
        <v>0.00349467731976472</v>
      </c>
      <c r="J236" s="111">
        <f t="shared" si="16"/>
        <v>0.605104616406509</v>
      </c>
      <c r="K236" s="111">
        <f t="shared" si="17"/>
        <v>2.11464537904076</v>
      </c>
      <c r="L236" s="111">
        <f t="shared" si="18"/>
        <v>0</v>
      </c>
      <c r="M236" s="112">
        <f t="shared" si="19"/>
        <v>0</v>
      </c>
    </row>
    <row r="237" ht="13.85" spans="1:13">
      <c r="A237" s="52">
        <v>45396</v>
      </c>
      <c r="B237" s="102">
        <v>1779.23</v>
      </c>
      <c r="C237" s="34">
        <v>823279</v>
      </c>
      <c r="D237" s="102">
        <v>2879</v>
      </c>
      <c r="E237" s="31">
        <v>0</v>
      </c>
      <c r="F237" s="31">
        <v>0</v>
      </c>
      <c r="G237" s="31">
        <v>28</v>
      </c>
      <c r="H237" s="31">
        <v>135</v>
      </c>
      <c r="I237" s="110">
        <f t="shared" si="15"/>
        <v>0.00349699190675336</v>
      </c>
      <c r="J237" s="111">
        <f t="shared" si="16"/>
        <v>0.618002778742619</v>
      </c>
      <c r="K237" s="111">
        <f t="shared" si="17"/>
        <v>2.16115071561403</v>
      </c>
      <c r="L237" s="111">
        <f t="shared" si="18"/>
        <v>0</v>
      </c>
      <c r="M237" s="112">
        <f t="shared" si="19"/>
        <v>0</v>
      </c>
    </row>
    <row r="238" ht="13.85" spans="1:13">
      <c r="A238" s="52">
        <v>45397</v>
      </c>
      <c r="B238" s="102">
        <v>1946.48</v>
      </c>
      <c r="C238" s="34">
        <v>822988</v>
      </c>
      <c r="D238" s="102">
        <v>2570</v>
      </c>
      <c r="E238" s="31">
        <v>0</v>
      </c>
      <c r="F238" s="31">
        <v>0</v>
      </c>
      <c r="G238" s="31">
        <v>24</v>
      </c>
      <c r="H238" s="31">
        <v>97</v>
      </c>
      <c r="I238" s="110">
        <f t="shared" si="15"/>
        <v>0.00312276728214749</v>
      </c>
      <c r="J238" s="111">
        <f t="shared" si="16"/>
        <v>0.757385214007782</v>
      </c>
      <c r="K238" s="111">
        <f t="shared" si="17"/>
        <v>2.36513776628578</v>
      </c>
      <c r="L238" s="111">
        <f t="shared" si="18"/>
        <v>0</v>
      </c>
      <c r="M238" s="112">
        <f t="shared" si="19"/>
        <v>0</v>
      </c>
    </row>
    <row r="239" ht="13.85" spans="1:13">
      <c r="A239" s="52">
        <v>45398</v>
      </c>
      <c r="B239" s="102">
        <v>1554.34</v>
      </c>
      <c r="C239" s="34">
        <v>801260</v>
      </c>
      <c r="D239" s="102">
        <v>2669</v>
      </c>
      <c r="E239" s="31">
        <v>0</v>
      </c>
      <c r="F239" s="31">
        <v>0</v>
      </c>
      <c r="G239" s="31">
        <v>24</v>
      </c>
      <c r="H239" s="31">
        <v>118</v>
      </c>
      <c r="I239" s="110">
        <f t="shared" si="15"/>
        <v>0.00333100366922098</v>
      </c>
      <c r="J239" s="111">
        <f t="shared" si="16"/>
        <v>0.582367928062945</v>
      </c>
      <c r="K239" s="111">
        <f t="shared" si="17"/>
        <v>1.93986970521429</v>
      </c>
      <c r="L239" s="111">
        <f t="shared" si="18"/>
        <v>0</v>
      </c>
      <c r="M239" s="112">
        <f t="shared" si="19"/>
        <v>0</v>
      </c>
    </row>
    <row r="240" ht="13.85" spans="1:13">
      <c r="A240" s="52">
        <v>45399</v>
      </c>
      <c r="B240" s="102">
        <v>2529.25</v>
      </c>
      <c r="C240" s="34">
        <v>932303</v>
      </c>
      <c r="D240" s="102">
        <v>3212</v>
      </c>
      <c r="E240" s="31">
        <v>0</v>
      </c>
      <c r="F240" s="31">
        <v>0</v>
      </c>
      <c r="G240" s="31">
        <v>38</v>
      </c>
      <c r="H240" s="31">
        <v>128</v>
      </c>
      <c r="I240" s="110">
        <f t="shared" si="15"/>
        <v>0.00344523186131547</v>
      </c>
      <c r="J240" s="111">
        <f t="shared" si="16"/>
        <v>0.787437733499377</v>
      </c>
      <c r="K240" s="111">
        <f t="shared" si="17"/>
        <v>2.7129055682541</v>
      </c>
      <c r="L240" s="111">
        <f t="shared" si="18"/>
        <v>0</v>
      </c>
      <c r="M240" s="112">
        <f t="shared" si="19"/>
        <v>0</v>
      </c>
    </row>
    <row r="241" ht="13.85" spans="1:13">
      <c r="A241" s="52">
        <v>45400</v>
      </c>
      <c r="B241" s="102">
        <v>1752.65</v>
      </c>
      <c r="C241" s="34">
        <v>815316</v>
      </c>
      <c r="D241" s="102">
        <v>2907</v>
      </c>
      <c r="E241" s="31">
        <v>0</v>
      </c>
      <c r="F241" s="31">
        <v>0</v>
      </c>
      <c r="G241" s="31">
        <v>32</v>
      </c>
      <c r="H241" s="31">
        <v>115</v>
      </c>
      <c r="I241" s="110">
        <f t="shared" si="15"/>
        <v>0.00356548871848461</v>
      </c>
      <c r="J241" s="111">
        <f t="shared" si="16"/>
        <v>0.602906776745786</v>
      </c>
      <c r="K241" s="111">
        <f t="shared" si="17"/>
        <v>2.14965731078502</v>
      </c>
      <c r="L241" s="111">
        <f t="shared" si="18"/>
        <v>0</v>
      </c>
      <c r="M241" s="112">
        <f t="shared" si="19"/>
        <v>0</v>
      </c>
    </row>
    <row r="242" ht="13.85" spans="1:13">
      <c r="A242" s="52">
        <v>45401</v>
      </c>
      <c r="B242" s="102">
        <v>1873.8</v>
      </c>
      <c r="C242" s="34">
        <v>854743</v>
      </c>
      <c r="D242" s="102">
        <v>3454</v>
      </c>
      <c r="E242" s="31">
        <v>1</v>
      </c>
      <c r="F242" s="31">
        <v>23400</v>
      </c>
      <c r="G242" s="31">
        <v>37</v>
      </c>
      <c r="H242" s="31">
        <v>104</v>
      </c>
      <c r="I242" s="110">
        <f t="shared" si="15"/>
        <v>0.00404098073923975</v>
      </c>
      <c r="J242" s="111">
        <f t="shared" si="16"/>
        <v>0.542501447596989</v>
      </c>
      <c r="K242" s="111">
        <f t="shared" si="17"/>
        <v>2.19223790074911</v>
      </c>
      <c r="L242" s="111">
        <f t="shared" si="18"/>
        <v>12.4879923150817</v>
      </c>
      <c r="M242" s="112">
        <f t="shared" si="19"/>
        <v>0.000289519397799653</v>
      </c>
    </row>
    <row r="243" ht="13.85" spans="1:13">
      <c r="A243" s="52">
        <v>45402</v>
      </c>
      <c r="B243" s="102">
        <v>1893</v>
      </c>
      <c r="C243" s="34">
        <v>748853</v>
      </c>
      <c r="D243" s="102">
        <v>3064</v>
      </c>
      <c r="E243" s="31">
        <v>0</v>
      </c>
      <c r="F243" s="31">
        <v>0</v>
      </c>
      <c r="G243" s="31">
        <v>22</v>
      </c>
      <c r="H243" s="31">
        <v>156</v>
      </c>
      <c r="I243" s="110">
        <f t="shared" si="15"/>
        <v>0.00409159073943751</v>
      </c>
      <c r="J243" s="111">
        <f t="shared" si="16"/>
        <v>0.617819843342037</v>
      </c>
      <c r="K243" s="111">
        <f t="shared" si="17"/>
        <v>2.52786594965901</v>
      </c>
      <c r="L243" s="111">
        <f t="shared" si="18"/>
        <v>0</v>
      </c>
      <c r="M243" s="112">
        <f t="shared" si="19"/>
        <v>0</v>
      </c>
    </row>
    <row r="244" ht="13.85" spans="1:13">
      <c r="A244" s="52">
        <v>45403</v>
      </c>
      <c r="B244" s="102">
        <v>1851.33</v>
      </c>
      <c r="C244" s="34">
        <v>638399</v>
      </c>
      <c r="D244" s="102">
        <v>2771</v>
      </c>
      <c r="E244" s="31">
        <v>5</v>
      </c>
      <c r="F244" s="31">
        <v>72631</v>
      </c>
      <c r="G244" s="31">
        <v>34</v>
      </c>
      <c r="H244" s="31">
        <v>153</v>
      </c>
      <c r="I244" s="110">
        <f t="shared" si="15"/>
        <v>0.00434054564621812</v>
      </c>
      <c r="J244" s="111">
        <f t="shared" si="16"/>
        <v>0.668108985925659</v>
      </c>
      <c r="K244" s="111">
        <f t="shared" si="17"/>
        <v>2.89995755005882</v>
      </c>
      <c r="L244" s="111">
        <f t="shared" si="18"/>
        <v>39.2317955199775</v>
      </c>
      <c r="M244" s="112">
        <f t="shared" si="19"/>
        <v>0.00180440274269217</v>
      </c>
    </row>
    <row r="245" ht="13.85" spans="1:13">
      <c r="A245" s="52">
        <v>45404</v>
      </c>
      <c r="B245" s="102">
        <v>2281.16</v>
      </c>
      <c r="C245" s="34">
        <v>568872</v>
      </c>
      <c r="D245" s="102">
        <v>2509</v>
      </c>
      <c r="E245" s="31">
        <v>0</v>
      </c>
      <c r="F245" s="31">
        <v>0</v>
      </c>
      <c r="G245" s="31">
        <v>53</v>
      </c>
      <c r="H245" s="31">
        <v>111</v>
      </c>
      <c r="I245" s="110">
        <f t="shared" si="15"/>
        <v>0.00441048249869918</v>
      </c>
      <c r="J245" s="111">
        <f t="shared" si="16"/>
        <v>0.909190912714229</v>
      </c>
      <c r="K245" s="111">
        <f t="shared" si="17"/>
        <v>4.00997060850244</v>
      </c>
      <c r="L245" s="111">
        <f t="shared" si="18"/>
        <v>0</v>
      </c>
      <c r="M245" s="112">
        <f t="shared" si="19"/>
        <v>0</v>
      </c>
    </row>
    <row r="246" ht="13.85" spans="1:13">
      <c r="A246" s="52">
        <v>45405</v>
      </c>
      <c r="B246" s="102">
        <v>1853.96</v>
      </c>
      <c r="C246" s="34">
        <v>598589</v>
      </c>
      <c r="D246" s="102">
        <v>2544</v>
      </c>
      <c r="E246" s="31">
        <v>0</v>
      </c>
      <c r="F246" s="31">
        <v>0</v>
      </c>
      <c r="G246" s="31">
        <v>19</v>
      </c>
      <c r="H246" s="31">
        <v>123</v>
      </c>
      <c r="I246" s="110">
        <f t="shared" si="15"/>
        <v>0.00424999457056511</v>
      </c>
      <c r="J246" s="111">
        <f t="shared" si="16"/>
        <v>0.72875786163522</v>
      </c>
      <c r="K246" s="111">
        <f t="shared" si="17"/>
        <v>3.09721695520633</v>
      </c>
      <c r="L246" s="111">
        <f t="shared" si="18"/>
        <v>0</v>
      </c>
      <c r="M246" s="112">
        <f t="shared" si="19"/>
        <v>0</v>
      </c>
    </row>
    <row r="247" ht="13.85" spans="1:13">
      <c r="A247" s="52">
        <v>45406</v>
      </c>
      <c r="B247" s="102">
        <v>2267.87</v>
      </c>
      <c r="C247" s="34">
        <v>568937</v>
      </c>
      <c r="D247" s="102">
        <v>2301</v>
      </c>
      <c r="E247" s="31">
        <v>0</v>
      </c>
      <c r="F247" s="31">
        <v>0</v>
      </c>
      <c r="G247" s="31">
        <v>27</v>
      </c>
      <c r="H247" s="31">
        <v>97</v>
      </c>
      <c r="I247" s="110">
        <f t="shared" si="15"/>
        <v>0.00404438452763663</v>
      </c>
      <c r="J247" s="111">
        <f t="shared" si="16"/>
        <v>0.985601912212082</v>
      </c>
      <c r="K247" s="111">
        <f t="shared" si="17"/>
        <v>3.98615312415962</v>
      </c>
      <c r="L247" s="111">
        <f t="shared" si="18"/>
        <v>0</v>
      </c>
      <c r="M247" s="112">
        <f t="shared" si="19"/>
        <v>0</v>
      </c>
    </row>
    <row r="248" ht="13.85" spans="1:13">
      <c r="A248" s="52">
        <v>45407</v>
      </c>
      <c r="B248" s="102">
        <v>1876.87</v>
      </c>
      <c r="C248" s="34">
        <v>716206</v>
      </c>
      <c r="D248" s="102">
        <v>2697</v>
      </c>
      <c r="E248" s="31">
        <v>0</v>
      </c>
      <c r="F248" s="31">
        <v>0</v>
      </c>
      <c r="G248" s="31">
        <v>24</v>
      </c>
      <c r="H248" s="31">
        <v>130</v>
      </c>
      <c r="I248" s="110">
        <f t="shared" si="15"/>
        <v>0.00376567635568538</v>
      </c>
      <c r="J248" s="111">
        <f t="shared" si="16"/>
        <v>0.695910270671116</v>
      </c>
      <c r="K248" s="111">
        <f t="shared" si="17"/>
        <v>2.62057285194483</v>
      </c>
      <c r="L248" s="111">
        <f t="shared" si="18"/>
        <v>0</v>
      </c>
      <c r="M248" s="112">
        <f t="shared" si="19"/>
        <v>0</v>
      </c>
    </row>
    <row r="249" ht="13.85" spans="1:13">
      <c r="A249" s="52">
        <v>45408</v>
      </c>
      <c r="B249" s="102">
        <v>7512.76</v>
      </c>
      <c r="C249" s="34">
        <v>722642</v>
      </c>
      <c r="D249" s="102">
        <v>2569</v>
      </c>
      <c r="E249" s="31">
        <v>0</v>
      </c>
      <c r="F249" s="31">
        <v>0</v>
      </c>
      <c r="G249" s="31">
        <v>28</v>
      </c>
      <c r="H249" s="31">
        <v>109</v>
      </c>
      <c r="I249" s="110">
        <f t="shared" si="15"/>
        <v>0.00355501064150714</v>
      </c>
      <c r="J249" s="111">
        <f t="shared" si="16"/>
        <v>2.92439081354613</v>
      </c>
      <c r="K249" s="111">
        <f t="shared" si="17"/>
        <v>10.3962404620822</v>
      </c>
      <c r="L249" s="111">
        <f t="shared" si="18"/>
        <v>0</v>
      </c>
      <c r="M249" s="112">
        <f t="shared" si="19"/>
        <v>0</v>
      </c>
    </row>
    <row r="250" ht="13.85" spans="1:13">
      <c r="A250" s="52">
        <v>45409</v>
      </c>
      <c r="B250" s="102">
        <v>1860.46</v>
      </c>
      <c r="C250" s="34">
        <v>773558</v>
      </c>
      <c r="D250" s="102">
        <v>2920</v>
      </c>
      <c r="E250" s="31">
        <v>0</v>
      </c>
      <c r="F250" s="31">
        <v>0</v>
      </c>
      <c r="G250" s="31">
        <v>38</v>
      </c>
      <c r="H250" s="31">
        <v>160</v>
      </c>
      <c r="I250" s="110">
        <f t="shared" si="15"/>
        <v>0.00377476543452463</v>
      </c>
      <c r="J250" s="111">
        <f t="shared" si="16"/>
        <v>0.637143835616438</v>
      </c>
      <c r="K250" s="111">
        <f t="shared" si="17"/>
        <v>2.40506852750537</v>
      </c>
      <c r="L250" s="111">
        <f t="shared" si="18"/>
        <v>0</v>
      </c>
      <c r="M250" s="112">
        <f t="shared" si="19"/>
        <v>0</v>
      </c>
    </row>
    <row r="251" ht="13.85" spans="1:13">
      <c r="A251" s="52">
        <v>45410</v>
      </c>
      <c r="B251" s="102">
        <v>1829.18</v>
      </c>
      <c r="C251" s="34">
        <v>866559</v>
      </c>
      <c r="D251" s="102">
        <v>3283</v>
      </c>
      <c r="E251" s="31">
        <v>0</v>
      </c>
      <c r="F251" s="31">
        <v>0</v>
      </c>
      <c r="G251" s="31">
        <v>38</v>
      </c>
      <c r="H251" s="31">
        <v>160</v>
      </c>
      <c r="I251" s="110">
        <f t="shared" si="15"/>
        <v>0.00378854757725671</v>
      </c>
      <c r="J251" s="111">
        <f t="shared" si="16"/>
        <v>0.557167225098995</v>
      </c>
      <c r="K251" s="111">
        <f t="shared" si="17"/>
        <v>2.11085454077564</v>
      </c>
      <c r="L251" s="111">
        <f t="shared" si="18"/>
        <v>0</v>
      </c>
      <c r="M251" s="112">
        <f t="shared" si="19"/>
        <v>0</v>
      </c>
    </row>
    <row r="252" ht="13.85" spans="1:13">
      <c r="A252" s="52">
        <v>45411</v>
      </c>
      <c r="B252" s="102">
        <v>1748.83</v>
      </c>
      <c r="C252" s="31">
        <v>785300</v>
      </c>
      <c r="D252" s="31">
        <v>2907</v>
      </c>
      <c r="E252" s="31">
        <v>0</v>
      </c>
      <c r="F252" s="31">
        <v>0</v>
      </c>
      <c r="G252" s="31">
        <v>23</v>
      </c>
      <c r="H252" s="31">
        <v>116</v>
      </c>
      <c r="I252" s="110">
        <f t="shared" si="15"/>
        <v>0.00370177002419458</v>
      </c>
      <c r="J252" s="111">
        <f t="shared" si="16"/>
        <v>0.601592707258342</v>
      </c>
      <c r="K252" s="111">
        <f t="shared" si="17"/>
        <v>2.22695785050299</v>
      </c>
      <c r="L252" s="111">
        <f t="shared" si="18"/>
        <v>0</v>
      </c>
      <c r="M252" s="112">
        <f t="shared" si="19"/>
        <v>0</v>
      </c>
    </row>
    <row r="253" ht="13.85" spans="1:13">
      <c r="A253" s="52">
        <v>45412</v>
      </c>
      <c r="B253" s="102">
        <v>1766.84</v>
      </c>
      <c r="C253" s="97">
        <v>785671</v>
      </c>
      <c r="D253" s="31">
        <v>2898</v>
      </c>
      <c r="E253" s="31">
        <v>1</v>
      </c>
      <c r="F253" s="31">
        <v>23400</v>
      </c>
      <c r="G253" s="31">
        <v>25</v>
      </c>
      <c r="H253" s="31">
        <v>93</v>
      </c>
      <c r="I253" s="110">
        <f t="shared" si="15"/>
        <v>0.00368856684286425</v>
      </c>
      <c r="J253" s="111">
        <f t="shared" si="16"/>
        <v>0.60967563837129</v>
      </c>
      <c r="K253" s="111">
        <f t="shared" si="17"/>
        <v>2.24882934459844</v>
      </c>
      <c r="L253" s="111">
        <f t="shared" si="18"/>
        <v>13.2439836091553</v>
      </c>
      <c r="M253" s="112">
        <f t="shared" si="19"/>
        <v>0.000345065562456867</v>
      </c>
    </row>
    <row r="254" ht="13.85" spans="1:13">
      <c r="A254" s="52">
        <v>45413</v>
      </c>
      <c r="B254" s="102">
        <v>1790.26</v>
      </c>
      <c r="C254" s="97">
        <v>798912</v>
      </c>
      <c r="D254" s="31">
        <v>2813</v>
      </c>
      <c r="E254" s="31">
        <v>0</v>
      </c>
      <c r="F254" s="31">
        <v>0</v>
      </c>
      <c r="G254" s="31">
        <v>56</v>
      </c>
      <c r="H254" s="31">
        <v>143</v>
      </c>
      <c r="I254" s="110">
        <f t="shared" si="15"/>
        <v>0.00352103861251302</v>
      </c>
      <c r="J254" s="111">
        <f t="shared" si="16"/>
        <v>0.636423746889442</v>
      </c>
      <c r="K254" s="111">
        <f t="shared" si="17"/>
        <v>2.24087258671794</v>
      </c>
      <c r="L254" s="111">
        <f t="shared" si="18"/>
        <v>0</v>
      </c>
      <c r="M254" s="112">
        <f t="shared" si="19"/>
        <v>0</v>
      </c>
    </row>
    <row r="255" ht="13.85" spans="1:13">
      <c r="A255" s="52">
        <v>45414</v>
      </c>
      <c r="B255" s="102">
        <v>1794.46</v>
      </c>
      <c r="C255" s="97">
        <v>755098</v>
      </c>
      <c r="D255" s="31">
        <v>2841</v>
      </c>
      <c r="E255" s="31">
        <v>0</v>
      </c>
      <c r="F255" s="31">
        <v>0</v>
      </c>
      <c r="G255" s="31">
        <v>25</v>
      </c>
      <c r="H255" s="31">
        <v>166</v>
      </c>
      <c r="I255" s="110">
        <f t="shared" si="15"/>
        <v>0.0037624255394664</v>
      </c>
      <c r="J255" s="111">
        <f t="shared" si="16"/>
        <v>0.631629707849349</v>
      </c>
      <c r="K255" s="111">
        <f t="shared" si="17"/>
        <v>2.37645974429809</v>
      </c>
      <c r="L255" s="111">
        <f t="shared" si="18"/>
        <v>0</v>
      </c>
      <c r="M255" s="112">
        <f t="shared" si="19"/>
        <v>0</v>
      </c>
    </row>
    <row r="256" ht="13.85" spans="1:13">
      <c r="A256" s="52">
        <v>45415</v>
      </c>
      <c r="B256" s="102">
        <v>1759.21</v>
      </c>
      <c r="C256" s="97">
        <v>794931</v>
      </c>
      <c r="D256" s="31">
        <v>2979</v>
      </c>
      <c r="E256" s="31">
        <v>0</v>
      </c>
      <c r="F256" s="31">
        <v>0</v>
      </c>
      <c r="G256" s="31">
        <v>22</v>
      </c>
      <c r="H256" s="31">
        <v>154</v>
      </c>
      <c r="I256" s="110">
        <f t="shared" si="15"/>
        <v>0.00374749506560947</v>
      </c>
      <c r="J256" s="111">
        <f t="shared" si="16"/>
        <v>0.590537092984223</v>
      </c>
      <c r="K256" s="111">
        <f t="shared" si="17"/>
        <v>2.21303484201773</v>
      </c>
      <c r="L256" s="111">
        <f t="shared" si="18"/>
        <v>0</v>
      </c>
      <c r="M256" s="112">
        <f t="shared" si="19"/>
        <v>0</v>
      </c>
    </row>
    <row r="257" ht="13.85" spans="1:13">
      <c r="A257" s="52">
        <v>45416</v>
      </c>
      <c r="B257" s="102">
        <v>1799.28</v>
      </c>
      <c r="C257" s="97">
        <v>1097993</v>
      </c>
      <c r="D257" s="31">
        <v>3820</v>
      </c>
      <c r="E257" s="31">
        <v>0</v>
      </c>
      <c r="F257" s="31">
        <v>0</v>
      </c>
      <c r="G257" s="31">
        <v>30</v>
      </c>
      <c r="H257" s="31">
        <v>174</v>
      </c>
      <c r="I257" s="110">
        <f t="shared" si="15"/>
        <v>0.0034790750032104</v>
      </c>
      <c r="J257" s="111">
        <f t="shared" si="16"/>
        <v>0.471015706806283</v>
      </c>
      <c r="K257" s="111">
        <f t="shared" si="17"/>
        <v>1.63869897166922</v>
      </c>
      <c r="L257" s="111">
        <f t="shared" si="18"/>
        <v>0</v>
      </c>
      <c r="M257" s="112">
        <f t="shared" si="19"/>
        <v>0</v>
      </c>
    </row>
    <row r="258" ht="13.85" spans="1:13">
      <c r="A258" s="52">
        <v>45417</v>
      </c>
      <c r="B258" s="102">
        <v>1757.58</v>
      </c>
      <c r="C258" s="97">
        <v>936051</v>
      </c>
      <c r="D258" s="31">
        <v>3163</v>
      </c>
      <c r="E258" s="31">
        <v>0</v>
      </c>
      <c r="F258" s="31">
        <v>0</v>
      </c>
      <c r="G258" s="31">
        <v>42</v>
      </c>
      <c r="H258" s="31">
        <v>194</v>
      </c>
      <c r="I258" s="110">
        <f t="shared" ref="I258:I290" si="20">D258/C258</f>
        <v>0.00337908938722356</v>
      </c>
      <c r="J258" s="111">
        <f t="shared" ref="J258:J290" si="21">B258/D258</f>
        <v>0.555668668985141</v>
      </c>
      <c r="K258" s="111">
        <f t="shared" ref="K258:K290" si="22">B258/C258*1000</f>
        <v>1.87765410218033</v>
      </c>
      <c r="L258" s="111">
        <f t="shared" ref="L258:L290" si="23">F258/B258</f>
        <v>0</v>
      </c>
      <c r="M258" s="112">
        <f t="shared" ref="M258:M290" si="24">E258/D258</f>
        <v>0</v>
      </c>
    </row>
    <row r="259" ht="13.85" spans="1:13">
      <c r="A259" s="52">
        <v>45418</v>
      </c>
      <c r="B259" s="102">
        <v>1774.75</v>
      </c>
      <c r="C259" s="97">
        <v>956113</v>
      </c>
      <c r="D259" s="31">
        <v>3479</v>
      </c>
      <c r="E259" s="31">
        <v>0</v>
      </c>
      <c r="F259" s="31">
        <v>0</v>
      </c>
      <c r="G259" s="31">
        <v>40</v>
      </c>
      <c r="H259" s="31">
        <v>144</v>
      </c>
      <c r="I259" s="110">
        <f t="shared" si="20"/>
        <v>0.00363869124256233</v>
      </c>
      <c r="J259" s="111">
        <f t="shared" si="21"/>
        <v>0.510132221902846</v>
      </c>
      <c r="K259" s="111">
        <f t="shared" si="22"/>
        <v>1.85621364838675</v>
      </c>
      <c r="L259" s="111">
        <f t="shared" si="23"/>
        <v>0</v>
      </c>
      <c r="M259" s="112">
        <f t="shared" si="24"/>
        <v>0</v>
      </c>
    </row>
    <row r="260" ht="13.85" spans="1:13">
      <c r="A260" s="52">
        <v>45419</v>
      </c>
      <c r="B260" s="102">
        <v>1766.89</v>
      </c>
      <c r="C260" s="97">
        <v>725852</v>
      </c>
      <c r="D260" s="31">
        <v>2943</v>
      </c>
      <c r="E260" s="31">
        <v>0</v>
      </c>
      <c r="F260" s="31">
        <v>0</v>
      </c>
      <c r="G260" s="31">
        <v>35</v>
      </c>
      <c r="H260" s="31">
        <v>157</v>
      </c>
      <c r="I260" s="110">
        <f t="shared" si="20"/>
        <v>0.00405454555474119</v>
      </c>
      <c r="J260" s="111">
        <f t="shared" si="21"/>
        <v>0.60037037037037</v>
      </c>
      <c r="K260" s="111">
        <f t="shared" si="22"/>
        <v>2.43422901638351</v>
      </c>
      <c r="L260" s="111">
        <f t="shared" si="23"/>
        <v>0</v>
      </c>
      <c r="M260" s="112">
        <f t="shared" si="24"/>
        <v>0</v>
      </c>
    </row>
    <row r="261" ht="13.85" spans="1:13">
      <c r="A261" s="52">
        <v>45420</v>
      </c>
      <c r="B261" s="102">
        <v>2245.48</v>
      </c>
      <c r="C261" s="97">
        <v>814970</v>
      </c>
      <c r="D261" s="31">
        <v>2815</v>
      </c>
      <c r="E261" s="31">
        <v>3</v>
      </c>
      <c r="F261" s="31">
        <v>38028</v>
      </c>
      <c r="G261" s="31">
        <v>21</v>
      </c>
      <c r="H261" s="31">
        <v>150</v>
      </c>
      <c r="I261" s="110">
        <f t="shared" si="20"/>
        <v>0.00345411487539419</v>
      </c>
      <c r="J261" s="111">
        <f t="shared" si="21"/>
        <v>0.797683836589698</v>
      </c>
      <c r="K261" s="111">
        <f t="shared" si="22"/>
        <v>2.75529160582598</v>
      </c>
      <c r="L261" s="111">
        <f t="shared" si="23"/>
        <v>16.9353545789764</v>
      </c>
      <c r="M261" s="112">
        <f t="shared" si="24"/>
        <v>0.00106571936056838</v>
      </c>
    </row>
    <row r="262" ht="13.85" spans="1:13">
      <c r="A262" s="52">
        <v>45421</v>
      </c>
      <c r="B262" s="115">
        <v>2490.21</v>
      </c>
      <c r="C262" s="115">
        <v>1079620</v>
      </c>
      <c r="D262" s="115">
        <v>23860</v>
      </c>
      <c r="E262" s="115">
        <v>1</v>
      </c>
      <c r="F262" s="115">
        <v>8294</v>
      </c>
      <c r="G262" s="115">
        <v>25</v>
      </c>
      <c r="H262" s="115">
        <v>147</v>
      </c>
      <c r="I262" s="110">
        <f t="shared" si="20"/>
        <v>0.0221003686482281</v>
      </c>
      <c r="J262" s="111">
        <f t="shared" si="21"/>
        <v>0.104367560771165</v>
      </c>
      <c r="K262" s="111">
        <f t="shared" si="22"/>
        <v>2.3065615679591</v>
      </c>
      <c r="L262" s="111">
        <f t="shared" si="23"/>
        <v>3.33064279719381</v>
      </c>
      <c r="M262" s="112">
        <f t="shared" si="24"/>
        <v>4.19111483654652e-5</v>
      </c>
    </row>
    <row r="263" ht="13.85" spans="1:13">
      <c r="A263" s="52">
        <v>45422</v>
      </c>
      <c r="B263" s="102">
        <v>2537.81</v>
      </c>
      <c r="C263" s="97">
        <v>882748</v>
      </c>
      <c r="D263" s="31">
        <v>15944</v>
      </c>
      <c r="E263" s="31">
        <v>0</v>
      </c>
      <c r="F263" s="31">
        <v>0</v>
      </c>
      <c r="G263" s="31">
        <v>22</v>
      </c>
      <c r="H263" s="31">
        <v>157</v>
      </c>
      <c r="I263" s="110">
        <f t="shared" si="20"/>
        <v>0.0180617798057883</v>
      </c>
      <c r="J263" s="111">
        <f t="shared" si="21"/>
        <v>0.159170220772704</v>
      </c>
      <c r="K263" s="111">
        <f t="shared" si="22"/>
        <v>2.8748974792353</v>
      </c>
      <c r="L263" s="111">
        <f t="shared" si="23"/>
        <v>0</v>
      </c>
      <c r="M263" s="112">
        <f t="shared" si="24"/>
        <v>0</v>
      </c>
    </row>
    <row r="264" ht="13.85" spans="1:13">
      <c r="A264" s="52">
        <v>45423</v>
      </c>
      <c r="B264" s="102">
        <v>2019.63</v>
      </c>
      <c r="C264" s="97">
        <v>997937</v>
      </c>
      <c r="D264" s="31">
        <v>3470</v>
      </c>
      <c r="E264" s="31">
        <v>2</v>
      </c>
      <c r="F264" s="31">
        <v>28185</v>
      </c>
      <c r="G264" s="31">
        <v>32</v>
      </c>
      <c r="H264" s="31">
        <v>156</v>
      </c>
      <c r="I264" s="110">
        <f t="shared" si="20"/>
        <v>0.00347717340874224</v>
      </c>
      <c r="J264" s="111">
        <f t="shared" si="21"/>
        <v>0.582025936599424</v>
      </c>
      <c r="K264" s="111">
        <f t="shared" si="22"/>
        <v>2.02380510994181</v>
      </c>
      <c r="L264" s="111">
        <f t="shared" si="23"/>
        <v>13.9555265073305</v>
      </c>
      <c r="M264" s="112">
        <f t="shared" si="24"/>
        <v>0.000576368876080692</v>
      </c>
    </row>
    <row r="265" ht="13.85" spans="1:13">
      <c r="A265" s="52">
        <v>45424</v>
      </c>
      <c r="B265" s="102">
        <v>1985.57</v>
      </c>
      <c r="C265" s="97">
        <v>978296</v>
      </c>
      <c r="D265" s="31">
        <v>3518</v>
      </c>
      <c r="E265" s="31">
        <v>0</v>
      </c>
      <c r="F265" s="31">
        <v>0</v>
      </c>
      <c r="G265" s="31">
        <v>23</v>
      </c>
      <c r="H265" s="31">
        <v>169</v>
      </c>
      <c r="I265" s="110">
        <f t="shared" si="20"/>
        <v>0.00359604863967552</v>
      </c>
      <c r="J265" s="111">
        <f t="shared" si="21"/>
        <v>0.564403069926094</v>
      </c>
      <c r="K265" s="111">
        <f t="shared" si="22"/>
        <v>2.02962089183642</v>
      </c>
      <c r="L265" s="111">
        <f t="shared" si="23"/>
        <v>0</v>
      </c>
      <c r="M265" s="112">
        <f t="shared" si="24"/>
        <v>0</v>
      </c>
    </row>
    <row r="266" ht="13.85" spans="1:13">
      <c r="A266" s="52">
        <v>45425</v>
      </c>
      <c r="B266" s="102">
        <v>2456.83</v>
      </c>
      <c r="C266" s="31">
        <v>1184553</v>
      </c>
      <c r="D266" s="31">
        <v>17491</v>
      </c>
      <c r="E266" s="31">
        <v>1</v>
      </c>
      <c r="F266" s="31">
        <v>23994</v>
      </c>
      <c r="G266" s="31">
        <v>29</v>
      </c>
      <c r="H266" s="31">
        <v>145</v>
      </c>
      <c r="I266" s="110">
        <f t="shared" si="20"/>
        <v>0.0147659074773353</v>
      </c>
      <c r="J266" s="111">
        <f t="shared" si="21"/>
        <v>0.140462523583557</v>
      </c>
      <c r="K266" s="111">
        <f t="shared" si="22"/>
        <v>2.07405662726784</v>
      </c>
      <c r="L266" s="111">
        <f t="shared" si="23"/>
        <v>9.76624349263075</v>
      </c>
      <c r="M266" s="112">
        <f t="shared" si="24"/>
        <v>5.71722600194386e-5</v>
      </c>
    </row>
    <row r="267" ht="13.85" spans="1:13">
      <c r="A267" s="52">
        <v>45426</v>
      </c>
      <c r="B267" s="102">
        <v>2459.71</v>
      </c>
      <c r="C267" s="31">
        <v>1119097</v>
      </c>
      <c r="D267" s="31">
        <v>12449</v>
      </c>
      <c r="E267" s="31">
        <v>0</v>
      </c>
      <c r="F267" s="31">
        <v>0</v>
      </c>
      <c r="G267" s="31">
        <v>37</v>
      </c>
      <c r="H267" s="31">
        <v>162</v>
      </c>
      <c r="I267" s="110">
        <f t="shared" si="20"/>
        <v>0.0111241474152821</v>
      </c>
      <c r="J267" s="111">
        <f t="shared" si="21"/>
        <v>0.197582938388626</v>
      </c>
      <c r="K267" s="111">
        <f t="shared" si="22"/>
        <v>2.19794173337968</v>
      </c>
      <c r="L267" s="111">
        <f t="shared" si="23"/>
        <v>0</v>
      </c>
      <c r="M267" s="112">
        <f t="shared" si="24"/>
        <v>0</v>
      </c>
    </row>
    <row r="268" ht="13.85" spans="1:13">
      <c r="A268" s="52">
        <v>45427</v>
      </c>
      <c r="B268" s="102">
        <v>2032.34</v>
      </c>
      <c r="C268" s="31">
        <v>1098766</v>
      </c>
      <c r="D268" s="31">
        <v>3515</v>
      </c>
      <c r="E268" s="31">
        <v>0</v>
      </c>
      <c r="F268" s="31">
        <v>0</v>
      </c>
      <c r="G268" s="31">
        <v>30</v>
      </c>
      <c r="H268" s="31">
        <v>177</v>
      </c>
      <c r="I268" s="110">
        <f t="shared" si="20"/>
        <v>0.00319904329038212</v>
      </c>
      <c r="J268" s="111">
        <f t="shared" si="21"/>
        <v>0.578190611664296</v>
      </c>
      <c r="K268" s="111">
        <f t="shared" si="22"/>
        <v>1.8496567968066</v>
      </c>
      <c r="L268" s="111">
        <f t="shared" si="23"/>
        <v>0</v>
      </c>
      <c r="M268" s="112">
        <f t="shared" si="24"/>
        <v>0</v>
      </c>
    </row>
    <row r="269" ht="13.85" spans="1:13">
      <c r="A269" s="52">
        <v>45428</v>
      </c>
      <c r="B269" s="102">
        <v>2194.92</v>
      </c>
      <c r="C269" s="31">
        <v>1018359</v>
      </c>
      <c r="D269" s="31">
        <v>3727</v>
      </c>
      <c r="E269" s="31">
        <v>2</v>
      </c>
      <c r="F269" s="31">
        <v>42600</v>
      </c>
      <c r="G269" s="31">
        <v>38</v>
      </c>
      <c r="H269" s="31">
        <v>146</v>
      </c>
      <c r="I269" s="110">
        <f t="shared" si="20"/>
        <v>0.00365980955635488</v>
      </c>
      <c r="J269" s="111">
        <f t="shared" si="21"/>
        <v>0.588924067614704</v>
      </c>
      <c r="K269" s="111">
        <f t="shared" si="22"/>
        <v>2.15534993062368</v>
      </c>
      <c r="L269" s="111">
        <f t="shared" si="23"/>
        <v>19.4084522442731</v>
      </c>
      <c r="M269" s="112">
        <f t="shared" si="24"/>
        <v>0.000536624631070566</v>
      </c>
    </row>
    <row r="270" ht="13.85" spans="1:13">
      <c r="A270" s="52">
        <v>45429</v>
      </c>
      <c r="B270" s="102">
        <v>1797.89</v>
      </c>
      <c r="C270" s="102">
        <v>780928</v>
      </c>
      <c r="D270" s="102">
        <v>3289</v>
      </c>
      <c r="E270" s="102">
        <v>1</v>
      </c>
      <c r="F270" s="102">
        <v>11997</v>
      </c>
      <c r="G270" s="102">
        <v>22</v>
      </c>
      <c r="H270" s="102">
        <v>129</v>
      </c>
      <c r="I270" s="110">
        <f t="shared" si="20"/>
        <v>0.00421165587608589</v>
      </c>
      <c r="J270" s="111">
        <f t="shared" si="21"/>
        <v>0.546637275767711</v>
      </c>
      <c r="K270" s="111">
        <f t="shared" si="22"/>
        <v>2.30224809457466</v>
      </c>
      <c r="L270" s="111">
        <f t="shared" si="23"/>
        <v>6.67282203026882</v>
      </c>
      <c r="M270" s="112">
        <f t="shared" si="24"/>
        <v>0.000304043782304652</v>
      </c>
    </row>
    <row r="271" ht="13.85" spans="1:13">
      <c r="A271" s="52">
        <v>45430</v>
      </c>
      <c r="B271" s="102">
        <v>1815.99</v>
      </c>
      <c r="C271" s="102">
        <v>693993</v>
      </c>
      <c r="D271" s="102">
        <v>2892</v>
      </c>
      <c r="E271" s="102">
        <v>1</v>
      </c>
      <c r="F271" s="102">
        <v>28388</v>
      </c>
      <c r="G271" s="102">
        <v>15</v>
      </c>
      <c r="H271" s="102">
        <v>172</v>
      </c>
      <c r="I271" s="110">
        <f t="shared" si="20"/>
        <v>0.00416718900622917</v>
      </c>
      <c r="J271" s="111">
        <f t="shared" si="21"/>
        <v>0.627935684647303</v>
      </c>
      <c r="K271" s="111">
        <f t="shared" si="22"/>
        <v>2.61672668168123</v>
      </c>
      <c r="L271" s="111">
        <f t="shared" si="23"/>
        <v>15.6322446709508</v>
      </c>
      <c r="M271" s="112">
        <f t="shared" si="24"/>
        <v>0.000345781466113416</v>
      </c>
    </row>
    <row r="272" ht="13.85" spans="1:13">
      <c r="A272" s="52">
        <v>45431</v>
      </c>
      <c r="B272" s="102">
        <v>1756</v>
      </c>
      <c r="C272" s="102">
        <v>621607</v>
      </c>
      <c r="D272" s="102">
        <v>2573</v>
      </c>
      <c r="E272" s="102">
        <v>0</v>
      </c>
      <c r="F272" s="102">
        <v>0</v>
      </c>
      <c r="G272" s="102">
        <v>34</v>
      </c>
      <c r="H272" s="102">
        <v>111</v>
      </c>
      <c r="I272" s="110">
        <f t="shared" si="20"/>
        <v>0.00413927127590262</v>
      </c>
      <c r="J272" s="111">
        <f t="shared" si="21"/>
        <v>0.682471822774971</v>
      </c>
      <c r="K272" s="111">
        <f t="shared" si="22"/>
        <v>2.82493601262534</v>
      </c>
      <c r="L272" s="111">
        <f t="shared" si="23"/>
        <v>0</v>
      </c>
      <c r="M272" s="112">
        <f t="shared" si="24"/>
        <v>0</v>
      </c>
    </row>
    <row r="273" ht="13.85" spans="1:13">
      <c r="A273" s="52">
        <v>45432</v>
      </c>
      <c r="B273" s="102">
        <v>1784.12</v>
      </c>
      <c r="C273" s="102">
        <v>618670</v>
      </c>
      <c r="D273" s="102">
        <v>2281</v>
      </c>
      <c r="E273" s="102">
        <v>0</v>
      </c>
      <c r="F273" s="102">
        <v>0</v>
      </c>
      <c r="G273" s="102">
        <v>27</v>
      </c>
      <c r="H273" s="102">
        <v>102</v>
      </c>
      <c r="I273" s="110">
        <f t="shared" si="20"/>
        <v>0.00368694134191087</v>
      </c>
      <c r="J273" s="111">
        <f t="shared" si="21"/>
        <v>0.782165716790881</v>
      </c>
      <c r="K273" s="111">
        <f t="shared" si="22"/>
        <v>2.88379911746165</v>
      </c>
      <c r="L273" s="111">
        <f t="shared" si="23"/>
        <v>0</v>
      </c>
      <c r="M273" s="112">
        <f t="shared" si="24"/>
        <v>0</v>
      </c>
    </row>
    <row r="274" ht="13.85" spans="1:13">
      <c r="A274" s="52">
        <v>45433</v>
      </c>
      <c r="B274" s="102">
        <v>2209.72</v>
      </c>
      <c r="C274" s="102">
        <v>692294</v>
      </c>
      <c r="D274" s="102">
        <v>3048</v>
      </c>
      <c r="E274" s="102">
        <v>15</v>
      </c>
      <c r="F274" s="102">
        <v>164082</v>
      </c>
      <c r="G274" s="102">
        <v>50</v>
      </c>
      <c r="H274" s="102">
        <v>130</v>
      </c>
      <c r="I274" s="110">
        <f t="shared" si="20"/>
        <v>0.00440275374335181</v>
      </c>
      <c r="J274" s="111">
        <f t="shared" si="21"/>
        <v>0.72497375328084</v>
      </c>
      <c r="K274" s="111">
        <f t="shared" si="22"/>
        <v>3.19188090608903</v>
      </c>
      <c r="L274" s="111">
        <f t="shared" si="23"/>
        <v>74.2546566985863</v>
      </c>
      <c r="M274" s="112">
        <f t="shared" si="24"/>
        <v>0.00492125984251968</v>
      </c>
    </row>
    <row r="275" ht="13.85" spans="1:13">
      <c r="A275" s="52">
        <v>45434</v>
      </c>
      <c r="B275" s="102">
        <v>2288.24</v>
      </c>
      <c r="C275" s="102">
        <v>792853</v>
      </c>
      <c r="D275" s="102">
        <v>3675</v>
      </c>
      <c r="E275" s="102">
        <v>2</v>
      </c>
      <c r="F275" s="102">
        <v>23994</v>
      </c>
      <c r="G275" s="102">
        <v>52</v>
      </c>
      <c r="H275" s="102">
        <v>126</v>
      </c>
      <c r="I275" s="110">
        <f t="shared" si="20"/>
        <v>0.00463515935488672</v>
      </c>
      <c r="J275" s="111">
        <f t="shared" si="21"/>
        <v>0.622650340136054</v>
      </c>
      <c r="K275" s="111">
        <f t="shared" si="22"/>
        <v>2.88608354890503</v>
      </c>
      <c r="L275" s="111">
        <f t="shared" si="23"/>
        <v>10.4857882040345</v>
      </c>
      <c r="M275" s="112">
        <f t="shared" si="24"/>
        <v>0.00054421768707483</v>
      </c>
    </row>
    <row r="276" ht="13.85" spans="1:13">
      <c r="A276" s="52">
        <v>45435</v>
      </c>
      <c r="B276" s="102">
        <v>2308.28</v>
      </c>
      <c r="C276" s="102">
        <v>742847</v>
      </c>
      <c r="D276" s="102">
        <v>3528</v>
      </c>
      <c r="E276" s="102">
        <v>4</v>
      </c>
      <c r="F276" s="102">
        <v>47356</v>
      </c>
      <c r="G276" s="102">
        <v>48</v>
      </c>
      <c r="H276" s="102">
        <v>151</v>
      </c>
      <c r="I276" s="110">
        <f t="shared" si="20"/>
        <v>0.00474929561538244</v>
      </c>
      <c r="J276" s="111">
        <f t="shared" si="21"/>
        <v>0.654274376417234</v>
      </c>
      <c r="K276" s="111">
        <f t="shared" si="22"/>
        <v>3.10734242717545</v>
      </c>
      <c r="L276" s="111">
        <f t="shared" si="23"/>
        <v>20.515708666193</v>
      </c>
      <c r="M276" s="112">
        <f t="shared" si="24"/>
        <v>0.00113378684807256</v>
      </c>
    </row>
    <row r="277" ht="13.85" spans="1:13">
      <c r="A277" s="52">
        <v>45436</v>
      </c>
      <c r="B277" s="102">
        <v>1985.27</v>
      </c>
      <c r="C277" s="102">
        <v>361186</v>
      </c>
      <c r="D277" s="102">
        <v>2052</v>
      </c>
      <c r="E277" s="102">
        <v>0</v>
      </c>
      <c r="F277" s="102">
        <v>0</v>
      </c>
      <c r="G277" s="102">
        <v>32</v>
      </c>
      <c r="H277" s="102">
        <v>159</v>
      </c>
      <c r="I277" s="110">
        <f t="shared" si="20"/>
        <v>0.00568128332770373</v>
      </c>
      <c r="J277" s="111">
        <f t="shared" si="21"/>
        <v>0.967480506822612</v>
      </c>
      <c r="K277" s="111">
        <f t="shared" si="22"/>
        <v>5.49653087328966</v>
      </c>
      <c r="L277" s="111">
        <f t="shared" si="23"/>
        <v>0</v>
      </c>
      <c r="M277" s="112">
        <f t="shared" si="24"/>
        <v>0</v>
      </c>
    </row>
    <row r="278" ht="13.85" spans="1:13">
      <c r="A278" s="52">
        <v>45437</v>
      </c>
      <c r="B278" s="102">
        <v>2180.56</v>
      </c>
      <c r="C278" s="102">
        <v>634624</v>
      </c>
      <c r="D278" s="102">
        <v>2787</v>
      </c>
      <c r="E278" s="102">
        <v>0</v>
      </c>
      <c r="F278" s="102">
        <v>0</v>
      </c>
      <c r="G278" s="102">
        <v>27</v>
      </c>
      <c r="H278" s="102">
        <v>264</v>
      </c>
      <c r="I278" s="110">
        <f t="shared" si="20"/>
        <v>0.0043915767446551</v>
      </c>
      <c r="J278" s="111">
        <f t="shared" si="21"/>
        <v>0.782404018658055</v>
      </c>
      <c r="K278" s="111">
        <f t="shared" si="22"/>
        <v>3.43598729326341</v>
      </c>
      <c r="L278" s="111">
        <f t="shared" si="23"/>
        <v>0</v>
      </c>
      <c r="M278" s="112">
        <f t="shared" si="24"/>
        <v>0</v>
      </c>
    </row>
    <row r="279" ht="13.85" spans="1:13">
      <c r="A279" s="52">
        <v>45438</v>
      </c>
      <c r="B279" s="102">
        <v>2059</v>
      </c>
      <c r="C279" s="102">
        <v>695579</v>
      </c>
      <c r="D279" s="102">
        <v>2528</v>
      </c>
      <c r="E279" s="102">
        <v>1</v>
      </c>
      <c r="F279" s="102">
        <v>6402</v>
      </c>
      <c r="G279" s="102">
        <v>15</v>
      </c>
      <c r="H279" s="102">
        <v>237</v>
      </c>
      <c r="I279" s="110">
        <f t="shared" si="20"/>
        <v>0.0036343822915873</v>
      </c>
      <c r="J279" s="111">
        <f t="shared" si="21"/>
        <v>0.814477848101266</v>
      </c>
      <c r="K279" s="111">
        <f t="shared" si="22"/>
        <v>2.96012386802937</v>
      </c>
      <c r="L279" s="111">
        <f t="shared" si="23"/>
        <v>3.10927634774162</v>
      </c>
      <c r="M279" s="112">
        <f t="shared" si="24"/>
        <v>0.000395569620253165</v>
      </c>
    </row>
    <row r="280" ht="13.85" spans="1:13">
      <c r="A280" s="52">
        <v>45439</v>
      </c>
      <c r="B280" s="102">
        <v>2649.44</v>
      </c>
      <c r="C280" s="102">
        <v>573269</v>
      </c>
      <c r="D280" s="102">
        <v>2411</v>
      </c>
      <c r="E280" s="102">
        <v>1</v>
      </c>
      <c r="F280" s="102">
        <v>6798</v>
      </c>
      <c r="G280" s="102">
        <v>20</v>
      </c>
      <c r="H280" s="102">
        <v>145</v>
      </c>
      <c r="I280" s="110">
        <f t="shared" si="20"/>
        <v>0.00420570447730472</v>
      </c>
      <c r="J280" s="111">
        <f t="shared" si="21"/>
        <v>1.09889672335131</v>
      </c>
      <c r="K280" s="111">
        <f t="shared" si="22"/>
        <v>4.62163486949408</v>
      </c>
      <c r="L280" s="111">
        <f t="shared" si="23"/>
        <v>2.56582523099221</v>
      </c>
      <c r="M280" s="112">
        <f t="shared" si="24"/>
        <v>0.000414765657403567</v>
      </c>
    </row>
    <row r="281" ht="13.85" spans="1:13">
      <c r="A281" s="52">
        <v>45440</v>
      </c>
      <c r="B281" s="102">
        <v>2960.44</v>
      </c>
      <c r="C281" s="102">
        <v>623698</v>
      </c>
      <c r="D281" s="102">
        <v>2408</v>
      </c>
      <c r="E281" s="102">
        <v>0</v>
      </c>
      <c r="F281" s="102">
        <v>0</v>
      </c>
      <c r="G281" s="102">
        <v>24</v>
      </c>
      <c r="H281" s="102">
        <v>164</v>
      </c>
      <c r="I281" s="110">
        <f t="shared" si="20"/>
        <v>0.00386084290794583</v>
      </c>
      <c r="J281" s="111">
        <f t="shared" si="21"/>
        <v>1.22941860465116</v>
      </c>
      <c r="K281" s="111">
        <f t="shared" si="22"/>
        <v>4.7465921006641</v>
      </c>
      <c r="L281" s="111">
        <f t="shared" si="23"/>
        <v>0</v>
      </c>
      <c r="M281" s="112">
        <f t="shared" si="24"/>
        <v>0</v>
      </c>
    </row>
    <row r="282" ht="13.85" spans="1:13">
      <c r="A282" s="52">
        <v>45441</v>
      </c>
      <c r="B282" s="102">
        <v>5013.03</v>
      </c>
      <c r="C282" s="31">
        <v>648533</v>
      </c>
      <c r="D282" s="31">
        <v>4165</v>
      </c>
      <c r="E282" s="31">
        <v>1</v>
      </c>
      <c r="F282" s="31">
        <v>6798</v>
      </c>
      <c r="G282" s="31">
        <v>56</v>
      </c>
      <c r="H282" s="31">
        <v>151</v>
      </c>
      <c r="I282" s="110">
        <f t="shared" si="20"/>
        <v>0.0064221866890351</v>
      </c>
      <c r="J282" s="111">
        <f t="shared" si="21"/>
        <v>1.20360864345738</v>
      </c>
      <c r="K282" s="111">
        <f t="shared" si="22"/>
        <v>7.7297994088196</v>
      </c>
      <c r="L282" s="111">
        <f t="shared" si="23"/>
        <v>1.35606609176486</v>
      </c>
      <c r="M282" s="112">
        <f t="shared" si="24"/>
        <v>0.000240096038415366</v>
      </c>
    </row>
    <row r="283" ht="13.85" spans="1:13">
      <c r="A283" s="52">
        <v>45442</v>
      </c>
      <c r="B283" s="102">
        <v>3005.08</v>
      </c>
      <c r="C283" s="31">
        <v>553577</v>
      </c>
      <c r="D283" s="31">
        <v>2555</v>
      </c>
      <c r="E283" s="31">
        <v>3</v>
      </c>
      <c r="F283" s="31">
        <v>33792</v>
      </c>
      <c r="G283" s="31">
        <v>39</v>
      </c>
      <c r="H283" s="31">
        <v>186</v>
      </c>
      <c r="I283" s="110">
        <f t="shared" si="20"/>
        <v>0.0046154374188234</v>
      </c>
      <c r="J283" s="111">
        <f t="shared" si="21"/>
        <v>1.17615655577299</v>
      </c>
      <c r="K283" s="111">
        <f t="shared" si="22"/>
        <v>5.42847697790913</v>
      </c>
      <c r="L283" s="111">
        <f t="shared" si="23"/>
        <v>11.2449585368776</v>
      </c>
      <c r="M283" s="112">
        <f t="shared" si="24"/>
        <v>0.00117416829745597</v>
      </c>
    </row>
    <row r="284" ht="13.85" spans="1:13">
      <c r="A284" s="52">
        <v>45443</v>
      </c>
      <c r="B284" s="31">
        <v>5915.58</v>
      </c>
      <c r="C284" s="31">
        <v>596441</v>
      </c>
      <c r="D284" s="31">
        <v>6372</v>
      </c>
      <c r="E284" s="31">
        <v>8</v>
      </c>
      <c r="F284" s="31">
        <v>116432</v>
      </c>
      <c r="G284" s="31">
        <v>50</v>
      </c>
      <c r="H284" s="31">
        <v>171</v>
      </c>
      <c r="I284" s="110">
        <f t="shared" si="20"/>
        <v>0.0106833701908487</v>
      </c>
      <c r="J284" s="111">
        <f t="shared" si="21"/>
        <v>0.928370998116761</v>
      </c>
      <c r="K284" s="111">
        <f t="shared" si="22"/>
        <v>9.91813104732907</v>
      </c>
      <c r="L284" s="111">
        <f t="shared" si="23"/>
        <v>19.6822627705145</v>
      </c>
      <c r="M284" s="112">
        <f t="shared" si="24"/>
        <v>0.00125549278091651</v>
      </c>
    </row>
    <row r="285" ht="13.85" spans="1:13">
      <c r="A285" s="52">
        <v>45444</v>
      </c>
      <c r="B285" s="31">
        <v>3746.32</v>
      </c>
      <c r="C285" s="31">
        <v>861714</v>
      </c>
      <c r="D285" s="31">
        <v>3261</v>
      </c>
      <c r="E285" s="31">
        <v>0</v>
      </c>
      <c r="F285" s="31">
        <v>0</v>
      </c>
      <c r="G285" s="31">
        <v>34</v>
      </c>
      <c r="H285" s="31">
        <v>298</v>
      </c>
      <c r="I285" s="110">
        <f t="shared" si="20"/>
        <v>0.00378431823087475</v>
      </c>
      <c r="J285" s="111">
        <f t="shared" si="21"/>
        <v>1.14882551364612</v>
      </c>
      <c r="K285" s="111">
        <f t="shared" si="22"/>
        <v>4.34752133538506</v>
      </c>
      <c r="L285" s="111">
        <f t="shared" si="23"/>
        <v>0</v>
      </c>
      <c r="M285" s="112">
        <f t="shared" si="24"/>
        <v>0</v>
      </c>
    </row>
    <row r="286" ht="13.85" spans="1:13">
      <c r="A286" s="52">
        <v>45445</v>
      </c>
      <c r="B286" s="31">
        <v>3845.58</v>
      </c>
      <c r="C286" s="31">
        <v>713347</v>
      </c>
      <c r="D286" s="31">
        <v>3284</v>
      </c>
      <c r="E286" s="31">
        <v>0</v>
      </c>
      <c r="F286" s="31">
        <v>0</v>
      </c>
      <c r="G286" s="31">
        <v>34</v>
      </c>
      <c r="H286" s="31">
        <v>269</v>
      </c>
      <c r="I286" s="110">
        <f t="shared" si="20"/>
        <v>0.00460365011698374</v>
      </c>
      <c r="J286" s="111">
        <f t="shared" si="21"/>
        <v>1.17100487210719</v>
      </c>
      <c r="K286" s="111">
        <f t="shared" si="22"/>
        <v>5.39089671646478</v>
      </c>
      <c r="L286" s="111">
        <f t="shared" si="23"/>
        <v>0</v>
      </c>
      <c r="M286" s="112">
        <f t="shared" si="24"/>
        <v>0</v>
      </c>
    </row>
    <row r="287" ht="13.85" spans="1:13">
      <c r="A287" s="52">
        <v>45446</v>
      </c>
      <c r="B287" s="31">
        <v>4759.84</v>
      </c>
      <c r="C287" s="31">
        <v>824820</v>
      </c>
      <c r="D287" s="31">
        <v>5341</v>
      </c>
      <c r="E287" s="31">
        <v>8</v>
      </c>
      <c r="F287" s="31">
        <v>114376</v>
      </c>
      <c r="G287" s="31">
        <v>51</v>
      </c>
      <c r="H287" s="31">
        <v>144</v>
      </c>
      <c r="I287" s="110">
        <f t="shared" si="20"/>
        <v>0.00647535219805533</v>
      </c>
      <c r="J287" s="111">
        <f t="shared" si="21"/>
        <v>0.891188915933346</v>
      </c>
      <c r="K287" s="111">
        <f t="shared" si="22"/>
        <v>5.77076210567154</v>
      </c>
      <c r="L287" s="111">
        <f t="shared" si="23"/>
        <v>24.0293791387946</v>
      </c>
      <c r="M287" s="112">
        <f t="shared" si="24"/>
        <v>0.00149784684516008</v>
      </c>
    </row>
    <row r="288" ht="13.85" spans="1:13">
      <c r="A288" s="52">
        <v>45447</v>
      </c>
      <c r="B288" s="102">
        <v>3771.49</v>
      </c>
      <c r="C288" s="31">
        <v>863924</v>
      </c>
      <c r="D288" s="31">
        <v>3706</v>
      </c>
      <c r="E288" s="31">
        <v>3</v>
      </c>
      <c r="F288" s="31">
        <v>21992</v>
      </c>
      <c r="G288" s="31">
        <v>42</v>
      </c>
      <c r="H288" s="31">
        <v>140</v>
      </c>
      <c r="I288" s="110">
        <f t="shared" si="20"/>
        <v>0.00428972918914164</v>
      </c>
      <c r="J288" s="111">
        <f t="shared" si="21"/>
        <v>1.01767134376686</v>
      </c>
      <c r="K288" s="111">
        <f t="shared" si="22"/>
        <v>4.36553446830971</v>
      </c>
      <c r="L288" s="111">
        <f t="shared" si="23"/>
        <v>5.83111714468287</v>
      </c>
      <c r="M288" s="112">
        <f t="shared" si="24"/>
        <v>0.000809498111171074</v>
      </c>
    </row>
    <row r="289" ht="13.85" spans="1:13">
      <c r="A289" s="52">
        <v>45448</v>
      </c>
      <c r="B289" s="102">
        <v>3643.75</v>
      </c>
      <c r="C289" s="31">
        <v>829860</v>
      </c>
      <c r="D289" s="31">
        <v>5214</v>
      </c>
      <c r="E289" s="31">
        <v>3</v>
      </c>
      <c r="F289" s="31">
        <v>41391</v>
      </c>
      <c r="G289" s="31">
        <v>51</v>
      </c>
      <c r="H289" s="31">
        <v>119</v>
      </c>
      <c r="I289" s="110">
        <f t="shared" si="20"/>
        <v>0.0062829874918661</v>
      </c>
      <c r="J289" s="111">
        <f t="shared" si="21"/>
        <v>0.698839662447257</v>
      </c>
      <c r="K289" s="111">
        <f t="shared" si="22"/>
        <v>4.39080085797604</v>
      </c>
      <c r="L289" s="111">
        <f t="shared" si="23"/>
        <v>11.3594511149228</v>
      </c>
      <c r="M289" s="112">
        <f t="shared" si="24"/>
        <v>0.000575373993095512</v>
      </c>
    </row>
    <row r="290" ht="13.85" spans="1:13">
      <c r="A290" s="52">
        <v>45449</v>
      </c>
      <c r="B290" s="102">
        <v>2280.92</v>
      </c>
      <c r="C290" s="31">
        <v>942662</v>
      </c>
      <c r="D290" s="31">
        <v>3296</v>
      </c>
      <c r="E290" s="31">
        <v>2</v>
      </c>
      <c r="F290" s="31">
        <v>21795</v>
      </c>
      <c r="G290" s="31">
        <v>23</v>
      </c>
      <c r="H290" s="31">
        <v>76</v>
      </c>
      <c r="I290" s="110">
        <f t="shared" si="20"/>
        <v>0.00349648124142057</v>
      </c>
      <c r="J290" s="111">
        <f t="shared" si="21"/>
        <v>0.692026699029126</v>
      </c>
      <c r="K290" s="111">
        <f t="shared" si="22"/>
        <v>2.41965837171754</v>
      </c>
      <c r="L290" s="111">
        <f t="shared" si="23"/>
        <v>9.55535485681216</v>
      </c>
      <c r="M290" s="112">
        <f t="shared" si="24"/>
        <v>0.000606796116504854</v>
      </c>
    </row>
    <row r="291" ht="13.85" spans="1:13">
      <c r="A291" s="52">
        <v>45450</v>
      </c>
      <c r="B291" s="102">
        <v>2140.67</v>
      </c>
      <c r="C291" s="31">
        <v>511512</v>
      </c>
      <c r="D291" s="31">
        <v>2415</v>
      </c>
      <c r="E291" s="31">
        <v>3</v>
      </c>
      <c r="F291" s="31">
        <v>30549</v>
      </c>
      <c r="G291" s="31">
        <v>29</v>
      </c>
      <c r="H291" s="31">
        <v>60</v>
      </c>
      <c r="I291" s="110">
        <v>0.00472129686107071</v>
      </c>
      <c r="J291" s="111">
        <v>0.886405797101449</v>
      </c>
      <c r="K291" s="111">
        <v>4.18498490748995</v>
      </c>
      <c r="L291" s="111">
        <v>14.2707656948525</v>
      </c>
      <c r="M291" s="112">
        <v>0.00124223602484472</v>
      </c>
    </row>
    <row r="292" ht="13.85" spans="1:13">
      <c r="A292" s="52">
        <v>45451</v>
      </c>
      <c r="B292" s="102">
        <v>2542.42</v>
      </c>
      <c r="C292" s="31">
        <v>799354</v>
      </c>
      <c r="D292" s="31">
        <v>3230</v>
      </c>
      <c r="E292" s="31">
        <v>0</v>
      </c>
      <c r="F292" s="31">
        <v>0</v>
      </c>
      <c r="G292" s="31">
        <v>28</v>
      </c>
      <c r="H292" s="31">
        <v>111</v>
      </c>
      <c r="I292" s="110">
        <v>0.00404076291605471</v>
      </c>
      <c r="J292" s="111">
        <v>0.78712693498452</v>
      </c>
      <c r="K292" s="111">
        <v>3.18059332911326</v>
      </c>
      <c r="L292" s="111">
        <v>0</v>
      </c>
      <c r="M292" s="112">
        <v>0</v>
      </c>
    </row>
    <row r="293" ht="13.85" spans="1:13">
      <c r="A293" s="52">
        <v>45452</v>
      </c>
      <c r="B293" s="102">
        <v>2496.56</v>
      </c>
      <c r="C293" s="31">
        <v>704540</v>
      </c>
      <c r="D293" s="31">
        <v>3269</v>
      </c>
      <c r="E293" s="31">
        <v>0</v>
      </c>
      <c r="F293" s="31">
        <v>0</v>
      </c>
      <c r="G293" s="31">
        <v>21</v>
      </c>
      <c r="H293" s="31">
        <v>154</v>
      </c>
      <c r="I293" s="110">
        <v>0.00463990688960173</v>
      </c>
      <c r="J293" s="111">
        <v>0.76370755582747</v>
      </c>
      <c r="K293" s="111">
        <v>3.54353194992477</v>
      </c>
      <c r="L293" s="111">
        <v>0</v>
      </c>
      <c r="M293" s="112">
        <v>0</v>
      </c>
    </row>
    <row r="294" ht="13.85" spans="1:13">
      <c r="A294" s="52">
        <v>45453</v>
      </c>
      <c r="B294" s="102">
        <v>2510.78</v>
      </c>
      <c r="C294" s="31">
        <v>803441</v>
      </c>
      <c r="D294" s="31">
        <v>3554</v>
      </c>
      <c r="E294" s="31">
        <v>0</v>
      </c>
      <c r="F294" s="31">
        <v>0</v>
      </c>
      <c r="G294" s="31">
        <v>33</v>
      </c>
      <c r="H294" s="31">
        <v>154</v>
      </c>
      <c r="I294" s="110">
        <v>0.0044234735344599</v>
      </c>
      <c r="J294" s="111">
        <v>0.706465953854812</v>
      </c>
      <c r="K294" s="111">
        <v>3.12503344987373</v>
      </c>
      <c r="L294" s="111">
        <v>0</v>
      </c>
      <c r="M294" s="112">
        <v>0</v>
      </c>
    </row>
    <row r="295" ht="13.85" spans="1:13">
      <c r="A295" s="52">
        <v>45454</v>
      </c>
      <c r="B295" s="102">
        <v>2527.88</v>
      </c>
      <c r="C295" s="31">
        <v>715091</v>
      </c>
      <c r="D295" s="31">
        <v>3104</v>
      </c>
      <c r="E295" s="31">
        <v>6</v>
      </c>
      <c r="F295" s="31">
        <v>59385</v>
      </c>
      <c r="G295" s="31">
        <v>41</v>
      </c>
      <c r="H295" s="31">
        <v>122</v>
      </c>
      <c r="I295" s="110">
        <f t="shared" ref="I295:I304" si="25">D295/C295</f>
        <v>0.00434070628773121</v>
      </c>
      <c r="J295" s="111">
        <f t="shared" ref="J295:J304" si="26">B295/D295</f>
        <v>0.814394329896907</v>
      </c>
      <c r="K295" s="111">
        <f t="shared" ref="K295:K304" si="27">B295/C295*1000</f>
        <v>3.53504658847615</v>
      </c>
      <c r="L295" s="111">
        <f t="shared" ref="L295:L304" si="28">F295/B295</f>
        <v>23.4920170261247</v>
      </c>
      <c r="M295" s="112">
        <f t="shared" ref="M295:M304" si="29">E295/D295</f>
        <v>0.00193298969072165</v>
      </c>
    </row>
    <row r="296" ht="13.85" spans="1:13">
      <c r="A296" s="52">
        <v>45455</v>
      </c>
      <c r="B296" s="102">
        <v>3497.7</v>
      </c>
      <c r="C296" s="31">
        <v>757859</v>
      </c>
      <c r="D296" s="31">
        <v>5126</v>
      </c>
      <c r="E296" s="31">
        <v>3</v>
      </c>
      <c r="F296" s="31">
        <v>47027</v>
      </c>
      <c r="G296" s="31">
        <v>42</v>
      </c>
      <c r="H296" s="31">
        <v>140</v>
      </c>
      <c r="I296" s="110">
        <v>0.00676379115376343</v>
      </c>
      <c r="J296" s="111">
        <v>0.682344908310573</v>
      </c>
      <c r="K296" s="111">
        <v>4.61523845464658</v>
      </c>
      <c r="L296" s="111">
        <v>13.4451210795666</v>
      </c>
      <c r="M296" s="112">
        <v>0.000585251658213032</v>
      </c>
    </row>
    <row r="297" ht="13.85" spans="1:13">
      <c r="A297" s="52">
        <v>45456</v>
      </c>
      <c r="B297" s="102">
        <v>2458.55</v>
      </c>
      <c r="C297" s="31">
        <v>744772</v>
      </c>
      <c r="D297" s="31">
        <v>3407</v>
      </c>
      <c r="E297" s="31">
        <v>2</v>
      </c>
      <c r="F297" s="31">
        <v>21952</v>
      </c>
      <c r="G297" s="31">
        <v>36</v>
      </c>
      <c r="H297" s="31">
        <v>133</v>
      </c>
      <c r="I297" s="110">
        <f t="shared" si="25"/>
        <v>0.00457455436026059</v>
      </c>
      <c r="J297" s="111">
        <f t="shared" si="26"/>
        <v>0.721617258585266</v>
      </c>
      <c r="K297" s="111">
        <f t="shared" si="27"/>
        <v>3.30107737670052</v>
      </c>
      <c r="L297" s="111">
        <f t="shared" si="28"/>
        <v>8.92884017001891</v>
      </c>
      <c r="M297" s="112">
        <f t="shared" si="29"/>
        <v>0.000587026709715292</v>
      </c>
    </row>
    <row r="298" ht="13.85" spans="1:13">
      <c r="A298" s="52">
        <v>45457</v>
      </c>
      <c r="B298" s="102">
        <v>2505.75</v>
      </c>
      <c r="C298" s="31">
        <v>617806</v>
      </c>
      <c r="D298" s="31">
        <v>2712</v>
      </c>
      <c r="E298" s="31">
        <v>3</v>
      </c>
      <c r="F298" s="31">
        <v>53238</v>
      </c>
      <c r="G298" s="31">
        <v>33</v>
      </c>
      <c r="H298" s="31">
        <v>141</v>
      </c>
      <c r="I298" s="110">
        <f t="shared" si="25"/>
        <v>0.00438972751964209</v>
      </c>
      <c r="J298" s="111">
        <f t="shared" si="26"/>
        <v>0.923949115044248</v>
      </c>
      <c r="K298" s="111">
        <f t="shared" si="27"/>
        <v>4.05588485705869</v>
      </c>
      <c r="L298" s="111">
        <f t="shared" si="28"/>
        <v>21.2463334331039</v>
      </c>
      <c r="M298" s="112">
        <f t="shared" si="29"/>
        <v>0.00110619469026549</v>
      </c>
    </row>
    <row r="299" ht="13.85" spans="1:13">
      <c r="A299" s="52">
        <v>45458</v>
      </c>
      <c r="B299" s="102">
        <v>3832.81</v>
      </c>
      <c r="C299" s="31">
        <v>660580</v>
      </c>
      <c r="D299" s="31">
        <v>3357</v>
      </c>
      <c r="E299" s="31">
        <v>9</v>
      </c>
      <c r="F299" s="31">
        <v>66381</v>
      </c>
      <c r="G299" s="31">
        <v>51</v>
      </c>
      <c r="H299" s="31">
        <v>230</v>
      </c>
      <c r="I299" s="110">
        <f t="shared" si="25"/>
        <v>0.00508189772624058</v>
      </c>
      <c r="J299" s="111">
        <f t="shared" si="26"/>
        <v>1.14173666964552</v>
      </c>
      <c r="K299" s="111">
        <f t="shared" si="27"/>
        <v>5.80218898543704</v>
      </c>
      <c r="L299" s="111">
        <f t="shared" si="28"/>
        <v>17.319147048771</v>
      </c>
      <c r="M299" s="112">
        <f t="shared" si="29"/>
        <v>0.00268096514745308</v>
      </c>
    </row>
    <row r="300" ht="13.85" spans="1:13">
      <c r="A300" s="52">
        <v>45459</v>
      </c>
      <c r="B300" s="102">
        <v>3798.99</v>
      </c>
      <c r="C300" s="31">
        <v>673682</v>
      </c>
      <c r="D300" s="31">
        <v>3254</v>
      </c>
      <c r="E300" s="31">
        <v>4</v>
      </c>
      <c r="F300" s="31">
        <v>48977</v>
      </c>
      <c r="G300" s="31">
        <v>47</v>
      </c>
      <c r="H300" s="31">
        <v>268</v>
      </c>
      <c r="I300" s="110">
        <f t="shared" si="25"/>
        <v>0.0048301720990022</v>
      </c>
      <c r="J300" s="111">
        <f t="shared" si="26"/>
        <v>1.16748309772588</v>
      </c>
      <c r="K300" s="111">
        <f t="shared" si="27"/>
        <v>5.63914428469218</v>
      </c>
      <c r="L300" s="111">
        <f t="shared" si="28"/>
        <v>12.89211079787</v>
      </c>
      <c r="M300" s="112">
        <f t="shared" si="29"/>
        <v>0.00122925629993854</v>
      </c>
    </row>
    <row r="301" ht="13.85" spans="1:13">
      <c r="A301" s="52">
        <v>45460</v>
      </c>
      <c r="B301" s="102">
        <v>4953.39</v>
      </c>
      <c r="C301" s="31">
        <v>905974</v>
      </c>
      <c r="D301" s="31">
        <v>4006</v>
      </c>
      <c r="E301" s="31">
        <v>0</v>
      </c>
      <c r="F301" s="31">
        <v>0</v>
      </c>
      <c r="G301" s="31">
        <v>55</v>
      </c>
      <c r="H301" s="31">
        <v>255</v>
      </c>
      <c r="I301" s="110">
        <f t="shared" si="25"/>
        <v>0.00442176044787157</v>
      </c>
      <c r="J301" s="111">
        <f t="shared" si="26"/>
        <v>1.23649276085871</v>
      </c>
      <c r="K301" s="111">
        <f t="shared" si="27"/>
        <v>5.46747478404458</v>
      </c>
      <c r="L301" s="111">
        <f t="shared" si="28"/>
        <v>0</v>
      </c>
      <c r="M301" s="112">
        <f t="shared" si="29"/>
        <v>0</v>
      </c>
    </row>
    <row r="302" ht="13.85" spans="1:13">
      <c r="A302" s="52">
        <v>45461</v>
      </c>
      <c r="B302" s="102">
        <v>7041.05</v>
      </c>
      <c r="C302" s="31">
        <v>838361</v>
      </c>
      <c r="D302" s="31">
        <v>8044</v>
      </c>
      <c r="E302" s="31">
        <v>7</v>
      </c>
      <c r="F302" s="31">
        <v>74382</v>
      </c>
      <c r="G302" s="31">
        <v>78</v>
      </c>
      <c r="H302" s="31">
        <v>301</v>
      </c>
      <c r="I302" s="110">
        <f t="shared" si="25"/>
        <v>0.00959491197706</v>
      </c>
      <c r="J302" s="111">
        <f t="shared" si="26"/>
        <v>0.875317006464446</v>
      </c>
      <c r="K302" s="111">
        <f t="shared" si="27"/>
        <v>8.39858962905002</v>
      </c>
      <c r="L302" s="111">
        <f t="shared" si="28"/>
        <v>10.5640493960418</v>
      </c>
      <c r="M302" s="112">
        <f t="shared" si="29"/>
        <v>0.000870213823968175</v>
      </c>
    </row>
    <row r="303" ht="13.85" spans="1:13">
      <c r="A303" s="52">
        <v>45462</v>
      </c>
      <c r="B303" s="102">
        <v>5030.3</v>
      </c>
      <c r="C303" s="31">
        <v>436084</v>
      </c>
      <c r="D303" s="31">
        <v>3404</v>
      </c>
      <c r="E303" s="31">
        <v>0</v>
      </c>
      <c r="F303" s="31">
        <v>0</v>
      </c>
      <c r="G303" s="31">
        <v>71</v>
      </c>
      <c r="H303" s="31">
        <v>290</v>
      </c>
      <c r="I303" s="110">
        <f t="shared" si="25"/>
        <v>0.00780583557296301</v>
      </c>
      <c r="J303" s="111">
        <f t="shared" si="26"/>
        <v>1.47776145710928</v>
      </c>
      <c r="K303" s="111">
        <f t="shared" si="27"/>
        <v>11.5351629502573</v>
      </c>
      <c r="L303" s="111">
        <f t="shared" si="28"/>
        <v>0</v>
      </c>
      <c r="M303" s="112">
        <f t="shared" si="29"/>
        <v>0</v>
      </c>
    </row>
    <row r="304" ht="13.85" spans="1:13">
      <c r="A304" s="52">
        <v>45463</v>
      </c>
      <c r="B304" s="102">
        <v>5193.05</v>
      </c>
      <c r="C304" s="31">
        <v>613092</v>
      </c>
      <c r="D304" s="31">
        <v>3916</v>
      </c>
      <c r="E304" s="31">
        <v>3</v>
      </c>
      <c r="F304" s="31">
        <v>26394</v>
      </c>
      <c r="G304" s="31">
        <v>44</v>
      </c>
      <c r="H304" s="31">
        <v>289</v>
      </c>
      <c r="I304" s="110">
        <f t="shared" si="25"/>
        <v>0.00638729587076654</v>
      </c>
      <c r="J304" s="111">
        <f t="shared" si="26"/>
        <v>1.32611082737487</v>
      </c>
      <c r="K304" s="111">
        <f t="shared" si="27"/>
        <v>8.47026221187032</v>
      </c>
      <c r="L304" s="111">
        <f t="shared" si="28"/>
        <v>5.08256227072722</v>
      </c>
      <c r="M304" s="112">
        <f t="shared" si="29"/>
        <v>0.00076608784473953</v>
      </c>
    </row>
    <row r="305" ht="13.85" spans="1:13">
      <c r="A305" s="52">
        <v>45464</v>
      </c>
      <c r="B305" s="31">
        <v>3166.38</v>
      </c>
      <c r="C305" s="31">
        <v>938194</v>
      </c>
      <c r="D305" s="31">
        <v>4400</v>
      </c>
      <c r="E305" s="31">
        <v>0</v>
      </c>
      <c r="F305" s="31">
        <v>0</v>
      </c>
      <c r="G305" s="31">
        <v>35</v>
      </c>
      <c r="H305" s="31">
        <v>296</v>
      </c>
      <c r="I305" s="110">
        <v>0.00468986158513058</v>
      </c>
      <c r="J305" s="111">
        <v>0.719631818181818</v>
      </c>
      <c r="K305" s="111">
        <v>3.37497361952858</v>
      </c>
      <c r="L305" s="111">
        <v>0</v>
      </c>
      <c r="M305" s="112">
        <v>0</v>
      </c>
    </row>
    <row r="306" ht="13.85" spans="1:13">
      <c r="A306" s="52">
        <v>45465</v>
      </c>
      <c r="B306" s="31">
        <v>2704.4</v>
      </c>
      <c r="C306" s="31">
        <v>814693</v>
      </c>
      <c r="D306" s="31">
        <v>3614</v>
      </c>
      <c r="E306" s="31">
        <v>0</v>
      </c>
      <c r="F306" s="31">
        <v>0</v>
      </c>
      <c r="G306" s="31">
        <v>36</v>
      </c>
      <c r="H306" s="31">
        <v>276</v>
      </c>
      <c r="I306" s="110">
        <v>0.00443602682237358</v>
      </c>
      <c r="J306" s="111">
        <v>0.748312119535141</v>
      </c>
      <c r="K306" s="111">
        <v>3.31953263376511</v>
      </c>
      <c r="L306" s="111">
        <v>0</v>
      </c>
      <c r="M306" s="112">
        <v>0</v>
      </c>
    </row>
    <row r="307" ht="13.85" spans="1:13">
      <c r="A307" s="52">
        <v>45466</v>
      </c>
      <c r="B307" s="31">
        <v>2735.8</v>
      </c>
      <c r="C307" s="31">
        <v>611688</v>
      </c>
      <c r="D307" s="31">
        <v>3374</v>
      </c>
      <c r="E307" s="31">
        <v>0</v>
      </c>
      <c r="F307" s="31">
        <v>0</v>
      </c>
      <c r="G307" s="31">
        <v>35</v>
      </c>
      <c r="H307" s="31">
        <v>307</v>
      </c>
      <c r="I307" s="110">
        <v>0.00551588391467546</v>
      </c>
      <c r="J307" s="111">
        <v>0.810847658565501</v>
      </c>
      <c r="K307" s="111">
        <v>4.4725415571337</v>
      </c>
      <c r="L307" s="111">
        <v>0</v>
      </c>
      <c r="M307" s="112">
        <v>0</v>
      </c>
    </row>
    <row r="308" ht="13.85" spans="1:13">
      <c r="A308" s="52">
        <v>45467</v>
      </c>
      <c r="B308" s="31">
        <v>4053.17</v>
      </c>
      <c r="C308" s="31">
        <v>887019</v>
      </c>
      <c r="D308" s="31">
        <v>4755</v>
      </c>
      <c r="E308" s="31">
        <v>0</v>
      </c>
      <c r="F308" s="31">
        <v>0</v>
      </c>
      <c r="G308" s="31">
        <v>35</v>
      </c>
      <c r="H308" s="31">
        <v>378</v>
      </c>
      <c r="I308" s="110">
        <v>0.00536065180114518</v>
      </c>
      <c r="J308" s="111">
        <v>0.852401682439537</v>
      </c>
      <c r="K308" s="111">
        <v>4.56942861426869</v>
      </c>
      <c r="L308" s="111">
        <v>0</v>
      </c>
      <c r="M308" s="112">
        <v>0</v>
      </c>
    </row>
    <row r="309" ht="13.85" spans="1:13">
      <c r="A309" s="52">
        <v>45468</v>
      </c>
      <c r="B309" s="102">
        <v>4259</v>
      </c>
      <c r="C309" s="31">
        <v>1436388</v>
      </c>
      <c r="D309" s="31">
        <v>6139</v>
      </c>
      <c r="E309" s="31">
        <v>1</v>
      </c>
      <c r="F309" s="31">
        <v>19114</v>
      </c>
      <c r="G309" s="31">
        <v>50</v>
      </c>
      <c r="H309" s="31">
        <v>353</v>
      </c>
      <c r="I309" s="110">
        <f t="shared" ref="I309:I314" si="30">D309/C309</f>
        <v>0.00427391484752031</v>
      </c>
      <c r="J309" s="111">
        <f t="shared" ref="J309:J314" si="31">B309/D309</f>
        <v>0.693761198892328</v>
      </c>
      <c r="K309" s="111">
        <f t="shared" ref="K309:K314" si="32">B309/C309*1000</f>
        <v>2.96507628857941</v>
      </c>
      <c r="L309" s="111">
        <f t="shared" ref="L309:L314" si="33">F309/B309</f>
        <v>4.48790795961493</v>
      </c>
      <c r="M309" s="112">
        <f t="shared" ref="M309:M314" si="34">E309/D309</f>
        <v>0.000162892979312592</v>
      </c>
    </row>
    <row r="310" ht="13.85" spans="1:13">
      <c r="A310" s="52">
        <v>45469</v>
      </c>
      <c r="B310" s="102">
        <v>4826.12</v>
      </c>
      <c r="C310" s="31">
        <v>1402427</v>
      </c>
      <c r="D310" s="31">
        <v>7692</v>
      </c>
      <c r="E310" s="31">
        <v>2</v>
      </c>
      <c r="F310" s="31">
        <v>12254</v>
      </c>
      <c r="G310" s="31">
        <v>58</v>
      </c>
      <c r="H310" s="31">
        <v>408</v>
      </c>
      <c r="I310" s="110">
        <f t="shared" si="30"/>
        <v>0.00548477746078762</v>
      </c>
      <c r="J310" s="111">
        <f t="shared" si="31"/>
        <v>0.627420696827873</v>
      </c>
      <c r="K310" s="111">
        <f t="shared" si="32"/>
        <v>3.44126289639318</v>
      </c>
      <c r="L310" s="111">
        <f t="shared" si="33"/>
        <v>2.53909973229012</v>
      </c>
      <c r="M310" s="112">
        <f t="shared" si="34"/>
        <v>0.000260010400416017</v>
      </c>
    </row>
    <row r="311" ht="13.85" spans="1:13">
      <c r="A311" s="52">
        <v>45470</v>
      </c>
      <c r="B311" s="102">
        <v>4347.65</v>
      </c>
      <c r="C311" s="31">
        <v>1377618</v>
      </c>
      <c r="D311" s="31">
        <v>6203</v>
      </c>
      <c r="E311" s="31">
        <v>0</v>
      </c>
      <c r="F311" s="31">
        <v>0</v>
      </c>
      <c r="G311" s="31">
        <v>73</v>
      </c>
      <c r="H311" s="31">
        <v>355</v>
      </c>
      <c r="I311" s="110">
        <f>[1]万相台2!E153/[1]万相台2!D153</f>
        <v>0.166569936157864</v>
      </c>
      <c r="J311" s="111">
        <f>[1]万相台2!C153/[1]万相台2!E153</f>
        <v>0.428214285714286</v>
      </c>
      <c r="K311" s="111">
        <f>[1]万相台2!C153/[1]万相台2!D153*1000</f>
        <v>71.327626233314</v>
      </c>
      <c r="L311" s="111">
        <f>[1]万相台2!G153/[1]万相台2!C153</f>
        <v>0</v>
      </c>
      <c r="M311" s="112">
        <f>[1]万相台2!F153/[1]万相台2!E153</f>
        <v>0</v>
      </c>
    </row>
    <row r="312" ht="13.85" spans="1:13">
      <c r="A312" s="52">
        <v>45471</v>
      </c>
      <c r="B312" s="102">
        <v>4362.21</v>
      </c>
      <c r="C312" s="31">
        <v>1245721</v>
      </c>
      <c r="D312" s="31">
        <v>7572</v>
      </c>
      <c r="E312" s="31">
        <v>0</v>
      </c>
      <c r="F312" s="31">
        <v>0</v>
      </c>
      <c r="G312" s="31">
        <v>55</v>
      </c>
      <c r="H312" s="31">
        <v>344</v>
      </c>
      <c r="I312" s="110">
        <f t="shared" si="30"/>
        <v>0.00607840760491314</v>
      </c>
      <c r="J312" s="111">
        <f t="shared" si="31"/>
        <v>0.576097464342314</v>
      </c>
      <c r="K312" s="111">
        <f t="shared" si="32"/>
        <v>3.5017552084295</v>
      </c>
      <c r="L312" s="111">
        <f t="shared" si="33"/>
        <v>0</v>
      </c>
      <c r="M312" s="112">
        <f t="shared" si="34"/>
        <v>0</v>
      </c>
    </row>
    <row r="313" ht="13.85" spans="1:13">
      <c r="A313" s="52">
        <v>45472</v>
      </c>
      <c r="B313" s="102">
        <v>4290.71</v>
      </c>
      <c r="C313" s="31">
        <v>1886413</v>
      </c>
      <c r="D313" s="31">
        <v>8024</v>
      </c>
      <c r="E313" s="31">
        <v>0</v>
      </c>
      <c r="F313" s="31">
        <v>0</v>
      </c>
      <c r="G313" s="31">
        <v>51</v>
      </c>
      <c r="H313" s="31">
        <v>322</v>
      </c>
      <c r="I313" s="110">
        <f t="shared" si="30"/>
        <v>0.00425357543655605</v>
      </c>
      <c r="J313" s="111">
        <f t="shared" si="31"/>
        <v>0.534734546360917</v>
      </c>
      <c r="K313" s="111">
        <f t="shared" si="32"/>
        <v>2.27453373147874</v>
      </c>
      <c r="L313" s="111">
        <f t="shared" si="33"/>
        <v>0</v>
      </c>
      <c r="M313" s="112">
        <f t="shared" si="34"/>
        <v>0</v>
      </c>
    </row>
    <row r="314" ht="13.85" spans="1:13">
      <c r="A314" s="52">
        <v>45473</v>
      </c>
      <c r="B314" s="102">
        <v>4371.67</v>
      </c>
      <c r="C314" s="31">
        <v>1934098</v>
      </c>
      <c r="D314" s="31">
        <v>7992</v>
      </c>
      <c r="E314" s="31">
        <v>1</v>
      </c>
      <c r="F314" s="31">
        <v>16454</v>
      </c>
      <c r="G314" s="31">
        <v>66</v>
      </c>
      <c r="H314" s="31">
        <v>382</v>
      </c>
      <c r="I314" s="110">
        <f t="shared" si="30"/>
        <v>0.00413215876341323</v>
      </c>
      <c r="J314" s="111">
        <f t="shared" si="31"/>
        <v>0.547005755755756</v>
      </c>
      <c r="K314" s="111">
        <f t="shared" si="32"/>
        <v>2.26031462728362</v>
      </c>
      <c r="L314" s="111">
        <f t="shared" si="33"/>
        <v>3.76377905926111</v>
      </c>
      <c r="M314" s="112">
        <f t="shared" si="34"/>
        <v>0.000125125125125125</v>
      </c>
    </row>
    <row r="315" ht="13.85" spans="1:13">
      <c r="A315" s="52">
        <v>45474</v>
      </c>
      <c r="B315" s="102">
        <v>3876.52</v>
      </c>
      <c r="C315" s="31">
        <v>1612814</v>
      </c>
      <c r="D315" s="31">
        <v>6922</v>
      </c>
      <c r="E315" s="31">
        <v>1</v>
      </c>
      <c r="F315" s="31">
        <v>33330</v>
      </c>
      <c r="G315" s="31">
        <v>65</v>
      </c>
      <c r="H315" s="31">
        <v>323</v>
      </c>
      <c r="I315" s="110">
        <v>0.00429187742665924</v>
      </c>
      <c r="J315" s="111">
        <v>0.560028893383415</v>
      </c>
      <c r="K315" s="111">
        <v>2.40357536578924</v>
      </c>
      <c r="L315" s="111">
        <v>8.59791772001692</v>
      </c>
      <c r="M315" s="112">
        <v>0.00014446691707599</v>
      </c>
    </row>
    <row r="316" ht="13.85" spans="1:13">
      <c r="A316" s="52">
        <v>45475</v>
      </c>
      <c r="B316" s="102">
        <v>3165.44</v>
      </c>
      <c r="C316" s="31">
        <v>1587109</v>
      </c>
      <c r="D316" s="31">
        <v>6476</v>
      </c>
      <c r="E316" s="31">
        <v>0</v>
      </c>
      <c r="F316" s="31">
        <v>0</v>
      </c>
      <c r="G316" s="31">
        <v>58</v>
      </c>
      <c r="H316" s="31">
        <v>306</v>
      </c>
      <c r="I316" s="110">
        <f t="shared" ref="I316:I325" si="35">D316/C316</f>
        <v>0.00408037507190747</v>
      </c>
      <c r="J316" s="111">
        <f t="shared" ref="J316:J325" si="36">B316/D316</f>
        <v>0.488795552810377</v>
      </c>
      <c r="K316" s="111">
        <f t="shared" ref="K316:K379" si="37">B316/C316*1000</f>
        <v>1.9944691889467</v>
      </c>
      <c r="L316" s="111">
        <f t="shared" ref="L316:L325" si="38">F316/B316</f>
        <v>0</v>
      </c>
      <c r="M316" s="112">
        <f t="shared" ref="M316:M325" si="39">E316/D316</f>
        <v>0</v>
      </c>
    </row>
    <row r="317" ht="13.85" spans="1:13">
      <c r="A317" s="52">
        <v>45476</v>
      </c>
      <c r="B317" s="102">
        <v>3181.99</v>
      </c>
      <c r="C317" s="31">
        <v>1579268</v>
      </c>
      <c r="D317" s="31">
        <v>7388</v>
      </c>
      <c r="E317" s="31">
        <v>2</v>
      </c>
      <c r="F317" s="31">
        <v>35416</v>
      </c>
      <c r="G317" s="31">
        <v>59</v>
      </c>
      <c r="H317" s="31">
        <v>294</v>
      </c>
      <c r="I317" s="110">
        <f t="shared" si="35"/>
        <v>0.00467811669710271</v>
      </c>
      <c r="J317" s="111">
        <f t="shared" si="36"/>
        <v>0.430697076340011</v>
      </c>
      <c r="K317" s="111">
        <f t="shared" si="37"/>
        <v>2.01485118421952</v>
      </c>
      <c r="L317" s="111">
        <f t="shared" si="38"/>
        <v>11.1301418294841</v>
      </c>
      <c r="M317" s="112">
        <f t="shared" si="39"/>
        <v>0.000270709258256632</v>
      </c>
    </row>
    <row r="318" ht="13.85" spans="1:13">
      <c r="A318" s="52">
        <v>45477</v>
      </c>
      <c r="B318" s="102">
        <v>2526.03</v>
      </c>
      <c r="C318" s="31">
        <v>917078</v>
      </c>
      <c r="D318" s="31">
        <v>5086</v>
      </c>
      <c r="E318" s="31">
        <v>0</v>
      </c>
      <c r="F318" s="31">
        <v>0</v>
      </c>
      <c r="G318" s="31">
        <v>41</v>
      </c>
      <c r="H318" s="31">
        <v>258</v>
      </c>
      <c r="I318" s="110">
        <f t="shared" si="35"/>
        <v>0.00554587505097712</v>
      </c>
      <c r="J318" s="111">
        <f t="shared" si="36"/>
        <v>0.496663389697208</v>
      </c>
      <c r="K318" s="111">
        <f t="shared" si="37"/>
        <v>2.75443310165548</v>
      </c>
      <c r="L318" s="111">
        <f t="shared" si="38"/>
        <v>0</v>
      </c>
      <c r="M318" s="112">
        <f t="shared" si="39"/>
        <v>0</v>
      </c>
    </row>
    <row r="319" ht="13.85" spans="1:13">
      <c r="A319" s="52">
        <v>45478</v>
      </c>
      <c r="B319" s="102">
        <v>2544.71</v>
      </c>
      <c r="C319" s="31">
        <v>1123911</v>
      </c>
      <c r="D319" s="31">
        <v>5278</v>
      </c>
      <c r="E319" s="31">
        <v>0</v>
      </c>
      <c r="F319" s="31">
        <v>0</v>
      </c>
      <c r="G319" s="31">
        <v>51</v>
      </c>
      <c r="H319" s="31">
        <v>283</v>
      </c>
      <c r="I319" s="110">
        <f t="shared" si="35"/>
        <v>0.00469610138169303</v>
      </c>
      <c r="J319" s="111">
        <f t="shared" si="36"/>
        <v>0.482135278514589</v>
      </c>
      <c r="K319" s="111">
        <f t="shared" si="37"/>
        <v>2.26415614759532</v>
      </c>
      <c r="L319" s="111">
        <f t="shared" si="38"/>
        <v>0</v>
      </c>
      <c r="M319" s="112">
        <f t="shared" si="39"/>
        <v>0</v>
      </c>
    </row>
    <row r="320" ht="13.85" spans="1:13">
      <c r="A320" s="52">
        <v>45479</v>
      </c>
      <c r="B320" s="102">
        <v>2537.97</v>
      </c>
      <c r="C320" s="31">
        <v>962683</v>
      </c>
      <c r="D320" s="31">
        <v>5541</v>
      </c>
      <c r="E320" s="31">
        <v>3</v>
      </c>
      <c r="F320" s="31">
        <v>79138</v>
      </c>
      <c r="G320" s="31">
        <v>45</v>
      </c>
      <c r="H320" s="31">
        <v>326</v>
      </c>
      <c r="I320" s="110">
        <f t="shared" si="35"/>
        <v>0.00575578876951187</v>
      </c>
      <c r="J320" s="111">
        <f t="shared" si="36"/>
        <v>0.458034650785057</v>
      </c>
      <c r="K320" s="111">
        <f t="shared" si="37"/>
        <v>2.63635069903592</v>
      </c>
      <c r="L320" s="111">
        <f t="shared" si="38"/>
        <v>31.1816136518556</v>
      </c>
      <c r="M320" s="112">
        <f t="shared" si="39"/>
        <v>0.000541418516513265</v>
      </c>
    </row>
    <row r="321" ht="13.85" spans="1:13">
      <c r="A321" s="52">
        <v>45480</v>
      </c>
      <c r="B321" s="102">
        <v>2503.55</v>
      </c>
      <c r="C321" s="31">
        <v>1128481</v>
      </c>
      <c r="D321" s="31">
        <v>5299</v>
      </c>
      <c r="E321" s="31">
        <v>0</v>
      </c>
      <c r="F321" s="31">
        <v>0</v>
      </c>
      <c r="G321" s="31">
        <v>43</v>
      </c>
      <c r="H321" s="31">
        <v>276</v>
      </c>
      <c r="I321" s="110">
        <f t="shared" si="35"/>
        <v>0.00469569270550412</v>
      </c>
      <c r="J321" s="111">
        <f t="shared" si="36"/>
        <v>0.472457067371202</v>
      </c>
      <c r="K321" s="111">
        <f t="shared" si="37"/>
        <v>2.21851320491882</v>
      </c>
      <c r="L321" s="111">
        <f t="shared" si="38"/>
        <v>0</v>
      </c>
      <c r="M321" s="112">
        <f t="shared" si="39"/>
        <v>0</v>
      </c>
    </row>
    <row r="322" ht="13.85" spans="1:13">
      <c r="A322" s="52">
        <v>45481</v>
      </c>
      <c r="B322" s="102">
        <v>2506.43</v>
      </c>
      <c r="C322" s="31">
        <v>888251</v>
      </c>
      <c r="D322" s="31">
        <v>4775</v>
      </c>
      <c r="E322" s="31">
        <v>0</v>
      </c>
      <c r="F322" s="31">
        <v>0</v>
      </c>
      <c r="G322" s="31">
        <v>53</v>
      </c>
      <c r="H322" s="31">
        <v>254</v>
      </c>
      <c r="I322" s="110">
        <f t="shared" si="35"/>
        <v>0.00537573276022205</v>
      </c>
      <c r="J322" s="111">
        <f t="shared" si="36"/>
        <v>0.524906806282722</v>
      </c>
      <c r="K322" s="111">
        <f t="shared" si="37"/>
        <v>2.82175871459756</v>
      </c>
      <c r="L322" s="111">
        <f t="shared" si="38"/>
        <v>0</v>
      </c>
      <c r="M322" s="112">
        <f t="shared" si="39"/>
        <v>0</v>
      </c>
    </row>
    <row r="323" ht="13.85" spans="1:13">
      <c r="A323" s="52">
        <v>45482</v>
      </c>
      <c r="B323" s="102">
        <v>2663.51</v>
      </c>
      <c r="C323" s="31">
        <v>1036932</v>
      </c>
      <c r="D323" s="31">
        <v>4663</v>
      </c>
      <c r="E323" s="31">
        <v>0</v>
      </c>
      <c r="F323" s="31">
        <v>0</v>
      </c>
      <c r="G323" s="31">
        <v>48</v>
      </c>
      <c r="H323" s="31">
        <v>268</v>
      </c>
      <c r="I323" s="110">
        <f t="shared" si="35"/>
        <v>0.00449691975944421</v>
      </c>
      <c r="J323" s="111">
        <f t="shared" si="36"/>
        <v>0.571200943598542</v>
      </c>
      <c r="K323" s="111">
        <f t="shared" si="37"/>
        <v>2.56864480988146</v>
      </c>
      <c r="L323" s="111">
        <f t="shared" si="38"/>
        <v>0</v>
      </c>
      <c r="M323" s="112">
        <f t="shared" si="39"/>
        <v>0</v>
      </c>
    </row>
    <row r="324" ht="13.85" spans="1:13">
      <c r="A324" s="52">
        <v>45483</v>
      </c>
      <c r="B324" s="102">
        <v>2789.27</v>
      </c>
      <c r="C324" s="31">
        <v>1273216</v>
      </c>
      <c r="D324" s="31">
        <v>4563</v>
      </c>
      <c r="E324" s="31">
        <v>0</v>
      </c>
      <c r="F324" s="31">
        <v>0</v>
      </c>
      <c r="G324" s="31">
        <v>46</v>
      </c>
      <c r="H324" s="31">
        <v>327</v>
      </c>
      <c r="I324" s="110">
        <f t="shared" si="35"/>
        <v>0.003583838091887</v>
      </c>
      <c r="J324" s="111">
        <f t="shared" si="36"/>
        <v>0.611279859741398</v>
      </c>
      <c r="K324" s="111">
        <f t="shared" si="37"/>
        <v>2.19072804614457</v>
      </c>
      <c r="L324" s="111">
        <f t="shared" si="38"/>
        <v>0</v>
      </c>
      <c r="M324" s="112">
        <f t="shared" si="39"/>
        <v>0</v>
      </c>
    </row>
    <row r="325" ht="13.85" spans="1:13">
      <c r="A325" s="52">
        <v>45484</v>
      </c>
      <c r="B325" s="102">
        <v>2739.29</v>
      </c>
      <c r="C325" s="31">
        <v>772260</v>
      </c>
      <c r="D325" s="31">
        <v>4147</v>
      </c>
      <c r="E325" s="31">
        <v>1</v>
      </c>
      <c r="F325" s="31">
        <v>10562</v>
      </c>
      <c r="G325" s="31">
        <v>43</v>
      </c>
      <c r="H325" s="31">
        <v>337</v>
      </c>
      <c r="I325" s="110">
        <f t="shared" si="35"/>
        <v>0.00536995312459534</v>
      </c>
      <c r="J325" s="111">
        <f t="shared" si="36"/>
        <v>0.660547383650832</v>
      </c>
      <c r="K325" s="111">
        <f t="shared" si="37"/>
        <v>3.54710848677906</v>
      </c>
      <c r="L325" s="111">
        <f t="shared" si="38"/>
        <v>3.85574364160056</v>
      </c>
      <c r="M325" s="112">
        <f t="shared" si="39"/>
        <v>0.000241138172172655</v>
      </c>
    </row>
    <row r="326" ht="13.85" spans="1:13">
      <c r="A326" s="52">
        <v>45485</v>
      </c>
      <c r="B326" s="102">
        <v>2823.66</v>
      </c>
      <c r="C326" s="31">
        <v>703362</v>
      </c>
      <c r="D326" s="31">
        <v>4485</v>
      </c>
      <c r="E326" s="31">
        <v>0</v>
      </c>
      <c r="F326" s="31">
        <v>0</v>
      </c>
      <c r="G326" s="31">
        <v>57</v>
      </c>
      <c r="H326" s="31">
        <v>328</v>
      </c>
      <c r="I326" s="110">
        <v>0.0063765173552168</v>
      </c>
      <c r="J326" s="111">
        <v>0.629578595317726</v>
      </c>
      <c r="K326" s="111">
        <f t="shared" si="37"/>
        <v>4.01451883951649</v>
      </c>
      <c r="L326" s="111">
        <v>0</v>
      </c>
      <c r="M326" s="112">
        <v>0</v>
      </c>
    </row>
    <row r="327" ht="13.85" spans="1:13">
      <c r="A327" s="52">
        <v>45486</v>
      </c>
      <c r="B327" s="102">
        <v>3251.02</v>
      </c>
      <c r="C327" s="31">
        <v>989633</v>
      </c>
      <c r="D327" s="31">
        <v>5981</v>
      </c>
      <c r="E327" s="31">
        <v>2</v>
      </c>
      <c r="F327" s="31">
        <v>31224</v>
      </c>
      <c r="G327" s="31">
        <v>106</v>
      </c>
      <c r="H327" s="31">
        <v>368</v>
      </c>
      <c r="I327" s="110">
        <v>0.006043654566895</v>
      </c>
      <c r="J327" s="111">
        <v>0.543557933455944</v>
      </c>
      <c r="K327" s="111">
        <f t="shared" si="37"/>
        <v>3.28507638690302</v>
      </c>
      <c r="L327" s="111">
        <v>9.60437032069935</v>
      </c>
      <c r="M327" s="112">
        <v>0.000334392242099983</v>
      </c>
    </row>
    <row r="328" ht="13.85" spans="1:13">
      <c r="A328" s="52">
        <v>45487</v>
      </c>
      <c r="B328" s="102">
        <v>3096.3</v>
      </c>
      <c r="C328" s="31">
        <v>1371076</v>
      </c>
      <c r="D328" s="31">
        <v>5869</v>
      </c>
      <c r="E328" s="31">
        <v>0</v>
      </c>
      <c r="F328" s="31">
        <v>0</v>
      </c>
      <c r="G328" s="31">
        <v>63</v>
      </c>
      <c r="H328" s="31">
        <v>350</v>
      </c>
      <c r="I328" s="110">
        <v>0.00428057963234715</v>
      </c>
      <c r="J328" s="111">
        <v>0.527568580678139</v>
      </c>
      <c r="K328" s="111">
        <f t="shared" si="37"/>
        <v>2.25829932111714</v>
      </c>
      <c r="L328" s="111">
        <v>0</v>
      </c>
      <c r="M328" s="112">
        <v>0</v>
      </c>
    </row>
    <row r="329" ht="13.85" spans="1:13">
      <c r="A329" s="52">
        <v>45488</v>
      </c>
      <c r="B329" s="102">
        <v>2406.93</v>
      </c>
      <c r="C329" s="31">
        <v>1618942</v>
      </c>
      <c r="D329" s="31">
        <v>5130</v>
      </c>
      <c r="E329" s="31">
        <v>0</v>
      </c>
      <c r="F329" s="31">
        <v>0</v>
      </c>
      <c r="G329" s="31">
        <v>46</v>
      </c>
      <c r="H329" s="31">
        <v>254</v>
      </c>
      <c r="I329" s="110">
        <f t="shared" ref="I329:I392" si="40">D329/C329</f>
        <v>0.00316873612519781</v>
      </c>
      <c r="J329" s="111">
        <f t="shared" ref="J329:J335" si="41">B329/D329</f>
        <v>0.469187134502924</v>
      </c>
      <c r="K329" s="111">
        <f t="shared" si="37"/>
        <v>1.48673022257746</v>
      </c>
      <c r="L329" s="111">
        <f t="shared" ref="L329:L392" si="42">F329/B329</f>
        <v>0</v>
      </c>
      <c r="M329" s="112">
        <f t="shared" ref="M329:M392" si="43">E329/D329</f>
        <v>0</v>
      </c>
    </row>
    <row r="330" ht="13.85" spans="1:13">
      <c r="A330" s="52">
        <v>45489</v>
      </c>
      <c r="B330" s="102">
        <v>2025.13</v>
      </c>
      <c r="C330" s="31">
        <v>450861</v>
      </c>
      <c r="D330" s="31">
        <v>2882</v>
      </c>
      <c r="E330" s="31">
        <v>0</v>
      </c>
      <c r="F330" s="31">
        <v>0</v>
      </c>
      <c r="G330" s="31">
        <v>49</v>
      </c>
      <c r="H330" s="31">
        <v>224</v>
      </c>
      <c r="I330" s="110">
        <f t="shared" si="40"/>
        <v>0.00639221400830855</v>
      </c>
      <c r="J330" s="111">
        <f t="shared" si="41"/>
        <v>0.702682165163081</v>
      </c>
      <c r="K330" s="111">
        <f t="shared" si="37"/>
        <v>4.49169477954403</v>
      </c>
      <c r="L330" s="111">
        <f t="shared" si="42"/>
        <v>0</v>
      </c>
      <c r="M330" s="112">
        <f t="shared" si="43"/>
        <v>0</v>
      </c>
    </row>
    <row r="331" ht="13.85" spans="1:13">
      <c r="A331" s="52">
        <v>45490</v>
      </c>
      <c r="B331" s="102">
        <v>1936.29</v>
      </c>
      <c r="C331" s="31">
        <v>389423</v>
      </c>
      <c r="D331" s="31">
        <v>2533</v>
      </c>
      <c r="E331" s="31">
        <v>0</v>
      </c>
      <c r="F331" s="31">
        <v>0</v>
      </c>
      <c r="G331" s="31">
        <v>53</v>
      </c>
      <c r="H331" s="31">
        <v>240</v>
      </c>
      <c r="I331" s="110">
        <f t="shared" si="40"/>
        <v>0.00650449511199903</v>
      </c>
      <c r="J331" s="111">
        <f t="shared" si="41"/>
        <v>0.764425582313462</v>
      </c>
      <c r="K331" s="111">
        <f t="shared" si="37"/>
        <v>4.97220246364493</v>
      </c>
      <c r="L331" s="111">
        <f t="shared" si="42"/>
        <v>0</v>
      </c>
      <c r="M331" s="112">
        <f t="shared" si="43"/>
        <v>0</v>
      </c>
    </row>
    <row r="332" ht="13.85" spans="1:13">
      <c r="A332" s="52">
        <v>45491</v>
      </c>
      <c r="B332" s="102">
        <v>1894.33</v>
      </c>
      <c r="C332" s="31">
        <v>220892</v>
      </c>
      <c r="D332" s="31">
        <v>1816</v>
      </c>
      <c r="E332" s="31">
        <v>0</v>
      </c>
      <c r="F332" s="31">
        <v>0</v>
      </c>
      <c r="G332" s="31">
        <v>41</v>
      </c>
      <c r="H332" s="31">
        <v>235</v>
      </c>
      <c r="I332" s="110">
        <f t="shared" si="40"/>
        <v>0.00822121217608605</v>
      </c>
      <c r="J332" s="111">
        <f t="shared" si="41"/>
        <v>1.04313325991189</v>
      </c>
      <c r="K332" s="111">
        <f t="shared" si="37"/>
        <v>8.575819857668</v>
      </c>
      <c r="L332" s="111">
        <f t="shared" si="42"/>
        <v>0</v>
      </c>
      <c r="M332" s="112">
        <f t="shared" si="43"/>
        <v>0</v>
      </c>
    </row>
    <row r="333" ht="13.85" spans="1:13">
      <c r="A333" s="52">
        <v>45492</v>
      </c>
      <c r="B333" s="102">
        <v>1965.6</v>
      </c>
      <c r="C333" s="31">
        <v>239850</v>
      </c>
      <c r="D333" s="31">
        <v>2005</v>
      </c>
      <c r="E333" s="31">
        <v>2</v>
      </c>
      <c r="F333" s="31">
        <v>23953</v>
      </c>
      <c r="G333" s="31">
        <v>57</v>
      </c>
      <c r="H333" s="31">
        <v>264</v>
      </c>
      <c r="I333" s="110">
        <f t="shared" si="40"/>
        <v>0.00835939128622055</v>
      </c>
      <c r="J333" s="111">
        <f t="shared" si="41"/>
        <v>0.980349127182045</v>
      </c>
      <c r="K333" s="111">
        <f t="shared" si="37"/>
        <v>8.19512195121951</v>
      </c>
      <c r="L333" s="111">
        <f t="shared" si="42"/>
        <v>12.1861009361009</v>
      </c>
      <c r="M333" s="112">
        <f t="shared" si="43"/>
        <v>0.000997506234413965</v>
      </c>
    </row>
    <row r="334" ht="13.85" spans="1:13">
      <c r="A334" s="52">
        <v>45493</v>
      </c>
      <c r="B334" s="102">
        <v>1960.32</v>
      </c>
      <c r="C334" s="31">
        <v>187409</v>
      </c>
      <c r="D334" s="31">
        <v>2063</v>
      </c>
      <c r="E334" s="31">
        <v>1</v>
      </c>
      <c r="F334" s="31">
        <v>9897</v>
      </c>
      <c r="G334" s="31">
        <v>41</v>
      </c>
      <c r="H334" s="31">
        <v>278</v>
      </c>
      <c r="I334" s="110">
        <f t="shared" si="40"/>
        <v>0.011008009220475</v>
      </c>
      <c r="J334" s="111">
        <f t="shared" si="41"/>
        <v>0.950227823557925</v>
      </c>
      <c r="K334" s="111">
        <f t="shared" si="37"/>
        <v>10.4601166432775</v>
      </c>
      <c r="L334" s="111">
        <f t="shared" si="42"/>
        <v>5.04866552399608</v>
      </c>
      <c r="M334" s="112">
        <f t="shared" si="43"/>
        <v>0.000484730974309258</v>
      </c>
    </row>
    <row r="335" ht="13.85" spans="1:13">
      <c r="A335" s="52">
        <v>45494</v>
      </c>
      <c r="B335" s="102">
        <v>2541.46</v>
      </c>
      <c r="C335" s="31">
        <v>238699</v>
      </c>
      <c r="D335" s="31">
        <v>3888</v>
      </c>
      <c r="E335" s="31">
        <v>18</v>
      </c>
      <c r="F335" s="31">
        <v>184254</v>
      </c>
      <c r="G335" s="31">
        <v>79</v>
      </c>
      <c r="H335" s="31">
        <v>276</v>
      </c>
      <c r="I335" s="110">
        <f t="shared" si="40"/>
        <v>0.0162882961386516</v>
      </c>
      <c r="J335" s="111">
        <f t="shared" si="41"/>
        <v>0.653667695473251</v>
      </c>
      <c r="K335" s="111">
        <f t="shared" si="37"/>
        <v>10.6471330001383</v>
      </c>
      <c r="L335" s="111">
        <f t="shared" si="42"/>
        <v>72.4992720719586</v>
      </c>
      <c r="M335" s="112">
        <f t="shared" si="43"/>
        <v>0.00462962962962963</v>
      </c>
    </row>
    <row r="336" ht="13.85" spans="1:13">
      <c r="A336" s="52">
        <v>45495</v>
      </c>
      <c r="B336" s="102">
        <v>2456.3</v>
      </c>
      <c r="C336" s="31">
        <v>252032</v>
      </c>
      <c r="D336" s="31">
        <v>3368</v>
      </c>
      <c r="E336" s="31">
        <v>3</v>
      </c>
      <c r="F336" s="31">
        <v>34385</v>
      </c>
      <c r="G336" s="31">
        <v>45</v>
      </c>
      <c r="H336" s="31">
        <v>247</v>
      </c>
      <c r="I336" s="110">
        <f t="shared" si="40"/>
        <v>0.0133633824276282</v>
      </c>
      <c r="J336" s="111">
        <v>0.729305225653207</v>
      </c>
      <c r="K336" s="111">
        <f t="shared" si="37"/>
        <v>9.74598463687151</v>
      </c>
      <c r="L336" s="111">
        <f t="shared" si="42"/>
        <v>13.9986972275374</v>
      </c>
      <c r="M336" s="112">
        <f t="shared" si="43"/>
        <v>0.000890736342042755</v>
      </c>
    </row>
    <row r="337" ht="13.85" spans="1:13">
      <c r="A337" s="52">
        <v>45496</v>
      </c>
      <c r="B337" s="102">
        <v>1984.08</v>
      </c>
      <c r="C337" s="31">
        <v>187825</v>
      </c>
      <c r="D337" s="31">
        <v>2331</v>
      </c>
      <c r="E337" s="31">
        <v>0</v>
      </c>
      <c r="F337" s="31">
        <v>0</v>
      </c>
      <c r="G337" s="31">
        <v>32</v>
      </c>
      <c r="H337" s="31">
        <v>181</v>
      </c>
      <c r="I337" s="110">
        <f t="shared" si="40"/>
        <v>0.0124104884866232</v>
      </c>
      <c r="J337" s="111">
        <f t="shared" ref="J337:J400" si="44">B337/D337</f>
        <v>0.851171171171171</v>
      </c>
      <c r="K337" s="111">
        <f t="shared" si="37"/>
        <v>10.5634500199654</v>
      </c>
      <c r="L337" s="111">
        <f t="shared" si="42"/>
        <v>0</v>
      </c>
      <c r="M337" s="112">
        <f t="shared" si="43"/>
        <v>0</v>
      </c>
    </row>
    <row r="338" ht="13.85" spans="1:13">
      <c r="A338" s="52">
        <v>45497</v>
      </c>
      <c r="B338" s="102">
        <v>1958.34</v>
      </c>
      <c r="C338" s="31">
        <v>185652</v>
      </c>
      <c r="D338" s="31">
        <v>2016</v>
      </c>
      <c r="E338" s="31">
        <v>0</v>
      </c>
      <c r="F338" s="31">
        <v>0</v>
      </c>
      <c r="G338" s="31">
        <v>29</v>
      </c>
      <c r="H338" s="31">
        <v>228</v>
      </c>
      <c r="I338" s="110">
        <f t="shared" si="40"/>
        <v>0.0108590265658328</v>
      </c>
      <c r="J338" s="111">
        <f t="shared" si="44"/>
        <v>0.97139880952381</v>
      </c>
      <c r="K338" s="111">
        <f t="shared" si="37"/>
        <v>10.5484454786375</v>
      </c>
      <c r="L338" s="111">
        <f t="shared" si="42"/>
        <v>0</v>
      </c>
      <c r="M338" s="112">
        <f t="shared" si="43"/>
        <v>0</v>
      </c>
    </row>
    <row r="339" ht="13.85" spans="1:13">
      <c r="A339" s="52">
        <v>45498</v>
      </c>
      <c r="B339" s="102">
        <v>1997.92</v>
      </c>
      <c r="C339" s="102">
        <v>236072</v>
      </c>
      <c r="D339" s="102">
        <v>2313</v>
      </c>
      <c r="E339" s="31">
        <v>0</v>
      </c>
      <c r="F339" s="31">
        <v>0</v>
      </c>
      <c r="G339" s="31">
        <v>43</v>
      </c>
      <c r="H339" s="31">
        <v>200</v>
      </c>
      <c r="I339" s="110">
        <f t="shared" si="40"/>
        <v>0.00979785828052459</v>
      </c>
      <c r="J339" s="111">
        <f t="shared" si="44"/>
        <v>0.863778642455685</v>
      </c>
      <c r="K339" s="111">
        <f t="shared" si="37"/>
        <v>8.46318072452472</v>
      </c>
      <c r="L339" s="111">
        <f t="shared" si="42"/>
        <v>0</v>
      </c>
      <c r="M339" s="112">
        <f t="shared" si="43"/>
        <v>0</v>
      </c>
    </row>
    <row r="340" ht="13.85" spans="1:13">
      <c r="A340" s="52">
        <v>45499</v>
      </c>
      <c r="B340" s="102">
        <v>1978.65</v>
      </c>
      <c r="C340" s="31">
        <v>210047</v>
      </c>
      <c r="D340" s="31">
        <v>2019</v>
      </c>
      <c r="E340" s="31">
        <v>1</v>
      </c>
      <c r="F340" s="31">
        <v>21220</v>
      </c>
      <c r="G340" s="31">
        <v>35</v>
      </c>
      <c r="H340" s="31">
        <v>212</v>
      </c>
      <c r="I340" s="110">
        <f t="shared" si="40"/>
        <v>0.0096121344270568</v>
      </c>
      <c r="J340" s="111">
        <f t="shared" si="44"/>
        <v>0.98001485884101</v>
      </c>
      <c r="K340" s="111">
        <f t="shared" si="37"/>
        <v>9.42003456369289</v>
      </c>
      <c r="L340" s="111">
        <f t="shared" si="42"/>
        <v>10.7244838652617</v>
      </c>
      <c r="M340" s="112">
        <f t="shared" si="43"/>
        <v>0.000495294700346706</v>
      </c>
    </row>
    <row r="341" ht="13.85" spans="1:13">
      <c r="A341" s="52">
        <v>45500</v>
      </c>
      <c r="B341" s="102">
        <v>1991.8</v>
      </c>
      <c r="C341" s="31">
        <v>167666</v>
      </c>
      <c r="D341" s="31">
        <v>1932</v>
      </c>
      <c r="E341" s="31">
        <v>0</v>
      </c>
      <c r="F341" s="31">
        <v>0</v>
      </c>
      <c r="G341" s="31">
        <v>35</v>
      </c>
      <c r="H341" s="31">
        <v>196</v>
      </c>
      <c r="I341" s="110">
        <f t="shared" si="40"/>
        <v>0.0115229086397958</v>
      </c>
      <c r="J341" s="111">
        <f t="shared" si="44"/>
        <v>1.03095238095238</v>
      </c>
      <c r="K341" s="111">
        <f t="shared" si="37"/>
        <v>11.8795700976942</v>
      </c>
      <c r="L341" s="111">
        <f t="shared" si="42"/>
        <v>0</v>
      </c>
      <c r="M341" s="112">
        <f t="shared" si="43"/>
        <v>0</v>
      </c>
    </row>
    <row r="342" ht="13.85" spans="1:13">
      <c r="A342" s="52">
        <v>45501</v>
      </c>
      <c r="B342" s="102">
        <v>1951.13</v>
      </c>
      <c r="C342" s="31">
        <v>186467</v>
      </c>
      <c r="D342" s="31">
        <v>1964</v>
      </c>
      <c r="E342" s="31">
        <v>0</v>
      </c>
      <c r="F342" s="31">
        <v>0</v>
      </c>
      <c r="G342" s="31">
        <v>46</v>
      </c>
      <c r="H342" s="31">
        <v>224</v>
      </c>
      <c r="I342" s="110">
        <f t="shared" si="40"/>
        <v>0.0105326947931806</v>
      </c>
      <c r="J342" s="111">
        <f t="shared" si="44"/>
        <v>0.993447046843177</v>
      </c>
      <c r="K342" s="111">
        <f t="shared" si="37"/>
        <v>10.4636745375857</v>
      </c>
      <c r="L342" s="111">
        <f t="shared" si="42"/>
        <v>0</v>
      </c>
      <c r="M342" s="112">
        <f t="shared" si="43"/>
        <v>0</v>
      </c>
    </row>
    <row r="343" ht="13.85" spans="1:13">
      <c r="A343" s="52">
        <v>45502</v>
      </c>
      <c r="B343" s="102">
        <v>1950.29</v>
      </c>
      <c r="C343" s="31">
        <v>198520</v>
      </c>
      <c r="D343" s="31">
        <v>1909</v>
      </c>
      <c r="E343" s="31">
        <v>0</v>
      </c>
      <c r="F343" s="31">
        <v>0</v>
      </c>
      <c r="G343" s="31">
        <v>22</v>
      </c>
      <c r="H343" s="31">
        <v>196</v>
      </c>
      <c r="I343" s="110">
        <f t="shared" si="40"/>
        <v>0.00961615958089865</v>
      </c>
      <c r="J343" s="111">
        <f t="shared" si="44"/>
        <v>1.02162912519644</v>
      </c>
      <c r="K343" s="111">
        <f t="shared" si="37"/>
        <v>9.82414870038283</v>
      </c>
      <c r="L343" s="111">
        <f t="shared" si="42"/>
        <v>0</v>
      </c>
      <c r="M343" s="112">
        <f t="shared" si="43"/>
        <v>0</v>
      </c>
    </row>
    <row r="344" ht="13.85" spans="1:13">
      <c r="A344" s="52">
        <v>45503</v>
      </c>
      <c r="B344" s="102">
        <v>1458.94</v>
      </c>
      <c r="C344" s="31">
        <v>123573</v>
      </c>
      <c r="D344" s="31">
        <v>1510</v>
      </c>
      <c r="E344" s="31">
        <v>0</v>
      </c>
      <c r="F344" s="31">
        <v>0</v>
      </c>
      <c r="G344" s="31">
        <v>18</v>
      </c>
      <c r="H344" s="31">
        <v>157</v>
      </c>
      <c r="I344" s="110">
        <f t="shared" si="40"/>
        <v>0.0122194977867333</v>
      </c>
      <c r="J344" s="111">
        <f t="shared" si="44"/>
        <v>0.966185430463576</v>
      </c>
      <c r="K344" s="111">
        <f t="shared" si="37"/>
        <v>11.8063007291237</v>
      </c>
      <c r="L344" s="111">
        <f t="shared" si="42"/>
        <v>0</v>
      </c>
      <c r="M344" s="112">
        <f t="shared" si="43"/>
        <v>0</v>
      </c>
    </row>
    <row r="345" ht="13.85" spans="1:13">
      <c r="A345" s="52">
        <v>45504</v>
      </c>
      <c r="B345" s="102">
        <v>1430.25</v>
      </c>
      <c r="C345" s="31">
        <v>88603</v>
      </c>
      <c r="D345" s="31">
        <v>1295</v>
      </c>
      <c r="E345" s="31">
        <v>0</v>
      </c>
      <c r="F345" s="31">
        <v>0</v>
      </c>
      <c r="G345" s="31">
        <v>20</v>
      </c>
      <c r="H345" s="31">
        <v>158</v>
      </c>
      <c r="I345" s="110">
        <f t="shared" si="40"/>
        <v>0.014615757931447</v>
      </c>
      <c r="J345" s="111">
        <f t="shared" si="44"/>
        <v>1.10444015444015</v>
      </c>
      <c r="K345" s="111">
        <f t="shared" si="37"/>
        <v>16.1422299470673</v>
      </c>
      <c r="L345" s="111">
        <f t="shared" si="42"/>
        <v>0</v>
      </c>
      <c r="M345" s="112">
        <f t="shared" si="43"/>
        <v>0</v>
      </c>
    </row>
    <row r="346" ht="13.85" spans="1:13">
      <c r="A346" s="52">
        <v>45505</v>
      </c>
      <c r="B346" s="102">
        <v>1949.98</v>
      </c>
      <c r="C346" s="31">
        <v>103686</v>
      </c>
      <c r="D346" s="31">
        <v>1628</v>
      </c>
      <c r="E346" s="31">
        <v>0</v>
      </c>
      <c r="F346" s="31">
        <v>0</v>
      </c>
      <c r="G346" s="31">
        <v>21</v>
      </c>
      <c r="H346" s="31">
        <v>241</v>
      </c>
      <c r="I346" s="110">
        <f t="shared" si="40"/>
        <v>0.0157012518565669</v>
      </c>
      <c r="J346" s="111">
        <f t="shared" si="44"/>
        <v>1.19777641277641</v>
      </c>
      <c r="K346" s="111">
        <f t="shared" si="37"/>
        <v>18.8065891248577</v>
      </c>
      <c r="L346" s="111">
        <f t="shared" si="42"/>
        <v>0</v>
      </c>
      <c r="M346" s="112">
        <f t="shared" si="43"/>
        <v>0</v>
      </c>
    </row>
    <row r="347" ht="13.85" spans="1:13">
      <c r="A347" s="52">
        <v>45506</v>
      </c>
      <c r="B347" s="102">
        <v>1999.65</v>
      </c>
      <c r="C347" s="31">
        <v>111365</v>
      </c>
      <c r="D347" s="31">
        <v>1696</v>
      </c>
      <c r="E347" s="31">
        <v>0</v>
      </c>
      <c r="F347" s="31">
        <v>0</v>
      </c>
      <c r="G347" s="31">
        <v>32</v>
      </c>
      <c r="H347" s="31">
        <v>228</v>
      </c>
      <c r="I347" s="110">
        <f t="shared" si="40"/>
        <v>0.0152292012750864</v>
      </c>
      <c r="J347" s="111">
        <f t="shared" si="44"/>
        <v>1.17903891509434</v>
      </c>
      <c r="K347" s="111">
        <f t="shared" si="37"/>
        <v>17.9558209491312</v>
      </c>
      <c r="L347" s="111">
        <f t="shared" si="42"/>
        <v>0</v>
      </c>
      <c r="M347" s="112">
        <f t="shared" si="43"/>
        <v>0</v>
      </c>
    </row>
    <row r="348" ht="13.85" spans="1:13">
      <c r="A348" s="52">
        <v>45507</v>
      </c>
      <c r="B348" s="102">
        <v>2036.28</v>
      </c>
      <c r="C348" s="31">
        <v>176308</v>
      </c>
      <c r="D348" s="31">
        <v>2179</v>
      </c>
      <c r="E348" s="31">
        <v>0</v>
      </c>
      <c r="F348" s="31">
        <v>0</v>
      </c>
      <c r="G348" s="31">
        <v>27</v>
      </c>
      <c r="H348" s="31">
        <v>215</v>
      </c>
      <c r="I348" s="110">
        <f t="shared" si="40"/>
        <v>0.0123590534746013</v>
      </c>
      <c r="J348" s="111">
        <f t="shared" si="44"/>
        <v>0.934502065167508</v>
      </c>
      <c r="K348" s="111">
        <f t="shared" si="37"/>
        <v>11.5495609955305</v>
      </c>
      <c r="L348" s="111">
        <f t="shared" si="42"/>
        <v>0</v>
      </c>
      <c r="M348" s="112">
        <f t="shared" si="43"/>
        <v>0</v>
      </c>
    </row>
    <row r="349" ht="13.85" spans="1:13">
      <c r="A349" s="52">
        <v>45508</v>
      </c>
      <c r="B349" s="102">
        <v>2000.98</v>
      </c>
      <c r="C349" s="31">
        <v>111338</v>
      </c>
      <c r="D349" s="31">
        <v>2137</v>
      </c>
      <c r="E349" s="31">
        <v>1</v>
      </c>
      <c r="F349" s="31">
        <v>13154</v>
      </c>
      <c r="G349" s="31">
        <v>23</v>
      </c>
      <c r="H349" s="31">
        <v>282</v>
      </c>
      <c r="I349" s="110">
        <f t="shared" si="40"/>
        <v>0.0191938062476423</v>
      </c>
      <c r="J349" s="111">
        <f t="shared" si="44"/>
        <v>0.936350023397286</v>
      </c>
      <c r="K349" s="111">
        <f t="shared" si="37"/>
        <v>17.9721209290629</v>
      </c>
      <c r="L349" s="111">
        <f t="shared" si="42"/>
        <v>6.5737788483643</v>
      </c>
      <c r="M349" s="112">
        <f t="shared" si="43"/>
        <v>0.000467945718296678</v>
      </c>
    </row>
    <row r="350" ht="13.85" spans="1:13">
      <c r="A350" s="52">
        <v>45509</v>
      </c>
      <c r="B350" s="102">
        <v>2428.59</v>
      </c>
      <c r="C350" s="31">
        <v>21119.24</v>
      </c>
      <c r="D350" s="31">
        <v>2769</v>
      </c>
      <c r="E350" s="31">
        <v>0</v>
      </c>
      <c r="F350" s="31">
        <v>0</v>
      </c>
      <c r="G350" s="31">
        <v>30</v>
      </c>
      <c r="H350" s="31">
        <v>225</v>
      </c>
      <c r="I350" s="110">
        <f t="shared" si="40"/>
        <v>0.131112672615113</v>
      </c>
      <c r="J350" s="111">
        <f t="shared" si="44"/>
        <v>0.877063921993499</v>
      </c>
      <c r="K350" s="111">
        <f t="shared" si="37"/>
        <v>114.994194866861</v>
      </c>
      <c r="L350" s="111">
        <f t="shared" si="42"/>
        <v>0</v>
      </c>
      <c r="M350" s="112">
        <f t="shared" si="43"/>
        <v>0</v>
      </c>
    </row>
    <row r="351" ht="13.85" spans="1:13">
      <c r="A351" s="52">
        <v>45510</v>
      </c>
      <c r="B351" s="102">
        <v>2088.17</v>
      </c>
      <c r="C351" s="31">
        <v>92051</v>
      </c>
      <c r="D351" s="31">
        <v>1708</v>
      </c>
      <c r="E351" s="31">
        <v>1</v>
      </c>
      <c r="F351" s="31">
        <v>24788</v>
      </c>
      <c r="G351" s="31">
        <v>16</v>
      </c>
      <c r="H351" s="31">
        <v>204</v>
      </c>
      <c r="I351" s="110">
        <f t="shared" si="40"/>
        <v>0.0185549315053612</v>
      </c>
      <c r="J351" s="111">
        <f t="shared" si="44"/>
        <v>1.22258196721311</v>
      </c>
      <c r="K351" s="111">
        <f t="shared" si="37"/>
        <v>22.684924661329</v>
      </c>
      <c r="L351" s="111">
        <f t="shared" si="42"/>
        <v>11.8706810269279</v>
      </c>
      <c r="M351" s="112">
        <f t="shared" si="43"/>
        <v>0.000585480093676815</v>
      </c>
    </row>
    <row r="352" ht="13.85" spans="1:13">
      <c r="A352" s="52">
        <v>45511</v>
      </c>
      <c r="B352" s="102">
        <v>2027.89</v>
      </c>
      <c r="C352" s="31">
        <v>82072</v>
      </c>
      <c r="D352" s="31">
        <v>1553</v>
      </c>
      <c r="E352" s="31">
        <v>0</v>
      </c>
      <c r="F352" s="31">
        <v>0</v>
      </c>
      <c r="G352" s="31">
        <v>22</v>
      </c>
      <c r="H352" s="31">
        <v>205</v>
      </c>
      <c r="I352" s="110">
        <f t="shared" si="40"/>
        <v>0.0189224095915781</v>
      </c>
      <c r="J352" s="111">
        <f t="shared" si="44"/>
        <v>1.30578879587894</v>
      </c>
      <c r="K352" s="111">
        <f t="shared" si="37"/>
        <v>24.708670435715</v>
      </c>
      <c r="L352" s="111">
        <f t="shared" si="42"/>
        <v>0</v>
      </c>
      <c r="M352" s="112">
        <f t="shared" si="43"/>
        <v>0</v>
      </c>
    </row>
    <row r="353" ht="13.85" spans="1:13">
      <c r="A353" s="52">
        <v>45512</v>
      </c>
      <c r="B353" s="102">
        <v>2009.04</v>
      </c>
      <c r="C353" s="31">
        <v>91080</v>
      </c>
      <c r="D353" s="31">
        <v>1439</v>
      </c>
      <c r="E353" s="31">
        <v>2</v>
      </c>
      <c r="F353" s="31">
        <v>22128</v>
      </c>
      <c r="G353" s="31">
        <v>39</v>
      </c>
      <c r="H353" s="31">
        <v>165</v>
      </c>
      <c r="I353" s="110">
        <f t="shared" si="40"/>
        <v>0.0157992973210365</v>
      </c>
      <c r="J353" s="111">
        <f t="shared" si="44"/>
        <v>1.3961362056984</v>
      </c>
      <c r="K353" s="111">
        <f t="shared" si="37"/>
        <v>22.0579710144928</v>
      </c>
      <c r="L353" s="111">
        <f t="shared" si="42"/>
        <v>11.0142157448334</v>
      </c>
      <c r="M353" s="112">
        <f t="shared" si="43"/>
        <v>0.00138985406532314</v>
      </c>
    </row>
    <row r="354" ht="13.85" spans="1:13">
      <c r="A354" s="52">
        <v>45513</v>
      </c>
      <c r="B354" s="102">
        <v>1810.5</v>
      </c>
      <c r="C354" s="31">
        <v>80816</v>
      </c>
      <c r="D354" s="31">
        <v>1396</v>
      </c>
      <c r="E354" s="31">
        <v>0</v>
      </c>
      <c r="F354" s="31">
        <v>0</v>
      </c>
      <c r="G354" s="31">
        <v>31</v>
      </c>
      <c r="H354" s="31">
        <v>148</v>
      </c>
      <c r="I354" s="110">
        <f t="shared" si="40"/>
        <v>0.0172738071668976</v>
      </c>
      <c r="J354" s="111">
        <f t="shared" si="44"/>
        <v>1.29691977077364</v>
      </c>
      <c r="K354" s="111">
        <f t="shared" si="37"/>
        <v>22.4027420312809</v>
      </c>
      <c r="L354" s="111">
        <f t="shared" si="42"/>
        <v>0</v>
      </c>
      <c r="M354" s="112">
        <f t="shared" si="43"/>
        <v>0</v>
      </c>
    </row>
    <row r="355" ht="13.85" spans="1:13">
      <c r="A355" s="52">
        <v>45514</v>
      </c>
      <c r="B355" s="102">
        <v>1818.08</v>
      </c>
      <c r="C355" s="31">
        <v>167336</v>
      </c>
      <c r="D355" s="31">
        <v>1728</v>
      </c>
      <c r="E355" s="31">
        <v>0</v>
      </c>
      <c r="F355" s="31">
        <v>0</v>
      </c>
      <c r="G355" s="31">
        <v>39</v>
      </c>
      <c r="H355" s="31">
        <v>139</v>
      </c>
      <c r="I355" s="110">
        <f t="shared" si="40"/>
        <v>0.0103265286608978</v>
      </c>
      <c r="J355" s="111">
        <f t="shared" si="44"/>
        <v>1.05212962962963</v>
      </c>
      <c r="K355" s="111">
        <f t="shared" si="37"/>
        <v>10.8648467753502</v>
      </c>
      <c r="L355" s="111">
        <f t="shared" si="42"/>
        <v>0</v>
      </c>
      <c r="M355" s="112">
        <f t="shared" si="43"/>
        <v>0</v>
      </c>
    </row>
    <row r="356" ht="13.85" spans="1:13">
      <c r="A356" s="52">
        <v>45515</v>
      </c>
      <c r="B356" s="102">
        <v>1818.03</v>
      </c>
      <c r="C356" s="31">
        <v>118085</v>
      </c>
      <c r="D356" s="31">
        <v>2159</v>
      </c>
      <c r="E356" s="31">
        <v>0</v>
      </c>
      <c r="F356" s="31">
        <v>0</v>
      </c>
      <c r="G356" s="31">
        <v>45</v>
      </c>
      <c r="H356" s="31">
        <v>166</v>
      </c>
      <c r="I356" s="110">
        <f t="shared" si="40"/>
        <v>0.0182834398949909</v>
      </c>
      <c r="J356" s="111">
        <f t="shared" si="44"/>
        <v>0.842070402964335</v>
      </c>
      <c r="K356" s="111">
        <f t="shared" si="37"/>
        <v>15.3959435999492</v>
      </c>
      <c r="L356" s="111">
        <f t="shared" si="42"/>
        <v>0</v>
      </c>
      <c r="M356" s="112">
        <f t="shared" si="43"/>
        <v>0</v>
      </c>
    </row>
    <row r="357" ht="13.85" spans="1:13">
      <c r="A357" s="52">
        <v>45516</v>
      </c>
      <c r="B357" s="102">
        <v>1835.54</v>
      </c>
      <c r="C357" s="31">
        <v>120270</v>
      </c>
      <c r="D357" s="31">
        <v>2008</v>
      </c>
      <c r="E357" s="31">
        <v>0</v>
      </c>
      <c r="F357" s="31">
        <v>0</v>
      </c>
      <c r="G357" s="31">
        <v>37</v>
      </c>
      <c r="H357" s="31">
        <v>166</v>
      </c>
      <c r="I357" s="110">
        <f t="shared" si="40"/>
        <v>0.0166957678556581</v>
      </c>
      <c r="J357" s="111">
        <f t="shared" si="44"/>
        <v>0.914113545816733</v>
      </c>
      <c r="K357" s="111">
        <f t="shared" si="37"/>
        <v>15.2618275546687</v>
      </c>
      <c r="L357" s="111">
        <f t="shared" si="42"/>
        <v>0</v>
      </c>
      <c r="M357" s="112">
        <f t="shared" si="43"/>
        <v>0</v>
      </c>
    </row>
    <row r="358" ht="13.85" spans="1:13">
      <c r="A358" s="52">
        <v>45517</v>
      </c>
      <c r="B358" s="102">
        <v>1993.8</v>
      </c>
      <c r="C358" s="31">
        <v>157226</v>
      </c>
      <c r="D358" s="31">
        <v>2318</v>
      </c>
      <c r="E358" s="31">
        <v>0</v>
      </c>
      <c r="F358" s="31">
        <v>0</v>
      </c>
      <c r="G358" s="31">
        <v>62</v>
      </c>
      <c r="H358" s="31">
        <v>181</v>
      </c>
      <c r="I358" s="110">
        <f t="shared" si="40"/>
        <v>0.0147431086461527</v>
      </c>
      <c r="J358" s="111">
        <f t="shared" si="44"/>
        <v>0.860138050043141</v>
      </c>
      <c r="K358" s="111">
        <f t="shared" si="37"/>
        <v>12.6811087224759</v>
      </c>
      <c r="L358" s="111">
        <f t="shared" si="42"/>
        <v>0</v>
      </c>
      <c r="M358" s="112">
        <f t="shared" si="43"/>
        <v>0</v>
      </c>
    </row>
    <row r="359" ht="13.85" spans="1:13">
      <c r="A359" s="52">
        <v>45518</v>
      </c>
      <c r="B359" s="102">
        <v>2496.7</v>
      </c>
      <c r="C359" s="31">
        <v>189778</v>
      </c>
      <c r="D359" s="31">
        <v>3253</v>
      </c>
      <c r="E359" s="31">
        <v>0</v>
      </c>
      <c r="F359" s="31">
        <v>0</v>
      </c>
      <c r="G359" s="31">
        <v>73</v>
      </c>
      <c r="H359" s="31">
        <v>185</v>
      </c>
      <c r="I359" s="110">
        <f t="shared" si="40"/>
        <v>0.0171410806310531</v>
      </c>
      <c r="J359" s="111">
        <f t="shared" si="44"/>
        <v>0.767506916692284</v>
      </c>
      <c r="K359" s="111">
        <f t="shared" si="37"/>
        <v>13.1558979439134</v>
      </c>
      <c r="L359" s="111">
        <f t="shared" si="42"/>
        <v>0</v>
      </c>
      <c r="M359" s="112">
        <f t="shared" si="43"/>
        <v>0</v>
      </c>
    </row>
    <row r="360" ht="13.85" spans="1:13">
      <c r="A360" s="52">
        <v>45519</v>
      </c>
      <c r="B360" s="102">
        <v>2028.79</v>
      </c>
      <c r="C360" s="31">
        <v>158482</v>
      </c>
      <c r="D360" s="31">
        <v>2303</v>
      </c>
      <c r="E360" s="31">
        <v>0</v>
      </c>
      <c r="F360" s="31">
        <v>0</v>
      </c>
      <c r="G360" s="31">
        <v>48</v>
      </c>
      <c r="H360" s="31">
        <v>184</v>
      </c>
      <c r="I360" s="110">
        <f t="shared" si="40"/>
        <v>0.0145316187327267</v>
      </c>
      <c r="J360" s="111">
        <f t="shared" si="44"/>
        <v>0.880933564915328</v>
      </c>
      <c r="K360" s="111">
        <f t="shared" si="37"/>
        <v>12.8013906942113</v>
      </c>
      <c r="L360" s="111">
        <f t="shared" si="42"/>
        <v>0</v>
      </c>
      <c r="M360" s="112">
        <f t="shared" si="43"/>
        <v>0</v>
      </c>
    </row>
    <row r="361" ht="13.85" spans="1:13">
      <c r="A361" s="52">
        <v>45520</v>
      </c>
      <c r="B361" s="102">
        <v>2028.92</v>
      </c>
      <c r="C361" s="31">
        <v>265889</v>
      </c>
      <c r="D361" s="31">
        <v>2604</v>
      </c>
      <c r="E361" s="31">
        <v>0</v>
      </c>
      <c r="F361" s="31">
        <v>0</v>
      </c>
      <c r="G361" s="31">
        <v>47</v>
      </c>
      <c r="H361" s="31">
        <v>207</v>
      </c>
      <c r="I361" s="110">
        <f t="shared" si="40"/>
        <v>0.00979356047072275</v>
      </c>
      <c r="J361" s="111">
        <f t="shared" si="44"/>
        <v>0.77915514592934</v>
      </c>
      <c r="K361" s="111">
        <f t="shared" si="37"/>
        <v>7.63070303773379</v>
      </c>
      <c r="L361" s="111">
        <f t="shared" si="42"/>
        <v>0</v>
      </c>
      <c r="M361" s="112">
        <f t="shared" si="43"/>
        <v>0</v>
      </c>
    </row>
    <row r="362" ht="13.85" spans="1:13">
      <c r="A362" s="52">
        <v>45521</v>
      </c>
      <c r="B362" s="102">
        <v>2074.93</v>
      </c>
      <c r="C362" s="31">
        <v>276988</v>
      </c>
      <c r="D362" s="31">
        <v>2491</v>
      </c>
      <c r="E362" s="31">
        <v>0</v>
      </c>
      <c r="F362" s="31">
        <v>0</v>
      </c>
      <c r="G362" s="31">
        <v>46</v>
      </c>
      <c r="H362" s="31">
        <v>163</v>
      </c>
      <c r="I362" s="110">
        <f t="shared" si="40"/>
        <v>0.00899316937917888</v>
      </c>
      <c r="J362" s="111">
        <f t="shared" si="44"/>
        <v>0.832970694500201</v>
      </c>
      <c r="K362" s="111">
        <f t="shared" si="37"/>
        <v>7.49104654353257</v>
      </c>
      <c r="L362" s="111">
        <f t="shared" si="42"/>
        <v>0</v>
      </c>
      <c r="M362" s="112">
        <f t="shared" si="43"/>
        <v>0</v>
      </c>
    </row>
    <row r="363" ht="13.85" spans="1:13">
      <c r="A363" s="52">
        <v>45522</v>
      </c>
      <c r="B363" s="102">
        <v>2029.48</v>
      </c>
      <c r="C363" s="31">
        <v>294987</v>
      </c>
      <c r="D363" s="31">
        <v>2550</v>
      </c>
      <c r="E363" s="31">
        <v>1</v>
      </c>
      <c r="F363" s="31">
        <v>37632</v>
      </c>
      <c r="G363" s="31">
        <v>53</v>
      </c>
      <c r="H363" s="31">
        <v>166</v>
      </c>
      <c r="I363" s="110">
        <f t="shared" si="40"/>
        <v>0.00864444873841898</v>
      </c>
      <c r="J363" s="111">
        <f t="shared" si="44"/>
        <v>0.795874509803922</v>
      </c>
      <c r="K363" s="111">
        <f t="shared" si="37"/>
        <v>6.87989640221433</v>
      </c>
      <c r="L363" s="111">
        <f t="shared" si="42"/>
        <v>18.5426808837732</v>
      </c>
      <c r="M363" s="112">
        <f t="shared" si="43"/>
        <v>0.000392156862745098</v>
      </c>
    </row>
    <row r="364" ht="13.85" spans="1:13">
      <c r="A364" s="52">
        <v>45523</v>
      </c>
      <c r="B364" s="102">
        <v>2010.81</v>
      </c>
      <c r="C364" s="31">
        <v>322387</v>
      </c>
      <c r="D364" s="31">
        <v>2503</v>
      </c>
      <c r="E364" s="31">
        <v>0</v>
      </c>
      <c r="F364" s="31">
        <v>0</v>
      </c>
      <c r="G364" s="31">
        <v>70</v>
      </c>
      <c r="H364" s="31">
        <v>181</v>
      </c>
      <c r="I364" s="110">
        <f t="shared" si="40"/>
        <v>0.00776396070561158</v>
      </c>
      <c r="J364" s="111">
        <f t="shared" si="44"/>
        <v>0.803359968038354</v>
      </c>
      <c r="K364" s="111">
        <f t="shared" si="37"/>
        <v>6.23725522431115</v>
      </c>
      <c r="L364" s="111">
        <f t="shared" si="42"/>
        <v>0</v>
      </c>
      <c r="M364" s="112">
        <f t="shared" si="43"/>
        <v>0</v>
      </c>
    </row>
    <row r="365" ht="13.85" spans="1:13">
      <c r="A365" s="52">
        <v>45524</v>
      </c>
      <c r="B365" s="102">
        <v>2023.41</v>
      </c>
      <c r="C365" s="31">
        <v>292807</v>
      </c>
      <c r="D365" s="31">
        <v>2227</v>
      </c>
      <c r="E365" s="31">
        <v>0</v>
      </c>
      <c r="F365" s="31">
        <v>0</v>
      </c>
      <c r="G365" s="31">
        <v>42</v>
      </c>
      <c r="H365" s="31">
        <v>162</v>
      </c>
      <c r="I365" s="110">
        <f t="shared" si="40"/>
        <v>0.00760569248685995</v>
      </c>
      <c r="J365" s="111">
        <f t="shared" si="44"/>
        <v>0.908581050740907</v>
      </c>
      <c r="K365" s="111">
        <f t="shared" si="37"/>
        <v>6.91038807132343</v>
      </c>
      <c r="L365" s="111">
        <f t="shared" si="42"/>
        <v>0</v>
      </c>
      <c r="M365" s="112">
        <f t="shared" si="43"/>
        <v>0</v>
      </c>
    </row>
    <row r="366" ht="13.85" spans="1:13">
      <c r="A366" s="52">
        <v>45525</v>
      </c>
      <c r="B366" s="102">
        <v>2018</v>
      </c>
      <c r="C366" s="31">
        <v>233787</v>
      </c>
      <c r="D366" s="31">
        <v>2198</v>
      </c>
      <c r="E366" s="31">
        <v>0</v>
      </c>
      <c r="F366" s="31">
        <v>0</v>
      </c>
      <c r="G366" s="31">
        <v>34</v>
      </c>
      <c r="H366" s="31">
        <v>145</v>
      </c>
      <c r="I366" s="110">
        <f t="shared" si="40"/>
        <v>0.00940172036939608</v>
      </c>
      <c r="J366" s="111">
        <f t="shared" si="44"/>
        <v>0.91810737033667</v>
      </c>
      <c r="K366" s="111">
        <f t="shared" si="37"/>
        <v>8.63178876498693</v>
      </c>
      <c r="L366" s="111">
        <f t="shared" si="42"/>
        <v>0</v>
      </c>
      <c r="M366" s="112">
        <f t="shared" si="43"/>
        <v>0</v>
      </c>
    </row>
    <row r="367" ht="13.85" spans="1:13">
      <c r="A367" s="52">
        <v>45526</v>
      </c>
      <c r="B367" s="102">
        <v>2018.91</v>
      </c>
      <c r="C367" s="31">
        <v>310965</v>
      </c>
      <c r="D367" s="31">
        <v>2429</v>
      </c>
      <c r="E367" s="31">
        <v>1</v>
      </c>
      <c r="F367" s="31">
        <v>11954</v>
      </c>
      <c r="G367" s="31">
        <v>56</v>
      </c>
      <c r="H367" s="31">
        <v>165</v>
      </c>
      <c r="I367" s="110">
        <f t="shared" si="40"/>
        <v>0.00781116845947293</v>
      </c>
      <c r="J367" s="111">
        <f t="shared" si="44"/>
        <v>0.831169205434335</v>
      </c>
      <c r="K367" s="111">
        <f t="shared" si="37"/>
        <v>6.49240268197386</v>
      </c>
      <c r="L367" s="111">
        <f t="shared" si="42"/>
        <v>5.92101678628567</v>
      </c>
      <c r="M367" s="112">
        <f t="shared" si="43"/>
        <v>0.000411692054343351</v>
      </c>
    </row>
    <row r="368" ht="13.85" spans="1:13">
      <c r="A368" s="52">
        <v>45527</v>
      </c>
      <c r="B368" s="102">
        <v>2059.99</v>
      </c>
      <c r="C368" s="31">
        <v>275204</v>
      </c>
      <c r="D368" s="31">
        <v>2276</v>
      </c>
      <c r="E368" s="31">
        <v>6</v>
      </c>
      <c r="F368" s="31">
        <v>38190.98</v>
      </c>
      <c r="G368" s="31">
        <v>46</v>
      </c>
      <c r="H368" s="31">
        <v>160</v>
      </c>
      <c r="I368" s="110">
        <f t="shared" si="40"/>
        <v>0.00827022863039781</v>
      </c>
      <c r="J368" s="111">
        <f t="shared" si="44"/>
        <v>0.905092267135325</v>
      </c>
      <c r="K368" s="111">
        <f t="shared" si="37"/>
        <v>7.48531998081423</v>
      </c>
      <c r="L368" s="111">
        <f t="shared" si="42"/>
        <v>18.5394006767023</v>
      </c>
      <c r="M368" s="112">
        <f t="shared" si="43"/>
        <v>0.00263620386643234</v>
      </c>
    </row>
    <row r="369" ht="13.85" spans="1:13">
      <c r="A369" s="52">
        <v>45528</v>
      </c>
      <c r="B369" s="102">
        <v>2096.22</v>
      </c>
      <c r="C369" s="31">
        <v>279692</v>
      </c>
      <c r="D369" s="31">
        <v>2746</v>
      </c>
      <c r="E369" s="31">
        <v>3</v>
      </c>
      <c r="F369" s="31">
        <v>33612</v>
      </c>
      <c r="G369" s="31">
        <v>54</v>
      </c>
      <c r="H369" s="31">
        <v>205</v>
      </c>
      <c r="I369" s="110">
        <f t="shared" si="40"/>
        <v>0.00981794259399625</v>
      </c>
      <c r="J369" s="111">
        <f t="shared" si="44"/>
        <v>0.763372177713037</v>
      </c>
      <c r="K369" s="111">
        <f t="shared" si="37"/>
        <v>7.4947442186405</v>
      </c>
      <c r="L369" s="111">
        <f t="shared" si="42"/>
        <v>16.0345765234565</v>
      </c>
      <c r="M369" s="112">
        <f t="shared" si="43"/>
        <v>0.0010924981791697</v>
      </c>
    </row>
    <row r="370" ht="13.85" spans="1:13">
      <c r="A370" s="52">
        <v>45529</v>
      </c>
      <c r="B370" s="102">
        <v>2071.88</v>
      </c>
      <c r="C370" s="31">
        <v>289047</v>
      </c>
      <c r="D370" s="31">
        <v>2493</v>
      </c>
      <c r="E370" s="31">
        <v>0</v>
      </c>
      <c r="F370" s="31">
        <v>0</v>
      </c>
      <c r="G370" s="31">
        <v>50</v>
      </c>
      <c r="H370" s="31">
        <v>226</v>
      </c>
      <c r="I370" s="110">
        <f t="shared" si="40"/>
        <v>0.008624894913284</v>
      </c>
      <c r="J370" s="111">
        <f t="shared" si="44"/>
        <v>0.831079021259527</v>
      </c>
      <c r="K370" s="111">
        <f t="shared" si="37"/>
        <v>7.16796922299834</v>
      </c>
      <c r="L370" s="111">
        <f t="shared" si="42"/>
        <v>0</v>
      </c>
      <c r="M370" s="112">
        <f t="shared" si="43"/>
        <v>0</v>
      </c>
    </row>
    <row r="371" ht="13.85" spans="1:13">
      <c r="A371" s="52">
        <v>45530</v>
      </c>
      <c r="B371" s="102">
        <v>3250.79</v>
      </c>
      <c r="C371" s="31">
        <v>630574</v>
      </c>
      <c r="D371" s="31">
        <v>5372</v>
      </c>
      <c r="E371" s="31">
        <v>4</v>
      </c>
      <c r="F371" s="31">
        <v>41391</v>
      </c>
      <c r="G371" s="31">
        <v>61</v>
      </c>
      <c r="H371" s="31">
        <v>233</v>
      </c>
      <c r="I371" s="110">
        <f t="shared" si="40"/>
        <v>0.00851922216900792</v>
      </c>
      <c r="J371" s="111">
        <f t="shared" si="44"/>
        <v>0.605135889798958</v>
      </c>
      <c r="K371" s="111">
        <f t="shared" si="37"/>
        <v>5.15528708763761</v>
      </c>
      <c r="L371" s="111">
        <f t="shared" si="42"/>
        <v>12.7325973071161</v>
      </c>
      <c r="M371" s="112">
        <f t="shared" si="43"/>
        <v>0.000744601638123604</v>
      </c>
    </row>
    <row r="372" ht="13.85" spans="1:13">
      <c r="A372" s="52">
        <v>45531</v>
      </c>
      <c r="B372" s="102">
        <v>2909.4</v>
      </c>
      <c r="C372" s="31">
        <v>1173909</v>
      </c>
      <c r="D372" s="31">
        <v>5895</v>
      </c>
      <c r="E372" s="31">
        <v>0</v>
      </c>
      <c r="F372" s="31">
        <v>0</v>
      </c>
      <c r="G372" s="31">
        <v>59</v>
      </c>
      <c r="H372" s="31">
        <v>207</v>
      </c>
      <c r="I372" s="110">
        <f t="shared" si="40"/>
        <v>0.0050216839635781</v>
      </c>
      <c r="J372" s="111">
        <f t="shared" si="44"/>
        <v>0.4935368956743</v>
      </c>
      <c r="K372" s="111">
        <f t="shared" si="37"/>
        <v>2.47838631444175</v>
      </c>
      <c r="L372" s="111">
        <f t="shared" si="42"/>
        <v>0</v>
      </c>
      <c r="M372" s="112">
        <f t="shared" si="43"/>
        <v>0</v>
      </c>
    </row>
    <row r="373" ht="13.85" spans="1:13">
      <c r="A373" s="52">
        <v>45532</v>
      </c>
      <c r="B373" s="102">
        <v>3405.01</v>
      </c>
      <c r="C373" s="31">
        <v>796156</v>
      </c>
      <c r="D373" s="31">
        <v>5486</v>
      </c>
      <c r="E373" s="31">
        <v>3</v>
      </c>
      <c r="F373" s="31">
        <v>60710</v>
      </c>
      <c r="G373" s="31">
        <v>54</v>
      </c>
      <c r="H373" s="31">
        <v>207</v>
      </c>
      <c r="I373" s="110">
        <f t="shared" si="40"/>
        <v>0.00689060937806159</v>
      </c>
      <c r="J373" s="111">
        <f t="shared" si="44"/>
        <v>0.620672621217645</v>
      </c>
      <c r="K373" s="111">
        <f t="shared" si="37"/>
        <v>4.27681258446837</v>
      </c>
      <c r="L373" s="111">
        <f t="shared" si="42"/>
        <v>17.8296098983557</v>
      </c>
      <c r="M373" s="112">
        <f t="shared" si="43"/>
        <v>0.000546846518410499</v>
      </c>
    </row>
    <row r="374" ht="13.85" spans="1:13">
      <c r="A374" s="52">
        <v>45533</v>
      </c>
      <c r="B374" s="102">
        <v>2879.27</v>
      </c>
      <c r="C374" s="31">
        <v>506628</v>
      </c>
      <c r="D374" s="31">
        <v>3942</v>
      </c>
      <c r="E374" s="31">
        <v>1</v>
      </c>
      <c r="F374" s="31">
        <v>9.9</v>
      </c>
      <c r="G374" s="31">
        <v>58</v>
      </c>
      <c r="H374" s="31">
        <v>210</v>
      </c>
      <c r="I374" s="110">
        <f t="shared" si="40"/>
        <v>0.00778085696013643</v>
      </c>
      <c r="J374" s="111">
        <f t="shared" si="44"/>
        <v>0.730408422120751</v>
      </c>
      <c r="K374" s="111">
        <f t="shared" si="37"/>
        <v>5.68320345500051</v>
      </c>
      <c r="L374" s="111">
        <f t="shared" si="42"/>
        <v>0.00343837153167296</v>
      </c>
      <c r="M374" s="112">
        <f t="shared" si="43"/>
        <v>0.000253678335870117</v>
      </c>
    </row>
    <row r="375" ht="13.85" spans="1:13">
      <c r="A375" s="52">
        <v>45534</v>
      </c>
      <c r="B375" s="102">
        <v>2918.51</v>
      </c>
      <c r="C375" s="31">
        <v>303695</v>
      </c>
      <c r="D375" s="31">
        <v>2902</v>
      </c>
      <c r="E375" s="31">
        <v>0</v>
      </c>
      <c r="F375" s="31">
        <v>0</v>
      </c>
      <c r="G375" s="31">
        <v>63</v>
      </c>
      <c r="H375" s="31">
        <v>178</v>
      </c>
      <c r="I375" s="110">
        <f t="shared" si="40"/>
        <v>0.0095556397043086</v>
      </c>
      <c r="J375" s="111">
        <f t="shared" si="44"/>
        <v>1.00568917987595</v>
      </c>
      <c r="K375" s="111">
        <f t="shared" si="37"/>
        <v>9.61000345741616</v>
      </c>
      <c r="L375" s="111">
        <f t="shared" si="42"/>
        <v>0</v>
      </c>
      <c r="M375" s="112">
        <f t="shared" si="43"/>
        <v>0</v>
      </c>
    </row>
    <row r="376" ht="13.85" spans="1:13">
      <c r="A376" s="52">
        <v>45535</v>
      </c>
      <c r="B376" s="102">
        <v>4894.85</v>
      </c>
      <c r="C376" s="31">
        <v>673377</v>
      </c>
      <c r="D376" s="31">
        <v>5438</v>
      </c>
      <c r="E376" s="31">
        <v>1</v>
      </c>
      <c r="F376" s="31">
        <v>14067</v>
      </c>
      <c r="G376" s="31">
        <v>104</v>
      </c>
      <c r="H376" s="31">
        <v>287</v>
      </c>
      <c r="I376" s="110">
        <f t="shared" si="40"/>
        <v>0.00807571390172221</v>
      </c>
      <c r="J376" s="111">
        <f t="shared" si="44"/>
        <v>0.900119529238691</v>
      </c>
      <c r="K376" s="111">
        <f t="shared" si="37"/>
        <v>7.26910779548455</v>
      </c>
      <c r="L376" s="111">
        <f t="shared" si="42"/>
        <v>2.87383678764416</v>
      </c>
      <c r="M376" s="112">
        <f t="shared" si="43"/>
        <v>0.000183891136447223</v>
      </c>
    </row>
    <row r="377" ht="13.85" spans="1:13">
      <c r="A377" s="52">
        <v>45536</v>
      </c>
      <c r="B377" s="102">
        <v>5016.32</v>
      </c>
      <c r="C377" s="31">
        <v>673699</v>
      </c>
      <c r="D377" s="31">
        <v>5848</v>
      </c>
      <c r="E377" s="31">
        <v>1</v>
      </c>
      <c r="F377" s="31">
        <v>9.9</v>
      </c>
      <c r="G377" s="31">
        <v>106</v>
      </c>
      <c r="H377" s="31">
        <v>273</v>
      </c>
      <c r="I377" s="110">
        <f t="shared" si="40"/>
        <v>0.00868043443733774</v>
      </c>
      <c r="J377" s="111">
        <f t="shared" si="44"/>
        <v>0.857783857729138</v>
      </c>
      <c r="K377" s="111">
        <f t="shared" si="37"/>
        <v>7.44593653842443</v>
      </c>
      <c r="L377" s="111">
        <f t="shared" si="42"/>
        <v>0.00197355830569023</v>
      </c>
      <c r="M377" s="112">
        <f t="shared" si="43"/>
        <v>0.000170998632010944</v>
      </c>
    </row>
    <row r="378" ht="13.85" spans="1:13">
      <c r="A378" s="52">
        <v>45537</v>
      </c>
      <c r="B378" s="102">
        <v>5162.59</v>
      </c>
      <c r="C378" s="31">
        <v>854988</v>
      </c>
      <c r="D378" s="31">
        <v>6048</v>
      </c>
      <c r="E378" s="31">
        <v>1</v>
      </c>
      <c r="F378" s="31">
        <v>9.9</v>
      </c>
      <c r="G378" s="31">
        <v>92</v>
      </c>
      <c r="H378" s="31">
        <v>257</v>
      </c>
      <c r="I378" s="110">
        <f t="shared" si="40"/>
        <v>0.00707378349169813</v>
      </c>
      <c r="J378" s="111">
        <f t="shared" si="44"/>
        <v>0.853602843915344</v>
      </c>
      <c r="K378" s="111">
        <f t="shared" si="37"/>
        <v>6.03820170575493</v>
      </c>
      <c r="L378" s="111">
        <f t="shared" si="42"/>
        <v>0.00191764211374523</v>
      </c>
      <c r="M378" s="112">
        <f t="shared" si="43"/>
        <v>0.000165343915343915</v>
      </c>
    </row>
    <row r="379" ht="13.85" spans="1:13">
      <c r="A379" s="52">
        <v>45538</v>
      </c>
      <c r="B379" s="102">
        <v>5662.32</v>
      </c>
      <c r="C379" s="31">
        <v>982775</v>
      </c>
      <c r="D379" s="31">
        <v>7451</v>
      </c>
      <c r="E379" s="31">
        <v>1</v>
      </c>
      <c r="F379" s="31">
        <v>9274</v>
      </c>
      <c r="G379" s="31">
        <v>81</v>
      </c>
      <c r="H379" s="31">
        <v>256</v>
      </c>
      <c r="I379" s="110">
        <f t="shared" si="40"/>
        <v>0.00758159293836331</v>
      </c>
      <c r="J379" s="111">
        <f t="shared" si="44"/>
        <v>0.759940947523822</v>
      </c>
      <c r="K379" s="111">
        <f t="shared" si="37"/>
        <v>5.76156292131973</v>
      </c>
      <c r="L379" s="111">
        <f t="shared" si="42"/>
        <v>1.63784455841422</v>
      </c>
      <c r="M379" s="112">
        <f t="shared" si="43"/>
        <v>0.000134210173131123</v>
      </c>
    </row>
    <row r="380" ht="13.85" spans="1:13">
      <c r="A380" s="52">
        <v>45539</v>
      </c>
      <c r="B380" s="102">
        <v>4628</v>
      </c>
      <c r="C380" s="31">
        <v>1010853</v>
      </c>
      <c r="D380" s="31">
        <v>6884</v>
      </c>
      <c r="E380" s="31">
        <v>0</v>
      </c>
      <c r="F380" s="31">
        <v>0</v>
      </c>
      <c r="G380" s="31">
        <v>85</v>
      </c>
      <c r="H380" s="31">
        <v>243</v>
      </c>
      <c r="I380" s="110">
        <f t="shared" si="40"/>
        <v>0.00681009009222904</v>
      </c>
      <c r="J380" s="111">
        <f t="shared" si="44"/>
        <v>0.672283556072051</v>
      </c>
      <c r="K380" s="111">
        <f t="shared" ref="K380:K443" si="45">B380/C380*1000</f>
        <v>4.57831158437478</v>
      </c>
      <c r="L380" s="111">
        <f t="shared" si="42"/>
        <v>0</v>
      </c>
      <c r="M380" s="112">
        <f t="shared" si="43"/>
        <v>0</v>
      </c>
    </row>
    <row r="381" ht="13.85" spans="1:13">
      <c r="A381" s="52">
        <v>45540</v>
      </c>
      <c r="B381" s="102">
        <v>4678.11</v>
      </c>
      <c r="C381" s="31">
        <v>597299</v>
      </c>
      <c r="D381" s="31">
        <v>4706</v>
      </c>
      <c r="E381" s="31">
        <v>2</v>
      </c>
      <c r="F381" s="31">
        <v>12943.9</v>
      </c>
      <c r="G381" s="31">
        <v>75</v>
      </c>
      <c r="H381" s="31">
        <v>252</v>
      </c>
      <c r="I381" s="110">
        <f t="shared" si="40"/>
        <v>0.00787880106948111</v>
      </c>
      <c r="J381" s="111">
        <f t="shared" si="44"/>
        <v>0.994073523161921</v>
      </c>
      <c r="K381" s="111">
        <f t="shared" si="45"/>
        <v>7.832107537431</v>
      </c>
      <c r="L381" s="111">
        <f t="shared" si="42"/>
        <v>2.76690800344584</v>
      </c>
      <c r="M381" s="112">
        <f t="shared" si="43"/>
        <v>0.000424989375265618</v>
      </c>
    </row>
    <row r="382" ht="13.85" spans="1:13">
      <c r="A382" s="52">
        <v>45541</v>
      </c>
      <c r="B382" s="102">
        <v>4665.3</v>
      </c>
      <c r="C382" s="31">
        <v>679535</v>
      </c>
      <c r="D382" s="31">
        <v>5093</v>
      </c>
      <c r="E382" s="31">
        <v>0</v>
      </c>
      <c r="F382" s="31">
        <v>0</v>
      </c>
      <c r="G382" s="31">
        <v>97</v>
      </c>
      <c r="H382" s="31">
        <v>267</v>
      </c>
      <c r="I382" s="110">
        <f t="shared" si="40"/>
        <v>0.00749483102415622</v>
      </c>
      <c r="J382" s="111">
        <f t="shared" si="44"/>
        <v>0.916021990967995</v>
      </c>
      <c r="K382" s="111">
        <f t="shared" si="45"/>
        <v>6.86543003671628</v>
      </c>
      <c r="L382" s="111">
        <f t="shared" si="42"/>
        <v>0</v>
      </c>
      <c r="M382" s="112">
        <f t="shared" si="43"/>
        <v>0</v>
      </c>
    </row>
    <row r="383" ht="13.85" spans="1:13">
      <c r="A383" s="52">
        <v>45542</v>
      </c>
      <c r="B383" s="102">
        <v>4695.88</v>
      </c>
      <c r="C383" s="31">
        <v>519692</v>
      </c>
      <c r="D383" s="31">
        <v>4943</v>
      </c>
      <c r="E383" s="31">
        <v>0</v>
      </c>
      <c r="F383" s="31">
        <v>0</v>
      </c>
      <c r="G383" s="31">
        <v>67</v>
      </c>
      <c r="H383" s="31">
        <v>347</v>
      </c>
      <c r="I383" s="110">
        <f t="shared" si="40"/>
        <v>0.0095114029078762</v>
      </c>
      <c r="J383" s="111">
        <f t="shared" si="44"/>
        <v>0.950006069188752</v>
      </c>
      <c r="K383" s="111">
        <f t="shared" si="45"/>
        <v>9.03589048898194</v>
      </c>
      <c r="L383" s="111">
        <f t="shared" si="42"/>
        <v>0</v>
      </c>
      <c r="M383" s="112">
        <f t="shared" si="43"/>
        <v>0</v>
      </c>
    </row>
    <row r="384" ht="13.85" spans="1:13">
      <c r="A384" s="52">
        <v>45543</v>
      </c>
      <c r="B384" s="102">
        <v>2894.91</v>
      </c>
      <c r="C384" s="31">
        <v>349861</v>
      </c>
      <c r="D384" s="31">
        <v>3157</v>
      </c>
      <c r="E384" s="31">
        <v>0</v>
      </c>
      <c r="F384" s="31">
        <v>0</v>
      </c>
      <c r="G384" s="31">
        <v>46</v>
      </c>
      <c r="H384" s="31">
        <v>172</v>
      </c>
      <c r="I384" s="110">
        <f t="shared" si="40"/>
        <v>0.00902358365179314</v>
      </c>
      <c r="J384" s="111">
        <f t="shared" si="44"/>
        <v>0.916981311371555</v>
      </c>
      <c r="K384" s="111">
        <f t="shared" si="45"/>
        <v>8.2744575702922</v>
      </c>
      <c r="L384" s="111">
        <f t="shared" si="42"/>
        <v>0</v>
      </c>
      <c r="M384" s="112">
        <f t="shared" si="43"/>
        <v>0</v>
      </c>
    </row>
    <row r="385" ht="13.85" spans="1:13">
      <c r="A385" s="52">
        <v>45544</v>
      </c>
      <c r="B385" s="102">
        <v>4437.44</v>
      </c>
      <c r="C385" s="31">
        <v>470435</v>
      </c>
      <c r="D385" s="31">
        <v>3798</v>
      </c>
      <c r="E385" s="31">
        <v>2</v>
      </c>
      <c r="F385" s="31">
        <v>11163</v>
      </c>
      <c r="G385" s="31">
        <v>58</v>
      </c>
      <c r="H385" s="31">
        <v>161</v>
      </c>
      <c r="I385" s="110">
        <f t="shared" si="40"/>
        <v>0.00807337889400236</v>
      </c>
      <c r="J385" s="111">
        <f t="shared" si="44"/>
        <v>1.16836229594523</v>
      </c>
      <c r="K385" s="111">
        <f t="shared" si="45"/>
        <v>9.43263150063239</v>
      </c>
      <c r="L385" s="111">
        <f t="shared" si="42"/>
        <v>2.51563964808538</v>
      </c>
      <c r="M385" s="112">
        <f t="shared" si="43"/>
        <v>0.000526592943654555</v>
      </c>
    </row>
    <row r="386" ht="13.85" spans="1:13">
      <c r="A386" s="52">
        <v>45545</v>
      </c>
      <c r="B386" s="102">
        <v>4094.17</v>
      </c>
      <c r="C386" s="31">
        <v>412207</v>
      </c>
      <c r="D386" s="31">
        <v>3242</v>
      </c>
      <c r="E386" s="31">
        <v>0</v>
      </c>
      <c r="F386" s="31">
        <v>0</v>
      </c>
      <c r="G386" s="31">
        <v>55</v>
      </c>
      <c r="H386" s="31">
        <v>154</v>
      </c>
      <c r="I386" s="110">
        <f t="shared" si="40"/>
        <v>0.00786498045884713</v>
      </c>
      <c r="J386" s="111">
        <f t="shared" si="44"/>
        <v>1.2628531770512</v>
      </c>
      <c r="K386" s="111">
        <f t="shared" si="45"/>
        <v>9.93231555990073</v>
      </c>
      <c r="L386" s="111">
        <f t="shared" si="42"/>
        <v>0</v>
      </c>
      <c r="M386" s="112">
        <f t="shared" si="43"/>
        <v>0</v>
      </c>
    </row>
    <row r="387" ht="13.85" spans="1:13">
      <c r="A387" s="52">
        <v>45546</v>
      </c>
      <c r="B387" s="102">
        <v>4196.4</v>
      </c>
      <c r="C387" s="31">
        <v>455032</v>
      </c>
      <c r="D387" s="31">
        <v>3592</v>
      </c>
      <c r="E387" s="31">
        <v>1</v>
      </c>
      <c r="F387" s="31">
        <v>16081</v>
      </c>
      <c r="G387" s="31">
        <v>44</v>
      </c>
      <c r="H387" s="31">
        <v>162</v>
      </c>
      <c r="I387" s="110">
        <f t="shared" si="40"/>
        <v>0.0078939503155822</v>
      </c>
      <c r="J387" s="111">
        <f t="shared" si="44"/>
        <v>1.16826280623608</v>
      </c>
      <c r="K387" s="111">
        <f t="shared" si="45"/>
        <v>9.22220854797025</v>
      </c>
      <c r="L387" s="111">
        <f t="shared" si="42"/>
        <v>3.83209417596035</v>
      </c>
      <c r="M387" s="112">
        <f t="shared" si="43"/>
        <v>0.000278396436525612</v>
      </c>
    </row>
    <row r="388" ht="13.85" spans="1:13">
      <c r="A388" s="52">
        <v>45547</v>
      </c>
      <c r="B388" s="102">
        <v>3948.18</v>
      </c>
      <c r="C388" s="31">
        <v>766712</v>
      </c>
      <c r="D388" s="31">
        <v>5439</v>
      </c>
      <c r="E388" s="31">
        <v>0</v>
      </c>
      <c r="F388" s="31">
        <v>0</v>
      </c>
      <c r="G388" s="31">
        <v>54</v>
      </c>
      <c r="H388" s="31">
        <v>151</v>
      </c>
      <c r="I388" s="110">
        <f t="shared" si="40"/>
        <v>0.00709392835901877</v>
      </c>
      <c r="J388" s="111">
        <f t="shared" si="44"/>
        <v>0.725901820187534</v>
      </c>
      <c r="K388" s="111">
        <f t="shared" si="45"/>
        <v>5.14949550809169</v>
      </c>
      <c r="L388" s="111">
        <f t="shared" si="42"/>
        <v>0</v>
      </c>
      <c r="M388" s="112">
        <f t="shared" si="43"/>
        <v>0</v>
      </c>
    </row>
    <row r="389" ht="13.85" spans="1:13">
      <c r="A389" s="52">
        <v>45548</v>
      </c>
      <c r="B389" s="102">
        <v>4124</v>
      </c>
      <c r="C389" s="31">
        <v>499056</v>
      </c>
      <c r="D389" s="31">
        <v>3941</v>
      </c>
      <c r="E389" s="31">
        <v>2</v>
      </c>
      <c r="F389" s="31">
        <v>14656</v>
      </c>
      <c r="G389" s="31">
        <v>40</v>
      </c>
      <c r="H389" s="31">
        <v>162</v>
      </c>
      <c r="I389" s="110">
        <f t="shared" si="40"/>
        <v>0.0078969093648809</v>
      </c>
      <c r="J389" s="111">
        <f t="shared" si="44"/>
        <v>1.04643491499619</v>
      </c>
      <c r="K389" s="111">
        <f t="shared" si="45"/>
        <v>8.26360167997179</v>
      </c>
      <c r="L389" s="111">
        <f t="shared" si="42"/>
        <v>3.55383123181377</v>
      </c>
      <c r="M389" s="112">
        <f t="shared" si="43"/>
        <v>0.000507485409794468</v>
      </c>
    </row>
    <row r="390" ht="13.85" spans="1:13">
      <c r="A390" s="52">
        <v>45549</v>
      </c>
      <c r="B390" s="102">
        <v>4095.21</v>
      </c>
      <c r="C390" s="31">
        <v>428905</v>
      </c>
      <c r="D390" s="31">
        <v>3763</v>
      </c>
      <c r="E390" s="31">
        <v>0</v>
      </c>
      <c r="F390" s="31">
        <v>0</v>
      </c>
      <c r="G390" s="31">
        <v>56</v>
      </c>
      <c r="H390" s="31">
        <v>165</v>
      </c>
      <c r="I390" s="110">
        <f t="shared" si="40"/>
        <v>0.00877350462223569</v>
      </c>
      <c r="J390" s="111">
        <f t="shared" si="44"/>
        <v>1.08828328461334</v>
      </c>
      <c r="K390" s="111">
        <f t="shared" si="45"/>
        <v>9.54805842785698</v>
      </c>
      <c r="L390" s="111">
        <f t="shared" si="42"/>
        <v>0</v>
      </c>
      <c r="M390" s="112">
        <f t="shared" si="43"/>
        <v>0</v>
      </c>
    </row>
    <row r="391" ht="13.85" spans="1:13">
      <c r="A391" s="52">
        <v>45550</v>
      </c>
      <c r="B391" s="102">
        <v>4328.09</v>
      </c>
      <c r="C391" s="31">
        <v>296531</v>
      </c>
      <c r="D391" s="31">
        <v>3983</v>
      </c>
      <c r="E391" s="31">
        <v>0</v>
      </c>
      <c r="F391" s="31">
        <v>0</v>
      </c>
      <c r="G391" s="31">
        <v>42</v>
      </c>
      <c r="H391" s="31">
        <v>162</v>
      </c>
      <c r="I391" s="110">
        <f t="shared" si="40"/>
        <v>0.0134319851887324</v>
      </c>
      <c r="J391" s="111">
        <f t="shared" si="44"/>
        <v>1.08664072307306</v>
      </c>
      <c r="K391" s="111">
        <f t="shared" si="45"/>
        <v>14.5957420977908</v>
      </c>
      <c r="L391" s="111">
        <f t="shared" si="42"/>
        <v>0</v>
      </c>
      <c r="M391" s="112">
        <f t="shared" si="43"/>
        <v>0</v>
      </c>
    </row>
    <row r="392" ht="13.85" spans="1:13">
      <c r="A392" s="52">
        <v>45551</v>
      </c>
      <c r="B392" s="102">
        <v>3820.78</v>
      </c>
      <c r="C392" s="31">
        <v>386142</v>
      </c>
      <c r="D392" s="31">
        <v>3808</v>
      </c>
      <c r="E392" s="31">
        <v>0</v>
      </c>
      <c r="F392" s="31">
        <v>0</v>
      </c>
      <c r="G392" s="31">
        <v>58</v>
      </c>
      <c r="H392" s="31">
        <v>176</v>
      </c>
      <c r="I392" s="110">
        <f t="shared" si="40"/>
        <v>0.00986165711059662</v>
      </c>
      <c r="J392" s="111">
        <f t="shared" si="44"/>
        <v>1.00335609243697</v>
      </c>
      <c r="K392" s="111">
        <f t="shared" si="45"/>
        <v>9.89475374344153</v>
      </c>
      <c r="L392" s="111">
        <f t="shared" si="42"/>
        <v>0</v>
      </c>
      <c r="M392" s="112">
        <f t="shared" si="43"/>
        <v>0</v>
      </c>
    </row>
    <row r="393" ht="13.85" spans="1:13">
      <c r="A393" s="52">
        <v>45552</v>
      </c>
      <c r="B393" s="102">
        <v>3504.79</v>
      </c>
      <c r="C393" s="31">
        <v>425727</v>
      </c>
      <c r="D393" s="31">
        <v>3513</v>
      </c>
      <c r="E393" s="31">
        <v>0</v>
      </c>
      <c r="F393" s="31">
        <v>0</v>
      </c>
      <c r="G393" s="31">
        <v>35</v>
      </c>
      <c r="H393" s="31">
        <v>108</v>
      </c>
      <c r="I393" s="110">
        <f t="shared" ref="I393:I456" si="46">D393/C393</f>
        <v>0.0082517669774292</v>
      </c>
      <c r="J393" s="111">
        <f t="shared" si="44"/>
        <v>0.997662966125818</v>
      </c>
      <c r="K393" s="111">
        <f t="shared" si="45"/>
        <v>8.23248231848109</v>
      </c>
      <c r="L393" s="111">
        <f t="shared" ref="L393:L456" si="47">F393/B393</f>
        <v>0</v>
      </c>
      <c r="M393" s="112">
        <f t="shared" ref="M393:M456" si="48">E393/D393</f>
        <v>0</v>
      </c>
    </row>
    <row r="394" ht="13.85" spans="1:13">
      <c r="A394" s="52">
        <v>45553</v>
      </c>
      <c r="B394" s="102">
        <v>3795.47</v>
      </c>
      <c r="C394" s="31">
        <v>400107</v>
      </c>
      <c r="D394" s="31">
        <v>3602</v>
      </c>
      <c r="E394" s="31">
        <v>0</v>
      </c>
      <c r="F394" s="31">
        <v>0</v>
      </c>
      <c r="G394" s="31">
        <v>35</v>
      </c>
      <c r="H394" s="31">
        <v>108</v>
      </c>
      <c r="I394" s="110">
        <f t="shared" si="46"/>
        <v>0.00900259180669171</v>
      </c>
      <c r="J394" s="111">
        <f t="shared" si="44"/>
        <v>1.05371182676291</v>
      </c>
      <c r="K394" s="111">
        <f t="shared" si="45"/>
        <v>9.48613745822992</v>
      </c>
      <c r="L394" s="111">
        <f t="shared" si="47"/>
        <v>0</v>
      </c>
      <c r="M394" s="112">
        <f t="shared" si="48"/>
        <v>0</v>
      </c>
    </row>
    <row r="395" ht="13.85" spans="1:13">
      <c r="A395" s="52">
        <v>45554</v>
      </c>
      <c r="B395" s="102">
        <v>3752.26</v>
      </c>
      <c r="C395" s="31">
        <v>464379</v>
      </c>
      <c r="D395" s="31">
        <v>3318</v>
      </c>
      <c r="E395" s="31">
        <v>0</v>
      </c>
      <c r="F395" s="31">
        <v>0</v>
      </c>
      <c r="G395" s="31">
        <v>59</v>
      </c>
      <c r="H395" s="31">
        <v>114</v>
      </c>
      <c r="I395" s="110">
        <f t="shared" si="46"/>
        <v>0.00714502593786541</v>
      </c>
      <c r="J395" s="111">
        <f t="shared" si="44"/>
        <v>1.13088004822182</v>
      </c>
      <c r="K395" s="111">
        <f t="shared" si="45"/>
        <v>8.08016727715939</v>
      </c>
      <c r="L395" s="111">
        <f t="shared" si="47"/>
        <v>0</v>
      </c>
      <c r="M395" s="112">
        <f t="shared" si="48"/>
        <v>0</v>
      </c>
    </row>
    <row r="396" ht="13.85" spans="1:13">
      <c r="A396" s="52">
        <v>45555</v>
      </c>
      <c r="B396" s="102">
        <v>3782.65</v>
      </c>
      <c r="C396" s="31">
        <v>370833</v>
      </c>
      <c r="D396" s="31">
        <v>3112</v>
      </c>
      <c r="E396" s="31">
        <v>1</v>
      </c>
      <c r="F396" s="31">
        <v>14256</v>
      </c>
      <c r="G396" s="31">
        <v>51</v>
      </c>
      <c r="H396" s="31">
        <v>137</v>
      </c>
      <c r="I396" s="110">
        <f t="shared" si="46"/>
        <v>0.00839191765565632</v>
      </c>
      <c r="J396" s="111">
        <f t="shared" si="44"/>
        <v>1.21550449871465</v>
      </c>
      <c r="K396" s="111">
        <f t="shared" si="45"/>
        <v>10.2004136632932</v>
      </c>
      <c r="L396" s="111">
        <f t="shared" si="47"/>
        <v>3.76878643279183</v>
      </c>
      <c r="M396" s="112">
        <f t="shared" si="48"/>
        <v>0.00032133676092545</v>
      </c>
    </row>
    <row r="397" ht="13.85" spans="1:13">
      <c r="A397" s="52">
        <v>45556</v>
      </c>
      <c r="B397" s="102">
        <v>3851.8</v>
      </c>
      <c r="C397" s="31">
        <v>224015</v>
      </c>
      <c r="D397" s="31">
        <v>2485</v>
      </c>
      <c r="E397" s="31">
        <v>0</v>
      </c>
      <c r="F397" s="31">
        <v>0</v>
      </c>
      <c r="G397" s="31">
        <v>39</v>
      </c>
      <c r="H397" s="31">
        <v>118</v>
      </c>
      <c r="I397" s="110">
        <f t="shared" si="46"/>
        <v>0.0110930071646988</v>
      </c>
      <c r="J397" s="111">
        <f t="shared" si="44"/>
        <v>1.55002012072435</v>
      </c>
      <c r="K397" s="111">
        <f t="shared" si="45"/>
        <v>17.1943843046225</v>
      </c>
      <c r="L397" s="111">
        <f t="shared" si="47"/>
        <v>0</v>
      </c>
      <c r="M397" s="112">
        <f t="shared" si="48"/>
        <v>0</v>
      </c>
    </row>
    <row r="398" ht="13.85" spans="1:13">
      <c r="A398" s="52">
        <v>45557</v>
      </c>
      <c r="B398" s="102">
        <v>1738.32</v>
      </c>
      <c r="C398" s="31">
        <v>310672</v>
      </c>
      <c r="D398" s="31">
        <v>2133</v>
      </c>
      <c r="E398" s="31">
        <v>1</v>
      </c>
      <c r="F398" s="31">
        <v>13954</v>
      </c>
      <c r="G398" s="31">
        <v>30</v>
      </c>
      <c r="H398" s="31">
        <v>92</v>
      </c>
      <c r="I398" s="110">
        <f t="shared" si="46"/>
        <v>0.00686576196116805</v>
      </c>
      <c r="J398" s="111">
        <f t="shared" si="44"/>
        <v>0.814964838255977</v>
      </c>
      <c r="K398" s="111">
        <f t="shared" si="45"/>
        <v>5.59535458618736</v>
      </c>
      <c r="L398" s="111">
        <f t="shared" si="47"/>
        <v>8.02729071747434</v>
      </c>
      <c r="M398" s="112">
        <f t="shared" si="48"/>
        <v>0.00046882325363338</v>
      </c>
    </row>
    <row r="399" ht="13.85" spans="1:13">
      <c r="A399" s="52">
        <v>45558</v>
      </c>
      <c r="B399" s="102">
        <v>1554.44</v>
      </c>
      <c r="C399" s="31">
        <v>276401</v>
      </c>
      <c r="D399" s="31">
        <v>1969</v>
      </c>
      <c r="E399" s="31">
        <v>0</v>
      </c>
      <c r="F399" s="31">
        <v>0</v>
      </c>
      <c r="G399" s="31">
        <v>31</v>
      </c>
      <c r="H399" s="31">
        <v>75</v>
      </c>
      <c r="I399" s="110">
        <f t="shared" si="46"/>
        <v>0.00712370794606387</v>
      </c>
      <c r="J399" s="111">
        <f t="shared" si="44"/>
        <v>0.789456576942611</v>
      </c>
      <c r="K399" s="111">
        <f t="shared" si="45"/>
        <v>5.62385809023846</v>
      </c>
      <c r="L399" s="111">
        <f t="shared" si="47"/>
        <v>0</v>
      </c>
      <c r="M399" s="112">
        <f t="shared" si="48"/>
        <v>0</v>
      </c>
    </row>
    <row r="400" ht="13.85" spans="1:13">
      <c r="A400" s="52">
        <v>45559</v>
      </c>
      <c r="B400" s="102">
        <v>1766.99</v>
      </c>
      <c r="C400" s="31">
        <v>231043</v>
      </c>
      <c r="D400" s="31">
        <v>1741</v>
      </c>
      <c r="E400" s="31">
        <v>0</v>
      </c>
      <c r="F400" s="31">
        <v>0</v>
      </c>
      <c r="G400" s="31">
        <v>23</v>
      </c>
      <c r="H400" s="31">
        <v>74</v>
      </c>
      <c r="I400" s="110">
        <f t="shared" si="46"/>
        <v>0.00753539384443588</v>
      </c>
      <c r="J400" s="111">
        <f t="shared" si="44"/>
        <v>1.01492820218265</v>
      </c>
      <c r="K400" s="111">
        <f t="shared" si="45"/>
        <v>7.64788372727155</v>
      </c>
      <c r="L400" s="111">
        <f t="shared" si="47"/>
        <v>0</v>
      </c>
      <c r="M400" s="112">
        <f t="shared" si="48"/>
        <v>0</v>
      </c>
    </row>
    <row r="401" ht="13.85" spans="1:13">
      <c r="A401" s="52">
        <v>45560</v>
      </c>
      <c r="B401" s="102">
        <v>1972.33</v>
      </c>
      <c r="C401" s="31">
        <v>149551</v>
      </c>
      <c r="D401" s="31">
        <v>1474</v>
      </c>
      <c r="E401" s="31">
        <v>2</v>
      </c>
      <c r="F401" s="31">
        <v>20151</v>
      </c>
      <c r="G401" s="31">
        <v>29</v>
      </c>
      <c r="H401" s="31">
        <v>43</v>
      </c>
      <c r="I401" s="110">
        <f t="shared" si="46"/>
        <v>0.00985616946727203</v>
      </c>
      <c r="J401" s="111">
        <f t="shared" ref="J401:J464" si="49">B401/D401</f>
        <v>1.33808005427408</v>
      </c>
      <c r="K401" s="111">
        <f t="shared" si="45"/>
        <v>13.1883437757019</v>
      </c>
      <c r="L401" s="111">
        <f t="shared" si="47"/>
        <v>10.21685012143</v>
      </c>
      <c r="M401" s="112">
        <f t="shared" si="48"/>
        <v>0.00135685210312076</v>
      </c>
    </row>
    <row r="402" ht="13.85" spans="1:13">
      <c r="A402" s="52">
        <v>45561</v>
      </c>
      <c r="B402" s="102">
        <v>1396.1</v>
      </c>
      <c r="C402" s="31">
        <v>167326</v>
      </c>
      <c r="D402" s="31">
        <v>1250</v>
      </c>
      <c r="E402" s="31">
        <v>1</v>
      </c>
      <c r="F402" s="31">
        <v>12327</v>
      </c>
      <c r="G402" s="31">
        <v>28</v>
      </c>
      <c r="H402" s="31">
        <v>63</v>
      </c>
      <c r="I402" s="110">
        <f t="shared" si="46"/>
        <v>0.00747044691201606</v>
      </c>
      <c r="J402" s="111">
        <f t="shared" si="49"/>
        <v>1.11688</v>
      </c>
      <c r="K402" s="111">
        <f t="shared" si="45"/>
        <v>8.3435927470925</v>
      </c>
      <c r="L402" s="111">
        <f t="shared" si="47"/>
        <v>8.82959673375833</v>
      </c>
      <c r="M402" s="112">
        <f t="shared" si="48"/>
        <v>0.0008</v>
      </c>
    </row>
    <row r="403" ht="13.85" spans="1:13">
      <c r="A403" s="52">
        <v>45562</v>
      </c>
      <c r="B403" s="102">
        <v>1534.33</v>
      </c>
      <c r="C403" s="31">
        <v>188680</v>
      </c>
      <c r="D403" s="31">
        <v>1324</v>
      </c>
      <c r="E403" s="31">
        <v>0</v>
      </c>
      <c r="F403" s="31">
        <v>0</v>
      </c>
      <c r="G403" s="31">
        <v>37</v>
      </c>
      <c r="H403" s="31">
        <v>84</v>
      </c>
      <c r="I403" s="110">
        <f t="shared" si="46"/>
        <v>0.00701717193131227</v>
      </c>
      <c r="J403" s="111">
        <f t="shared" si="49"/>
        <v>1.15885951661631</v>
      </c>
      <c r="K403" s="111">
        <f t="shared" si="45"/>
        <v>8.13191647233411</v>
      </c>
      <c r="L403" s="111">
        <f t="shared" si="47"/>
        <v>0</v>
      </c>
      <c r="M403" s="112">
        <f t="shared" si="48"/>
        <v>0</v>
      </c>
    </row>
    <row r="404" ht="13.85" spans="1:13">
      <c r="A404" s="52">
        <v>45563</v>
      </c>
      <c r="B404" s="102">
        <v>1558.33</v>
      </c>
      <c r="C404" s="31">
        <v>150194</v>
      </c>
      <c r="D404" s="31">
        <v>1320</v>
      </c>
      <c r="E404" s="31">
        <v>0</v>
      </c>
      <c r="F404" s="31">
        <v>0</v>
      </c>
      <c r="G404" s="31">
        <v>35</v>
      </c>
      <c r="H404" s="31">
        <v>116</v>
      </c>
      <c r="I404" s="110">
        <f t="shared" si="46"/>
        <v>0.00878863336751135</v>
      </c>
      <c r="J404" s="111">
        <f t="shared" si="49"/>
        <v>1.18055303030303</v>
      </c>
      <c r="K404" s="111">
        <f t="shared" si="45"/>
        <v>10.3754477542379</v>
      </c>
      <c r="L404" s="111">
        <f t="shared" si="47"/>
        <v>0</v>
      </c>
      <c r="M404" s="112">
        <f t="shared" si="48"/>
        <v>0</v>
      </c>
    </row>
    <row r="405" ht="13.85" spans="1:13">
      <c r="A405" s="52">
        <v>45564</v>
      </c>
      <c r="B405" s="102">
        <v>1539.44</v>
      </c>
      <c r="C405" s="31">
        <v>222097</v>
      </c>
      <c r="D405" s="31">
        <v>1504</v>
      </c>
      <c r="E405" s="31">
        <v>0</v>
      </c>
      <c r="F405" s="31">
        <v>0</v>
      </c>
      <c r="G405" s="31">
        <v>42</v>
      </c>
      <c r="H405" s="31">
        <v>82</v>
      </c>
      <c r="I405" s="110">
        <f t="shared" si="46"/>
        <v>0.00677181591826994</v>
      </c>
      <c r="J405" s="111">
        <f t="shared" si="49"/>
        <v>1.02356382978723</v>
      </c>
      <c r="K405" s="111">
        <f t="shared" si="45"/>
        <v>6.93138583591854</v>
      </c>
      <c r="L405" s="111">
        <f t="shared" si="47"/>
        <v>0</v>
      </c>
      <c r="M405" s="112">
        <f t="shared" si="48"/>
        <v>0</v>
      </c>
    </row>
    <row r="406" ht="13.85" spans="1:13">
      <c r="A406" s="52">
        <v>45565</v>
      </c>
      <c r="B406" s="102">
        <v>1466.21</v>
      </c>
      <c r="C406" s="31">
        <v>206676</v>
      </c>
      <c r="D406" s="31">
        <v>1242</v>
      </c>
      <c r="E406" s="31">
        <v>1</v>
      </c>
      <c r="F406" s="31">
        <v>6934</v>
      </c>
      <c r="G406" s="31">
        <v>41</v>
      </c>
      <c r="H406" s="31">
        <v>82</v>
      </c>
      <c r="I406" s="110">
        <f t="shared" si="46"/>
        <v>0.00600940602682459</v>
      </c>
      <c r="J406" s="111">
        <f t="shared" si="49"/>
        <v>1.18052334943639</v>
      </c>
      <c r="K406" s="111">
        <f t="shared" si="45"/>
        <v>7.09424413091022</v>
      </c>
      <c r="L406" s="111">
        <f t="shared" si="47"/>
        <v>4.72919977356586</v>
      </c>
      <c r="M406" s="112">
        <f t="shared" si="48"/>
        <v>0.000805152979066023</v>
      </c>
    </row>
    <row r="407" ht="13.85" spans="1:13">
      <c r="A407" s="52">
        <v>45566</v>
      </c>
      <c r="B407" s="102">
        <v>1437.39</v>
      </c>
      <c r="C407" s="31">
        <v>181711</v>
      </c>
      <c r="D407" s="31">
        <v>1403</v>
      </c>
      <c r="E407" s="31">
        <v>1</v>
      </c>
      <c r="F407" s="31">
        <v>6798</v>
      </c>
      <c r="G407" s="31">
        <v>49</v>
      </c>
      <c r="H407" s="31">
        <v>112</v>
      </c>
      <c r="I407" s="110">
        <f t="shared" si="46"/>
        <v>0.00772105155989456</v>
      </c>
      <c r="J407" s="111">
        <f t="shared" si="49"/>
        <v>1.02451176051319</v>
      </c>
      <c r="K407" s="111">
        <f t="shared" si="45"/>
        <v>7.91030812664066</v>
      </c>
      <c r="L407" s="111">
        <f t="shared" si="47"/>
        <v>4.72940538058564</v>
      </c>
      <c r="M407" s="112">
        <f t="shared" si="48"/>
        <v>0.000712758374910905</v>
      </c>
    </row>
    <row r="408" ht="13.85" spans="1:13">
      <c r="A408" s="52">
        <v>45567</v>
      </c>
      <c r="B408" s="102">
        <v>1317.7</v>
      </c>
      <c r="C408" s="31">
        <v>178377</v>
      </c>
      <c r="D408" s="31">
        <v>1271</v>
      </c>
      <c r="E408" s="31">
        <v>0</v>
      </c>
      <c r="F408" s="31">
        <v>0</v>
      </c>
      <c r="G408" s="31">
        <v>42</v>
      </c>
      <c r="H408" s="31">
        <v>87</v>
      </c>
      <c r="I408" s="110">
        <f t="shared" si="46"/>
        <v>0.00712535808988827</v>
      </c>
      <c r="J408" s="111">
        <f t="shared" si="49"/>
        <v>1.03674272226593</v>
      </c>
      <c r="K408" s="111">
        <f t="shared" si="45"/>
        <v>7.38716314323035</v>
      </c>
      <c r="L408" s="111">
        <f t="shared" si="47"/>
        <v>0</v>
      </c>
      <c r="M408" s="112">
        <f t="shared" si="48"/>
        <v>0</v>
      </c>
    </row>
    <row r="409" ht="13.85" spans="1:13">
      <c r="A409" s="52">
        <v>45568</v>
      </c>
      <c r="B409" s="102">
        <v>1367.69</v>
      </c>
      <c r="C409" s="31">
        <v>168788</v>
      </c>
      <c r="D409" s="31">
        <v>1428</v>
      </c>
      <c r="E409" s="31">
        <v>0</v>
      </c>
      <c r="F409" s="31">
        <v>0</v>
      </c>
      <c r="G409" s="31">
        <v>35</v>
      </c>
      <c r="H409" s="31">
        <v>103</v>
      </c>
      <c r="I409" s="110">
        <f t="shared" si="46"/>
        <v>0.0084603170841529</v>
      </c>
      <c r="J409" s="111">
        <f t="shared" si="49"/>
        <v>0.957766106442577</v>
      </c>
      <c r="K409" s="111">
        <f t="shared" si="45"/>
        <v>8.10300495295874</v>
      </c>
      <c r="L409" s="111">
        <f t="shared" si="47"/>
        <v>0</v>
      </c>
      <c r="M409" s="112">
        <f t="shared" si="48"/>
        <v>0</v>
      </c>
    </row>
    <row r="410" ht="13.85" spans="1:13">
      <c r="A410" s="52">
        <v>45569</v>
      </c>
      <c r="B410" s="102">
        <v>1355.78</v>
      </c>
      <c r="C410" s="31">
        <v>161428</v>
      </c>
      <c r="D410" s="31">
        <v>1808</v>
      </c>
      <c r="E410" s="31">
        <v>0</v>
      </c>
      <c r="F410" s="31">
        <v>0</v>
      </c>
      <c r="G410" s="31">
        <v>46</v>
      </c>
      <c r="H410" s="31">
        <v>103</v>
      </c>
      <c r="I410" s="110">
        <f t="shared" si="46"/>
        <v>0.011200039646158</v>
      </c>
      <c r="J410" s="111">
        <f t="shared" si="49"/>
        <v>0.749878318584071</v>
      </c>
      <c r="K410" s="111">
        <f t="shared" si="45"/>
        <v>8.39866689793592</v>
      </c>
      <c r="L410" s="111">
        <f t="shared" si="47"/>
        <v>0</v>
      </c>
      <c r="M410" s="112">
        <f t="shared" si="48"/>
        <v>0</v>
      </c>
    </row>
    <row r="411" ht="13.85" spans="1:13">
      <c r="A411" s="52">
        <v>45570</v>
      </c>
      <c r="B411" s="102">
        <v>1402.77</v>
      </c>
      <c r="C411" s="31">
        <v>138911</v>
      </c>
      <c r="D411" s="31">
        <v>1434</v>
      </c>
      <c r="E411" s="31">
        <v>0</v>
      </c>
      <c r="F411" s="31">
        <v>0</v>
      </c>
      <c r="G411" s="31">
        <v>50</v>
      </c>
      <c r="H411" s="31">
        <v>85</v>
      </c>
      <c r="I411" s="110">
        <f t="shared" si="46"/>
        <v>0.0103231565534767</v>
      </c>
      <c r="J411" s="111">
        <f t="shared" si="49"/>
        <v>0.978221757322176</v>
      </c>
      <c r="K411" s="111">
        <f t="shared" si="45"/>
        <v>10.0983363448539</v>
      </c>
      <c r="L411" s="111">
        <f t="shared" si="47"/>
        <v>0</v>
      </c>
      <c r="M411" s="112">
        <f t="shared" si="48"/>
        <v>0</v>
      </c>
    </row>
    <row r="412" ht="13.85" spans="1:13">
      <c r="A412" s="52">
        <v>45571</v>
      </c>
      <c r="B412" s="102">
        <v>1307.33</v>
      </c>
      <c r="C412" s="31">
        <v>103618</v>
      </c>
      <c r="D412" s="31">
        <v>1389</v>
      </c>
      <c r="E412" s="31">
        <v>0</v>
      </c>
      <c r="F412" s="31">
        <v>0</v>
      </c>
      <c r="G412" s="31">
        <v>50</v>
      </c>
      <c r="H412" s="31">
        <v>94</v>
      </c>
      <c r="I412" s="110">
        <f t="shared" si="46"/>
        <v>0.0134050068520913</v>
      </c>
      <c r="J412" s="111">
        <f t="shared" si="49"/>
        <v>0.941202303815695</v>
      </c>
      <c r="K412" s="111">
        <f t="shared" si="45"/>
        <v>12.6168233318535</v>
      </c>
      <c r="L412" s="111">
        <f t="shared" si="47"/>
        <v>0</v>
      </c>
      <c r="M412" s="112">
        <f t="shared" si="48"/>
        <v>0</v>
      </c>
    </row>
    <row r="413" ht="13.85" spans="1:13">
      <c r="A413" s="52">
        <v>45572</v>
      </c>
      <c r="B413" s="102">
        <v>1355.52</v>
      </c>
      <c r="C413" s="31">
        <v>104397</v>
      </c>
      <c r="D413" s="31">
        <v>1613</v>
      </c>
      <c r="E413" s="31">
        <v>1</v>
      </c>
      <c r="F413" s="31">
        <v>13112</v>
      </c>
      <c r="G413" s="31">
        <v>72</v>
      </c>
      <c r="H413" s="31">
        <v>107</v>
      </c>
      <c r="I413" s="110">
        <f t="shared" si="46"/>
        <v>0.0154506355546615</v>
      </c>
      <c r="J413" s="111">
        <f t="shared" si="49"/>
        <v>0.840371977681339</v>
      </c>
      <c r="K413" s="111">
        <f t="shared" si="45"/>
        <v>12.9842811575045</v>
      </c>
      <c r="L413" s="111">
        <f t="shared" si="47"/>
        <v>9.67304060434372</v>
      </c>
      <c r="M413" s="112">
        <f t="shared" si="48"/>
        <v>0.000619962802231866</v>
      </c>
    </row>
    <row r="414" ht="13.85" spans="1:13">
      <c r="A414" s="52">
        <v>45573</v>
      </c>
      <c r="B414" s="102">
        <v>1316.97</v>
      </c>
      <c r="C414" s="31">
        <v>128180</v>
      </c>
      <c r="D414" s="31">
        <v>1163</v>
      </c>
      <c r="E414" s="31">
        <v>1</v>
      </c>
      <c r="F414" s="31">
        <v>10347</v>
      </c>
      <c r="G414" s="31">
        <v>51</v>
      </c>
      <c r="H414" s="31">
        <v>83</v>
      </c>
      <c r="I414" s="110">
        <f t="shared" si="46"/>
        <v>0.00907317834295522</v>
      </c>
      <c r="J414" s="111">
        <f t="shared" si="49"/>
        <v>1.13239036973345</v>
      </c>
      <c r="K414" s="111">
        <f t="shared" si="45"/>
        <v>10.2743797784366</v>
      </c>
      <c r="L414" s="111">
        <f t="shared" si="47"/>
        <v>7.85667099478348</v>
      </c>
      <c r="M414" s="112">
        <f t="shared" si="48"/>
        <v>0.000859845227858985</v>
      </c>
    </row>
    <row r="415" ht="13.85" spans="1:13">
      <c r="A415" s="52">
        <v>45574</v>
      </c>
      <c r="B415" s="102">
        <v>1246.44</v>
      </c>
      <c r="C415" s="31">
        <v>149675</v>
      </c>
      <c r="D415" s="31">
        <v>1188</v>
      </c>
      <c r="E415" s="31">
        <v>0</v>
      </c>
      <c r="F415" s="31">
        <v>0</v>
      </c>
      <c r="G415" s="31">
        <v>33</v>
      </c>
      <c r="H415" s="31">
        <v>82</v>
      </c>
      <c r="I415" s="110">
        <f t="shared" si="46"/>
        <v>0.00793719726073159</v>
      </c>
      <c r="J415" s="111">
        <f t="shared" si="49"/>
        <v>1.04919191919192</v>
      </c>
      <c r="K415" s="111">
        <f t="shared" si="45"/>
        <v>8.32764322699182</v>
      </c>
      <c r="L415" s="111">
        <f t="shared" si="47"/>
        <v>0</v>
      </c>
      <c r="M415" s="112">
        <f t="shared" si="48"/>
        <v>0</v>
      </c>
    </row>
    <row r="416" ht="13.85" spans="1:13">
      <c r="A416" s="52">
        <v>45575</v>
      </c>
      <c r="B416" s="102">
        <v>1291.59</v>
      </c>
      <c r="C416" s="31">
        <v>277557</v>
      </c>
      <c r="D416" s="31">
        <v>1594</v>
      </c>
      <c r="E416" s="31">
        <v>1</v>
      </c>
      <c r="F416" s="31">
        <v>24228</v>
      </c>
      <c r="G416" s="31">
        <v>40</v>
      </c>
      <c r="H416" s="31">
        <v>64</v>
      </c>
      <c r="I416" s="110">
        <f t="shared" si="46"/>
        <v>0.00574296450819111</v>
      </c>
      <c r="J416" s="111">
        <f t="shared" si="49"/>
        <v>0.810282308657465</v>
      </c>
      <c r="K416" s="111">
        <f t="shared" si="45"/>
        <v>4.65342254023498</v>
      </c>
      <c r="L416" s="111">
        <f t="shared" si="47"/>
        <v>18.758274684691</v>
      </c>
      <c r="M416" s="112">
        <f t="shared" si="48"/>
        <v>0.000627352572145546</v>
      </c>
    </row>
    <row r="417" ht="13.85" spans="1:13">
      <c r="A417" s="52">
        <v>45576</v>
      </c>
      <c r="B417" s="102">
        <v>1533.03</v>
      </c>
      <c r="C417" s="31">
        <v>185936</v>
      </c>
      <c r="D417" s="31">
        <v>1308</v>
      </c>
      <c r="E417" s="31">
        <v>0</v>
      </c>
      <c r="F417" s="31">
        <v>0</v>
      </c>
      <c r="G417" s="31">
        <v>58</v>
      </c>
      <c r="H417" s="31">
        <v>106</v>
      </c>
      <c r="I417" s="110">
        <f t="shared" si="46"/>
        <v>0.00703467859908786</v>
      </c>
      <c r="J417" s="111">
        <f t="shared" si="49"/>
        <v>1.17204128440367</v>
      </c>
      <c r="K417" s="111">
        <f t="shared" si="45"/>
        <v>8.24493374064194</v>
      </c>
      <c r="L417" s="111">
        <f t="shared" si="47"/>
        <v>0</v>
      </c>
      <c r="M417" s="112">
        <f t="shared" si="48"/>
        <v>0</v>
      </c>
    </row>
    <row r="418" ht="13.85" spans="1:13">
      <c r="A418" s="52">
        <v>45577</v>
      </c>
      <c r="B418" s="102">
        <v>1608.29</v>
      </c>
      <c r="C418" s="31">
        <v>172490</v>
      </c>
      <c r="D418" s="31">
        <v>1380</v>
      </c>
      <c r="E418" s="31">
        <v>0</v>
      </c>
      <c r="F418" s="31">
        <v>0</v>
      </c>
      <c r="G418" s="31">
        <v>81</v>
      </c>
      <c r="H418" s="31">
        <v>85</v>
      </c>
      <c r="I418" s="110">
        <f t="shared" si="46"/>
        <v>0.00800046379500261</v>
      </c>
      <c r="J418" s="111">
        <f t="shared" si="49"/>
        <v>1.16542753623188</v>
      </c>
      <c r="K418" s="111">
        <f t="shared" si="45"/>
        <v>9.32396080932228</v>
      </c>
      <c r="L418" s="111">
        <f t="shared" si="47"/>
        <v>0</v>
      </c>
      <c r="M418" s="112">
        <f t="shared" si="48"/>
        <v>0</v>
      </c>
    </row>
    <row r="419" ht="13.85" spans="1:13">
      <c r="A419" s="52">
        <v>45578</v>
      </c>
      <c r="B419" s="102">
        <v>1551.44</v>
      </c>
      <c r="C419" s="31">
        <v>278435</v>
      </c>
      <c r="D419" s="31">
        <v>1860</v>
      </c>
      <c r="E419" s="31">
        <v>0</v>
      </c>
      <c r="F419" s="31">
        <v>0</v>
      </c>
      <c r="G419" s="31">
        <v>62</v>
      </c>
      <c r="H419" s="31">
        <v>95</v>
      </c>
      <c r="I419" s="110">
        <f t="shared" si="46"/>
        <v>0.00668019465943577</v>
      </c>
      <c r="J419" s="111">
        <f t="shared" si="49"/>
        <v>0.83410752688172</v>
      </c>
      <c r="K419" s="111">
        <f t="shared" si="45"/>
        <v>5.57200064647045</v>
      </c>
      <c r="L419" s="111">
        <f t="shared" si="47"/>
        <v>0</v>
      </c>
      <c r="M419" s="112">
        <f t="shared" si="48"/>
        <v>0</v>
      </c>
    </row>
    <row r="420" ht="13.85" spans="1:13">
      <c r="A420" s="52">
        <v>45579</v>
      </c>
      <c r="B420" s="102">
        <v>5442.06</v>
      </c>
      <c r="C420" s="31">
        <v>366721</v>
      </c>
      <c r="D420" s="31">
        <v>2988</v>
      </c>
      <c r="E420" s="31">
        <v>1</v>
      </c>
      <c r="F420" s="31">
        <v>200</v>
      </c>
      <c r="G420" s="31">
        <v>125</v>
      </c>
      <c r="H420" s="31">
        <v>136</v>
      </c>
      <c r="I420" s="110">
        <f t="shared" si="46"/>
        <v>0.00814788354089349</v>
      </c>
      <c r="J420" s="111">
        <f t="shared" si="49"/>
        <v>1.82130522088353</v>
      </c>
      <c r="K420" s="111">
        <f t="shared" si="45"/>
        <v>14.8397828321803</v>
      </c>
      <c r="L420" s="111">
        <f t="shared" si="47"/>
        <v>0.0367507892231986</v>
      </c>
      <c r="M420" s="112">
        <f t="shared" si="48"/>
        <v>0.000334672021419009</v>
      </c>
    </row>
    <row r="421" ht="13.85" spans="1:13">
      <c r="A421" s="52">
        <v>45580</v>
      </c>
      <c r="B421" s="102">
        <v>5910.59</v>
      </c>
      <c r="C421" s="31">
        <v>570989</v>
      </c>
      <c r="D421" s="31">
        <v>6751</v>
      </c>
      <c r="E421" s="31">
        <v>0</v>
      </c>
      <c r="F421" s="31">
        <v>0</v>
      </c>
      <c r="G421" s="31">
        <v>167</v>
      </c>
      <c r="H421" s="31">
        <v>209</v>
      </c>
      <c r="I421" s="110">
        <f t="shared" si="46"/>
        <v>0.0118233451082245</v>
      </c>
      <c r="J421" s="111">
        <f t="shared" si="49"/>
        <v>0.875513257295216</v>
      </c>
      <c r="K421" s="111">
        <f t="shared" si="45"/>
        <v>10.3514953878271</v>
      </c>
      <c r="L421" s="111">
        <f t="shared" si="47"/>
        <v>0</v>
      </c>
      <c r="M421" s="112">
        <f t="shared" si="48"/>
        <v>0</v>
      </c>
    </row>
    <row r="422" ht="13.85" spans="1:13">
      <c r="A422" s="52">
        <v>45581</v>
      </c>
      <c r="B422" s="102">
        <v>4090.47</v>
      </c>
      <c r="C422" s="31">
        <v>462331</v>
      </c>
      <c r="D422" s="31">
        <v>3579</v>
      </c>
      <c r="E422" s="31">
        <v>3</v>
      </c>
      <c r="F422" s="31">
        <v>45691</v>
      </c>
      <c r="G422" s="31">
        <v>136</v>
      </c>
      <c r="H422" s="31">
        <v>179</v>
      </c>
      <c r="I422" s="110">
        <f t="shared" si="46"/>
        <v>0.00774120705728147</v>
      </c>
      <c r="J422" s="111">
        <f t="shared" si="49"/>
        <v>1.14290863369656</v>
      </c>
      <c r="K422" s="111">
        <f t="shared" si="45"/>
        <v>8.84749238099976</v>
      </c>
      <c r="L422" s="111">
        <f t="shared" si="47"/>
        <v>11.170110036255</v>
      </c>
      <c r="M422" s="112">
        <f t="shared" si="48"/>
        <v>0.000838222967309304</v>
      </c>
    </row>
    <row r="423" ht="13.85" spans="1:13">
      <c r="A423" s="52">
        <v>45582</v>
      </c>
      <c r="B423" s="102">
        <v>1878.06</v>
      </c>
      <c r="C423" s="31">
        <v>41325</v>
      </c>
      <c r="D423" s="31">
        <v>979</v>
      </c>
      <c r="E423" s="31">
        <v>0</v>
      </c>
      <c r="F423" s="31">
        <v>0</v>
      </c>
      <c r="G423" s="31">
        <v>75</v>
      </c>
      <c r="H423" s="31">
        <v>50</v>
      </c>
      <c r="I423" s="110">
        <f t="shared" si="46"/>
        <v>0.0236902601330913</v>
      </c>
      <c r="J423" s="111">
        <f t="shared" si="49"/>
        <v>1.91834525025536</v>
      </c>
      <c r="K423" s="111">
        <f t="shared" si="45"/>
        <v>45.4460980036298</v>
      </c>
      <c r="L423" s="111">
        <f t="shared" si="47"/>
        <v>0</v>
      </c>
      <c r="M423" s="112">
        <f t="shared" si="48"/>
        <v>0</v>
      </c>
    </row>
    <row r="424" ht="13.85" spans="1:13">
      <c r="A424" s="52">
        <v>45583</v>
      </c>
      <c r="B424" s="102">
        <v>3450.77</v>
      </c>
      <c r="C424" s="31">
        <v>101889</v>
      </c>
      <c r="D424" s="31">
        <v>1815</v>
      </c>
      <c r="E424" s="31">
        <v>1</v>
      </c>
      <c r="F424" s="31">
        <v>8114</v>
      </c>
      <c r="G424" s="31">
        <v>114</v>
      </c>
      <c r="H424" s="31">
        <v>126</v>
      </c>
      <c r="I424" s="110">
        <f t="shared" si="46"/>
        <v>0.0178135029296587</v>
      </c>
      <c r="J424" s="111">
        <f t="shared" si="49"/>
        <v>1.90125068870523</v>
      </c>
      <c r="K424" s="111">
        <f t="shared" si="45"/>
        <v>33.8679347132664</v>
      </c>
      <c r="L424" s="111">
        <f t="shared" si="47"/>
        <v>2.35135926184591</v>
      </c>
      <c r="M424" s="112">
        <f t="shared" si="48"/>
        <v>0.000550964187327824</v>
      </c>
    </row>
    <row r="425" ht="13.85" spans="1:13">
      <c r="A425" s="52">
        <v>45584</v>
      </c>
      <c r="B425" s="102">
        <v>3480.51</v>
      </c>
      <c r="C425" s="31">
        <v>53819</v>
      </c>
      <c r="D425" s="31">
        <v>2107</v>
      </c>
      <c r="E425" s="31">
        <v>7</v>
      </c>
      <c r="F425" s="31">
        <v>68108</v>
      </c>
      <c r="G425" s="31">
        <v>132</v>
      </c>
      <c r="H425" s="31">
        <v>206</v>
      </c>
      <c r="I425" s="110">
        <f t="shared" si="46"/>
        <v>0.0391497426559394</v>
      </c>
      <c r="J425" s="111">
        <f t="shared" si="49"/>
        <v>1.6518794494542</v>
      </c>
      <c r="K425" s="111">
        <f t="shared" si="45"/>
        <v>64.6706553447667</v>
      </c>
      <c r="L425" s="111">
        <f t="shared" si="47"/>
        <v>19.5683965855579</v>
      </c>
      <c r="M425" s="112">
        <f t="shared" si="48"/>
        <v>0.00332225913621262</v>
      </c>
    </row>
    <row r="426" ht="13.85" spans="1:13">
      <c r="A426" s="52">
        <v>45585</v>
      </c>
      <c r="B426" s="102">
        <v>3321</v>
      </c>
      <c r="C426" s="31">
        <v>65699</v>
      </c>
      <c r="D426" s="31">
        <v>2197</v>
      </c>
      <c r="E426" s="31">
        <v>1</v>
      </c>
      <c r="F426" s="31">
        <v>10780</v>
      </c>
      <c r="G426" s="31">
        <v>103</v>
      </c>
      <c r="H426" s="31">
        <v>171</v>
      </c>
      <c r="I426" s="110">
        <f t="shared" si="46"/>
        <v>0.0334403872205056</v>
      </c>
      <c r="J426" s="111">
        <f t="shared" si="49"/>
        <v>1.51160673645881</v>
      </c>
      <c r="K426" s="111">
        <f t="shared" si="45"/>
        <v>50.5487145923073</v>
      </c>
      <c r="L426" s="111">
        <f t="shared" si="47"/>
        <v>3.24601023788016</v>
      </c>
      <c r="M426" s="112">
        <f t="shared" si="48"/>
        <v>0.000455166135639508</v>
      </c>
    </row>
    <row r="427" ht="13.85" spans="1:13">
      <c r="A427" s="52">
        <v>45586</v>
      </c>
      <c r="B427" s="102">
        <v>5621.3</v>
      </c>
      <c r="C427" s="31">
        <v>110219</v>
      </c>
      <c r="D427" s="31">
        <v>1998</v>
      </c>
      <c r="E427" s="31">
        <v>9</v>
      </c>
      <c r="F427" s="31">
        <v>112586</v>
      </c>
      <c r="G427" s="31">
        <v>117</v>
      </c>
      <c r="H427" s="31">
        <v>114</v>
      </c>
      <c r="I427" s="110">
        <f t="shared" si="46"/>
        <v>0.018127546067375</v>
      </c>
      <c r="J427" s="111">
        <f t="shared" si="49"/>
        <v>2.81346346346346</v>
      </c>
      <c r="K427" s="111">
        <f t="shared" si="45"/>
        <v>51.0011885428102</v>
      </c>
      <c r="L427" s="111">
        <f t="shared" si="47"/>
        <v>20.0284631668831</v>
      </c>
      <c r="M427" s="112">
        <f t="shared" si="48"/>
        <v>0.0045045045045045</v>
      </c>
    </row>
    <row r="428" ht="13.85" spans="1:13">
      <c r="A428" s="52">
        <v>45587</v>
      </c>
      <c r="B428" s="102">
        <v>4452.19</v>
      </c>
      <c r="C428" s="31">
        <v>312001</v>
      </c>
      <c r="D428" s="31">
        <v>3706</v>
      </c>
      <c r="E428" s="31">
        <v>4</v>
      </c>
      <c r="F428" s="31">
        <v>36863</v>
      </c>
      <c r="G428" s="31">
        <v>111</v>
      </c>
      <c r="H428" s="31">
        <v>134</v>
      </c>
      <c r="I428" s="110">
        <f t="shared" si="46"/>
        <v>0.0118781670571569</v>
      </c>
      <c r="J428" s="111">
        <f t="shared" si="49"/>
        <v>1.20134646519158</v>
      </c>
      <c r="K428" s="111">
        <f t="shared" si="45"/>
        <v>14.2697940070705</v>
      </c>
      <c r="L428" s="111">
        <f t="shared" si="47"/>
        <v>8.27974547357593</v>
      </c>
      <c r="M428" s="112">
        <f t="shared" si="48"/>
        <v>0.00107933081489477</v>
      </c>
    </row>
    <row r="429" ht="13.85" spans="1:13">
      <c r="A429" s="52">
        <v>45588</v>
      </c>
      <c r="B429" s="102">
        <v>5361.13</v>
      </c>
      <c r="C429" s="31">
        <v>375144</v>
      </c>
      <c r="D429" s="31">
        <v>3494</v>
      </c>
      <c r="E429" s="31">
        <v>5</v>
      </c>
      <c r="F429" s="31">
        <v>54186</v>
      </c>
      <c r="G429" s="31">
        <v>129</v>
      </c>
      <c r="H429" s="31">
        <v>208</v>
      </c>
      <c r="I429" s="110">
        <f t="shared" si="46"/>
        <v>0.00931375685070266</v>
      </c>
      <c r="J429" s="111">
        <f t="shared" si="49"/>
        <v>1.53438179736691</v>
      </c>
      <c r="K429" s="111">
        <f t="shared" si="45"/>
        <v>14.2908589768196</v>
      </c>
      <c r="L429" s="111">
        <f t="shared" si="47"/>
        <v>10.1071975497703</v>
      </c>
      <c r="M429" s="112">
        <f t="shared" si="48"/>
        <v>0.00143102461362335</v>
      </c>
    </row>
    <row r="430" ht="13.85" spans="1:13">
      <c r="A430" s="52">
        <v>45589</v>
      </c>
      <c r="B430" s="102">
        <v>5308.93</v>
      </c>
      <c r="C430" s="31">
        <v>594380</v>
      </c>
      <c r="D430" s="31">
        <v>4249</v>
      </c>
      <c r="E430" s="31">
        <v>5</v>
      </c>
      <c r="F430" s="31">
        <v>47388</v>
      </c>
      <c r="G430" s="31">
        <v>131</v>
      </c>
      <c r="H430" s="31">
        <v>197</v>
      </c>
      <c r="I430" s="110">
        <f t="shared" si="46"/>
        <v>0.00714862545846092</v>
      </c>
      <c r="J430" s="111">
        <f t="shared" si="49"/>
        <v>1.24945398917392</v>
      </c>
      <c r="K430" s="111">
        <f t="shared" si="45"/>
        <v>8.93187859618426</v>
      </c>
      <c r="L430" s="111">
        <f t="shared" si="47"/>
        <v>8.92609245177465</v>
      </c>
      <c r="M430" s="112">
        <f t="shared" si="48"/>
        <v>0.00117674746999294</v>
      </c>
    </row>
    <row r="431" ht="13.85" spans="1:13">
      <c r="A431" s="52">
        <v>45590</v>
      </c>
      <c r="B431" s="102">
        <v>5176.48</v>
      </c>
      <c r="C431" s="31">
        <v>410776</v>
      </c>
      <c r="D431" s="31">
        <v>3779</v>
      </c>
      <c r="E431" s="31">
        <v>3</v>
      </c>
      <c r="F431" s="31">
        <v>31491</v>
      </c>
      <c r="G431" s="31">
        <v>152</v>
      </c>
      <c r="H431" s="31">
        <v>243</v>
      </c>
      <c r="I431" s="110">
        <f t="shared" si="46"/>
        <v>0.00919966112917989</v>
      </c>
      <c r="J431" s="111">
        <f t="shared" si="49"/>
        <v>1.36980153479757</v>
      </c>
      <c r="K431" s="111">
        <f t="shared" si="45"/>
        <v>12.6017099343681</v>
      </c>
      <c r="L431" s="111">
        <f t="shared" si="47"/>
        <v>6.08347757549532</v>
      </c>
      <c r="M431" s="112">
        <f t="shared" si="48"/>
        <v>0.000793860809738026</v>
      </c>
    </row>
    <row r="432" ht="13.85" spans="1:13">
      <c r="A432" s="52">
        <v>45591</v>
      </c>
      <c r="B432" s="102">
        <v>4921.32</v>
      </c>
      <c r="C432" s="31">
        <v>293299</v>
      </c>
      <c r="D432" s="31">
        <v>3717</v>
      </c>
      <c r="E432" s="31">
        <v>2</v>
      </c>
      <c r="F432" s="31">
        <v>27610</v>
      </c>
      <c r="G432" s="31">
        <v>245</v>
      </c>
      <c r="H432" s="31">
        <v>266</v>
      </c>
      <c r="I432" s="110">
        <f t="shared" si="46"/>
        <v>0.0126730742348252</v>
      </c>
      <c r="J432" s="111">
        <f t="shared" si="49"/>
        <v>1.32400322841001</v>
      </c>
      <c r="K432" s="111">
        <f t="shared" si="45"/>
        <v>16.7791912007883</v>
      </c>
      <c r="L432" s="111">
        <f t="shared" si="47"/>
        <v>5.61028341989548</v>
      </c>
      <c r="M432" s="112">
        <f t="shared" si="48"/>
        <v>0.000538068334678504</v>
      </c>
    </row>
    <row r="433" ht="13.85" spans="1:13">
      <c r="A433" s="52">
        <v>45592</v>
      </c>
      <c r="B433" s="102">
        <v>4845.46</v>
      </c>
      <c r="C433" s="31">
        <v>228027</v>
      </c>
      <c r="D433" s="31">
        <v>2932</v>
      </c>
      <c r="E433" s="31">
        <v>1</v>
      </c>
      <c r="F433" s="31">
        <v>23810</v>
      </c>
      <c r="G433" s="31">
        <v>199</v>
      </c>
      <c r="H433" s="31">
        <v>214</v>
      </c>
      <c r="I433" s="110">
        <f t="shared" si="46"/>
        <v>0.0128581264499379</v>
      </c>
      <c r="J433" s="111">
        <f t="shared" si="49"/>
        <v>1.65261255115962</v>
      </c>
      <c r="K433" s="111">
        <f t="shared" si="45"/>
        <v>21.2495011555649</v>
      </c>
      <c r="L433" s="111">
        <f t="shared" si="47"/>
        <v>4.91387814572817</v>
      </c>
      <c r="M433" s="112">
        <f t="shared" si="48"/>
        <v>0.00034106412005457</v>
      </c>
    </row>
    <row r="434" ht="13.85" spans="1:13">
      <c r="A434" s="52">
        <v>45593</v>
      </c>
      <c r="B434" s="102">
        <v>5358.5</v>
      </c>
      <c r="C434" s="31">
        <v>70099</v>
      </c>
      <c r="D434" s="31">
        <v>3612</v>
      </c>
      <c r="E434" s="31">
        <v>4</v>
      </c>
      <c r="F434" s="31">
        <v>34792</v>
      </c>
      <c r="G434" s="31">
        <v>137</v>
      </c>
      <c r="H434" s="31">
        <v>159</v>
      </c>
      <c r="I434" s="110">
        <f t="shared" si="46"/>
        <v>0.0515271259219104</v>
      </c>
      <c r="J434" s="111">
        <f t="shared" si="49"/>
        <v>1.48352713178295</v>
      </c>
      <c r="K434" s="111">
        <f t="shared" si="45"/>
        <v>76.4418893279505</v>
      </c>
      <c r="L434" s="111">
        <f t="shared" si="47"/>
        <v>6.49286180834189</v>
      </c>
      <c r="M434" s="112">
        <f t="shared" si="48"/>
        <v>0.00110741971207087</v>
      </c>
    </row>
    <row r="435" ht="13.85" spans="1:13">
      <c r="A435" s="52">
        <v>45594</v>
      </c>
      <c r="B435" s="102">
        <v>3624.88</v>
      </c>
      <c r="C435" s="31">
        <v>173972</v>
      </c>
      <c r="D435" s="31">
        <v>1966</v>
      </c>
      <c r="E435" s="31">
        <v>2</v>
      </c>
      <c r="F435" s="31">
        <v>24693</v>
      </c>
      <c r="G435" s="31">
        <v>103</v>
      </c>
      <c r="H435" s="31">
        <v>113</v>
      </c>
      <c r="I435" s="110">
        <f t="shared" si="46"/>
        <v>0.0113006690731842</v>
      </c>
      <c r="J435" s="111">
        <f t="shared" si="49"/>
        <v>1.84378433367243</v>
      </c>
      <c r="K435" s="111">
        <f t="shared" si="45"/>
        <v>20.8359965971536</v>
      </c>
      <c r="L435" s="111">
        <f t="shared" si="47"/>
        <v>6.81208757255413</v>
      </c>
      <c r="M435" s="112">
        <f t="shared" si="48"/>
        <v>0.00101729399796541</v>
      </c>
    </row>
    <row r="436" ht="13.85" spans="1:13">
      <c r="A436" s="52">
        <v>45595</v>
      </c>
      <c r="B436" s="102">
        <v>3778.92</v>
      </c>
      <c r="C436" s="31">
        <v>279315</v>
      </c>
      <c r="D436" s="31">
        <v>3075</v>
      </c>
      <c r="E436" s="31">
        <v>0</v>
      </c>
      <c r="F436" s="31">
        <v>0</v>
      </c>
      <c r="G436" s="31">
        <v>134</v>
      </c>
      <c r="H436" s="31">
        <v>123</v>
      </c>
      <c r="I436" s="110">
        <f t="shared" si="46"/>
        <v>0.011009075774663</v>
      </c>
      <c r="J436" s="111">
        <f t="shared" si="49"/>
        <v>1.22891707317073</v>
      </c>
      <c r="K436" s="111">
        <f t="shared" si="45"/>
        <v>13.5292411793137</v>
      </c>
      <c r="L436" s="111">
        <f t="shared" si="47"/>
        <v>0</v>
      </c>
      <c r="M436" s="112">
        <f t="shared" si="48"/>
        <v>0</v>
      </c>
    </row>
    <row r="437" ht="13.85" spans="1:13">
      <c r="A437" s="52">
        <v>45596</v>
      </c>
      <c r="B437" s="102">
        <v>4222.3</v>
      </c>
      <c r="C437" s="31">
        <v>304726</v>
      </c>
      <c r="D437" s="31">
        <v>3394</v>
      </c>
      <c r="E437" s="31">
        <v>8</v>
      </c>
      <c r="F437" s="31">
        <v>83296</v>
      </c>
      <c r="G437" s="31">
        <v>56</v>
      </c>
      <c r="H437" s="31">
        <v>129</v>
      </c>
      <c r="I437" s="110">
        <f t="shared" si="46"/>
        <v>0.0111378746808608</v>
      </c>
      <c r="J437" s="111">
        <f t="shared" si="49"/>
        <v>1.2440483205657</v>
      </c>
      <c r="K437" s="111">
        <f t="shared" si="45"/>
        <v>13.8560542913962</v>
      </c>
      <c r="L437" s="111">
        <f t="shared" si="47"/>
        <v>19.727636596168</v>
      </c>
      <c r="M437" s="112">
        <f t="shared" si="48"/>
        <v>0.00235710076605775</v>
      </c>
    </row>
    <row r="438" ht="13.85" spans="1:13">
      <c r="A438" s="52">
        <v>45597</v>
      </c>
      <c r="B438" s="102">
        <v>7077.53</v>
      </c>
      <c r="C438" s="31">
        <v>374727</v>
      </c>
      <c r="D438" s="31">
        <v>5907</v>
      </c>
      <c r="E438" s="31">
        <v>8</v>
      </c>
      <c r="F438" s="31">
        <v>70683</v>
      </c>
      <c r="G438" s="31">
        <v>236</v>
      </c>
      <c r="H438" s="31">
        <v>206</v>
      </c>
      <c r="I438" s="110">
        <f t="shared" si="46"/>
        <v>0.01576347581039</v>
      </c>
      <c r="J438" s="111">
        <f t="shared" si="49"/>
        <v>1.19815981039445</v>
      </c>
      <c r="K438" s="111">
        <f t="shared" si="45"/>
        <v>18.8871631881343</v>
      </c>
      <c r="L438" s="111">
        <f t="shared" si="47"/>
        <v>9.98695872712655</v>
      </c>
      <c r="M438" s="112">
        <f t="shared" si="48"/>
        <v>0.00135432537667175</v>
      </c>
    </row>
    <row r="439" ht="13.85" spans="1:13">
      <c r="A439" s="52">
        <v>45598</v>
      </c>
      <c r="B439" s="102">
        <v>5290.85</v>
      </c>
      <c r="C439" s="31">
        <v>200208</v>
      </c>
      <c r="D439" s="31">
        <v>3263</v>
      </c>
      <c r="E439" s="31">
        <v>3</v>
      </c>
      <c r="F439" s="31">
        <v>28545</v>
      </c>
      <c r="G439" s="31">
        <v>278</v>
      </c>
      <c r="H439" s="31">
        <v>261</v>
      </c>
      <c r="I439" s="110">
        <f t="shared" si="46"/>
        <v>0.0162980500279709</v>
      </c>
      <c r="J439" s="111">
        <f t="shared" si="49"/>
        <v>1.62146797425682</v>
      </c>
      <c r="K439" s="111">
        <f t="shared" si="45"/>
        <v>26.4267661631903</v>
      </c>
      <c r="L439" s="111">
        <f t="shared" si="47"/>
        <v>5.39516334804426</v>
      </c>
      <c r="M439" s="112">
        <f t="shared" si="48"/>
        <v>0.000919399325773828</v>
      </c>
    </row>
    <row r="440" ht="13.85" spans="1:13">
      <c r="A440" s="52">
        <v>45599</v>
      </c>
      <c r="B440" s="102">
        <v>5299.52</v>
      </c>
      <c r="C440" s="31">
        <v>306490</v>
      </c>
      <c r="D440" s="31">
        <v>3746</v>
      </c>
      <c r="E440" s="31">
        <v>0</v>
      </c>
      <c r="F440" s="31">
        <v>0</v>
      </c>
      <c r="G440" s="31">
        <v>272</v>
      </c>
      <c r="H440" s="31">
        <v>296</v>
      </c>
      <c r="I440" s="110">
        <f t="shared" si="46"/>
        <v>0.012222258474991</v>
      </c>
      <c r="J440" s="111">
        <f t="shared" si="49"/>
        <v>1.41471436198612</v>
      </c>
      <c r="K440" s="111">
        <f t="shared" si="45"/>
        <v>17.2910046004764</v>
      </c>
      <c r="L440" s="111">
        <f t="shared" si="47"/>
        <v>0</v>
      </c>
      <c r="M440" s="112">
        <f t="shared" si="48"/>
        <v>0</v>
      </c>
    </row>
    <row r="441" ht="13.85" spans="1:13">
      <c r="A441" s="52">
        <v>45600</v>
      </c>
      <c r="B441" s="102">
        <v>6569.22</v>
      </c>
      <c r="C441" s="31">
        <v>472232</v>
      </c>
      <c r="D441" s="31">
        <v>5408</v>
      </c>
      <c r="E441" s="31">
        <v>1</v>
      </c>
      <c r="F441" s="31">
        <v>11097</v>
      </c>
      <c r="G441" s="31">
        <v>239</v>
      </c>
      <c r="H441" s="31">
        <v>257</v>
      </c>
      <c r="I441" s="110">
        <f t="shared" si="46"/>
        <v>0.0114519981703908</v>
      </c>
      <c r="J441" s="111">
        <f t="shared" si="49"/>
        <v>1.21472263313609</v>
      </c>
      <c r="K441" s="111">
        <f t="shared" si="45"/>
        <v>13.9110013722069</v>
      </c>
      <c r="L441" s="111">
        <f t="shared" si="47"/>
        <v>1.68924164512682</v>
      </c>
      <c r="M441" s="112">
        <f t="shared" si="48"/>
        <v>0.00018491124260355</v>
      </c>
    </row>
    <row r="442" ht="13.85" spans="1:13">
      <c r="A442" s="52">
        <v>45601</v>
      </c>
      <c r="B442" s="102">
        <v>5423.56</v>
      </c>
      <c r="C442" s="31">
        <v>333351</v>
      </c>
      <c r="D442" s="31">
        <v>3671</v>
      </c>
      <c r="E442" s="31">
        <v>2</v>
      </c>
      <c r="F442" s="31">
        <v>20295</v>
      </c>
      <c r="G442" s="31">
        <v>216</v>
      </c>
      <c r="H442" s="31">
        <v>242</v>
      </c>
      <c r="I442" s="110">
        <f t="shared" si="46"/>
        <v>0.0110124163419339</v>
      </c>
      <c r="J442" s="111">
        <f t="shared" si="49"/>
        <v>1.47740670117134</v>
      </c>
      <c r="K442" s="111">
        <f t="shared" si="45"/>
        <v>16.2698176996619</v>
      </c>
      <c r="L442" s="111">
        <f t="shared" si="47"/>
        <v>3.74200709497083</v>
      </c>
      <c r="M442" s="112">
        <f t="shared" si="48"/>
        <v>0.000544810678289294</v>
      </c>
    </row>
    <row r="443" ht="13.85" spans="1:13">
      <c r="A443" s="52">
        <v>45602</v>
      </c>
      <c r="B443" s="102">
        <v>5700.26</v>
      </c>
      <c r="C443" s="31">
        <v>508314</v>
      </c>
      <c r="D443" s="31">
        <v>6139</v>
      </c>
      <c r="E443" s="31">
        <v>0</v>
      </c>
      <c r="F443" s="31">
        <v>0</v>
      </c>
      <c r="G443" s="31">
        <v>162</v>
      </c>
      <c r="H443" s="31">
        <v>243</v>
      </c>
      <c r="I443" s="110">
        <f t="shared" si="46"/>
        <v>0.0120771806403129</v>
      </c>
      <c r="J443" s="111">
        <f t="shared" si="49"/>
        <v>0.928532334256394</v>
      </c>
      <c r="K443" s="111">
        <f t="shared" si="45"/>
        <v>11.2140527311858</v>
      </c>
      <c r="L443" s="111">
        <f t="shared" si="47"/>
        <v>0</v>
      </c>
      <c r="M443" s="112">
        <f t="shared" si="48"/>
        <v>0</v>
      </c>
    </row>
    <row r="444" ht="13.85" spans="1:13">
      <c r="A444" s="52">
        <v>45603</v>
      </c>
      <c r="B444" s="102">
        <v>7277.92</v>
      </c>
      <c r="C444" s="31">
        <v>889640</v>
      </c>
      <c r="D444" s="31">
        <v>9327</v>
      </c>
      <c r="E444" s="31">
        <v>3</v>
      </c>
      <c r="F444" s="31">
        <v>12798</v>
      </c>
      <c r="G444" s="31">
        <v>217</v>
      </c>
      <c r="H444" s="31">
        <v>400</v>
      </c>
      <c r="I444" s="110">
        <f t="shared" si="46"/>
        <v>0.0104840160064745</v>
      </c>
      <c r="J444" s="111">
        <f t="shared" si="49"/>
        <v>0.780306636646296</v>
      </c>
      <c r="K444" s="111">
        <f t="shared" ref="K444:K507" si="50">B444/C444*1000</f>
        <v>8.18074726855807</v>
      </c>
      <c r="L444" s="111">
        <f t="shared" si="47"/>
        <v>1.75846945281069</v>
      </c>
      <c r="M444" s="112">
        <f t="shared" si="48"/>
        <v>0.000321646831778707</v>
      </c>
    </row>
    <row r="445" ht="13.85" spans="1:13">
      <c r="A445" s="52">
        <v>45604</v>
      </c>
      <c r="B445" s="102">
        <v>9690.52</v>
      </c>
      <c r="C445" s="31">
        <v>509629</v>
      </c>
      <c r="D445" s="31">
        <v>7671</v>
      </c>
      <c r="E445" s="31">
        <v>3</v>
      </c>
      <c r="F445" s="31">
        <v>27594</v>
      </c>
      <c r="G445" s="31">
        <v>239</v>
      </c>
      <c r="H445" s="31">
        <v>425</v>
      </c>
      <c r="I445" s="110">
        <f t="shared" si="46"/>
        <v>0.0150521261545163</v>
      </c>
      <c r="J445" s="111">
        <f t="shared" si="49"/>
        <v>1.26326684917221</v>
      </c>
      <c r="K445" s="111">
        <f t="shared" si="50"/>
        <v>19.0148519805584</v>
      </c>
      <c r="L445" s="111">
        <f t="shared" si="47"/>
        <v>2.84752521020544</v>
      </c>
      <c r="M445" s="112">
        <f t="shared" si="48"/>
        <v>0.000391083300743058</v>
      </c>
    </row>
    <row r="446" ht="13.85" spans="1:13">
      <c r="A446" s="52">
        <v>45605</v>
      </c>
      <c r="B446" s="102">
        <v>8903.72</v>
      </c>
      <c r="C446" s="31">
        <v>638753</v>
      </c>
      <c r="D446" s="31">
        <v>7284</v>
      </c>
      <c r="E446" s="31">
        <v>8</v>
      </c>
      <c r="F446" s="31">
        <v>92376</v>
      </c>
      <c r="G446" s="31">
        <v>289</v>
      </c>
      <c r="H446" s="31">
        <v>470</v>
      </c>
      <c r="I446" s="110">
        <f t="shared" si="46"/>
        <v>0.0114034689465255</v>
      </c>
      <c r="J446" s="111">
        <f t="shared" si="49"/>
        <v>1.22236683141131</v>
      </c>
      <c r="K446" s="111">
        <f t="shared" si="50"/>
        <v>13.9392222032617</v>
      </c>
      <c r="L446" s="111">
        <f t="shared" si="47"/>
        <v>10.3749893303024</v>
      </c>
      <c r="M446" s="112">
        <f t="shared" si="48"/>
        <v>0.00109829763866008</v>
      </c>
    </row>
    <row r="447" ht="13.85" spans="1:13">
      <c r="A447" s="52">
        <v>45606</v>
      </c>
      <c r="B447" s="102">
        <v>9757.46</v>
      </c>
      <c r="C447" s="31">
        <v>474464</v>
      </c>
      <c r="D447" s="31">
        <v>7330</v>
      </c>
      <c r="E447" s="31">
        <v>5</v>
      </c>
      <c r="F447" s="31">
        <v>59692</v>
      </c>
      <c r="G447" s="31">
        <v>202</v>
      </c>
      <c r="H447" s="31">
        <v>406</v>
      </c>
      <c r="I447" s="110">
        <f t="shared" si="46"/>
        <v>0.0154490119376813</v>
      </c>
      <c r="J447" s="111">
        <f t="shared" si="49"/>
        <v>1.33116780354707</v>
      </c>
      <c r="K447" s="111">
        <f t="shared" si="50"/>
        <v>20.5652272880556</v>
      </c>
      <c r="L447" s="111">
        <f t="shared" si="47"/>
        <v>6.11757568055621</v>
      </c>
      <c r="M447" s="112">
        <f t="shared" si="48"/>
        <v>0.000682128240109141</v>
      </c>
    </row>
    <row r="448" ht="13.85" spans="1:13">
      <c r="A448" s="52">
        <v>45607</v>
      </c>
      <c r="B448" s="102">
        <v>12374.35</v>
      </c>
      <c r="C448" s="31">
        <v>620161</v>
      </c>
      <c r="D448" s="31">
        <v>8385</v>
      </c>
      <c r="E448" s="31">
        <v>17</v>
      </c>
      <c r="F448" s="31">
        <v>189900</v>
      </c>
      <c r="G448" s="31">
        <v>245</v>
      </c>
      <c r="H448" s="31">
        <v>385</v>
      </c>
      <c r="I448" s="110">
        <f t="shared" si="46"/>
        <v>0.0135206825324392</v>
      </c>
      <c r="J448" s="111">
        <f t="shared" si="49"/>
        <v>1.47577221228384</v>
      </c>
      <c r="K448" s="111">
        <f t="shared" si="50"/>
        <v>19.9534475724852</v>
      </c>
      <c r="L448" s="111">
        <f t="shared" si="47"/>
        <v>15.3462606116685</v>
      </c>
      <c r="M448" s="112">
        <f t="shared" si="48"/>
        <v>0.00202742993440668</v>
      </c>
    </row>
    <row r="449" ht="13.85" spans="1:13">
      <c r="A449" s="52">
        <v>45608</v>
      </c>
      <c r="B449" s="102">
        <v>2876.27</v>
      </c>
      <c r="C449" s="31">
        <v>272658</v>
      </c>
      <c r="D449" s="31">
        <v>2272</v>
      </c>
      <c r="E449" s="31">
        <v>1</v>
      </c>
      <c r="F449" s="31">
        <v>9198</v>
      </c>
      <c r="G449" s="31">
        <v>77</v>
      </c>
      <c r="H449" s="31">
        <v>129</v>
      </c>
      <c r="I449" s="110">
        <f t="shared" si="46"/>
        <v>0.00833278319359784</v>
      </c>
      <c r="J449" s="111">
        <f t="shared" si="49"/>
        <v>1.2659639084507</v>
      </c>
      <c r="K449" s="111">
        <f t="shared" si="50"/>
        <v>10.5490027800395</v>
      </c>
      <c r="L449" s="111">
        <f t="shared" si="47"/>
        <v>3.19789171392115</v>
      </c>
      <c r="M449" s="112">
        <f t="shared" si="48"/>
        <v>0.000440140845070423</v>
      </c>
    </row>
    <row r="450" ht="13.85" spans="1:13">
      <c r="A450" s="52">
        <v>45609</v>
      </c>
      <c r="B450" s="102">
        <v>2823.71</v>
      </c>
      <c r="C450" s="31">
        <v>216945</v>
      </c>
      <c r="D450" s="31">
        <v>2323</v>
      </c>
      <c r="E450" s="31">
        <v>6</v>
      </c>
      <c r="F450" s="31">
        <v>89325</v>
      </c>
      <c r="G450" s="31">
        <v>100</v>
      </c>
      <c r="H450" s="31">
        <v>174</v>
      </c>
      <c r="I450" s="110">
        <f t="shared" si="46"/>
        <v>0.0107077830786605</v>
      </c>
      <c r="J450" s="111">
        <f t="shared" si="49"/>
        <v>1.21554455445545</v>
      </c>
      <c r="K450" s="111">
        <f t="shared" si="50"/>
        <v>13.0157874115559</v>
      </c>
      <c r="L450" s="111">
        <f t="shared" si="47"/>
        <v>31.6339142475679</v>
      </c>
      <c r="M450" s="112">
        <f t="shared" si="48"/>
        <v>0.00258286698235041</v>
      </c>
    </row>
    <row r="451" ht="13.85" spans="1:13">
      <c r="A451" s="52">
        <v>45610</v>
      </c>
      <c r="B451" s="102">
        <v>1057.1</v>
      </c>
      <c r="C451" s="31">
        <v>61833</v>
      </c>
      <c r="D451" s="31">
        <v>1123</v>
      </c>
      <c r="E451" s="31">
        <v>0</v>
      </c>
      <c r="F451" s="31">
        <v>0</v>
      </c>
      <c r="G451" s="31">
        <v>49</v>
      </c>
      <c r="H451" s="31">
        <v>46</v>
      </c>
      <c r="I451" s="110">
        <f t="shared" si="46"/>
        <v>0.0181618229747869</v>
      </c>
      <c r="J451" s="111">
        <f t="shared" si="49"/>
        <v>0.941317898486198</v>
      </c>
      <c r="K451" s="111">
        <f t="shared" si="50"/>
        <v>17.0960490353048</v>
      </c>
      <c r="L451" s="111">
        <f t="shared" si="47"/>
        <v>0</v>
      </c>
      <c r="M451" s="112">
        <f t="shared" si="48"/>
        <v>0</v>
      </c>
    </row>
    <row r="452" ht="13.85" spans="1:13">
      <c r="A452" s="52">
        <v>45611</v>
      </c>
      <c r="B452" s="102">
        <v>2292.49</v>
      </c>
      <c r="C452" s="31">
        <v>172374</v>
      </c>
      <c r="D452" s="31">
        <v>1711</v>
      </c>
      <c r="E452" s="31">
        <v>0</v>
      </c>
      <c r="F452" s="31">
        <v>0</v>
      </c>
      <c r="G452" s="31">
        <v>61</v>
      </c>
      <c r="H452" s="31">
        <v>107</v>
      </c>
      <c r="I452" s="110">
        <f t="shared" si="46"/>
        <v>0.00992609094178937</v>
      </c>
      <c r="J452" s="111">
        <f t="shared" si="49"/>
        <v>1.33985388661601</v>
      </c>
      <c r="K452" s="111">
        <f t="shared" si="50"/>
        <v>13.2995115272605</v>
      </c>
      <c r="L452" s="111">
        <f t="shared" si="47"/>
        <v>0</v>
      </c>
      <c r="M452" s="112">
        <f t="shared" si="48"/>
        <v>0</v>
      </c>
    </row>
    <row r="453" ht="13.85" spans="1:13">
      <c r="A453" s="52">
        <v>45612</v>
      </c>
      <c r="B453" s="102">
        <v>2310.13</v>
      </c>
      <c r="C453" s="31">
        <v>135016</v>
      </c>
      <c r="D453" s="31">
        <v>1872</v>
      </c>
      <c r="E453" s="31">
        <v>1</v>
      </c>
      <c r="F453" s="31">
        <v>15435</v>
      </c>
      <c r="G453" s="31">
        <v>56</v>
      </c>
      <c r="H453" s="31">
        <v>150</v>
      </c>
      <c r="I453" s="110">
        <f t="shared" si="46"/>
        <v>0.0138650234046335</v>
      </c>
      <c r="J453" s="111">
        <f t="shared" si="49"/>
        <v>1.2340438034188</v>
      </c>
      <c r="K453" s="111">
        <f t="shared" si="50"/>
        <v>17.1100462167447</v>
      </c>
      <c r="L453" s="111">
        <f t="shared" si="47"/>
        <v>6.68144216992117</v>
      </c>
      <c r="M453" s="112">
        <f t="shared" si="48"/>
        <v>0.000534188034188034</v>
      </c>
    </row>
    <row r="454" ht="13.85" spans="1:13">
      <c r="A454" s="52">
        <v>45613</v>
      </c>
      <c r="B454" s="102">
        <v>2277.6</v>
      </c>
      <c r="C454" s="31">
        <v>137827</v>
      </c>
      <c r="D454" s="31">
        <v>1724</v>
      </c>
      <c r="E454" s="31">
        <v>1</v>
      </c>
      <c r="F454" s="31">
        <v>8702</v>
      </c>
      <c r="G454" s="31">
        <v>48</v>
      </c>
      <c r="H454" s="31">
        <v>155</v>
      </c>
      <c r="I454" s="110">
        <f t="shared" si="46"/>
        <v>0.0125084344867116</v>
      </c>
      <c r="J454" s="111">
        <f t="shared" si="49"/>
        <v>1.32111368909513</v>
      </c>
      <c r="K454" s="111">
        <f t="shared" si="50"/>
        <v>16.5250640295443</v>
      </c>
      <c r="L454" s="111">
        <f t="shared" si="47"/>
        <v>3.82068844397612</v>
      </c>
      <c r="M454" s="112">
        <f t="shared" si="48"/>
        <v>0.000580046403712297</v>
      </c>
    </row>
    <row r="455" ht="13.85" spans="1:13">
      <c r="A455" s="52">
        <v>45614</v>
      </c>
      <c r="B455" s="102">
        <v>2287.23</v>
      </c>
      <c r="C455" s="31">
        <v>417280</v>
      </c>
      <c r="D455" s="31">
        <v>2255</v>
      </c>
      <c r="E455" s="31">
        <v>0</v>
      </c>
      <c r="F455" s="31">
        <v>0</v>
      </c>
      <c r="G455" s="31">
        <v>52</v>
      </c>
      <c r="H455" s="31">
        <v>89</v>
      </c>
      <c r="I455" s="110">
        <f t="shared" si="46"/>
        <v>0.00540404524539877</v>
      </c>
      <c r="J455" s="111">
        <f t="shared" si="49"/>
        <v>1.01429268292683</v>
      </c>
      <c r="K455" s="111">
        <f t="shared" si="50"/>
        <v>5.4812835506135</v>
      </c>
      <c r="L455" s="111">
        <f t="shared" si="47"/>
        <v>0</v>
      </c>
      <c r="M455" s="112">
        <f t="shared" si="48"/>
        <v>0</v>
      </c>
    </row>
    <row r="456" ht="13.85" spans="1:13">
      <c r="A456" s="52">
        <v>45615</v>
      </c>
      <c r="B456" s="102">
        <v>2301.31</v>
      </c>
      <c r="C456" s="31">
        <v>254870</v>
      </c>
      <c r="D456" s="31">
        <v>2007</v>
      </c>
      <c r="E456" s="31">
        <v>0</v>
      </c>
      <c r="F456" s="31">
        <v>0</v>
      </c>
      <c r="G456" s="31">
        <v>58</v>
      </c>
      <c r="H456" s="31">
        <v>108</v>
      </c>
      <c r="I456" s="110">
        <f t="shared" si="46"/>
        <v>0.00787460273865108</v>
      </c>
      <c r="J456" s="111">
        <f t="shared" si="49"/>
        <v>1.14664175386148</v>
      </c>
      <c r="K456" s="111">
        <f t="shared" si="50"/>
        <v>9.02934829520932</v>
      </c>
      <c r="L456" s="111">
        <f t="shared" si="47"/>
        <v>0</v>
      </c>
      <c r="M456" s="112">
        <f t="shared" si="48"/>
        <v>0</v>
      </c>
    </row>
    <row r="457" ht="13.85" spans="1:13">
      <c r="A457" s="52">
        <v>45616</v>
      </c>
      <c r="B457" s="102">
        <v>2094.57</v>
      </c>
      <c r="C457" s="31">
        <v>627906</v>
      </c>
      <c r="D457" s="31">
        <v>3907</v>
      </c>
      <c r="E457" s="31">
        <v>2</v>
      </c>
      <c r="F457" s="31">
        <v>18110</v>
      </c>
      <c r="G457" s="31">
        <v>52</v>
      </c>
      <c r="H457" s="31">
        <v>92</v>
      </c>
      <c r="I457" s="110">
        <f t="shared" ref="I457:I520" si="51">D457/C457</f>
        <v>0.00622226893834427</v>
      </c>
      <c r="J457" s="111">
        <f t="shared" si="49"/>
        <v>0.536106987458408</v>
      </c>
      <c r="K457" s="111">
        <f t="shared" si="50"/>
        <v>3.33580185569178</v>
      </c>
      <c r="L457" s="111">
        <f t="shared" ref="L457:L520" si="52">F457/B457</f>
        <v>8.64616603885284</v>
      </c>
      <c r="M457" s="112">
        <f t="shared" ref="M457:M511" si="53">E457/D457</f>
        <v>0.000511901714870745</v>
      </c>
    </row>
    <row r="458" ht="13.85" spans="1:13">
      <c r="A458" s="52">
        <v>45617</v>
      </c>
      <c r="B458" s="102">
        <v>1801.35</v>
      </c>
      <c r="C458" s="31">
        <v>512514</v>
      </c>
      <c r="D458" s="31">
        <v>2671</v>
      </c>
      <c r="E458" s="31">
        <v>0</v>
      </c>
      <c r="F458" s="31">
        <v>0</v>
      </c>
      <c r="G458" s="31">
        <v>47</v>
      </c>
      <c r="H458" s="31">
        <v>70</v>
      </c>
      <c r="I458" s="110">
        <f t="shared" si="51"/>
        <v>0.00521156495237203</v>
      </c>
      <c r="J458" s="111">
        <f t="shared" si="49"/>
        <v>0.674410333208536</v>
      </c>
      <c r="K458" s="111">
        <f t="shared" si="50"/>
        <v>3.51473325606715</v>
      </c>
      <c r="L458" s="111">
        <f t="shared" si="52"/>
        <v>0</v>
      </c>
      <c r="M458" s="112">
        <f t="shared" si="53"/>
        <v>0</v>
      </c>
    </row>
    <row r="459" ht="13.85" spans="1:13">
      <c r="A459" s="52">
        <v>45618</v>
      </c>
      <c r="B459" s="102">
        <v>1817.19</v>
      </c>
      <c r="C459" s="31">
        <v>497094</v>
      </c>
      <c r="D459" s="31">
        <v>3207</v>
      </c>
      <c r="E459" s="31">
        <v>0</v>
      </c>
      <c r="F459" s="31">
        <v>0</v>
      </c>
      <c r="G459" s="31">
        <v>88</v>
      </c>
      <c r="H459" s="31">
        <v>113</v>
      </c>
      <c r="I459" s="110">
        <f t="shared" si="51"/>
        <v>0.00645149609530592</v>
      </c>
      <c r="J459" s="111">
        <f t="shared" si="49"/>
        <v>0.566632366697848</v>
      </c>
      <c r="K459" s="111">
        <f t="shared" si="50"/>
        <v>3.65562650122512</v>
      </c>
      <c r="L459" s="111">
        <f t="shared" si="52"/>
        <v>0</v>
      </c>
      <c r="M459" s="112">
        <f t="shared" si="53"/>
        <v>0</v>
      </c>
    </row>
    <row r="460" ht="13.85" spans="1:13">
      <c r="A460" s="52">
        <v>45619</v>
      </c>
      <c r="B460" s="102">
        <v>1836.3</v>
      </c>
      <c r="C460" s="31">
        <v>528696</v>
      </c>
      <c r="D460" s="31">
        <v>3631</v>
      </c>
      <c r="E460" s="31">
        <v>5</v>
      </c>
      <c r="F460" s="31">
        <v>41504</v>
      </c>
      <c r="G460" s="31">
        <v>45</v>
      </c>
      <c r="H460" s="31">
        <v>116</v>
      </c>
      <c r="I460" s="110">
        <f t="shared" si="51"/>
        <v>0.00686784087642048</v>
      </c>
      <c r="J460" s="111">
        <f t="shared" si="49"/>
        <v>0.505728449462958</v>
      </c>
      <c r="K460" s="111">
        <f t="shared" si="50"/>
        <v>3.47326251759045</v>
      </c>
      <c r="L460" s="111">
        <f t="shared" si="52"/>
        <v>22.601971355443</v>
      </c>
      <c r="M460" s="112">
        <f t="shared" si="53"/>
        <v>0.00137703112090333</v>
      </c>
    </row>
    <row r="461" ht="13.85" spans="1:13">
      <c r="A461" s="52">
        <v>45620</v>
      </c>
      <c r="B461" s="102">
        <v>1807.92</v>
      </c>
      <c r="C461" s="31">
        <v>472290</v>
      </c>
      <c r="D461" s="31">
        <v>3354</v>
      </c>
      <c r="E461" s="31">
        <v>0</v>
      </c>
      <c r="F461" s="31">
        <v>0</v>
      </c>
      <c r="G461" s="31">
        <v>51</v>
      </c>
      <c r="H461" s="31">
        <v>134</v>
      </c>
      <c r="I461" s="110">
        <f t="shared" si="51"/>
        <v>0.00710156895127993</v>
      </c>
      <c r="J461" s="111">
        <f t="shared" si="49"/>
        <v>0.539033989266547</v>
      </c>
      <c r="K461" s="111">
        <f t="shared" si="50"/>
        <v>3.82798704185987</v>
      </c>
      <c r="L461" s="111">
        <f t="shared" si="52"/>
        <v>0</v>
      </c>
      <c r="M461" s="112">
        <f t="shared" si="53"/>
        <v>0</v>
      </c>
    </row>
    <row r="462" ht="13.85" spans="1:13">
      <c r="A462" s="52">
        <v>45621</v>
      </c>
      <c r="B462" s="102">
        <v>1766.44</v>
      </c>
      <c r="C462" s="31">
        <v>420474</v>
      </c>
      <c r="D462" s="31">
        <v>2883</v>
      </c>
      <c r="E462" s="31">
        <v>2</v>
      </c>
      <c r="F462" s="31">
        <v>22697</v>
      </c>
      <c r="G462" s="31">
        <v>45</v>
      </c>
      <c r="H462" s="31">
        <v>104</v>
      </c>
      <c r="I462" s="110">
        <f t="shared" si="51"/>
        <v>0.0068565476105538</v>
      </c>
      <c r="J462" s="111">
        <f t="shared" si="49"/>
        <v>0.612708983697537</v>
      </c>
      <c r="K462" s="111">
        <f t="shared" si="50"/>
        <v>4.2010683181362</v>
      </c>
      <c r="L462" s="111">
        <f t="shared" si="52"/>
        <v>12.849007042413</v>
      </c>
      <c r="M462" s="112">
        <f t="shared" si="53"/>
        <v>0.000693721817551162</v>
      </c>
    </row>
    <row r="463" ht="13.85" spans="1:13">
      <c r="A463" s="52">
        <v>45622</v>
      </c>
      <c r="B463" s="102">
        <v>1808.65</v>
      </c>
      <c r="C463" s="31">
        <v>494904</v>
      </c>
      <c r="D463" s="31">
        <v>4256</v>
      </c>
      <c r="E463" s="31">
        <v>0</v>
      </c>
      <c r="F463" s="31">
        <v>0</v>
      </c>
      <c r="G463" s="31">
        <v>38</v>
      </c>
      <c r="H463" s="31">
        <v>118</v>
      </c>
      <c r="I463" s="110">
        <f t="shared" si="51"/>
        <v>0.00859964760842507</v>
      </c>
      <c r="J463" s="111">
        <f t="shared" si="49"/>
        <v>0.424964755639098</v>
      </c>
      <c r="K463" s="111">
        <f t="shared" si="50"/>
        <v>3.65454714449671</v>
      </c>
      <c r="L463" s="111">
        <f t="shared" si="52"/>
        <v>0</v>
      </c>
      <c r="M463" s="112">
        <f t="shared" si="53"/>
        <v>0</v>
      </c>
    </row>
    <row r="464" ht="13.85" spans="1:13">
      <c r="A464" s="52">
        <v>45623</v>
      </c>
      <c r="B464" s="102">
        <v>1807.51</v>
      </c>
      <c r="C464" s="31">
        <v>451368</v>
      </c>
      <c r="D464" s="31">
        <v>3871</v>
      </c>
      <c r="E464" s="31">
        <v>0</v>
      </c>
      <c r="F464" s="31">
        <v>0</v>
      </c>
      <c r="G464" s="31">
        <v>30</v>
      </c>
      <c r="H464" s="31">
        <v>105</v>
      </c>
      <c r="I464" s="110">
        <f t="shared" si="51"/>
        <v>0.0085761507240212</v>
      </c>
      <c r="J464" s="111">
        <f t="shared" si="49"/>
        <v>0.466936192198398</v>
      </c>
      <c r="K464" s="111">
        <f t="shared" si="50"/>
        <v>4.004515162794</v>
      </c>
      <c r="L464" s="111">
        <f t="shared" si="52"/>
        <v>0</v>
      </c>
      <c r="M464" s="112">
        <f t="shared" si="53"/>
        <v>0</v>
      </c>
    </row>
    <row r="465" ht="13.85" spans="1:13">
      <c r="A465" s="52">
        <v>45624</v>
      </c>
      <c r="B465" s="102">
        <v>1810.19</v>
      </c>
      <c r="C465" s="31">
        <v>333311</v>
      </c>
      <c r="D465" s="31">
        <v>2468</v>
      </c>
      <c r="E465" s="31">
        <v>0</v>
      </c>
      <c r="F465" s="31">
        <v>0</v>
      </c>
      <c r="G465" s="31">
        <v>42</v>
      </c>
      <c r="H465" s="31">
        <v>135</v>
      </c>
      <c r="I465" s="110">
        <f t="shared" si="51"/>
        <v>0.00740449610123878</v>
      </c>
      <c r="J465" s="111">
        <f t="shared" ref="J465:J528" si="54">B465/D465</f>
        <v>0.733464343598055</v>
      </c>
      <c r="K465" s="111">
        <f t="shared" si="50"/>
        <v>5.43093387256946</v>
      </c>
      <c r="L465" s="111">
        <f t="shared" si="52"/>
        <v>0</v>
      </c>
      <c r="M465" s="112">
        <f t="shared" si="53"/>
        <v>0</v>
      </c>
    </row>
    <row r="466" ht="13.85" spans="1:13">
      <c r="A466" s="52">
        <v>45625</v>
      </c>
      <c r="B466" s="102">
        <v>1828</v>
      </c>
      <c r="C466" s="31">
        <v>317534</v>
      </c>
      <c r="D466" s="31">
        <v>3146</v>
      </c>
      <c r="E466" s="31">
        <v>2</v>
      </c>
      <c r="F466" s="31">
        <v>30214</v>
      </c>
      <c r="G466" s="31">
        <v>51</v>
      </c>
      <c r="H466" s="31">
        <v>120</v>
      </c>
      <c r="I466" s="110">
        <f t="shared" si="51"/>
        <v>0.0099076004459365</v>
      </c>
      <c r="J466" s="111">
        <f t="shared" si="54"/>
        <v>0.581055308328036</v>
      </c>
      <c r="K466" s="111">
        <f t="shared" si="50"/>
        <v>5.75686383190461</v>
      </c>
      <c r="L466" s="111">
        <f t="shared" si="52"/>
        <v>16.5284463894967</v>
      </c>
      <c r="M466" s="112">
        <f t="shared" si="53"/>
        <v>0.000635727908455181</v>
      </c>
    </row>
    <row r="467" ht="13.85" spans="1:13">
      <c r="A467" s="52">
        <v>45626</v>
      </c>
      <c r="B467" s="102">
        <v>1770.3</v>
      </c>
      <c r="C467" s="31">
        <v>189207</v>
      </c>
      <c r="D467" s="31">
        <v>2153</v>
      </c>
      <c r="E467" s="31">
        <v>2</v>
      </c>
      <c r="F467" s="31">
        <v>13626</v>
      </c>
      <c r="G467" s="31">
        <v>56</v>
      </c>
      <c r="H467" s="31">
        <v>184</v>
      </c>
      <c r="I467" s="110">
        <f t="shared" si="51"/>
        <v>0.0113790715988309</v>
      </c>
      <c r="J467" s="111">
        <f t="shared" si="54"/>
        <v>0.822248026010218</v>
      </c>
      <c r="K467" s="111">
        <f t="shared" si="50"/>
        <v>9.35641915996765</v>
      </c>
      <c r="L467" s="111">
        <f t="shared" si="52"/>
        <v>7.69700050838841</v>
      </c>
      <c r="M467" s="112">
        <f t="shared" si="53"/>
        <v>0.000928936367858802</v>
      </c>
    </row>
    <row r="468" ht="13.85" spans="1:13">
      <c r="A468" s="52">
        <v>45627</v>
      </c>
      <c r="B468" s="102">
        <v>1807</v>
      </c>
      <c r="C468" s="31">
        <v>293388</v>
      </c>
      <c r="D468" s="31">
        <v>2629</v>
      </c>
      <c r="E468" s="31">
        <v>0</v>
      </c>
      <c r="F468" s="31">
        <v>0</v>
      </c>
      <c r="G468" s="31">
        <v>80</v>
      </c>
      <c r="H468" s="31">
        <v>167</v>
      </c>
      <c r="I468" s="110">
        <f t="shared" si="51"/>
        <v>0.00896083002713131</v>
      </c>
      <c r="J468" s="111">
        <f t="shared" si="54"/>
        <v>0.687333586915177</v>
      </c>
      <c r="K468" s="111">
        <f t="shared" si="50"/>
        <v>6.15907944428538</v>
      </c>
      <c r="L468" s="111">
        <f t="shared" si="52"/>
        <v>0</v>
      </c>
      <c r="M468" s="112">
        <f t="shared" si="53"/>
        <v>0</v>
      </c>
    </row>
    <row r="469" ht="13.85" spans="1:13">
      <c r="A469" s="52">
        <v>45628</v>
      </c>
      <c r="B469" s="102">
        <v>1906.92</v>
      </c>
      <c r="C469" s="31">
        <v>128774</v>
      </c>
      <c r="D469" s="31">
        <v>1888</v>
      </c>
      <c r="E469" s="31">
        <v>0</v>
      </c>
      <c r="F469" s="31">
        <v>0</v>
      </c>
      <c r="G469" s="31">
        <v>70</v>
      </c>
      <c r="H469" s="31">
        <v>122</v>
      </c>
      <c r="I469" s="110">
        <f t="shared" si="51"/>
        <v>0.0146613446813798</v>
      </c>
      <c r="J469" s="111">
        <f t="shared" si="54"/>
        <v>1.01002118644068</v>
      </c>
      <c r="K469" s="111">
        <f t="shared" si="50"/>
        <v>14.8082687499029</v>
      </c>
      <c r="L469" s="111">
        <f t="shared" si="52"/>
        <v>0</v>
      </c>
      <c r="M469" s="112">
        <f t="shared" si="53"/>
        <v>0</v>
      </c>
    </row>
    <row r="470" ht="13.85" spans="1:13">
      <c r="A470" s="52">
        <v>45629</v>
      </c>
      <c r="B470" s="102">
        <v>1907</v>
      </c>
      <c r="C470" s="31">
        <v>148877</v>
      </c>
      <c r="D470" s="31">
        <v>2066</v>
      </c>
      <c r="E470" s="31">
        <v>0</v>
      </c>
      <c r="F470" s="31">
        <v>0</v>
      </c>
      <c r="G470" s="31">
        <v>76</v>
      </c>
      <c r="H470" s="31">
        <v>115</v>
      </c>
      <c r="I470" s="110">
        <f t="shared" si="51"/>
        <v>0.0138772275099579</v>
      </c>
      <c r="J470" s="111">
        <f t="shared" si="54"/>
        <v>0.923039690222652</v>
      </c>
      <c r="K470" s="111">
        <f t="shared" si="50"/>
        <v>12.8092317819408</v>
      </c>
      <c r="L470" s="111">
        <f t="shared" si="52"/>
        <v>0</v>
      </c>
      <c r="M470" s="112">
        <f t="shared" si="53"/>
        <v>0</v>
      </c>
    </row>
    <row r="471" ht="13.85" spans="1:13">
      <c r="A471" s="52">
        <v>45630</v>
      </c>
      <c r="B471" s="102">
        <v>2121.41</v>
      </c>
      <c r="C471" s="31">
        <v>367682</v>
      </c>
      <c r="D471" s="31">
        <v>3155</v>
      </c>
      <c r="E471" s="31">
        <v>1</v>
      </c>
      <c r="F471" s="31">
        <v>7586</v>
      </c>
      <c r="G471" s="31">
        <v>66</v>
      </c>
      <c r="H471" s="31">
        <v>121</v>
      </c>
      <c r="I471" s="110">
        <f t="shared" si="51"/>
        <v>0.00858078448224281</v>
      </c>
      <c r="J471" s="111">
        <f t="shared" si="54"/>
        <v>0.672396196513471</v>
      </c>
      <c r="K471" s="111">
        <f t="shared" si="50"/>
        <v>5.76968684896187</v>
      </c>
      <c r="L471" s="111">
        <f t="shared" si="52"/>
        <v>3.57592356027359</v>
      </c>
      <c r="M471" s="112">
        <f t="shared" si="53"/>
        <v>0.000316957210776545</v>
      </c>
    </row>
    <row r="472" ht="13.85" spans="1:13">
      <c r="A472" s="52">
        <v>45631</v>
      </c>
      <c r="B472" s="102">
        <v>1401</v>
      </c>
      <c r="C472" s="31">
        <v>386224</v>
      </c>
      <c r="D472" s="31">
        <v>3772</v>
      </c>
      <c r="E472" s="31">
        <v>0</v>
      </c>
      <c r="F472" s="31">
        <v>0</v>
      </c>
      <c r="G472" s="31">
        <v>42</v>
      </c>
      <c r="H472" s="31">
        <v>54</v>
      </c>
      <c r="I472" s="110">
        <f t="shared" si="51"/>
        <v>0.00976635320435809</v>
      </c>
      <c r="J472" s="111">
        <f t="shared" si="54"/>
        <v>0.371420996818664</v>
      </c>
      <c r="K472" s="111">
        <f t="shared" si="50"/>
        <v>3.62742864244583</v>
      </c>
      <c r="L472" s="111">
        <f t="shared" si="52"/>
        <v>0</v>
      </c>
      <c r="M472" s="112">
        <f t="shared" si="53"/>
        <v>0</v>
      </c>
    </row>
    <row r="473" ht="13.85" spans="1:13">
      <c r="A473" s="52">
        <v>45632</v>
      </c>
      <c r="B473" s="102">
        <v>1450</v>
      </c>
      <c r="C473" s="31">
        <v>319032</v>
      </c>
      <c r="D473" s="31">
        <v>3715</v>
      </c>
      <c r="E473" s="31">
        <v>0</v>
      </c>
      <c r="F473" s="31">
        <v>0</v>
      </c>
      <c r="G473" s="31">
        <v>51</v>
      </c>
      <c r="H473" s="31">
        <v>65</v>
      </c>
      <c r="I473" s="110">
        <f t="shared" si="51"/>
        <v>0.0116445999147421</v>
      </c>
      <c r="J473" s="111">
        <f t="shared" si="54"/>
        <v>0.390309555854643</v>
      </c>
      <c r="K473" s="111">
        <f t="shared" si="50"/>
        <v>4.544998620828</v>
      </c>
      <c r="L473" s="111">
        <f t="shared" si="52"/>
        <v>0</v>
      </c>
      <c r="M473" s="112">
        <f t="shared" si="53"/>
        <v>0</v>
      </c>
    </row>
    <row r="474" ht="13.85" spans="1:13">
      <c r="A474" s="52">
        <v>45633</v>
      </c>
      <c r="B474" s="102">
        <v>1516</v>
      </c>
      <c r="C474" s="31">
        <v>171266</v>
      </c>
      <c r="D474" s="31">
        <v>2741</v>
      </c>
      <c r="E474" s="31">
        <v>0</v>
      </c>
      <c r="F474" s="31">
        <v>0</v>
      </c>
      <c r="G474" s="31">
        <v>48</v>
      </c>
      <c r="H474" s="31">
        <v>89</v>
      </c>
      <c r="I474" s="110">
        <f t="shared" si="51"/>
        <v>0.0160043441196735</v>
      </c>
      <c r="J474" s="111">
        <f t="shared" si="54"/>
        <v>0.553082816490332</v>
      </c>
      <c r="K474" s="111">
        <f t="shared" si="50"/>
        <v>8.8517277217895</v>
      </c>
      <c r="L474" s="111">
        <f t="shared" si="52"/>
        <v>0</v>
      </c>
      <c r="M474" s="112">
        <f t="shared" si="53"/>
        <v>0</v>
      </c>
    </row>
    <row r="475" ht="13.85" spans="1:13">
      <c r="A475" s="52">
        <v>45634</v>
      </c>
      <c r="B475" s="102">
        <v>1693</v>
      </c>
      <c r="C475" s="31">
        <v>167777</v>
      </c>
      <c r="D475" s="31">
        <v>2942</v>
      </c>
      <c r="E475" s="31">
        <v>0</v>
      </c>
      <c r="F475" s="31">
        <v>0</v>
      </c>
      <c r="G475" s="31">
        <v>100</v>
      </c>
      <c r="H475" s="31">
        <v>111</v>
      </c>
      <c r="I475" s="110">
        <f t="shared" si="51"/>
        <v>0.0175351806266652</v>
      </c>
      <c r="J475" s="111">
        <f t="shared" si="54"/>
        <v>0.575458871515976</v>
      </c>
      <c r="K475" s="111">
        <f t="shared" si="50"/>
        <v>10.0907752552495</v>
      </c>
      <c r="L475" s="111">
        <f t="shared" si="52"/>
        <v>0</v>
      </c>
      <c r="M475" s="112">
        <f t="shared" si="53"/>
        <v>0</v>
      </c>
    </row>
    <row r="476" ht="13.85" spans="1:13">
      <c r="A476" s="52">
        <v>45635</v>
      </c>
      <c r="B476" s="102">
        <v>1765</v>
      </c>
      <c r="C476" s="31">
        <v>171050</v>
      </c>
      <c r="D476" s="31">
        <v>2126</v>
      </c>
      <c r="E476" s="31">
        <v>0</v>
      </c>
      <c r="F476" s="31">
        <v>0</v>
      </c>
      <c r="G476" s="31">
        <v>57</v>
      </c>
      <c r="H476" s="31">
        <v>97</v>
      </c>
      <c r="I476" s="110">
        <f t="shared" si="51"/>
        <v>0.0124291142940661</v>
      </c>
      <c r="J476" s="111">
        <f t="shared" si="54"/>
        <v>0.830197554092192</v>
      </c>
      <c r="K476" s="111">
        <f t="shared" si="50"/>
        <v>10.3186202864659</v>
      </c>
      <c r="L476" s="111">
        <f t="shared" si="52"/>
        <v>0</v>
      </c>
      <c r="M476" s="112">
        <f t="shared" si="53"/>
        <v>0</v>
      </c>
    </row>
    <row r="477" ht="13.85" spans="1:13">
      <c r="A477" s="52">
        <v>45636</v>
      </c>
      <c r="B477" s="102">
        <v>2989</v>
      </c>
      <c r="C477" s="31">
        <v>221581</v>
      </c>
      <c r="D477" s="31">
        <v>3426</v>
      </c>
      <c r="E477" s="31">
        <v>1</v>
      </c>
      <c r="F477" s="31">
        <v>8842</v>
      </c>
      <c r="G477" s="31">
        <v>56</v>
      </c>
      <c r="H477" s="31">
        <v>111</v>
      </c>
      <c r="I477" s="110">
        <f t="shared" si="51"/>
        <v>0.0154616144886069</v>
      </c>
      <c r="J477" s="111">
        <f t="shared" si="54"/>
        <v>0.872446001167542</v>
      </c>
      <c r="K477" s="111">
        <f t="shared" si="50"/>
        <v>13.4894237321792</v>
      </c>
      <c r="L477" s="111">
        <f t="shared" si="52"/>
        <v>2.9581799933088</v>
      </c>
      <c r="M477" s="112">
        <f t="shared" si="53"/>
        <v>0.000291885580852306</v>
      </c>
    </row>
    <row r="478" ht="13.85" spans="1:13">
      <c r="A478" s="52">
        <v>45637</v>
      </c>
      <c r="B478" s="102">
        <v>2222</v>
      </c>
      <c r="C478" s="31">
        <v>135500</v>
      </c>
      <c r="D478" s="31">
        <v>1920</v>
      </c>
      <c r="E478" s="31">
        <v>3</v>
      </c>
      <c r="F478" s="31">
        <v>28192</v>
      </c>
      <c r="G478" s="31">
        <v>74</v>
      </c>
      <c r="H478" s="31">
        <v>118</v>
      </c>
      <c r="I478" s="110">
        <f t="shared" si="51"/>
        <v>0.014169741697417</v>
      </c>
      <c r="J478" s="111">
        <f t="shared" si="54"/>
        <v>1.15729166666667</v>
      </c>
      <c r="K478" s="111">
        <f t="shared" si="50"/>
        <v>16.3985239852399</v>
      </c>
      <c r="L478" s="111">
        <f t="shared" si="52"/>
        <v>12.6876687668767</v>
      </c>
      <c r="M478" s="112">
        <f t="shared" si="53"/>
        <v>0.0015625</v>
      </c>
    </row>
    <row r="479" ht="13.85" spans="1:13">
      <c r="A479" s="52">
        <v>45638</v>
      </c>
      <c r="B479" s="102">
        <v>2927</v>
      </c>
      <c r="C479" s="31">
        <v>138084</v>
      </c>
      <c r="D479" s="31">
        <v>3526</v>
      </c>
      <c r="E479" s="31">
        <v>7</v>
      </c>
      <c r="F479" s="31">
        <v>67538</v>
      </c>
      <c r="G479" s="31">
        <v>110</v>
      </c>
      <c r="H479" s="31">
        <v>151</v>
      </c>
      <c r="I479" s="110">
        <f t="shared" si="51"/>
        <v>0.0255351814837345</v>
      </c>
      <c r="J479" s="111">
        <f t="shared" si="54"/>
        <v>0.83011911514464</v>
      </c>
      <c r="K479" s="111">
        <f t="shared" si="50"/>
        <v>21.1972422583355</v>
      </c>
      <c r="L479" s="111">
        <f t="shared" si="52"/>
        <v>23.0741373419884</v>
      </c>
      <c r="M479" s="112">
        <f t="shared" si="53"/>
        <v>0.00198525241066364</v>
      </c>
    </row>
    <row r="480" ht="13.85" spans="1:13">
      <c r="A480" s="52">
        <v>45639</v>
      </c>
      <c r="B480" s="102">
        <v>1289</v>
      </c>
      <c r="C480" s="31">
        <v>77041</v>
      </c>
      <c r="D480" s="31">
        <v>1183</v>
      </c>
      <c r="E480" s="31">
        <v>0</v>
      </c>
      <c r="F480" s="31">
        <v>0</v>
      </c>
      <c r="G480" s="31">
        <v>64</v>
      </c>
      <c r="H480" s="31">
        <v>57</v>
      </c>
      <c r="I480" s="110">
        <f t="shared" si="51"/>
        <v>0.0153554600796978</v>
      </c>
      <c r="J480" s="111">
        <f t="shared" si="54"/>
        <v>1.08960270498732</v>
      </c>
      <c r="K480" s="111">
        <f t="shared" si="50"/>
        <v>16.7313508391636</v>
      </c>
      <c r="L480" s="111">
        <f t="shared" si="52"/>
        <v>0</v>
      </c>
      <c r="M480" s="112">
        <f t="shared" si="53"/>
        <v>0</v>
      </c>
    </row>
    <row r="481" ht="13.85" spans="1:13">
      <c r="A481" s="52">
        <v>45640</v>
      </c>
      <c r="B481" s="102">
        <v>1164</v>
      </c>
      <c r="C481" s="31">
        <v>234643</v>
      </c>
      <c r="D481" s="31">
        <v>1901</v>
      </c>
      <c r="E481" s="31">
        <v>2</v>
      </c>
      <c r="F481" s="31">
        <v>8042</v>
      </c>
      <c r="G481" s="31">
        <v>40</v>
      </c>
      <c r="H481" s="31">
        <v>67</v>
      </c>
      <c r="I481" s="110">
        <f t="shared" si="51"/>
        <v>0.00810166934449355</v>
      </c>
      <c r="J481" s="111">
        <f t="shared" si="54"/>
        <v>0.612309310889006</v>
      </c>
      <c r="K481" s="111">
        <f t="shared" si="50"/>
        <v>4.96072757337743</v>
      </c>
      <c r="L481" s="111">
        <f t="shared" si="52"/>
        <v>6.90893470790378</v>
      </c>
      <c r="M481" s="112">
        <f t="shared" si="53"/>
        <v>0.00105207785376118</v>
      </c>
    </row>
    <row r="482" ht="13.85" spans="1:13">
      <c r="A482" s="52">
        <v>45641</v>
      </c>
      <c r="B482" s="102">
        <v>1557</v>
      </c>
      <c r="C482" s="31">
        <v>96113</v>
      </c>
      <c r="D482" s="31">
        <v>1957</v>
      </c>
      <c r="E482" s="31">
        <v>3</v>
      </c>
      <c r="F482" s="31">
        <v>24394</v>
      </c>
      <c r="G482" s="31">
        <v>64</v>
      </c>
      <c r="H482" s="31">
        <v>69</v>
      </c>
      <c r="I482" s="110">
        <f t="shared" si="51"/>
        <v>0.0203614495437662</v>
      </c>
      <c r="J482" s="111">
        <f t="shared" si="54"/>
        <v>0.795605518650996</v>
      </c>
      <c r="K482" s="111">
        <f t="shared" si="50"/>
        <v>16.1996816247542</v>
      </c>
      <c r="L482" s="111">
        <f t="shared" si="52"/>
        <v>15.6673089274245</v>
      </c>
      <c r="M482" s="112">
        <f t="shared" si="53"/>
        <v>0.00153295861011753</v>
      </c>
    </row>
    <row r="483" ht="13.85" spans="1:13">
      <c r="A483" s="52">
        <v>45642</v>
      </c>
      <c r="B483" s="102">
        <v>1607</v>
      </c>
      <c r="C483" s="31">
        <v>95500</v>
      </c>
      <c r="D483" s="31">
        <v>1908</v>
      </c>
      <c r="E483" s="31">
        <v>0</v>
      </c>
      <c r="F483" s="31">
        <v>0</v>
      </c>
      <c r="G483" s="31">
        <v>44</v>
      </c>
      <c r="H483" s="31">
        <v>62</v>
      </c>
      <c r="I483" s="110">
        <f t="shared" si="51"/>
        <v>0.019979057591623</v>
      </c>
      <c r="J483" s="111">
        <f t="shared" si="54"/>
        <v>0.842243186582809</v>
      </c>
      <c r="K483" s="111">
        <f t="shared" si="50"/>
        <v>16.8272251308901</v>
      </c>
      <c r="L483" s="111">
        <f t="shared" si="52"/>
        <v>0</v>
      </c>
      <c r="M483" s="112">
        <f t="shared" si="53"/>
        <v>0</v>
      </c>
    </row>
    <row r="484" ht="13.85" spans="1:13">
      <c r="A484" s="52">
        <v>45643</v>
      </c>
      <c r="B484" s="102">
        <v>1002</v>
      </c>
      <c r="C484" s="31">
        <v>44184</v>
      </c>
      <c r="D484" s="31">
        <v>866</v>
      </c>
      <c r="E484" s="31">
        <v>0</v>
      </c>
      <c r="F484" s="31">
        <v>0</v>
      </c>
      <c r="G484" s="31">
        <v>26</v>
      </c>
      <c r="H484" s="31">
        <v>28</v>
      </c>
      <c r="I484" s="110">
        <f t="shared" si="51"/>
        <v>0.0195998551511859</v>
      </c>
      <c r="J484" s="111">
        <f t="shared" si="54"/>
        <v>1.15704387990762</v>
      </c>
      <c r="K484" s="111">
        <f t="shared" si="50"/>
        <v>22.6778924497556</v>
      </c>
      <c r="L484" s="111">
        <f t="shared" si="52"/>
        <v>0</v>
      </c>
      <c r="M484" s="112">
        <f t="shared" si="53"/>
        <v>0</v>
      </c>
    </row>
    <row r="485" ht="13.85" spans="1:13">
      <c r="A485" s="52">
        <v>45644</v>
      </c>
      <c r="B485" s="102">
        <v>895</v>
      </c>
      <c r="C485" s="31">
        <v>48652</v>
      </c>
      <c r="D485" s="31">
        <v>920</v>
      </c>
      <c r="E485" s="31">
        <v>4</v>
      </c>
      <c r="F485" s="31">
        <v>78478</v>
      </c>
      <c r="G485" s="31">
        <v>35</v>
      </c>
      <c r="H485" s="31">
        <v>25</v>
      </c>
      <c r="I485" s="110">
        <f t="shared" si="51"/>
        <v>0.0189098084354189</v>
      </c>
      <c r="J485" s="111">
        <f t="shared" si="54"/>
        <v>0.972826086956522</v>
      </c>
      <c r="K485" s="111">
        <f t="shared" si="50"/>
        <v>18.395954945326</v>
      </c>
      <c r="L485" s="111">
        <f t="shared" si="52"/>
        <v>87.6849162011173</v>
      </c>
      <c r="M485" s="112">
        <f t="shared" si="53"/>
        <v>0.00434782608695652</v>
      </c>
    </row>
    <row r="486" ht="13.85" spans="1:13">
      <c r="A486" s="52">
        <v>45645</v>
      </c>
      <c r="B486" s="102">
        <v>984</v>
      </c>
      <c r="C486" s="31">
        <v>57179</v>
      </c>
      <c r="D486" s="31">
        <v>964</v>
      </c>
      <c r="E486" s="31">
        <v>0</v>
      </c>
      <c r="F486" s="31">
        <v>0</v>
      </c>
      <c r="G486" s="31">
        <v>16</v>
      </c>
      <c r="H486" s="31">
        <v>25</v>
      </c>
      <c r="I486" s="110">
        <f t="shared" si="51"/>
        <v>0.0168593364696829</v>
      </c>
      <c r="J486" s="111">
        <f t="shared" si="54"/>
        <v>1.0207468879668</v>
      </c>
      <c r="K486" s="111">
        <f t="shared" si="50"/>
        <v>17.2091152346141</v>
      </c>
      <c r="L486" s="111">
        <f t="shared" si="52"/>
        <v>0</v>
      </c>
      <c r="M486" s="112">
        <f t="shared" si="53"/>
        <v>0</v>
      </c>
    </row>
    <row r="487" ht="13.85" spans="1:13">
      <c r="A487" s="52">
        <v>45646</v>
      </c>
      <c r="B487" s="102">
        <v>985</v>
      </c>
      <c r="C487" s="31">
        <v>55313</v>
      </c>
      <c r="D487" s="31">
        <v>956</v>
      </c>
      <c r="E487" s="31">
        <v>0</v>
      </c>
      <c r="F487" s="31">
        <v>0</v>
      </c>
      <c r="G487" s="31">
        <v>20</v>
      </c>
      <c r="H487" s="31">
        <v>32</v>
      </c>
      <c r="I487" s="110">
        <f t="shared" si="51"/>
        <v>0.0172834595845461</v>
      </c>
      <c r="J487" s="111">
        <f t="shared" si="54"/>
        <v>1.03033472803347</v>
      </c>
      <c r="K487" s="111">
        <f t="shared" si="50"/>
        <v>17.8077486305209</v>
      </c>
      <c r="L487" s="111">
        <f t="shared" si="52"/>
        <v>0</v>
      </c>
      <c r="M487" s="112">
        <f t="shared" si="53"/>
        <v>0</v>
      </c>
    </row>
    <row r="488" ht="13.85" spans="1:13">
      <c r="A488" s="52">
        <v>45647</v>
      </c>
      <c r="B488" s="102">
        <v>967</v>
      </c>
      <c r="C488" s="31">
        <v>70386</v>
      </c>
      <c r="D488" s="31">
        <v>1060</v>
      </c>
      <c r="E488" s="31">
        <v>0</v>
      </c>
      <c r="F488" s="31">
        <v>0</v>
      </c>
      <c r="G488" s="31">
        <v>50</v>
      </c>
      <c r="H488" s="31">
        <v>35</v>
      </c>
      <c r="I488" s="110">
        <f t="shared" si="51"/>
        <v>0.0150598130310005</v>
      </c>
      <c r="J488" s="111">
        <f t="shared" si="54"/>
        <v>0.912264150943396</v>
      </c>
      <c r="K488" s="111">
        <f t="shared" si="50"/>
        <v>13.7385275480919</v>
      </c>
      <c r="L488" s="111">
        <f t="shared" si="52"/>
        <v>0</v>
      </c>
      <c r="M488" s="112">
        <f t="shared" si="53"/>
        <v>0</v>
      </c>
    </row>
    <row r="489" ht="13.85" spans="1:13">
      <c r="A489" s="52">
        <v>45648</v>
      </c>
      <c r="B489" s="102">
        <v>974</v>
      </c>
      <c r="C489" s="31">
        <v>66265</v>
      </c>
      <c r="D489" s="31">
        <v>1095</v>
      </c>
      <c r="E489" s="31">
        <v>0</v>
      </c>
      <c r="F489" s="31">
        <v>0</v>
      </c>
      <c r="G489" s="31">
        <v>30</v>
      </c>
      <c r="H489" s="31">
        <v>30</v>
      </c>
      <c r="I489" s="110">
        <f t="shared" si="51"/>
        <v>0.0165245604768732</v>
      </c>
      <c r="J489" s="111">
        <f t="shared" si="54"/>
        <v>0.889497716894977</v>
      </c>
      <c r="K489" s="111">
        <f t="shared" si="50"/>
        <v>14.6985588168717</v>
      </c>
      <c r="L489" s="111">
        <f t="shared" si="52"/>
        <v>0</v>
      </c>
      <c r="M489" s="112">
        <f t="shared" si="53"/>
        <v>0</v>
      </c>
    </row>
    <row r="490" ht="13.85" spans="1:13">
      <c r="A490" s="52">
        <v>45649</v>
      </c>
      <c r="B490" s="102">
        <v>1072</v>
      </c>
      <c r="C490" s="31">
        <v>71326</v>
      </c>
      <c r="D490" s="31">
        <v>1161</v>
      </c>
      <c r="E490" s="31">
        <v>0</v>
      </c>
      <c r="F490" s="31">
        <v>0</v>
      </c>
      <c r="G490" s="31">
        <v>33</v>
      </c>
      <c r="H490" s="31">
        <v>26</v>
      </c>
      <c r="I490" s="110">
        <f t="shared" si="51"/>
        <v>0.0162773743095085</v>
      </c>
      <c r="J490" s="111">
        <f t="shared" si="54"/>
        <v>0.923341946597761</v>
      </c>
      <c r="K490" s="111">
        <f t="shared" si="50"/>
        <v>15.0295824804419</v>
      </c>
      <c r="L490" s="111">
        <f t="shared" si="52"/>
        <v>0</v>
      </c>
      <c r="M490" s="112">
        <f t="shared" si="53"/>
        <v>0</v>
      </c>
    </row>
    <row r="491" ht="13.85" spans="1:13">
      <c r="A491" s="52">
        <v>45650</v>
      </c>
      <c r="B491" s="102">
        <v>1066</v>
      </c>
      <c r="C491" s="31">
        <v>98568</v>
      </c>
      <c r="D491" s="31">
        <v>1202</v>
      </c>
      <c r="E491" s="31">
        <v>2</v>
      </c>
      <c r="F491" s="31">
        <v>15188</v>
      </c>
      <c r="G491" s="31">
        <v>45</v>
      </c>
      <c r="H491" s="31">
        <v>6</v>
      </c>
      <c r="I491" s="110">
        <f t="shared" si="51"/>
        <v>0.0121946270594919</v>
      </c>
      <c r="J491" s="111">
        <f t="shared" si="54"/>
        <v>0.886855241264559</v>
      </c>
      <c r="K491" s="111">
        <f t="shared" si="50"/>
        <v>10.814868922977</v>
      </c>
      <c r="L491" s="111">
        <f t="shared" si="52"/>
        <v>14.2476547842402</v>
      </c>
      <c r="M491" s="112">
        <f t="shared" si="53"/>
        <v>0.00166389351081531</v>
      </c>
    </row>
    <row r="492" ht="13.85" spans="1:13">
      <c r="A492" s="52">
        <v>45651</v>
      </c>
      <c r="B492" s="102">
        <v>1050</v>
      </c>
      <c r="C492" s="31">
        <v>71662</v>
      </c>
      <c r="D492" s="31">
        <v>1128</v>
      </c>
      <c r="E492" s="31">
        <v>0</v>
      </c>
      <c r="F492" s="31">
        <v>0</v>
      </c>
      <c r="G492" s="31">
        <v>29</v>
      </c>
      <c r="H492" s="31">
        <v>21</v>
      </c>
      <c r="I492" s="110">
        <f t="shared" si="51"/>
        <v>0.0157405598504089</v>
      </c>
      <c r="J492" s="111">
        <f t="shared" si="54"/>
        <v>0.930851063829787</v>
      </c>
      <c r="K492" s="111">
        <f t="shared" si="50"/>
        <v>14.6521168820295</v>
      </c>
      <c r="L492" s="111">
        <f t="shared" si="52"/>
        <v>0</v>
      </c>
      <c r="M492" s="112">
        <f t="shared" si="53"/>
        <v>0</v>
      </c>
    </row>
    <row r="493" ht="13.85" spans="1:13">
      <c r="A493" s="52">
        <v>45652</v>
      </c>
      <c r="B493" s="102">
        <v>1059</v>
      </c>
      <c r="C493" s="31">
        <v>105293</v>
      </c>
      <c r="D493" s="31">
        <v>1318</v>
      </c>
      <c r="E493" s="31">
        <v>0</v>
      </c>
      <c r="F493" s="31">
        <v>0</v>
      </c>
      <c r="G493" s="31">
        <v>39</v>
      </c>
      <c r="H493" s="31">
        <v>28</v>
      </c>
      <c r="I493" s="110">
        <f t="shared" si="51"/>
        <v>0.0125174513025557</v>
      </c>
      <c r="J493" s="111">
        <f t="shared" si="54"/>
        <v>0.803490136570561</v>
      </c>
      <c r="K493" s="111">
        <f t="shared" si="50"/>
        <v>10.0576486566059</v>
      </c>
      <c r="L493" s="111">
        <f t="shared" si="52"/>
        <v>0</v>
      </c>
      <c r="M493" s="112">
        <f t="shared" si="53"/>
        <v>0</v>
      </c>
    </row>
    <row r="494" ht="13.85" spans="1:13">
      <c r="A494" s="52">
        <v>45653</v>
      </c>
      <c r="B494" s="102">
        <v>1069</v>
      </c>
      <c r="C494" s="31">
        <v>146092</v>
      </c>
      <c r="D494" s="31">
        <v>1427</v>
      </c>
      <c r="E494" s="31">
        <v>0</v>
      </c>
      <c r="F494" s="31">
        <v>0</v>
      </c>
      <c r="G494" s="31">
        <v>46</v>
      </c>
      <c r="H494" s="31">
        <v>28</v>
      </c>
      <c r="I494" s="110">
        <f t="shared" si="51"/>
        <v>0.00976781753963256</v>
      </c>
      <c r="J494" s="111">
        <f t="shared" si="54"/>
        <v>0.749124036440084</v>
      </c>
      <c r="K494" s="111">
        <f t="shared" si="50"/>
        <v>7.31730690249979</v>
      </c>
      <c r="L494" s="111">
        <f t="shared" si="52"/>
        <v>0</v>
      </c>
      <c r="M494" s="112">
        <f t="shared" si="53"/>
        <v>0</v>
      </c>
    </row>
    <row r="495" ht="13.85" spans="1:13">
      <c r="A495" s="52">
        <v>45654</v>
      </c>
      <c r="B495" s="102">
        <v>1081</v>
      </c>
      <c r="C495" s="31">
        <v>155807</v>
      </c>
      <c r="D495" s="31">
        <v>1664</v>
      </c>
      <c r="E495" s="31">
        <v>0</v>
      </c>
      <c r="F495" s="31">
        <v>0</v>
      </c>
      <c r="G495" s="31">
        <v>44</v>
      </c>
      <c r="H495" s="31">
        <v>50</v>
      </c>
      <c r="I495" s="110">
        <f t="shared" si="51"/>
        <v>0.0106798795946267</v>
      </c>
      <c r="J495" s="111">
        <f t="shared" si="54"/>
        <v>0.649639423076923</v>
      </c>
      <c r="K495" s="111">
        <f t="shared" si="50"/>
        <v>6.93807081838428</v>
      </c>
      <c r="L495" s="111">
        <f t="shared" si="52"/>
        <v>0</v>
      </c>
      <c r="M495" s="112">
        <f t="shared" si="53"/>
        <v>0</v>
      </c>
    </row>
    <row r="496" ht="13.85" spans="1:13">
      <c r="A496" s="52">
        <v>45655</v>
      </c>
      <c r="B496" s="102">
        <v>1092</v>
      </c>
      <c r="C496" s="31">
        <v>108128</v>
      </c>
      <c r="D496" s="31">
        <v>1504</v>
      </c>
      <c r="E496" s="31">
        <v>1</v>
      </c>
      <c r="F496" s="31">
        <v>18412</v>
      </c>
      <c r="G496" s="31">
        <v>40</v>
      </c>
      <c r="H496" s="31">
        <v>39</v>
      </c>
      <c r="I496" s="110">
        <f t="shared" si="51"/>
        <v>0.013909440662918</v>
      </c>
      <c r="J496" s="111">
        <f t="shared" si="54"/>
        <v>0.726063829787234</v>
      </c>
      <c r="K496" s="111">
        <f t="shared" si="50"/>
        <v>10.0991417579165</v>
      </c>
      <c r="L496" s="111">
        <f t="shared" si="52"/>
        <v>16.8608058608059</v>
      </c>
      <c r="M496" s="112">
        <f t="shared" si="53"/>
        <v>0.000664893617021277</v>
      </c>
    </row>
    <row r="497" ht="13.85" spans="1:13">
      <c r="A497" s="52">
        <v>45656</v>
      </c>
      <c r="B497" s="102">
        <v>1048</v>
      </c>
      <c r="C497" s="31">
        <v>107963</v>
      </c>
      <c r="D497" s="31">
        <v>1190</v>
      </c>
      <c r="E497" s="31">
        <v>4</v>
      </c>
      <c r="F497" s="31">
        <v>20568</v>
      </c>
      <c r="G497" s="31">
        <v>59</v>
      </c>
      <c r="H497" s="31">
        <v>27</v>
      </c>
      <c r="I497" s="110">
        <f t="shared" si="51"/>
        <v>0.0110222946750276</v>
      </c>
      <c r="J497" s="111">
        <f t="shared" si="54"/>
        <v>0.880672268907563</v>
      </c>
      <c r="K497" s="111">
        <f t="shared" si="50"/>
        <v>9.70702926002427</v>
      </c>
      <c r="L497" s="111">
        <f t="shared" si="52"/>
        <v>19.6259541984733</v>
      </c>
      <c r="M497" s="112">
        <f t="shared" si="53"/>
        <v>0.00336134453781513</v>
      </c>
    </row>
    <row r="498" ht="13.85" spans="1:13">
      <c r="A498" s="52">
        <v>45657</v>
      </c>
      <c r="B498" s="102">
        <v>967</v>
      </c>
      <c r="C498" s="31">
        <v>334295</v>
      </c>
      <c r="D498" s="31">
        <v>1725</v>
      </c>
      <c r="E498" s="31">
        <v>0</v>
      </c>
      <c r="F498" s="31">
        <v>0</v>
      </c>
      <c r="G498" s="31">
        <v>29</v>
      </c>
      <c r="H498" s="31">
        <v>25</v>
      </c>
      <c r="I498" s="110">
        <f t="shared" si="51"/>
        <v>0.00516011307378214</v>
      </c>
      <c r="J498" s="111">
        <f t="shared" si="54"/>
        <v>0.560579710144928</v>
      </c>
      <c r="K498" s="111">
        <f t="shared" si="50"/>
        <v>2.89265469121584</v>
      </c>
      <c r="L498" s="111">
        <f t="shared" si="52"/>
        <v>0</v>
      </c>
      <c r="M498" s="112">
        <f t="shared" si="53"/>
        <v>0</v>
      </c>
    </row>
    <row r="499" ht="13.85" spans="1:13">
      <c r="A499" s="52">
        <v>45658</v>
      </c>
      <c r="B499" s="102">
        <v>898</v>
      </c>
      <c r="C499" s="31">
        <v>85762</v>
      </c>
      <c r="D499" s="31">
        <v>1168</v>
      </c>
      <c r="E499" s="31">
        <v>0</v>
      </c>
      <c r="F499" s="31">
        <v>0</v>
      </c>
      <c r="G499" s="31">
        <v>36</v>
      </c>
      <c r="H499" s="31">
        <v>39</v>
      </c>
      <c r="I499" s="110">
        <f t="shared" si="51"/>
        <v>0.0136190853758075</v>
      </c>
      <c r="J499" s="111">
        <f t="shared" si="54"/>
        <v>0.768835616438356</v>
      </c>
      <c r="K499" s="111">
        <f t="shared" si="50"/>
        <v>10.4708379002355</v>
      </c>
      <c r="L499" s="111">
        <f t="shared" si="52"/>
        <v>0</v>
      </c>
      <c r="M499" s="112">
        <f t="shared" si="53"/>
        <v>0</v>
      </c>
    </row>
    <row r="500" ht="13.85" spans="1:13">
      <c r="A500" s="52">
        <v>45659</v>
      </c>
      <c r="B500" s="102">
        <v>788</v>
      </c>
      <c r="C500" s="31">
        <v>103674</v>
      </c>
      <c r="D500" s="31">
        <v>922</v>
      </c>
      <c r="E500" s="31">
        <v>0</v>
      </c>
      <c r="F500" s="31">
        <v>0</v>
      </c>
      <c r="G500" s="31">
        <v>38</v>
      </c>
      <c r="H500" s="31">
        <v>18</v>
      </c>
      <c r="I500" s="110">
        <f t="shared" si="51"/>
        <v>0.0088932615699211</v>
      </c>
      <c r="J500" s="111">
        <f t="shared" si="54"/>
        <v>0.854663774403471</v>
      </c>
      <c r="K500" s="111">
        <f t="shared" si="50"/>
        <v>7.6007485001061</v>
      </c>
      <c r="L500" s="111">
        <f t="shared" si="52"/>
        <v>0</v>
      </c>
      <c r="M500" s="112">
        <f t="shared" si="53"/>
        <v>0</v>
      </c>
    </row>
    <row r="501" ht="13.85" spans="1:13">
      <c r="A501" s="52">
        <v>45660</v>
      </c>
      <c r="B501" s="102">
        <v>707</v>
      </c>
      <c r="C501" s="31">
        <v>31110</v>
      </c>
      <c r="D501" s="31">
        <v>617</v>
      </c>
      <c r="E501" s="31">
        <v>1</v>
      </c>
      <c r="F501" s="31">
        <v>12578</v>
      </c>
      <c r="G501" s="31">
        <v>22</v>
      </c>
      <c r="H501" s="31">
        <v>28</v>
      </c>
      <c r="I501" s="110">
        <f t="shared" si="51"/>
        <v>0.0198328511732562</v>
      </c>
      <c r="J501" s="111">
        <f t="shared" si="54"/>
        <v>1.14586709886548</v>
      </c>
      <c r="K501" s="111">
        <f t="shared" si="50"/>
        <v>22.7258116361299</v>
      </c>
      <c r="L501" s="111">
        <f t="shared" si="52"/>
        <v>17.7906647807638</v>
      </c>
      <c r="M501" s="112">
        <f t="shared" si="53"/>
        <v>0.00162074554294976</v>
      </c>
    </row>
    <row r="502" ht="13.85" spans="1:13">
      <c r="A502" s="52">
        <v>45661</v>
      </c>
      <c r="B502" s="102">
        <v>710</v>
      </c>
      <c r="C502" s="31">
        <v>72283</v>
      </c>
      <c r="D502" s="31">
        <v>820</v>
      </c>
      <c r="E502" s="31">
        <v>0</v>
      </c>
      <c r="F502" s="31">
        <v>0</v>
      </c>
      <c r="G502" s="31">
        <v>23</v>
      </c>
      <c r="H502" s="31">
        <v>41</v>
      </c>
      <c r="I502" s="110">
        <f t="shared" si="51"/>
        <v>0.0113442994895065</v>
      </c>
      <c r="J502" s="111">
        <f t="shared" si="54"/>
        <v>0.865853658536585</v>
      </c>
      <c r="K502" s="111">
        <f t="shared" si="50"/>
        <v>9.82250321652394</v>
      </c>
      <c r="L502" s="111">
        <f t="shared" si="52"/>
        <v>0</v>
      </c>
      <c r="M502" s="112">
        <f t="shared" si="53"/>
        <v>0</v>
      </c>
    </row>
    <row r="503" ht="13.85" spans="1:13">
      <c r="A503" s="52">
        <v>45662</v>
      </c>
      <c r="B503" s="102">
        <v>733</v>
      </c>
      <c r="C503" s="31">
        <v>31542</v>
      </c>
      <c r="D503" s="31">
        <v>711</v>
      </c>
      <c r="E503" s="31">
        <v>0</v>
      </c>
      <c r="F503" s="31">
        <v>0</v>
      </c>
      <c r="G503" s="31">
        <v>24</v>
      </c>
      <c r="H503" s="31">
        <v>31</v>
      </c>
      <c r="I503" s="110">
        <f t="shared" si="51"/>
        <v>0.0225413734068861</v>
      </c>
      <c r="J503" s="111">
        <f t="shared" si="54"/>
        <v>1.0309423347398</v>
      </c>
      <c r="K503" s="111">
        <f t="shared" si="50"/>
        <v>23.2388561283368</v>
      </c>
      <c r="L503" s="111">
        <f t="shared" si="52"/>
        <v>0</v>
      </c>
      <c r="M503" s="112">
        <f t="shared" si="53"/>
        <v>0</v>
      </c>
    </row>
    <row r="504" ht="13.85" spans="1:13">
      <c r="A504" s="52">
        <v>45663</v>
      </c>
      <c r="B504" s="102">
        <v>894</v>
      </c>
      <c r="C504" s="31">
        <v>39530</v>
      </c>
      <c r="D504" s="31">
        <v>724</v>
      </c>
      <c r="E504" s="31">
        <v>2</v>
      </c>
      <c r="F504" s="31">
        <v>26266</v>
      </c>
      <c r="G504" s="31">
        <v>30</v>
      </c>
      <c r="H504" s="31">
        <v>27</v>
      </c>
      <c r="I504" s="110">
        <f t="shared" si="51"/>
        <v>0.0183152036428029</v>
      </c>
      <c r="J504" s="111">
        <f t="shared" si="54"/>
        <v>1.23480662983425</v>
      </c>
      <c r="K504" s="111">
        <f t="shared" si="50"/>
        <v>22.6157348848975</v>
      </c>
      <c r="L504" s="111">
        <f t="shared" si="52"/>
        <v>29.3803131991051</v>
      </c>
      <c r="M504" s="112">
        <f t="shared" si="53"/>
        <v>0.00276243093922652</v>
      </c>
    </row>
    <row r="505" ht="13.85" spans="1:13">
      <c r="A505" s="52">
        <v>45664</v>
      </c>
      <c r="B505" s="102">
        <v>889</v>
      </c>
      <c r="C505" s="31">
        <v>38774</v>
      </c>
      <c r="D505" s="31">
        <v>815</v>
      </c>
      <c r="E505" s="31">
        <v>0</v>
      </c>
      <c r="F505" s="31">
        <v>0</v>
      </c>
      <c r="G505" s="31">
        <v>24</v>
      </c>
      <c r="H505" s="31">
        <v>30</v>
      </c>
      <c r="I505" s="110">
        <f t="shared" si="51"/>
        <v>0.021019239696704</v>
      </c>
      <c r="J505" s="111">
        <f t="shared" si="54"/>
        <v>1.09079754601227</v>
      </c>
      <c r="K505" s="111">
        <f t="shared" si="50"/>
        <v>22.9277350802084</v>
      </c>
      <c r="L505" s="111">
        <f t="shared" si="52"/>
        <v>0</v>
      </c>
      <c r="M505" s="112">
        <f t="shared" si="53"/>
        <v>0</v>
      </c>
    </row>
    <row r="506" ht="13.85" spans="1:13">
      <c r="A506" s="52">
        <v>45665</v>
      </c>
      <c r="B506" s="102">
        <v>866</v>
      </c>
      <c r="C506" s="31">
        <v>40812</v>
      </c>
      <c r="D506" s="31">
        <v>963</v>
      </c>
      <c r="E506" s="31">
        <v>0</v>
      </c>
      <c r="F506" s="31">
        <v>0</v>
      </c>
      <c r="G506" s="31">
        <v>20</v>
      </c>
      <c r="H506" s="31">
        <v>26</v>
      </c>
      <c r="I506" s="110">
        <f t="shared" si="51"/>
        <v>0.0235960011761247</v>
      </c>
      <c r="J506" s="111">
        <f t="shared" si="54"/>
        <v>0.899273104880582</v>
      </c>
      <c r="K506" s="111">
        <f t="shared" si="50"/>
        <v>21.2192492404195</v>
      </c>
      <c r="L506" s="111">
        <f t="shared" si="52"/>
        <v>0</v>
      </c>
      <c r="M506" s="112">
        <f t="shared" si="53"/>
        <v>0</v>
      </c>
    </row>
    <row r="507" ht="13.85" spans="1:13">
      <c r="A507" s="52">
        <v>45666</v>
      </c>
      <c r="B507" s="102">
        <v>738</v>
      </c>
      <c r="C507" s="31">
        <v>39087</v>
      </c>
      <c r="D507" s="31">
        <v>840</v>
      </c>
      <c r="E507" s="31">
        <v>0</v>
      </c>
      <c r="F507" s="31">
        <v>0</v>
      </c>
      <c r="G507" s="31">
        <v>21</v>
      </c>
      <c r="H507" s="31">
        <v>15</v>
      </c>
      <c r="I507" s="110">
        <f t="shared" si="51"/>
        <v>0.0214905211451378</v>
      </c>
      <c r="J507" s="111">
        <f t="shared" si="54"/>
        <v>0.878571428571429</v>
      </c>
      <c r="K507" s="111">
        <f t="shared" si="50"/>
        <v>18.8809578632282</v>
      </c>
      <c r="L507" s="111">
        <f t="shared" si="52"/>
        <v>0</v>
      </c>
      <c r="M507" s="112">
        <f t="shared" si="53"/>
        <v>0</v>
      </c>
    </row>
    <row r="508" ht="13.85" spans="1:13">
      <c r="A508" s="52">
        <v>45667</v>
      </c>
      <c r="B508" s="102">
        <v>736</v>
      </c>
      <c r="C508" s="31">
        <v>74452</v>
      </c>
      <c r="D508" s="31">
        <v>1043</v>
      </c>
      <c r="E508" s="31">
        <v>0</v>
      </c>
      <c r="F508" s="31">
        <v>0</v>
      </c>
      <c r="G508" s="31">
        <v>22</v>
      </c>
      <c r="H508" s="31">
        <v>17</v>
      </c>
      <c r="I508" s="110">
        <f t="shared" si="51"/>
        <v>0.0140090259496051</v>
      </c>
      <c r="J508" s="111">
        <f t="shared" si="54"/>
        <v>0.705656759348035</v>
      </c>
      <c r="K508" s="111">
        <f t="shared" ref="K508:K571" si="55">B508/C508*1000</f>
        <v>9.88556385322087</v>
      </c>
      <c r="L508" s="111">
        <f t="shared" si="52"/>
        <v>0</v>
      </c>
      <c r="M508" s="112">
        <f t="shared" si="53"/>
        <v>0</v>
      </c>
    </row>
    <row r="509" ht="13.85" spans="1:13">
      <c r="A509" s="52">
        <v>45668</v>
      </c>
      <c r="B509" s="102">
        <v>1333</v>
      </c>
      <c r="C509" s="31">
        <v>107682</v>
      </c>
      <c r="D509" s="31">
        <v>1833</v>
      </c>
      <c r="E509" s="31">
        <v>0</v>
      </c>
      <c r="F509" s="31">
        <v>0</v>
      </c>
      <c r="G509" s="31">
        <v>28</v>
      </c>
      <c r="H509" s="31">
        <v>26</v>
      </c>
      <c r="I509" s="110">
        <f t="shared" si="51"/>
        <v>0.01702234356717</v>
      </c>
      <c r="J509" s="111">
        <f t="shared" si="54"/>
        <v>0.727223131478451</v>
      </c>
      <c r="K509" s="111">
        <f t="shared" si="55"/>
        <v>12.3790419940194</v>
      </c>
      <c r="L509" s="111">
        <f t="shared" si="52"/>
        <v>0</v>
      </c>
      <c r="M509" s="112">
        <f t="shared" si="53"/>
        <v>0</v>
      </c>
    </row>
    <row r="510" ht="13.85" spans="1:13">
      <c r="A510" s="52">
        <v>45669</v>
      </c>
      <c r="B510" s="102">
        <v>747</v>
      </c>
      <c r="C510" s="31">
        <v>72061</v>
      </c>
      <c r="D510" s="31">
        <v>1016</v>
      </c>
      <c r="E510" s="31">
        <v>3</v>
      </c>
      <c r="F510" s="31">
        <v>0</v>
      </c>
      <c r="G510" s="31">
        <v>28</v>
      </c>
      <c r="H510" s="31">
        <v>27</v>
      </c>
      <c r="I510" s="110">
        <f t="shared" si="51"/>
        <v>0.0140991659843743</v>
      </c>
      <c r="J510" s="111">
        <f t="shared" si="54"/>
        <v>0.735236220472441</v>
      </c>
      <c r="K510" s="111">
        <f t="shared" si="55"/>
        <v>10.366217510165</v>
      </c>
      <c r="L510" s="111">
        <f t="shared" si="52"/>
        <v>0</v>
      </c>
      <c r="M510" s="112">
        <f t="shared" si="53"/>
        <v>0.00295275590551181</v>
      </c>
    </row>
    <row r="511" ht="13.85" spans="1:13">
      <c r="A511" s="52">
        <v>45670</v>
      </c>
      <c r="B511" s="102">
        <v>856</v>
      </c>
      <c r="C511" s="31">
        <v>131354</v>
      </c>
      <c r="D511" s="31">
        <v>1202</v>
      </c>
      <c r="E511" s="31">
        <v>5</v>
      </c>
      <c r="F511" s="31">
        <v>40090</v>
      </c>
      <c r="G511" s="31">
        <v>22</v>
      </c>
      <c r="H511" s="31">
        <v>43</v>
      </c>
      <c r="I511" s="110">
        <f t="shared" si="51"/>
        <v>0.00915084428338688</v>
      </c>
      <c r="J511" s="111">
        <f t="shared" si="54"/>
        <v>0.712146422628952</v>
      </c>
      <c r="K511" s="111">
        <f t="shared" si="55"/>
        <v>6.51674102044856</v>
      </c>
      <c r="L511" s="111">
        <f t="shared" si="52"/>
        <v>46.8341121495327</v>
      </c>
      <c r="M511" s="112">
        <f t="shared" si="53"/>
        <v>0.00415973377703827</v>
      </c>
    </row>
    <row r="512" ht="13.85" spans="1:13">
      <c r="A512" s="52">
        <v>45671</v>
      </c>
      <c r="B512" s="102">
        <v>1414</v>
      </c>
      <c r="C512" s="31">
        <v>67813</v>
      </c>
      <c r="D512" s="31">
        <v>1368</v>
      </c>
      <c r="E512" s="31">
        <v>0</v>
      </c>
      <c r="F512" s="31">
        <v>0</v>
      </c>
      <c r="G512" s="31">
        <v>22</v>
      </c>
      <c r="H512" s="31">
        <v>16</v>
      </c>
      <c r="I512" s="110">
        <f t="shared" si="51"/>
        <v>0.0201731231474791</v>
      </c>
      <c r="J512" s="111">
        <f t="shared" si="54"/>
        <v>1.03362573099415</v>
      </c>
      <c r="K512" s="111">
        <f t="shared" si="55"/>
        <v>20.8514591597481</v>
      </c>
      <c r="L512" s="111">
        <f t="shared" si="52"/>
        <v>0</v>
      </c>
      <c r="M512" s="112">
        <f>E511/D512</f>
        <v>0.00365497076023392</v>
      </c>
    </row>
    <row r="513" ht="13.85" spans="1:13">
      <c r="A513" s="52">
        <v>45672</v>
      </c>
      <c r="B513" s="102">
        <v>877</v>
      </c>
      <c r="C513" s="31">
        <v>79684</v>
      </c>
      <c r="D513" s="31">
        <v>1106</v>
      </c>
      <c r="E513" s="31">
        <v>0</v>
      </c>
      <c r="F513" s="31">
        <v>0</v>
      </c>
      <c r="G513" s="31">
        <v>25</v>
      </c>
      <c r="H513" s="31">
        <v>18</v>
      </c>
      <c r="I513" s="110">
        <f t="shared" si="51"/>
        <v>0.0138798253099744</v>
      </c>
      <c r="J513" s="111">
        <f t="shared" si="54"/>
        <v>0.792947558770344</v>
      </c>
      <c r="K513" s="111">
        <f t="shared" si="55"/>
        <v>11.005973595703</v>
      </c>
      <c r="L513" s="111">
        <f t="shared" si="52"/>
        <v>0</v>
      </c>
      <c r="M513" s="112">
        <f t="shared" ref="M513:M576" si="56">E513/D513</f>
        <v>0</v>
      </c>
    </row>
    <row r="514" ht="13.85" spans="1:13">
      <c r="A514" s="52">
        <v>45673</v>
      </c>
      <c r="B514" s="102">
        <v>900</v>
      </c>
      <c r="C514" s="31">
        <v>212340</v>
      </c>
      <c r="D514" s="31">
        <v>1477</v>
      </c>
      <c r="E514" s="31">
        <v>0</v>
      </c>
      <c r="F514" s="31">
        <v>0</v>
      </c>
      <c r="G514" s="31">
        <v>13</v>
      </c>
      <c r="H514" s="31">
        <v>11</v>
      </c>
      <c r="I514" s="110">
        <f t="shared" si="51"/>
        <v>0.00695582556277668</v>
      </c>
      <c r="J514" s="111">
        <f t="shared" si="54"/>
        <v>0.609343263371699</v>
      </c>
      <c r="K514" s="111">
        <f t="shared" si="55"/>
        <v>4.23848544786663</v>
      </c>
      <c r="L514" s="111">
        <f t="shared" si="52"/>
        <v>0</v>
      </c>
      <c r="M514" s="112">
        <f t="shared" si="56"/>
        <v>0</v>
      </c>
    </row>
    <row r="515" ht="13.85" spans="1:13">
      <c r="A515" s="52">
        <v>45674</v>
      </c>
      <c r="B515" s="102">
        <v>1437</v>
      </c>
      <c r="C515" s="31">
        <v>140246</v>
      </c>
      <c r="D515" s="31">
        <v>1797</v>
      </c>
      <c r="E515" s="31">
        <v>1</v>
      </c>
      <c r="F515" s="31">
        <v>5998</v>
      </c>
      <c r="G515" s="31">
        <v>21</v>
      </c>
      <c r="H515" s="31">
        <v>9</v>
      </c>
      <c r="I515" s="110">
        <f t="shared" si="51"/>
        <v>0.0128131996634485</v>
      </c>
      <c r="J515" s="111">
        <f t="shared" si="54"/>
        <v>0.799666110183639</v>
      </c>
      <c r="K515" s="111">
        <f t="shared" si="55"/>
        <v>10.2462815338762</v>
      </c>
      <c r="L515" s="111">
        <f t="shared" si="52"/>
        <v>4.17397355601948</v>
      </c>
      <c r="M515" s="112">
        <f t="shared" si="56"/>
        <v>0.000556483027267668</v>
      </c>
    </row>
    <row r="516" ht="13.85" spans="1:13">
      <c r="A516" s="52">
        <v>45675</v>
      </c>
      <c r="B516" s="102">
        <v>888</v>
      </c>
      <c r="C516" s="31">
        <v>210682</v>
      </c>
      <c r="D516" s="31">
        <v>1756</v>
      </c>
      <c r="E516" s="31">
        <v>0</v>
      </c>
      <c r="F516" s="31">
        <v>0</v>
      </c>
      <c r="G516" s="31">
        <v>12</v>
      </c>
      <c r="H516" s="31">
        <v>12</v>
      </c>
      <c r="I516" s="110">
        <f t="shared" si="51"/>
        <v>0.00833483638849071</v>
      </c>
      <c r="J516" s="111">
        <f t="shared" si="54"/>
        <v>0.505694760820046</v>
      </c>
      <c r="K516" s="111">
        <f t="shared" si="55"/>
        <v>4.21488309395202</v>
      </c>
      <c r="L516" s="111">
        <f t="shared" si="52"/>
        <v>0</v>
      </c>
      <c r="M516" s="112">
        <f t="shared" si="56"/>
        <v>0</v>
      </c>
    </row>
    <row r="517" ht="13.85" spans="1:13">
      <c r="A517" s="52">
        <v>45676</v>
      </c>
      <c r="B517" s="102">
        <v>896</v>
      </c>
      <c r="C517" s="31">
        <v>158333</v>
      </c>
      <c r="D517" s="31">
        <v>2031</v>
      </c>
      <c r="E517" s="31">
        <v>0</v>
      </c>
      <c r="F517" s="31">
        <v>0</v>
      </c>
      <c r="G517" s="31">
        <v>12</v>
      </c>
      <c r="H517" s="31">
        <v>11</v>
      </c>
      <c r="I517" s="110">
        <f t="shared" si="51"/>
        <v>0.0128273954260956</v>
      </c>
      <c r="J517" s="111">
        <f t="shared" si="54"/>
        <v>0.441161989167898</v>
      </c>
      <c r="K517" s="111">
        <f t="shared" si="55"/>
        <v>5.65895928201954</v>
      </c>
      <c r="L517" s="111">
        <f t="shared" si="52"/>
        <v>0</v>
      </c>
      <c r="M517" s="112">
        <f t="shared" si="56"/>
        <v>0</v>
      </c>
    </row>
    <row r="518" ht="13.85" spans="1:13">
      <c r="A518" s="52">
        <v>45677</v>
      </c>
      <c r="B518" s="102">
        <v>1284</v>
      </c>
      <c r="C518" s="31">
        <v>352881</v>
      </c>
      <c r="D518" s="31">
        <v>3234</v>
      </c>
      <c r="E518" s="31">
        <v>1</v>
      </c>
      <c r="F518" s="31">
        <v>400</v>
      </c>
      <c r="G518" s="31">
        <v>11</v>
      </c>
      <c r="H518" s="31">
        <v>10</v>
      </c>
      <c r="I518" s="110">
        <f t="shared" si="51"/>
        <v>0.00916456255791612</v>
      </c>
      <c r="J518" s="111">
        <f t="shared" si="54"/>
        <v>0.397031539888683</v>
      </c>
      <c r="K518" s="111">
        <f t="shared" si="55"/>
        <v>3.6386203847756</v>
      </c>
      <c r="L518" s="111">
        <f t="shared" si="52"/>
        <v>0.311526479750779</v>
      </c>
      <c r="M518" s="112">
        <f t="shared" si="56"/>
        <v>0.000309214594928881</v>
      </c>
    </row>
    <row r="519" ht="13.85" spans="1:13">
      <c r="A519" s="52">
        <v>45678</v>
      </c>
      <c r="B519" s="102">
        <v>894</v>
      </c>
      <c r="C519" s="31">
        <v>325269</v>
      </c>
      <c r="D519" s="31">
        <v>2540</v>
      </c>
      <c r="E519" s="31">
        <v>1</v>
      </c>
      <c r="F519" s="31">
        <v>7802</v>
      </c>
      <c r="G519" s="31">
        <v>15</v>
      </c>
      <c r="H519" s="31">
        <v>13</v>
      </c>
      <c r="I519" s="110">
        <f t="shared" si="51"/>
        <v>0.00780892123135005</v>
      </c>
      <c r="J519" s="111">
        <f t="shared" si="54"/>
        <v>0.351968503937008</v>
      </c>
      <c r="K519" s="111">
        <f t="shared" si="55"/>
        <v>2.74849432316021</v>
      </c>
      <c r="L519" s="111">
        <f t="shared" si="52"/>
        <v>8.72706935123042</v>
      </c>
      <c r="M519" s="112">
        <f t="shared" si="56"/>
        <v>0.000393700787401575</v>
      </c>
    </row>
    <row r="520" ht="13.85" spans="1:13">
      <c r="A520" s="52">
        <v>45679</v>
      </c>
      <c r="B520" s="102">
        <v>899</v>
      </c>
      <c r="C520" s="31">
        <v>384822</v>
      </c>
      <c r="D520" s="31">
        <v>2690</v>
      </c>
      <c r="E520" s="31">
        <v>0</v>
      </c>
      <c r="F520" s="31">
        <v>0</v>
      </c>
      <c r="G520" s="31">
        <v>8</v>
      </c>
      <c r="H520" s="31">
        <v>13</v>
      </c>
      <c r="I520" s="110">
        <f t="shared" si="51"/>
        <v>0.0069902448404717</v>
      </c>
      <c r="J520" s="111">
        <f t="shared" si="54"/>
        <v>0.334200743494424</v>
      </c>
      <c r="K520" s="111">
        <f t="shared" si="55"/>
        <v>2.3361450228937</v>
      </c>
      <c r="L520" s="111">
        <f t="shared" si="52"/>
        <v>0</v>
      </c>
      <c r="M520" s="112">
        <f t="shared" si="56"/>
        <v>0</v>
      </c>
    </row>
    <row r="521" ht="13.85" spans="1:13">
      <c r="A521" s="52">
        <v>45680</v>
      </c>
      <c r="B521" s="102">
        <v>899</v>
      </c>
      <c r="C521" s="31">
        <v>412679</v>
      </c>
      <c r="D521" s="31">
        <v>2386</v>
      </c>
      <c r="E521" s="31">
        <v>0</v>
      </c>
      <c r="F521" s="31">
        <v>0</v>
      </c>
      <c r="G521" s="31">
        <v>32</v>
      </c>
      <c r="H521" s="31">
        <v>17</v>
      </c>
      <c r="I521" s="110">
        <f t="shared" ref="I521:I584" si="57">D521/C521</f>
        <v>0.00578173350231051</v>
      </c>
      <c r="J521" s="111">
        <f t="shared" si="54"/>
        <v>0.376781223805532</v>
      </c>
      <c r="K521" s="111">
        <f t="shared" si="55"/>
        <v>2.178448624718</v>
      </c>
      <c r="L521" s="111">
        <f t="shared" ref="L521:L584" si="58">F521/B521</f>
        <v>0</v>
      </c>
      <c r="M521" s="112">
        <f t="shared" si="56"/>
        <v>0</v>
      </c>
    </row>
    <row r="522" ht="13.85" spans="1:13">
      <c r="A522" s="52">
        <v>45681</v>
      </c>
      <c r="B522" s="102">
        <v>896</v>
      </c>
      <c r="C522" s="31">
        <v>519192</v>
      </c>
      <c r="D522" s="31">
        <v>2485</v>
      </c>
      <c r="E522" s="31">
        <v>0</v>
      </c>
      <c r="F522" s="31">
        <v>0</v>
      </c>
      <c r="G522" s="31">
        <v>15</v>
      </c>
      <c r="H522" s="31">
        <v>12</v>
      </c>
      <c r="I522" s="110">
        <f t="shared" si="57"/>
        <v>0.00478628330174579</v>
      </c>
      <c r="J522" s="111">
        <f t="shared" si="54"/>
        <v>0.36056338028169</v>
      </c>
      <c r="K522" s="111">
        <f t="shared" si="55"/>
        <v>1.72575848626327</v>
      </c>
      <c r="L522" s="111">
        <f t="shared" si="58"/>
        <v>0</v>
      </c>
      <c r="M522" s="112">
        <f t="shared" si="56"/>
        <v>0</v>
      </c>
    </row>
    <row r="523" ht="13.85" spans="1:13">
      <c r="A523" s="52">
        <v>45682</v>
      </c>
      <c r="B523" s="102">
        <v>900</v>
      </c>
      <c r="C523" s="31">
        <v>238392</v>
      </c>
      <c r="D523" s="31">
        <v>2661</v>
      </c>
      <c r="E523" s="31">
        <v>0</v>
      </c>
      <c r="F523" s="31">
        <v>0</v>
      </c>
      <c r="G523" s="31">
        <v>38</v>
      </c>
      <c r="H523" s="31">
        <v>20</v>
      </c>
      <c r="I523" s="110">
        <f t="shared" si="57"/>
        <v>0.011162287325078</v>
      </c>
      <c r="J523" s="111">
        <f t="shared" si="54"/>
        <v>0.338218714768884</v>
      </c>
      <c r="K523" s="111">
        <f t="shared" si="55"/>
        <v>3.77529447296889</v>
      </c>
      <c r="L523" s="111">
        <f t="shared" si="58"/>
        <v>0</v>
      </c>
      <c r="M523" s="112">
        <f t="shared" si="56"/>
        <v>0</v>
      </c>
    </row>
    <row r="524" ht="13.85" spans="1:13">
      <c r="A524" s="52">
        <v>45683</v>
      </c>
      <c r="B524" s="102">
        <v>900</v>
      </c>
      <c r="C524" s="31">
        <v>307255</v>
      </c>
      <c r="D524" s="31">
        <v>2785</v>
      </c>
      <c r="E524" s="31">
        <v>4</v>
      </c>
      <c r="F524" s="31">
        <v>26853</v>
      </c>
      <c r="G524" s="31">
        <v>35</v>
      </c>
      <c r="H524" s="31">
        <v>30</v>
      </c>
      <c r="I524" s="110">
        <f t="shared" si="57"/>
        <v>0.0090641323981709</v>
      </c>
      <c r="J524" s="111">
        <f t="shared" si="54"/>
        <v>0.323159784560144</v>
      </c>
      <c r="K524" s="111">
        <f t="shared" si="55"/>
        <v>2.92916307301753</v>
      </c>
      <c r="L524" s="111">
        <f t="shared" si="58"/>
        <v>29.8366666666667</v>
      </c>
      <c r="M524" s="112">
        <f t="shared" si="56"/>
        <v>0.00143626570915619</v>
      </c>
    </row>
    <row r="525" ht="13.85" spans="1:13">
      <c r="A525" s="52">
        <v>45684</v>
      </c>
      <c r="B525" s="102">
        <v>898</v>
      </c>
      <c r="C525" s="31">
        <v>321189</v>
      </c>
      <c r="D525" s="31">
        <v>2691</v>
      </c>
      <c r="E525" s="31">
        <v>2</v>
      </c>
      <c r="F525" s="31">
        <v>25254</v>
      </c>
      <c r="G525" s="31">
        <v>29</v>
      </c>
      <c r="H525" s="31">
        <v>22</v>
      </c>
      <c r="I525" s="110">
        <f t="shared" si="57"/>
        <v>0.00837824458496399</v>
      </c>
      <c r="J525" s="111">
        <f t="shared" si="54"/>
        <v>0.333704942400595</v>
      </c>
      <c r="K525" s="111">
        <f t="shared" si="55"/>
        <v>2.7958616266435</v>
      </c>
      <c r="L525" s="111">
        <f t="shared" si="58"/>
        <v>28.1224944320713</v>
      </c>
      <c r="M525" s="112">
        <f t="shared" si="56"/>
        <v>0.000743218134522482</v>
      </c>
    </row>
    <row r="526" ht="13.85" spans="1:13">
      <c r="A526" s="52">
        <v>45685</v>
      </c>
      <c r="B526" s="102">
        <v>899</v>
      </c>
      <c r="C526" s="31">
        <v>367005</v>
      </c>
      <c r="D526" s="31">
        <v>2844</v>
      </c>
      <c r="E526" s="31">
        <v>1</v>
      </c>
      <c r="F526" s="31">
        <v>7194</v>
      </c>
      <c r="G526" s="31">
        <v>14</v>
      </c>
      <c r="H526" s="31">
        <v>28</v>
      </c>
      <c r="I526" s="110">
        <f t="shared" si="57"/>
        <v>0.00774921322597785</v>
      </c>
      <c r="J526" s="111">
        <f t="shared" si="54"/>
        <v>0.316104078762307</v>
      </c>
      <c r="K526" s="111">
        <f t="shared" si="55"/>
        <v>2.44955790793041</v>
      </c>
      <c r="L526" s="111">
        <f t="shared" si="58"/>
        <v>8.00222469410456</v>
      </c>
      <c r="M526" s="112">
        <f t="shared" si="56"/>
        <v>0.000351617440225035</v>
      </c>
    </row>
    <row r="527" ht="13.85" spans="1:13">
      <c r="A527" s="52">
        <v>45686</v>
      </c>
      <c r="B527" s="102">
        <v>899</v>
      </c>
      <c r="C527" s="31">
        <v>552187</v>
      </c>
      <c r="D527" s="31">
        <v>4062</v>
      </c>
      <c r="E527" s="31">
        <v>0</v>
      </c>
      <c r="F527" s="31">
        <v>0</v>
      </c>
      <c r="G527" s="31">
        <v>35</v>
      </c>
      <c r="H527" s="31">
        <v>40</v>
      </c>
      <c r="I527" s="110">
        <f t="shared" si="57"/>
        <v>0.00735620360493818</v>
      </c>
      <c r="J527" s="111">
        <f t="shared" si="54"/>
        <v>0.221319547021172</v>
      </c>
      <c r="K527" s="111">
        <f t="shared" si="55"/>
        <v>1.62807164964043</v>
      </c>
      <c r="L527" s="111">
        <f t="shared" si="58"/>
        <v>0</v>
      </c>
      <c r="M527" s="112">
        <f t="shared" si="56"/>
        <v>0</v>
      </c>
    </row>
    <row r="528" ht="13.85" spans="1:13">
      <c r="A528" s="52">
        <v>45687</v>
      </c>
      <c r="B528" s="102">
        <v>898</v>
      </c>
      <c r="C528" s="31">
        <v>391105</v>
      </c>
      <c r="D528" s="31">
        <v>2821</v>
      </c>
      <c r="E528" s="31">
        <v>0</v>
      </c>
      <c r="F528" s="31">
        <v>0</v>
      </c>
      <c r="G528" s="31">
        <v>42</v>
      </c>
      <c r="H528" s="31">
        <v>24</v>
      </c>
      <c r="I528" s="110">
        <f t="shared" si="57"/>
        <v>0.00721289679242147</v>
      </c>
      <c r="J528" s="111">
        <f t="shared" si="54"/>
        <v>0.318326834455867</v>
      </c>
      <c r="K528" s="111">
        <f t="shared" si="55"/>
        <v>2.2960586031884</v>
      </c>
      <c r="L528" s="111">
        <f t="shared" si="58"/>
        <v>0</v>
      </c>
      <c r="M528" s="112">
        <f t="shared" si="56"/>
        <v>0</v>
      </c>
    </row>
    <row r="529" ht="13.85" spans="1:13">
      <c r="A529" s="52">
        <v>45688</v>
      </c>
      <c r="B529" s="102">
        <v>900</v>
      </c>
      <c r="C529" s="31">
        <v>369261</v>
      </c>
      <c r="D529" s="31">
        <v>2491</v>
      </c>
      <c r="E529" s="31">
        <v>0</v>
      </c>
      <c r="F529" s="31">
        <v>0</v>
      </c>
      <c r="G529" s="31">
        <v>45</v>
      </c>
      <c r="H529" s="31">
        <v>23</v>
      </c>
      <c r="I529" s="110">
        <f t="shared" si="57"/>
        <v>0.00674590601227858</v>
      </c>
      <c r="J529" s="111">
        <f t="shared" ref="J529:J592" si="59">B529/D529</f>
        <v>0.361300682456845</v>
      </c>
      <c r="K529" s="111">
        <f t="shared" si="55"/>
        <v>2.43730044602598</v>
      </c>
      <c r="L529" s="111">
        <f t="shared" si="58"/>
        <v>0</v>
      </c>
      <c r="M529" s="112">
        <f t="shared" si="56"/>
        <v>0</v>
      </c>
    </row>
    <row r="530" ht="13.85" spans="1:13">
      <c r="A530" s="52">
        <v>45689</v>
      </c>
      <c r="B530" s="102">
        <v>898</v>
      </c>
      <c r="C530" s="31">
        <v>295854</v>
      </c>
      <c r="D530" s="31">
        <v>2262</v>
      </c>
      <c r="E530" s="31">
        <v>0</v>
      </c>
      <c r="F530" s="31">
        <v>0</v>
      </c>
      <c r="G530" s="31">
        <v>50</v>
      </c>
      <c r="H530" s="31">
        <v>41</v>
      </c>
      <c r="I530" s="110">
        <f t="shared" si="57"/>
        <v>0.0076456630635381</v>
      </c>
      <c r="J530" s="111">
        <f t="shared" si="59"/>
        <v>0.396993810786914</v>
      </c>
      <c r="K530" s="111">
        <f t="shared" si="55"/>
        <v>3.03528091558674</v>
      </c>
      <c r="L530" s="111">
        <f t="shared" si="58"/>
        <v>0</v>
      </c>
      <c r="M530" s="112">
        <f t="shared" si="56"/>
        <v>0</v>
      </c>
    </row>
    <row r="531" ht="13.85" spans="1:13">
      <c r="A531" s="52">
        <v>45690</v>
      </c>
      <c r="B531" s="102">
        <v>899</v>
      </c>
      <c r="C531" s="31">
        <v>469901</v>
      </c>
      <c r="D531" s="31">
        <v>2891</v>
      </c>
      <c r="E531" s="31">
        <v>0</v>
      </c>
      <c r="F531" s="31">
        <v>0</v>
      </c>
      <c r="G531" s="31">
        <v>53</v>
      </c>
      <c r="H531" s="31">
        <v>38</v>
      </c>
      <c r="I531" s="110">
        <f t="shared" si="57"/>
        <v>0.00615235975237337</v>
      </c>
      <c r="J531" s="111">
        <f t="shared" si="59"/>
        <v>0.310965063991698</v>
      </c>
      <c r="K531" s="111">
        <f t="shared" si="55"/>
        <v>1.91316894409674</v>
      </c>
      <c r="L531" s="111">
        <f t="shared" si="58"/>
        <v>0</v>
      </c>
      <c r="M531" s="112">
        <f t="shared" si="56"/>
        <v>0</v>
      </c>
    </row>
    <row r="532" ht="13.85" spans="1:13">
      <c r="A532" s="52">
        <v>45691</v>
      </c>
      <c r="B532" s="102">
        <v>898</v>
      </c>
      <c r="C532" s="31">
        <v>700659</v>
      </c>
      <c r="D532" s="31">
        <v>2767</v>
      </c>
      <c r="E532" s="31">
        <v>0</v>
      </c>
      <c r="F532" s="31">
        <v>0</v>
      </c>
      <c r="G532" s="31">
        <v>38</v>
      </c>
      <c r="H532" s="31">
        <v>34</v>
      </c>
      <c r="I532" s="110">
        <f t="shared" si="57"/>
        <v>0.0039491393102779</v>
      </c>
      <c r="J532" s="111">
        <f t="shared" si="59"/>
        <v>0.324539212143115</v>
      </c>
      <c r="K532" s="111">
        <f t="shared" si="55"/>
        <v>1.28165056040099</v>
      </c>
      <c r="L532" s="111">
        <f t="shared" si="58"/>
        <v>0</v>
      </c>
      <c r="M532" s="112">
        <f t="shared" si="56"/>
        <v>0</v>
      </c>
    </row>
    <row r="533" ht="13.85" spans="1:13">
      <c r="A533" s="52">
        <v>45692</v>
      </c>
      <c r="B533" s="102">
        <v>750</v>
      </c>
      <c r="C533" s="31">
        <v>1068618</v>
      </c>
      <c r="D533" s="31">
        <v>3000</v>
      </c>
      <c r="E533" s="31">
        <v>0</v>
      </c>
      <c r="F533" s="31">
        <v>0</v>
      </c>
      <c r="G533" s="31">
        <v>57</v>
      </c>
      <c r="H533" s="31">
        <v>29</v>
      </c>
      <c r="I533" s="110">
        <f t="shared" si="57"/>
        <v>0.00280736427797398</v>
      </c>
      <c r="J533" s="111">
        <f t="shared" si="59"/>
        <v>0.25</v>
      </c>
      <c r="K533" s="111">
        <f t="shared" si="55"/>
        <v>0.701841069493495</v>
      </c>
      <c r="L533" s="111">
        <f t="shared" si="58"/>
        <v>0</v>
      </c>
      <c r="M533" s="112">
        <f t="shared" si="56"/>
        <v>0</v>
      </c>
    </row>
    <row r="534" ht="13.85" spans="1:13">
      <c r="A534" s="52">
        <v>45693</v>
      </c>
      <c r="B534" s="102">
        <v>599</v>
      </c>
      <c r="C534" s="31">
        <v>432067</v>
      </c>
      <c r="D534" s="31">
        <v>1533</v>
      </c>
      <c r="E534" s="31">
        <v>0</v>
      </c>
      <c r="F534" s="31">
        <v>0</v>
      </c>
      <c r="G534" s="31">
        <v>32</v>
      </c>
      <c r="H534" s="31">
        <v>14</v>
      </c>
      <c r="I534" s="110">
        <f t="shared" si="57"/>
        <v>0.00354806083315782</v>
      </c>
      <c r="J534" s="111">
        <f t="shared" si="59"/>
        <v>0.390737116764514</v>
      </c>
      <c r="K534" s="111">
        <f t="shared" si="55"/>
        <v>1.38635906005319</v>
      </c>
      <c r="L534" s="111">
        <f t="shared" si="58"/>
        <v>0</v>
      </c>
      <c r="M534" s="112">
        <f t="shared" si="56"/>
        <v>0</v>
      </c>
    </row>
    <row r="535" ht="13.85" spans="1:13">
      <c r="A535" s="52">
        <v>45694</v>
      </c>
      <c r="B535" s="102">
        <v>1197</v>
      </c>
      <c r="C535" s="31">
        <v>212449</v>
      </c>
      <c r="D535" s="31">
        <v>1527</v>
      </c>
      <c r="E535" s="31">
        <v>2</v>
      </c>
      <c r="F535" s="31">
        <v>11223</v>
      </c>
      <c r="G535" s="31">
        <v>48</v>
      </c>
      <c r="H535" s="31">
        <v>6</v>
      </c>
      <c r="I535" s="110">
        <f t="shared" si="57"/>
        <v>0.00718760737871207</v>
      </c>
      <c r="J535" s="111">
        <f t="shared" si="59"/>
        <v>0.783889980353635</v>
      </c>
      <c r="K535" s="111">
        <f t="shared" si="55"/>
        <v>5.63429340688824</v>
      </c>
      <c r="L535" s="111">
        <f t="shared" si="58"/>
        <v>9.37593984962406</v>
      </c>
      <c r="M535" s="112">
        <f t="shared" si="56"/>
        <v>0.00130975769482646</v>
      </c>
    </row>
    <row r="536" ht="13.85" spans="1:13">
      <c r="A536" s="52">
        <v>45695</v>
      </c>
      <c r="B536" s="102">
        <v>1196</v>
      </c>
      <c r="C536" s="31">
        <v>202301</v>
      </c>
      <c r="D536" s="31">
        <v>1414</v>
      </c>
      <c r="E536" s="31">
        <v>1</v>
      </c>
      <c r="F536" s="31">
        <v>10844</v>
      </c>
      <c r="G536" s="31">
        <v>49</v>
      </c>
      <c r="H536" s="31">
        <v>15</v>
      </c>
      <c r="I536" s="110">
        <f t="shared" si="57"/>
        <v>0.00698958482657031</v>
      </c>
      <c r="J536" s="111">
        <f t="shared" si="59"/>
        <v>0.845827439886846</v>
      </c>
      <c r="K536" s="111">
        <f t="shared" si="55"/>
        <v>5.91198263972991</v>
      </c>
      <c r="L536" s="111">
        <f t="shared" si="58"/>
        <v>9.06688963210702</v>
      </c>
      <c r="M536" s="112">
        <f t="shared" si="56"/>
        <v>0.000707213578500707</v>
      </c>
    </row>
    <row r="537" ht="13.85" spans="1:13">
      <c r="A537" s="52">
        <v>45696</v>
      </c>
      <c r="B537" s="102">
        <v>596</v>
      </c>
      <c r="C537" s="31">
        <v>154966</v>
      </c>
      <c r="D537" s="31">
        <v>967</v>
      </c>
      <c r="E537" s="31">
        <v>0</v>
      </c>
      <c r="F537" s="31">
        <v>0</v>
      </c>
      <c r="G537" s="31">
        <v>30</v>
      </c>
      <c r="H537" s="31">
        <v>7</v>
      </c>
      <c r="I537" s="110">
        <f t="shared" si="57"/>
        <v>0.00624007846882542</v>
      </c>
      <c r="J537" s="111">
        <f t="shared" si="59"/>
        <v>0.616339193381593</v>
      </c>
      <c r="K537" s="111">
        <f t="shared" si="55"/>
        <v>3.8460049301137</v>
      </c>
      <c r="L537" s="111">
        <f t="shared" si="58"/>
        <v>0</v>
      </c>
      <c r="M537" s="112">
        <f t="shared" si="56"/>
        <v>0</v>
      </c>
    </row>
    <row r="538" ht="13.85" spans="1:13">
      <c r="A538" s="52">
        <v>45697</v>
      </c>
      <c r="B538" s="102">
        <v>600</v>
      </c>
      <c r="C538" s="31">
        <v>168285</v>
      </c>
      <c r="D538" s="31">
        <v>1018</v>
      </c>
      <c r="E538" s="31">
        <v>3</v>
      </c>
      <c r="F538" s="31">
        <v>44176</v>
      </c>
      <c r="G538" s="31">
        <v>37</v>
      </c>
      <c r="H538" s="31">
        <v>16</v>
      </c>
      <c r="I538" s="110">
        <f t="shared" si="57"/>
        <v>0.00604926166919214</v>
      </c>
      <c r="J538" s="111">
        <f t="shared" si="59"/>
        <v>0.589390962671906</v>
      </c>
      <c r="K538" s="111">
        <f t="shared" si="55"/>
        <v>3.56538015865942</v>
      </c>
      <c r="L538" s="111">
        <f t="shared" si="58"/>
        <v>73.6266666666667</v>
      </c>
      <c r="M538" s="112">
        <f t="shared" si="56"/>
        <v>0.00294695481335953</v>
      </c>
    </row>
    <row r="539" ht="13.85" spans="1:13">
      <c r="A539" s="52">
        <v>45698</v>
      </c>
      <c r="B539" s="102">
        <v>698</v>
      </c>
      <c r="C539" s="31">
        <v>209466</v>
      </c>
      <c r="D539" s="31">
        <v>1102</v>
      </c>
      <c r="E539" s="31">
        <v>0</v>
      </c>
      <c r="F539" s="31">
        <v>0</v>
      </c>
      <c r="G539" s="31">
        <v>48</v>
      </c>
      <c r="H539" s="31">
        <v>9</v>
      </c>
      <c r="I539" s="110">
        <f t="shared" si="57"/>
        <v>0.00526099701144816</v>
      </c>
      <c r="J539" s="111">
        <f t="shared" si="59"/>
        <v>0.633393829401089</v>
      </c>
      <c r="K539" s="111">
        <f t="shared" si="55"/>
        <v>3.33228304354883</v>
      </c>
      <c r="L539" s="111">
        <f t="shared" si="58"/>
        <v>0</v>
      </c>
      <c r="M539" s="112">
        <f t="shared" si="56"/>
        <v>0</v>
      </c>
    </row>
    <row r="540" ht="13.85" spans="1:13">
      <c r="A540" s="52">
        <v>45699</v>
      </c>
      <c r="B540" s="102">
        <v>699</v>
      </c>
      <c r="C540" s="31">
        <v>187794</v>
      </c>
      <c r="D540" s="31">
        <v>1133</v>
      </c>
      <c r="E540" s="31">
        <v>0</v>
      </c>
      <c r="F540" s="31">
        <v>0</v>
      </c>
      <c r="G540" s="31">
        <v>36</v>
      </c>
      <c r="H540" s="31">
        <v>15</v>
      </c>
      <c r="I540" s="110">
        <f t="shared" si="57"/>
        <v>0.00603320659871987</v>
      </c>
      <c r="J540" s="111">
        <f t="shared" si="59"/>
        <v>0.616946160635481</v>
      </c>
      <c r="K540" s="111">
        <f t="shared" si="55"/>
        <v>3.72216364740088</v>
      </c>
      <c r="L540" s="111">
        <f t="shared" si="58"/>
        <v>0</v>
      </c>
      <c r="M540" s="112">
        <f t="shared" si="56"/>
        <v>0</v>
      </c>
    </row>
    <row r="541" ht="13.85" spans="1:13">
      <c r="A541" s="52">
        <v>45700</v>
      </c>
      <c r="B541" s="102">
        <v>697</v>
      </c>
      <c r="C541" s="31">
        <v>113466</v>
      </c>
      <c r="D541" s="31">
        <v>899</v>
      </c>
      <c r="E541" s="31">
        <v>0</v>
      </c>
      <c r="F541" s="31">
        <v>0</v>
      </c>
      <c r="G541" s="31">
        <v>28</v>
      </c>
      <c r="H541" s="31">
        <v>8</v>
      </c>
      <c r="I541" s="110">
        <f t="shared" si="57"/>
        <v>0.00792307827895581</v>
      </c>
      <c r="J541" s="111">
        <f t="shared" si="59"/>
        <v>0.775305895439377</v>
      </c>
      <c r="K541" s="111">
        <f t="shared" si="55"/>
        <v>6.14280929970211</v>
      </c>
      <c r="L541" s="111">
        <f t="shared" si="58"/>
        <v>0</v>
      </c>
      <c r="M541" s="112">
        <f t="shared" si="56"/>
        <v>0</v>
      </c>
    </row>
    <row r="542" ht="13.85" spans="1:13">
      <c r="A542" s="52">
        <v>45701</v>
      </c>
      <c r="B542" s="102">
        <v>700</v>
      </c>
      <c r="C542" s="31">
        <v>255382</v>
      </c>
      <c r="D542" s="31">
        <v>1271</v>
      </c>
      <c r="E542" s="31">
        <v>0</v>
      </c>
      <c r="F542" s="31">
        <v>0</v>
      </c>
      <c r="G542" s="31">
        <v>21</v>
      </c>
      <c r="H542" s="31">
        <v>11</v>
      </c>
      <c r="I542" s="110">
        <f t="shared" si="57"/>
        <v>0.00497685819674057</v>
      </c>
      <c r="J542" s="111">
        <f t="shared" si="59"/>
        <v>0.550747442958301</v>
      </c>
      <c r="K542" s="111">
        <f t="shared" si="55"/>
        <v>2.74099192582093</v>
      </c>
      <c r="L542" s="111">
        <f t="shared" si="58"/>
        <v>0</v>
      </c>
      <c r="M542" s="112">
        <f t="shared" si="56"/>
        <v>0</v>
      </c>
    </row>
    <row r="543" ht="13.85" spans="1:13">
      <c r="A543" s="52">
        <v>45702</v>
      </c>
      <c r="B543" s="102">
        <v>692</v>
      </c>
      <c r="C543" s="31">
        <v>229899</v>
      </c>
      <c r="D543" s="31">
        <v>1461</v>
      </c>
      <c r="E543" s="31">
        <v>0</v>
      </c>
      <c r="F543" s="31">
        <v>0</v>
      </c>
      <c r="G543" s="31">
        <v>21</v>
      </c>
      <c r="H543" s="31">
        <v>9</v>
      </c>
      <c r="I543" s="110">
        <f t="shared" si="57"/>
        <v>0.00635496457139874</v>
      </c>
      <c r="J543" s="111">
        <f t="shared" si="59"/>
        <v>0.473648186173854</v>
      </c>
      <c r="K543" s="111">
        <f t="shared" si="55"/>
        <v>3.01001744244212</v>
      </c>
      <c r="L543" s="111">
        <f t="shared" si="58"/>
        <v>0</v>
      </c>
      <c r="M543" s="112">
        <f t="shared" si="56"/>
        <v>0</v>
      </c>
    </row>
    <row r="544" ht="13.85" spans="1:13">
      <c r="A544" s="52">
        <v>45703</v>
      </c>
      <c r="B544" s="102">
        <v>696</v>
      </c>
      <c r="C544" s="31">
        <v>293375</v>
      </c>
      <c r="D544" s="31">
        <v>1715</v>
      </c>
      <c r="E544" s="31">
        <v>0</v>
      </c>
      <c r="F544" s="31">
        <v>0</v>
      </c>
      <c r="G544" s="31">
        <v>23</v>
      </c>
      <c r="H544" s="31">
        <v>9</v>
      </c>
      <c r="I544" s="110">
        <f t="shared" si="57"/>
        <v>0.00584576054537708</v>
      </c>
      <c r="J544" s="111">
        <f t="shared" si="59"/>
        <v>0.405830903790087</v>
      </c>
      <c r="K544" s="111">
        <f t="shared" si="55"/>
        <v>2.37239028547081</v>
      </c>
      <c r="L544" s="111">
        <f t="shared" si="58"/>
        <v>0</v>
      </c>
      <c r="M544" s="112">
        <f t="shared" si="56"/>
        <v>0</v>
      </c>
    </row>
    <row r="545" ht="13.85" spans="1:13">
      <c r="A545" s="52">
        <v>45704</v>
      </c>
      <c r="B545" s="102">
        <v>699</v>
      </c>
      <c r="C545" s="31">
        <v>533666</v>
      </c>
      <c r="D545" s="31">
        <v>2563</v>
      </c>
      <c r="E545" s="31">
        <v>0</v>
      </c>
      <c r="F545" s="31">
        <v>0</v>
      </c>
      <c r="G545" s="31">
        <v>32</v>
      </c>
      <c r="H545" s="31">
        <v>13</v>
      </c>
      <c r="I545" s="110">
        <f t="shared" si="57"/>
        <v>0.00480262935993674</v>
      </c>
      <c r="J545" s="111">
        <f t="shared" si="59"/>
        <v>0.272727272727273</v>
      </c>
      <c r="K545" s="111">
        <f t="shared" si="55"/>
        <v>1.30980800725547</v>
      </c>
      <c r="L545" s="111">
        <f t="shared" si="58"/>
        <v>0</v>
      </c>
      <c r="M545" s="112">
        <f t="shared" si="56"/>
        <v>0</v>
      </c>
    </row>
    <row r="546" ht="13.85" spans="1:13">
      <c r="A546" s="52">
        <v>45705</v>
      </c>
      <c r="B546" s="102">
        <v>1300</v>
      </c>
      <c r="C546" s="31">
        <v>475721</v>
      </c>
      <c r="D546" s="31">
        <v>2217</v>
      </c>
      <c r="E546" s="31">
        <v>1</v>
      </c>
      <c r="F546" s="31">
        <v>10203</v>
      </c>
      <c r="G546" s="31">
        <v>53</v>
      </c>
      <c r="H546" s="31">
        <v>18</v>
      </c>
      <c r="I546" s="110">
        <f t="shared" si="57"/>
        <v>0.00466029458443079</v>
      </c>
      <c r="J546" s="111">
        <f t="shared" si="59"/>
        <v>0.58637798827244</v>
      </c>
      <c r="K546" s="111">
        <f t="shared" si="55"/>
        <v>2.73269416317547</v>
      </c>
      <c r="L546" s="111">
        <f t="shared" si="58"/>
        <v>7.84846153846154</v>
      </c>
      <c r="M546" s="112">
        <f t="shared" si="56"/>
        <v>0.0004510599909788</v>
      </c>
    </row>
    <row r="547" ht="13.85" spans="1:13">
      <c r="A547" s="52">
        <v>45706</v>
      </c>
      <c r="B547" s="102">
        <v>547</v>
      </c>
      <c r="C547" s="31">
        <v>185294</v>
      </c>
      <c r="D547" s="31">
        <v>990</v>
      </c>
      <c r="E547" s="31">
        <v>2</v>
      </c>
      <c r="F547" s="31">
        <v>35408</v>
      </c>
      <c r="G547" s="31">
        <v>43</v>
      </c>
      <c r="H547" s="31">
        <v>8</v>
      </c>
      <c r="I547" s="110">
        <f t="shared" si="57"/>
        <v>0.00534286053514955</v>
      </c>
      <c r="J547" s="111">
        <f t="shared" si="59"/>
        <v>0.552525252525253</v>
      </c>
      <c r="K547" s="111">
        <f t="shared" si="55"/>
        <v>2.95206536639071</v>
      </c>
      <c r="L547" s="111">
        <f t="shared" si="58"/>
        <v>64.7312614259598</v>
      </c>
      <c r="M547" s="112">
        <f t="shared" si="56"/>
        <v>0.00202020202020202</v>
      </c>
    </row>
    <row r="548" ht="13.85" spans="1:13">
      <c r="A548" s="52">
        <v>45707</v>
      </c>
      <c r="B548" s="102">
        <v>547</v>
      </c>
      <c r="C548" s="31">
        <v>68963</v>
      </c>
      <c r="D548" s="31">
        <v>728</v>
      </c>
      <c r="E548" s="31">
        <v>0</v>
      </c>
      <c r="F548" s="31">
        <v>0</v>
      </c>
      <c r="G548" s="31">
        <v>41</v>
      </c>
      <c r="H548" s="31">
        <v>7</v>
      </c>
      <c r="I548" s="110">
        <f t="shared" si="57"/>
        <v>0.0105563853080637</v>
      </c>
      <c r="J548" s="111">
        <f t="shared" si="59"/>
        <v>0.751373626373626</v>
      </c>
      <c r="K548" s="111">
        <f t="shared" si="55"/>
        <v>7.93178951031713</v>
      </c>
      <c r="L548" s="111">
        <f t="shared" si="58"/>
        <v>0</v>
      </c>
      <c r="M548" s="112">
        <f t="shared" si="56"/>
        <v>0</v>
      </c>
    </row>
    <row r="549" ht="13.85" spans="1:13">
      <c r="A549" s="52">
        <v>45708</v>
      </c>
      <c r="B549" s="102">
        <v>548</v>
      </c>
      <c r="C549" s="31">
        <v>34821</v>
      </c>
      <c r="D549" s="31">
        <v>716</v>
      </c>
      <c r="E549" s="31">
        <v>0</v>
      </c>
      <c r="F549" s="31">
        <v>0</v>
      </c>
      <c r="G549" s="31">
        <v>26</v>
      </c>
      <c r="H549" s="31">
        <v>5</v>
      </c>
      <c r="I549" s="110">
        <f t="shared" si="57"/>
        <v>0.0205623043565664</v>
      </c>
      <c r="J549" s="111">
        <f t="shared" si="59"/>
        <v>0.76536312849162</v>
      </c>
      <c r="K549" s="111">
        <f t="shared" si="55"/>
        <v>15.7376295913386</v>
      </c>
      <c r="L549" s="111">
        <f t="shared" si="58"/>
        <v>0</v>
      </c>
      <c r="M549" s="112">
        <f t="shared" si="56"/>
        <v>0</v>
      </c>
    </row>
    <row r="550" ht="13.85" spans="1:13">
      <c r="A550" s="52">
        <v>45709</v>
      </c>
      <c r="B550" s="102">
        <v>1648</v>
      </c>
      <c r="C550" s="31">
        <v>110560</v>
      </c>
      <c r="D550" s="31">
        <v>1587</v>
      </c>
      <c r="E550" s="31">
        <v>5</v>
      </c>
      <c r="F550" s="31">
        <v>40807</v>
      </c>
      <c r="G550" s="31">
        <v>75</v>
      </c>
      <c r="H550" s="31">
        <v>15</v>
      </c>
      <c r="I550" s="110">
        <f t="shared" si="57"/>
        <v>0.0143541968162084</v>
      </c>
      <c r="J550" s="111">
        <f t="shared" si="59"/>
        <v>1.03843730308759</v>
      </c>
      <c r="K550" s="111">
        <f t="shared" si="55"/>
        <v>14.9059334298119</v>
      </c>
      <c r="L550" s="111">
        <f t="shared" si="58"/>
        <v>24.7615291262136</v>
      </c>
      <c r="M550" s="112">
        <f t="shared" si="56"/>
        <v>0.00315059861373661</v>
      </c>
    </row>
    <row r="551" ht="13.85" spans="1:13">
      <c r="A551" s="52">
        <v>45710</v>
      </c>
      <c r="B551" s="102">
        <v>648</v>
      </c>
      <c r="C551" s="31">
        <v>41958</v>
      </c>
      <c r="D551" s="31">
        <v>653</v>
      </c>
      <c r="E551" s="31">
        <v>0</v>
      </c>
      <c r="F551" s="31">
        <v>0</v>
      </c>
      <c r="G551" s="31">
        <v>50</v>
      </c>
      <c r="H551" s="31">
        <v>16</v>
      </c>
      <c r="I551" s="110">
        <f t="shared" si="57"/>
        <v>0.0155631822298489</v>
      </c>
      <c r="J551" s="111">
        <f t="shared" si="59"/>
        <v>0.992343032159265</v>
      </c>
      <c r="K551" s="111">
        <f t="shared" si="55"/>
        <v>15.4440154440154</v>
      </c>
      <c r="L551" s="111">
        <f t="shared" si="58"/>
        <v>0</v>
      </c>
      <c r="M551" s="112">
        <f t="shared" si="56"/>
        <v>0</v>
      </c>
    </row>
    <row r="552" ht="13.85" spans="1:13">
      <c r="A552" s="52">
        <v>45711</v>
      </c>
      <c r="B552" s="102">
        <v>650</v>
      </c>
      <c r="C552" s="31">
        <v>47199</v>
      </c>
      <c r="D552" s="31">
        <v>790</v>
      </c>
      <c r="E552" s="31">
        <v>0</v>
      </c>
      <c r="F552" s="31">
        <v>0</v>
      </c>
      <c r="G552" s="31">
        <v>56</v>
      </c>
      <c r="H552" s="31">
        <v>15</v>
      </c>
      <c r="I552" s="110">
        <f t="shared" si="57"/>
        <v>0.0167376427466684</v>
      </c>
      <c r="J552" s="111">
        <f t="shared" si="59"/>
        <v>0.822784810126582</v>
      </c>
      <c r="K552" s="111">
        <f t="shared" si="55"/>
        <v>13.7714782092841</v>
      </c>
      <c r="L552" s="111">
        <f t="shared" si="58"/>
        <v>0</v>
      </c>
      <c r="M552" s="112">
        <f t="shared" si="56"/>
        <v>0</v>
      </c>
    </row>
    <row r="553" ht="13.85" spans="1:13">
      <c r="A553" s="52">
        <v>45712</v>
      </c>
      <c r="B553" s="102">
        <v>1248</v>
      </c>
      <c r="C553" s="31">
        <v>69018</v>
      </c>
      <c r="D553" s="31">
        <v>1047</v>
      </c>
      <c r="E553" s="31">
        <v>0</v>
      </c>
      <c r="F553" s="31">
        <v>0</v>
      </c>
      <c r="G553" s="31">
        <v>53</v>
      </c>
      <c r="H553" s="31">
        <v>16</v>
      </c>
      <c r="I553" s="110">
        <f t="shared" si="57"/>
        <v>0.0151699556637399</v>
      </c>
      <c r="J553" s="111">
        <f t="shared" si="59"/>
        <v>1.1919770773639</v>
      </c>
      <c r="K553" s="111">
        <f t="shared" si="55"/>
        <v>18.0822394158046</v>
      </c>
      <c r="L553" s="111">
        <f t="shared" si="58"/>
        <v>0</v>
      </c>
      <c r="M553" s="112">
        <f t="shared" si="56"/>
        <v>0</v>
      </c>
    </row>
    <row r="554" ht="13.85" spans="1:13">
      <c r="A554" s="52">
        <v>45713</v>
      </c>
      <c r="B554" s="102">
        <v>645</v>
      </c>
      <c r="C554" s="31">
        <v>91500</v>
      </c>
      <c r="D554" s="31">
        <v>772</v>
      </c>
      <c r="E554" s="31">
        <v>0</v>
      </c>
      <c r="F554" s="31">
        <v>0</v>
      </c>
      <c r="G554" s="31">
        <v>31</v>
      </c>
      <c r="H554" s="31">
        <v>5</v>
      </c>
      <c r="I554" s="110">
        <f t="shared" si="57"/>
        <v>0.00843715846994536</v>
      </c>
      <c r="J554" s="111">
        <f t="shared" si="59"/>
        <v>0.835492227979275</v>
      </c>
      <c r="K554" s="111">
        <f t="shared" si="55"/>
        <v>7.04918032786885</v>
      </c>
      <c r="L554" s="111">
        <f t="shared" si="58"/>
        <v>0</v>
      </c>
      <c r="M554" s="112">
        <f t="shared" si="56"/>
        <v>0</v>
      </c>
    </row>
    <row r="555" ht="13.85" spans="1:13">
      <c r="A555" s="52">
        <v>45714</v>
      </c>
      <c r="B555" s="102">
        <v>1190</v>
      </c>
      <c r="C555" s="31">
        <v>69803</v>
      </c>
      <c r="D555" s="31">
        <v>958</v>
      </c>
      <c r="E555" s="31">
        <v>0</v>
      </c>
      <c r="F555" s="31">
        <v>0</v>
      </c>
      <c r="G555" s="31">
        <v>29</v>
      </c>
      <c r="H555" s="31">
        <v>10</v>
      </c>
      <c r="I555" s="110">
        <f t="shared" si="57"/>
        <v>0.0137243384954801</v>
      </c>
      <c r="J555" s="111">
        <f t="shared" si="59"/>
        <v>1.24217118997912</v>
      </c>
      <c r="K555" s="111">
        <f t="shared" si="55"/>
        <v>17.0479778806069</v>
      </c>
      <c r="L555" s="111">
        <f t="shared" si="58"/>
        <v>0</v>
      </c>
      <c r="M555" s="112">
        <f t="shared" si="56"/>
        <v>0</v>
      </c>
    </row>
    <row r="556" ht="13.85" spans="1:13">
      <c r="A556" s="52">
        <v>45715</v>
      </c>
      <c r="B556" s="102">
        <v>1185</v>
      </c>
      <c r="C556" s="31">
        <v>135255</v>
      </c>
      <c r="D556" s="31">
        <v>979</v>
      </c>
      <c r="E556" s="31">
        <v>2</v>
      </c>
      <c r="F556" s="31">
        <v>18614</v>
      </c>
      <c r="G556" s="31">
        <v>30</v>
      </c>
      <c r="H556" s="31">
        <v>15</v>
      </c>
      <c r="I556" s="110">
        <f t="shared" si="57"/>
        <v>0.00723817973457543</v>
      </c>
      <c r="J556" s="111">
        <f t="shared" si="59"/>
        <v>1.21041879468846</v>
      </c>
      <c r="K556" s="111">
        <f t="shared" si="55"/>
        <v>8.76122879006321</v>
      </c>
      <c r="L556" s="111">
        <f t="shared" si="58"/>
        <v>15.7080168776371</v>
      </c>
      <c r="M556" s="112">
        <f t="shared" si="56"/>
        <v>0.00204290091930541</v>
      </c>
    </row>
    <row r="557" ht="13.85" spans="1:13">
      <c r="A557" s="52">
        <v>45716</v>
      </c>
      <c r="B557" s="102">
        <v>2342</v>
      </c>
      <c r="C557" s="31">
        <v>96412</v>
      </c>
      <c r="D557" s="31">
        <v>1073</v>
      </c>
      <c r="E557" s="31">
        <v>4</v>
      </c>
      <c r="F557" s="31">
        <v>32689</v>
      </c>
      <c r="G557" s="31">
        <v>43</v>
      </c>
      <c r="H557" s="31">
        <v>8</v>
      </c>
      <c r="I557" s="110">
        <f t="shared" si="57"/>
        <v>0.0111293200016595</v>
      </c>
      <c r="J557" s="111">
        <f t="shared" si="59"/>
        <v>2.18266542404473</v>
      </c>
      <c r="K557" s="111">
        <f t="shared" si="55"/>
        <v>24.2915819607518</v>
      </c>
      <c r="L557" s="111">
        <f t="shared" si="58"/>
        <v>13.9577284372331</v>
      </c>
      <c r="M557" s="112">
        <f t="shared" si="56"/>
        <v>0.00372786579683131</v>
      </c>
    </row>
    <row r="558" ht="13.85" spans="1:13">
      <c r="A558" s="52">
        <v>45717</v>
      </c>
      <c r="B558" s="102">
        <v>1599</v>
      </c>
      <c r="C558" s="31">
        <v>73598</v>
      </c>
      <c r="D558" s="31">
        <v>914</v>
      </c>
      <c r="E558" s="31">
        <v>0</v>
      </c>
      <c r="F558" s="31">
        <v>0</v>
      </c>
      <c r="G558" s="31">
        <v>38</v>
      </c>
      <c r="H558" s="31">
        <v>8</v>
      </c>
      <c r="I558" s="110">
        <f t="shared" si="57"/>
        <v>0.0124188157286883</v>
      </c>
      <c r="J558" s="111">
        <f t="shared" si="59"/>
        <v>1.74945295404814</v>
      </c>
      <c r="K558" s="111">
        <f t="shared" si="55"/>
        <v>21.7261338623332</v>
      </c>
      <c r="L558" s="111">
        <f t="shared" si="58"/>
        <v>0</v>
      </c>
      <c r="M558" s="112">
        <f t="shared" si="56"/>
        <v>0</v>
      </c>
    </row>
    <row r="559" ht="13.85" spans="1:13">
      <c r="A559" s="52">
        <v>45718</v>
      </c>
      <c r="B559" s="102">
        <v>1754</v>
      </c>
      <c r="C559" s="31">
        <v>77567</v>
      </c>
      <c r="D559" s="31">
        <v>1267</v>
      </c>
      <c r="E559" s="31">
        <v>3</v>
      </c>
      <c r="F559" s="31">
        <v>25693</v>
      </c>
      <c r="G559" s="31">
        <v>70</v>
      </c>
      <c r="H559" s="31">
        <v>11</v>
      </c>
      <c r="I559" s="110">
        <f t="shared" si="57"/>
        <v>0.0163342658604819</v>
      </c>
      <c r="J559" s="111">
        <f t="shared" si="59"/>
        <v>1.3843725335438</v>
      </c>
      <c r="K559" s="111">
        <f t="shared" si="55"/>
        <v>22.6127090128534</v>
      </c>
      <c r="L559" s="111">
        <f t="shared" si="58"/>
        <v>14.6482326111745</v>
      </c>
      <c r="M559" s="112">
        <f t="shared" si="56"/>
        <v>0.00236779794790845</v>
      </c>
    </row>
    <row r="560" ht="13.85" spans="1:13">
      <c r="A560" s="52">
        <v>45719</v>
      </c>
      <c r="B560" s="102">
        <v>1894</v>
      </c>
      <c r="C560" s="31">
        <v>110675</v>
      </c>
      <c r="D560" s="31">
        <v>1234</v>
      </c>
      <c r="E560" s="31">
        <v>0</v>
      </c>
      <c r="F560" s="31">
        <v>0</v>
      </c>
      <c r="G560" s="31">
        <v>70</v>
      </c>
      <c r="H560" s="31">
        <v>12</v>
      </c>
      <c r="I560" s="110">
        <f t="shared" si="57"/>
        <v>0.0111497628190648</v>
      </c>
      <c r="J560" s="111">
        <f t="shared" si="59"/>
        <v>1.53484602917342</v>
      </c>
      <c r="K560" s="111">
        <f t="shared" si="55"/>
        <v>17.1131691890671</v>
      </c>
      <c r="L560" s="111">
        <f t="shared" si="58"/>
        <v>0</v>
      </c>
      <c r="M560" s="112">
        <f t="shared" si="56"/>
        <v>0</v>
      </c>
    </row>
    <row r="561" ht="13.85" spans="1:13">
      <c r="A561" s="52">
        <v>45720</v>
      </c>
      <c r="B561" s="102">
        <v>2478</v>
      </c>
      <c r="C561" s="31">
        <v>127858</v>
      </c>
      <c r="D561" s="31">
        <v>1809</v>
      </c>
      <c r="E561" s="31">
        <v>1</v>
      </c>
      <c r="F561" s="31">
        <v>9297</v>
      </c>
      <c r="G561" s="31">
        <v>74</v>
      </c>
      <c r="H561" s="31">
        <v>13</v>
      </c>
      <c r="I561" s="110">
        <f t="shared" si="57"/>
        <v>0.014148508501619</v>
      </c>
      <c r="J561" s="111">
        <f t="shared" si="59"/>
        <v>1.3698175787728</v>
      </c>
      <c r="K561" s="111">
        <f t="shared" si="55"/>
        <v>19.3808756589341</v>
      </c>
      <c r="L561" s="111">
        <f t="shared" si="58"/>
        <v>3.75181598062954</v>
      </c>
      <c r="M561" s="112">
        <f t="shared" si="56"/>
        <v>0.000552791597567717</v>
      </c>
    </row>
    <row r="562" ht="13.85" spans="1:13">
      <c r="A562" s="52">
        <v>45721</v>
      </c>
      <c r="B562" s="102">
        <v>2204</v>
      </c>
      <c r="C562" s="31">
        <v>84901</v>
      </c>
      <c r="D562" s="31">
        <v>1508</v>
      </c>
      <c r="E562" s="31">
        <v>2</v>
      </c>
      <c r="F562" s="31">
        <v>23958</v>
      </c>
      <c r="G562" s="31">
        <v>71</v>
      </c>
      <c r="H562" s="31">
        <v>10</v>
      </c>
      <c r="I562" s="110">
        <f t="shared" si="57"/>
        <v>0.0177618638178584</v>
      </c>
      <c r="J562" s="111">
        <f t="shared" si="59"/>
        <v>1.46153846153846</v>
      </c>
      <c r="K562" s="111">
        <f t="shared" si="55"/>
        <v>25.9596471184085</v>
      </c>
      <c r="L562" s="111">
        <f t="shared" si="58"/>
        <v>10.8702359346642</v>
      </c>
      <c r="M562" s="112">
        <f t="shared" si="56"/>
        <v>0.0013262599469496</v>
      </c>
    </row>
    <row r="563" ht="13.85" spans="1:13">
      <c r="A563" s="52">
        <v>45722</v>
      </c>
      <c r="B563" s="102">
        <v>1911</v>
      </c>
      <c r="C563" s="31">
        <v>113252</v>
      </c>
      <c r="D563" s="31">
        <v>1426</v>
      </c>
      <c r="E563" s="31">
        <v>1</v>
      </c>
      <c r="F563" s="31">
        <v>16396</v>
      </c>
      <c r="G563" s="31">
        <v>52</v>
      </c>
      <c r="H563" s="31">
        <v>17</v>
      </c>
      <c r="I563" s="110">
        <f t="shared" si="57"/>
        <v>0.012591389114541</v>
      </c>
      <c r="J563" s="111">
        <f t="shared" si="59"/>
        <v>1.34011220196353</v>
      </c>
      <c r="K563" s="111">
        <f t="shared" si="55"/>
        <v>16.8738741920672</v>
      </c>
      <c r="L563" s="111">
        <f t="shared" si="58"/>
        <v>8.57980115122972</v>
      </c>
      <c r="M563" s="112">
        <f t="shared" si="56"/>
        <v>0.000701262272089762</v>
      </c>
    </row>
    <row r="564" ht="13.85" spans="1:13">
      <c r="A564" s="52">
        <v>45723</v>
      </c>
      <c r="B564" s="102">
        <v>2774</v>
      </c>
      <c r="C564" s="31">
        <v>128711</v>
      </c>
      <c r="D564" s="31">
        <v>1936</v>
      </c>
      <c r="E564" s="31">
        <v>5</v>
      </c>
      <c r="F564" s="31">
        <v>52397</v>
      </c>
      <c r="G564" s="31">
        <v>51</v>
      </c>
      <c r="H564" s="31">
        <v>22</v>
      </c>
      <c r="I564" s="110">
        <f t="shared" si="57"/>
        <v>0.0150414494487651</v>
      </c>
      <c r="J564" s="111">
        <f t="shared" si="59"/>
        <v>1.43285123966942</v>
      </c>
      <c r="K564" s="111">
        <f t="shared" si="55"/>
        <v>21.552159489088</v>
      </c>
      <c r="L564" s="111">
        <f t="shared" si="58"/>
        <v>18.8886085075703</v>
      </c>
      <c r="M564" s="112">
        <f t="shared" si="56"/>
        <v>0.00258264462809917</v>
      </c>
    </row>
    <row r="565" ht="13.85" spans="1:13">
      <c r="A565" s="52">
        <v>45724</v>
      </c>
      <c r="B565" s="102">
        <v>2290</v>
      </c>
      <c r="C565" s="31">
        <v>72867</v>
      </c>
      <c r="D565" s="31">
        <v>1466</v>
      </c>
      <c r="E565" s="31">
        <v>2</v>
      </c>
      <c r="F565" s="31">
        <v>17495</v>
      </c>
      <c r="G565" s="31">
        <v>52</v>
      </c>
      <c r="H565" s="31">
        <v>19</v>
      </c>
      <c r="I565" s="110">
        <f t="shared" si="57"/>
        <v>0.0201188466658432</v>
      </c>
      <c r="J565" s="111">
        <f t="shared" si="59"/>
        <v>1.56207366984993</v>
      </c>
      <c r="K565" s="111">
        <f t="shared" si="55"/>
        <v>31.4271206444618</v>
      </c>
      <c r="L565" s="111">
        <f t="shared" si="58"/>
        <v>7.63973799126638</v>
      </c>
      <c r="M565" s="112">
        <f t="shared" si="56"/>
        <v>0.00136425648021828</v>
      </c>
    </row>
    <row r="566" ht="13.85" spans="1:13">
      <c r="A566" s="52">
        <v>45725</v>
      </c>
      <c r="B566" s="102">
        <v>2145</v>
      </c>
      <c r="C566" s="31">
        <v>97548</v>
      </c>
      <c r="D566" s="31">
        <v>1799</v>
      </c>
      <c r="E566" s="31">
        <v>1</v>
      </c>
      <c r="F566" s="31">
        <v>11554</v>
      </c>
      <c r="G566" s="31">
        <v>59</v>
      </c>
      <c r="H566" s="31">
        <v>22</v>
      </c>
      <c r="I566" s="110">
        <f t="shared" si="57"/>
        <v>0.0184422028129741</v>
      </c>
      <c r="J566" s="111">
        <f t="shared" si="59"/>
        <v>1.1923290717065</v>
      </c>
      <c r="K566" s="111">
        <f t="shared" si="55"/>
        <v>21.9891745602165</v>
      </c>
      <c r="L566" s="111">
        <f t="shared" si="58"/>
        <v>5.38648018648019</v>
      </c>
      <c r="M566" s="112">
        <f t="shared" si="56"/>
        <v>0.000555864369093941</v>
      </c>
    </row>
    <row r="567" ht="13.85" spans="1:13">
      <c r="A567" s="52">
        <v>45726</v>
      </c>
      <c r="B567" s="102">
        <v>2164</v>
      </c>
      <c r="C567" s="31">
        <v>98944</v>
      </c>
      <c r="D567" s="31">
        <v>1685</v>
      </c>
      <c r="E567" s="31">
        <v>1</v>
      </c>
      <c r="F567" s="31">
        <v>11622</v>
      </c>
      <c r="G567" s="31">
        <v>64</v>
      </c>
      <c r="H567" s="31">
        <v>19</v>
      </c>
      <c r="I567" s="110">
        <f t="shared" si="57"/>
        <v>0.0170298350582147</v>
      </c>
      <c r="J567" s="111">
        <f t="shared" si="59"/>
        <v>1.28427299703264</v>
      </c>
      <c r="K567" s="111">
        <f t="shared" si="55"/>
        <v>21.870957309185</v>
      </c>
      <c r="L567" s="111">
        <f t="shared" si="58"/>
        <v>5.37060998151571</v>
      </c>
      <c r="M567" s="112">
        <f t="shared" si="56"/>
        <v>0.000593471810089021</v>
      </c>
    </row>
    <row r="568" ht="13.85" spans="1:13">
      <c r="A568" s="52">
        <v>45727</v>
      </c>
      <c r="B568" s="102">
        <v>2076</v>
      </c>
      <c r="C568" s="31">
        <v>115159</v>
      </c>
      <c r="D568" s="31">
        <v>1641</v>
      </c>
      <c r="E568" s="31">
        <v>1</v>
      </c>
      <c r="F568" s="31">
        <v>9297</v>
      </c>
      <c r="G568" s="31">
        <v>64</v>
      </c>
      <c r="H568" s="31">
        <v>20</v>
      </c>
      <c r="I568" s="110">
        <f t="shared" si="57"/>
        <v>0.0142498632325741</v>
      </c>
      <c r="J568" s="111">
        <f t="shared" si="59"/>
        <v>1.26508226691042</v>
      </c>
      <c r="K568" s="111">
        <f t="shared" si="55"/>
        <v>18.0272492814283</v>
      </c>
      <c r="L568" s="111">
        <f t="shared" si="58"/>
        <v>4.47832369942197</v>
      </c>
      <c r="M568" s="112">
        <f t="shared" si="56"/>
        <v>0.000609384521633151</v>
      </c>
    </row>
    <row r="569" ht="13.85" spans="1:13">
      <c r="A569" s="52">
        <v>45728</v>
      </c>
      <c r="B569" s="102">
        <v>2205</v>
      </c>
      <c r="C569" s="31">
        <v>108724</v>
      </c>
      <c r="D569" s="31">
        <v>1944</v>
      </c>
      <c r="E569" s="31">
        <v>4</v>
      </c>
      <c r="F569" s="31">
        <v>27598</v>
      </c>
      <c r="G569" s="31">
        <v>55</v>
      </c>
      <c r="H569" s="31">
        <v>18</v>
      </c>
      <c r="I569" s="110">
        <f t="shared" si="57"/>
        <v>0.0178801368603068</v>
      </c>
      <c r="J569" s="111">
        <f t="shared" si="59"/>
        <v>1.13425925925926</v>
      </c>
      <c r="K569" s="111">
        <f t="shared" si="55"/>
        <v>20.2807107906258</v>
      </c>
      <c r="L569" s="111">
        <f t="shared" si="58"/>
        <v>12.5160997732426</v>
      </c>
      <c r="M569" s="112">
        <f t="shared" si="56"/>
        <v>0.00205761316872428</v>
      </c>
    </row>
    <row r="570" ht="13.85" spans="1:13">
      <c r="A570" s="52">
        <v>45729</v>
      </c>
      <c r="B570" s="102">
        <v>1900</v>
      </c>
      <c r="C570" s="31">
        <v>114704</v>
      </c>
      <c r="D570" s="31">
        <v>1928</v>
      </c>
      <c r="E570" s="31">
        <v>2</v>
      </c>
      <c r="F570" s="31">
        <v>9596</v>
      </c>
      <c r="G570" s="31">
        <v>89</v>
      </c>
      <c r="H570" s="31">
        <v>30</v>
      </c>
      <c r="I570" s="110">
        <f t="shared" si="57"/>
        <v>0.0168084809596875</v>
      </c>
      <c r="J570" s="111">
        <f t="shared" si="59"/>
        <v>0.985477178423237</v>
      </c>
      <c r="K570" s="111">
        <f t="shared" si="55"/>
        <v>16.5643743897336</v>
      </c>
      <c r="L570" s="111">
        <f t="shared" si="58"/>
        <v>5.05052631578947</v>
      </c>
      <c r="M570" s="112">
        <f t="shared" si="56"/>
        <v>0.00103734439834025</v>
      </c>
    </row>
    <row r="571" ht="13.85" spans="1:13">
      <c r="A571" s="52">
        <v>45730</v>
      </c>
      <c r="B571" s="102">
        <v>2715</v>
      </c>
      <c r="C571" s="31">
        <v>114243</v>
      </c>
      <c r="D571" s="31">
        <v>2237</v>
      </c>
      <c r="E571" s="31">
        <v>6</v>
      </c>
      <c r="F571" s="31">
        <v>76378</v>
      </c>
      <c r="G571" s="31">
        <v>77</v>
      </c>
      <c r="H571" s="31">
        <v>27</v>
      </c>
      <c r="I571" s="110">
        <f t="shared" si="57"/>
        <v>0.0195810684243236</v>
      </c>
      <c r="J571" s="111">
        <f t="shared" si="59"/>
        <v>1.2136790344211</v>
      </c>
      <c r="K571" s="111">
        <f t="shared" si="55"/>
        <v>23.7651322181665</v>
      </c>
      <c r="L571" s="111">
        <f t="shared" si="58"/>
        <v>28.1318600368324</v>
      </c>
      <c r="M571" s="112">
        <f t="shared" si="56"/>
        <v>0.00268216361198033</v>
      </c>
    </row>
    <row r="572" ht="13.85" spans="1:13">
      <c r="A572" s="52">
        <v>45731</v>
      </c>
      <c r="B572" s="102">
        <v>2214</v>
      </c>
      <c r="C572" s="31">
        <v>149565</v>
      </c>
      <c r="D572" s="31">
        <v>2020</v>
      </c>
      <c r="E572" s="31">
        <v>2</v>
      </c>
      <c r="F572" s="31">
        <v>18594</v>
      </c>
      <c r="G572" s="31">
        <v>80</v>
      </c>
      <c r="H572" s="31">
        <v>35</v>
      </c>
      <c r="I572" s="110">
        <f t="shared" si="57"/>
        <v>0.0135058335840604</v>
      </c>
      <c r="J572" s="111">
        <f t="shared" si="59"/>
        <v>1.0960396039604</v>
      </c>
      <c r="K572" s="111">
        <f t="shared" ref="K572:K635" si="60">B572/C572*1000</f>
        <v>14.8029284926286</v>
      </c>
      <c r="L572" s="111">
        <f t="shared" si="58"/>
        <v>8.39837398373984</v>
      </c>
      <c r="M572" s="112">
        <f t="shared" si="56"/>
        <v>0.00099009900990099</v>
      </c>
    </row>
    <row r="573" ht="13.85" spans="1:13">
      <c r="A573" s="52">
        <v>45732</v>
      </c>
      <c r="B573" s="102">
        <v>2177</v>
      </c>
      <c r="C573" s="31">
        <v>128703</v>
      </c>
      <c r="D573" s="31">
        <v>2068</v>
      </c>
      <c r="E573" s="31">
        <v>1</v>
      </c>
      <c r="F573" s="31">
        <v>4798</v>
      </c>
      <c r="G573" s="31">
        <v>74</v>
      </c>
      <c r="H573" s="31">
        <v>34</v>
      </c>
      <c r="I573" s="110">
        <f t="shared" si="57"/>
        <v>0.016068001522886</v>
      </c>
      <c r="J573" s="111">
        <f t="shared" si="59"/>
        <v>1.0527079303675</v>
      </c>
      <c r="K573" s="111">
        <f t="shared" si="60"/>
        <v>16.9149126282993</v>
      </c>
      <c r="L573" s="111">
        <f t="shared" si="58"/>
        <v>2.20395039044557</v>
      </c>
      <c r="M573" s="112">
        <f t="shared" si="56"/>
        <v>0.000483558994197292</v>
      </c>
    </row>
    <row r="574" ht="13.85" spans="1:13">
      <c r="A574" s="52">
        <v>45733</v>
      </c>
      <c r="B574" s="102">
        <v>2234</v>
      </c>
      <c r="C574" s="31">
        <v>117097</v>
      </c>
      <c r="D574" s="31">
        <v>2190</v>
      </c>
      <c r="E574" s="31">
        <v>0</v>
      </c>
      <c r="F574" s="31">
        <v>0</v>
      </c>
      <c r="G574" s="31">
        <v>78</v>
      </c>
      <c r="H574" s="31">
        <v>26</v>
      </c>
      <c r="I574" s="110">
        <f t="shared" si="57"/>
        <v>0.0187024432735254</v>
      </c>
      <c r="J574" s="111">
        <f t="shared" si="59"/>
        <v>1.02009132420091</v>
      </c>
      <c r="K574" s="111">
        <f t="shared" si="60"/>
        <v>19.078200124683</v>
      </c>
      <c r="L574" s="111">
        <f t="shared" si="58"/>
        <v>0</v>
      </c>
      <c r="M574" s="112">
        <f t="shared" si="56"/>
        <v>0</v>
      </c>
    </row>
    <row r="575" ht="13.85" spans="1:13">
      <c r="A575" s="52">
        <v>45734</v>
      </c>
      <c r="B575" s="102">
        <v>2793</v>
      </c>
      <c r="C575" s="31">
        <v>157420</v>
      </c>
      <c r="D575" s="31">
        <v>4020</v>
      </c>
      <c r="E575" s="31">
        <v>4</v>
      </c>
      <c r="F575" s="31">
        <v>29892</v>
      </c>
      <c r="G575" s="31">
        <v>101</v>
      </c>
      <c r="H575" s="31">
        <v>36</v>
      </c>
      <c r="I575" s="110">
        <f t="shared" si="57"/>
        <v>0.0255367805869648</v>
      </c>
      <c r="J575" s="111">
        <f t="shared" si="59"/>
        <v>0.694776119402985</v>
      </c>
      <c r="K575" s="111">
        <f t="shared" si="60"/>
        <v>17.7423453182569</v>
      </c>
      <c r="L575" s="111">
        <f t="shared" si="58"/>
        <v>10.702470461869</v>
      </c>
      <c r="M575" s="112">
        <f t="shared" si="56"/>
        <v>0.00099502487562189</v>
      </c>
    </row>
    <row r="576" ht="13.85" spans="1:13">
      <c r="A576" s="52">
        <v>45735</v>
      </c>
      <c r="B576" s="102">
        <v>2906</v>
      </c>
      <c r="C576" s="31">
        <v>130100</v>
      </c>
      <c r="D576" s="31">
        <v>2775</v>
      </c>
      <c r="E576" s="31">
        <v>5</v>
      </c>
      <c r="F576" s="31">
        <v>35491</v>
      </c>
      <c r="G576" s="31">
        <v>77</v>
      </c>
      <c r="H576" s="31">
        <v>38</v>
      </c>
      <c r="I576" s="110">
        <f t="shared" si="57"/>
        <v>0.0213297463489623</v>
      </c>
      <c r="J576" s="111">
        <f t="shared" si="59"/>
        <v>1.04720720720721</v>
      </c>
      <c r="K576" s="111">
        <f t="shared" si="60"/>
        <v>22.336664104535</v>
      </c>
      <c r="L576" s="111">
        <f t="shared" si="58"/>
        <v>12.2130075705437</v>
      </c>
      <c r="M576" s="112">
        <f t="shared" si="56"/>
        <v>0.0018018018018018</v>
      </c>
    </row>
    <row r="577" ht="13.85" spans="1:13">
      <c r="A577" s="52">
        <v>45736</v>
      </c>
      <c r="B577" s="102">
        <v>2908</v>
      </c>
      <c r="C577" s="31">
        <v>120776</v>
      </c>
      <c r="D577" s="31">
        <v>2348</v>
      </c>
      <c r="E577" s="31">
        <v>2</v>
      </c>
      <c r="F577" s="31">
        <v>17495</v>
      </c>
      <c r="G577" s="31">
        <v>77</v>
      </c>
      <c r="H577" s="31">
        <v>25</v>
      </c>
      <c r="I577" s="110">
        <f t="shared" si="57"/>
        <v>0.0194409485328211</v>
      </c>
      <c r="J577" s="111">
        <f t="shared" si="59"/>
        <v>1.23850085178876</v>
      </c>
      <c r="K577" s="111">
        <f t="shared" si="60"/>
        <v>24.0776313174803</v>
      </c>
      <c r="L577" s="111">
        <f t="shared" si="58"/>
        <v>6.01616231086657</v>
      </c>
      <c r="M577" s="112">
        <f t="shared" ref="M577:M640" si="61">E577/D577</f>
        <v>0.000851788756388416</v>
      </c>
    </row>
    <row r="578" ht="13.85" spans="1:13">
      <c r="A578" s="52">
        <v>45737</v>
      </c>
      <c r="B578" s="102">
        <v>2593</v>
      </c>
      <c r="C578" s="31">
        <v>122139</v>
      </c>
      <c r="D578" s="31">
        <v>2166</v>
      </c>
      <c r="E578" s="31">
        <v>5</v>
      </c>
      <c r="F578" s="31">
        <v>54927</v>
      </c>
      <c r="G578" s="31">
        <v>66</v>
      </c>
      <c r="H578" s="31">
        <v>33</v>
      </c>
      <c r="I578" s="110">
        <f t="shared" si="57"/>
        <v>0.0177338933510181</v>
      </c>
      <c r="J578" s="111">
        <f t="shared" si="59"/>
        <v>1.19713758079409</v>
      </c>
      <c r="K578" s="111">
        <f t="shared" si="60"/>
        <v>21.2299101842982</v>
      </c>
      <c r="L578" s="111">
        <f t="shared" si="58"/>
        <v>21.1827998457385</v>
      </c>
      <c r="M578" s="112">
        <f t="shared" si="61"/>
        <v>0.0023084025854109</v>
      </c>
    </row>
    <row r="579" ht="13.85" spans="1:13">
      <c r="A579" s="52">
        <v>45738</v>
      </c>
      <c r="B579" s="102">
        <v>2203</v>
      </c>
      <c r="C579" s="31">
        <v>102335</v>
      </c>
      <c r="D579" s="31">
        <v>1778</v>
      </c>
      <c r="E579" s="31">
        <v>1</v>
      </c>
      <c r="F579" s="31">
        <v>13173</v>
      </c>
      <c r="G579" s="31">
        <v>60</v>
      </c>
      <c r="H579" s="31">
        <v>32</v>
      </c>
      <c r="I579" s="110">
        <f t="shared" si="57"/>
        <v>0.0173743098646602</v>
      </c>
      <c r="J579" s="111">
        <f t="shared" si="59"/>
        <v>1.23903262092238</v>
      </c>
      <c r="K579" s="111">
        <f t="shared" si="60"/>
        <v>21.5273366883276</v>
      </c>
      <c r="L579" s="111">
        <f t="shared" si="58"/>
        <v>5.97957330912392</v>
      </c>
      <c r="M579" s="112">
        <f t="shared" si="61"/>
        <v>0.000562429696287964</v>
      </c>
    </row>
    <row r="580" ht="13.85" spans="1:13">
      <c r="A580" s="52">
        <v>45739</v>
      </c>
      <c r="B580" s="102">
        <v>2150</v>
      </c>
      <c r="C580" s="31">
        <v>102210</v>
      </c>
      <c r="D580" s="31">
        <v>1747</v>
      </c>
      <c r="E580" s="31">
        <v>1</v>
      </c>
      <c r="F580" s="31">
        <v>13695</v>
      </c>
      <c r="G580" s="31">
        <v>73</v>
      </c>
      <c r="H580" s="31">
        <v>25</v>
      </c>
      <c r="I580" s="110">
        <f t="shared" si="57"/>
        <v>0.0170922610312103</v>
      </c>
      <c r="J580" s="111">
        <f t="shared" si="59"/>
        <v>1.23068116771608</v>
      </c>
      <c r="K580" s="111">
        <f t="shared" si="60"/>
        <v>21.035123764798</v>
      </c>
      <c r="L580" s="111">
        <f t="shared" si="58"/>
        <v>6.36976744186047</v>
      </c>
      <c r="M580" s="112">
        <f t="shared" si="61"/>
        <v>0.000572409845449342</v>
      </c>
    </row>
    <row r="581" ht="13.85" spans="1:13">
      <c r="A581" s="52">
        <v>45740</v>
      </c>
      <c r="B581" s="102">
        <v>2203</v>
      </c>
      <c r="C581" s="31">
        <v>103300</v>
      </c>
      <c r="D581" s="31">
        <v>1761</v>
      </c>
      <c r="E581" s="31">
        <v>0</v>
      </c>
      <c r="F581" s="31">
        <v>0</v>
      </c>
      <c r="G581" s="31">
        <v>78</v>
      </c>
      <c r="H581" s="31">
        <v>28</v>
      </c>
      <c r="I581" s="110">
        <f t="shared" si="57"/>
        <v>0.0170474346563408</v>
      </c>
      <c r="J581" s="111">
        <f t="shared" si="59"/>
        <v>1.25099375354912</v>
      </c>
      <c r="K581" s="111">
        <f t="shared" si="60"/>
        <v>21.3262342691191</v>
      </c>
      <c r="L581" s="111">
        <f t="shared" si="58"/>
        <v>0</v>
      </c>
      <c r="M581" s="112">
        <f t="shared" si="61"/>
        <v>0</v>
      </c>
    </row>
    <row r="582" ht="13.85" spans="1:13">
      <c r="A582" s="52">
        <v>45741</v>
      </c>
      <c r="B582" s="102">
        <v>2694</v>
      </c>
      <c r="C582" s="31">
        <v>188739</v>
      </c>
      <c r="D582" s="31">
        <v>2417</v>
      </c>
      <c r="E582" s="31">
        <v>3</v>
      </c>
      <c r="F582" s="31">
        <v>25975</v>
      </c>
      <c r="G582" s="31">
        <v>70</v>
      </c>
      <c r="H582" s="31">
        <v>51</v>
      </c>
      <c r="I582" s="110">
        <f t="shared" si="57"/>
        <v>0.012806044325762</v>
      </c>
      <c r="J582" s="111">
        <f t="shared" si="59"/>
        <v>1.11460488208523</v>
      </c>
      <c r="K582" s="111">
        <f t="shared" si="60"/>
        <v>14.2736795256942</v>
      </c>
      <c r="L582" s="111">
        <f t="shared" si="58"/>
        <v>9.64179658500371</v>
      </c>
      <c r="M582" s="112">
        <f t="shared" si="61"/>
        <v>0.00124120810922631</v>
      </c>
    </row>
    <row r="583" ht="13.85" spans="1:13">
      <c r="A583" s="52">
        <v>45742</v>
      </c>
      <c r="B583" s="102">
        <v>2878</v>
      </c>
      <c r="C583" s="31">
        <v>261430</v>
      </c>
      <c r="D583" s="31">
        <v>2824</v>
      </c>
      <c r="E583" s="31">
        <v>8</v>
      </c>
      <c r="F583" s="31">
        <v>101537</v>
      </c>
      <c r="G583" s="31">
        <v>74</v>
      </c>
      <c r="H583" s="31">
        <v>54</v>
      </c>
      <c r="I583" s="110">
        <f t="shared" si="57"/>
        <v>0.0108021267643346</v>
      </c>
      <c r="J583" s="111">
        <f t="shared" si="59"/>
        <v>1.01912181303116</v>
      </c>
      <c r="K583" s="111">
        <f t="shared" si="60"/>
        <v>11.0086830126611</v>
      </c>
      <c r="L583" s="111">
        <f t="shared" si="58"/>
        <v>35.2804030576789</v>
      </c>
      <c r="M583" s="112">
        <f t="shared" si="61"/>
        <v>0.0028328611898017</v>
      </c>
    </row>
    <row r="584" ht="13.85" spans="1:13">
      <c r="A584" s="52">
        <v>45743</v>
      </c>
      <c r="B584" s="102">
        <v>2830</v>
      </c>
      <c r="C584" s="31">
        <v>222922</v>
      </c>
      <c r="D584" s="31">
        <v>2151</v>
      </c>
      <c r="E584" s="31">
        <v>1</v>
      </c>
      <c r="F584" s="31">
        <v>16892</v>
      </c>
      <c r="G584" s="31">
        <v>58</v>
      </c>
      <c r="H584" s="31">
        <v>42</v>
      </c>
      <c r="I584" s="110">
        <f t="shared" si="57"/>
        <v>0.00964911493706319</v>
      </c>
      <c r="J584" s="111">
        <f t="shared" si="59"/>
        <v>1.31566713156671</v>
      </c>
      <c r="K584" s="111">
        <f t="shared" si="60"/>
        <v>12.6950233714035</v>
      </c>
      <c r="L584" s="111">
        <f t="shared" si="58"/>
        <v>5.96890459363958</v>
      </c>
      <c r="M584" s="112">
        <f t="shared" si="61"/>
        <v>0.000464900046490005</v>
      </c>
    </row>
    <row r="585" ht="13.85" spans="1:13">
      <c r="A585" s="52">
        <v>45744</v>
      </c>
      <c r="B585" s="102">
        <v>2811</v>
      </c>
      <c r="C585" s="31">
        <v>195958</v>
      </c>
      <c r="D585" s="31">
        <v>2001</v>
      </c>
      <c r="E585" s="31">
        <v>1</v>
      </c>
      <c r="F585" s="31">
        <v>7523</v>
      </c>
      <c r="G585" s="31">
        <v>74</v>
      </c>
      <c r="H585" s="31">
        <v>47</v>
      </c>
      <c r="I585" s="110">
        <f t="shared" ref="I585:I648" si="62">D585/C585</f>
        <v>0.0102113718245747</v>
      </c>
      <c r="J585" s="111">
        <f t="shared" si="59"/>
        <v>1.4047976011994</v>
      </c>
      <c r="K585" s="111">
        <f t="shared" si="60"/>
        <v>14.3449106441176</v>
      </c>
      <c r="L585" s="111">
        <f t="shared" ref="L585:L648" si="63">F585/B585</f>
        <v>2.67627178939879</v>
      </c>
      <c r="M585" s="112">
        <f t="shared" si="61"/>
        <v>0.000499750124937531</v>
      </c>
    </row>
    <row r="586" ht="13.85" spans="1:13">
      <c r="A586" s="52">
        <v>45745</v>
      </c>
      <c r="B586" s="102">
        <v>2788</v>
      </c>
      <c r="C586" s="31">
        <v>312682</v>
      </c>
      <c r="D586" s="31">
        <v>2731</v>
      </c>
      <c r="E586" s="31">
        <v>1</v>
      </c>
      <c r="F586" s="31">
        <v>8198</v>
      </c>
      <c r="G586" s="31">
        <v>69</v>
      </c>
      <c r="H586" s="31">
        <v>63</v>
      </c>
      <c r="I586" s="110">
        <f t="shared" si="62"/>
        <v>0.00873411325244178</v>
      </c>
      <c r="J586" s="111">
        <f t="shared" si="59"/>
        <v>1.02087147564995</v>
      </c>
      <c r="K586" s="111">
        <f t="shared" si="60"/>
        <v>8.91640708451398</v>
      </c>
      <c r="L586" s="111">
        <f t="shared" si="63"/>
        <v>2.94045911047346</v>
      </c>
      <c r="M586" s="112">
        <f t="shared" si="61"/>
        <v>0.000366166239472721</v>
      </c>
    </row>
    <row r="587" ht="13.85" spans="1:13">
      <c r="A587" s="52">
        <v>45746</v>
      </c>
      <c r="B587" s="102">
        <v>2889.69</v>
      </c>
      <c r="C587" s="31">
        <v>368766</v>
      </c>
      <c r="D587" s="31">
        <v>2684</v>
      </c>
      <c r="E587" s="31">
        <v>4</v>
      </c>
      <c r="F587" s="31">
        <v>66255</v>
      </c>
      <c r="G587" s="31">
        <v>83</v>
      </c>
      <c r="H587" s="31">
        <v>45</v>
      </c>
      <c r="I587" s="110">
        <f t="shared" si="62"/>
        <v>0.00727832826236692</v>
      </c>
      <c r="J587" s="111">
        <f t="shared" si="59"/>
        <v>1.07663561847988</v>
      </c>
      <c r="K587" s="111">
        <f t="shared" si="60"/>
        <v>7.83610745025301</v>
      </c>
      <c r="L587" s="111">
        <f t="shared" si="63"/>
        <v>22.9280649481432</v>
      </c>
      <c r="M587" s="112">
        <f t="shared" si="61"/>
        <v>0.0014903129657228</v>
      </c>
    </row>
    <row r="588" ht="13.85" spans="1:13">
      <c r="A588" s="52">
        <v>45747</v>
      </c>
      <c r="B588" s="102">
        <v>4172</v>
      </c>
      <c r="C588" s="31">
        <v>591173</v>
      </c>
      <c r="D588" s="31">
        <v>3771</v>
      </c>
      <c r="E588" s="31">
        <v>1</v>
      </c>
      <c r="F588" s="31">
        <v>4798</v>
      </c>
      <c r="G588" s="31">
        <v>85</v>
      </c>
      <c r="H588" s="31">
        <v>70</v>
      </c>
      <c r="I588" s="110">
        <f t="shared" si="62"/>
        <v>0.00637884341808574</v>
      </c>
      <c r="J588" s="111">
        <f t="shared" si="59"/>
        <v>1.10633784142137</v>
      </c>
      <c r="K588" s="111">
        <f t="shared" si="60"/>
        <v>7.05715585792991</v>
      </c>
      <c r="L588" s="111">
        <f t="shared" si="63"/>
        <v>1.15004793863854</v>
      </c>
      <c r="M588" s="112">
        <f t="shared" si="61"/>
        <v>0.000265181649429859</v>
      </c>
    </row>
    <row r="589" ht="13.85" spans="1:13">
      <c r="A589" s="52">
        <v>45748</v>
      </c>
      <c r="B589" s="102">
        <v>1375</v>
      </c>
      <c r="C589" s="31">
        <v>129641</v>
      </c>
      <c r="D589" s="31">
        <v>1210</v>
      </c>
      <c r="E589" s="31">
        <v>2</v>
      </c>
      <c r="F589" s="31">
        <v>25472</v>
      </c>
      <c r="G589" s="31">
        <v>30</v>
      </c>
      <c r="H589" s="31">
        <v>15</v>
      </c>
      <c r="I589" s="110">
        <f t="shared" si="62"/>
        <v>0.00933346703589142</v>
      </c>
      <c r="J589" s="111">
        <f t="shared" si="59"/>
        <v>1.13636363636364</v>
      </c>
      <c r="K589" s="111">
        <f t="shared" si="60"/>
        <v>10.6062125407857</v>
      </c>
      <c r="L589" s="111">
        <f t="shared" si="63"/>
        <v>18.5250909090909</v>
      </c>
      <c r="M589" s="112">
        <f t="shared" si="61"/>
        <v>0.00165289256198347</v>
      </c>
    </row>
    <row r="590" ht="13.85" spans="1:13">
      <c r="A590" s="52">
        <v>45749</v>
      </c>
      <c r="B590" s="102">
        <v>1187</v>
      </c>
      <c r="C590" s="31">
        <v>136654</v>
      </c>
      <c r="D590" s="31">
        <v>1110</v>
      </c>
      <c r="E590" s="31">
        <v>0</v>
      </c>
      <c r="F590" s="31">
        <v>0</v>
      </c>
      <c r="G590" s="31">
        <v>23</v>
      </c>
      <c r="H590" s="31">
        <v>19</v>
      </c>
      <c r="I590" s="110">
        <f t="shared" si="62"/>
        <v>0.00812270405549783</v>
      </c>
      <c r="J590" s="111">
        <f t="shared" si="59"/>
        <v>1.06936936936937</v>
      </c>
      <c r="K590" s="111">
        <f t="shared" si="60"/>
        <v>8.68617091340173</v>
      </c>
      <c r="L590" s="111">
        <f t="shared" si="63"/>
        <v>0</v>
      </c>
      <c r="M590" s="112">
        <f t="shared" si="61"/>
        <v>0</v>
      </c>
    </row>
    <row r="591" ht="13.85" spans="1:13">
      <c r="A591" s="52">
        <v>45750</v>
      </c>
      <c r="B591" s="102">
        <v>1080</v>
      </c>
      <c r="C591" s="31">
        <v>99606</v>
      </c>
      <c r="D591" s="31">
        <v>788</v>
      </c>
      <c r="E591" s="31">
        <v>1</v>
      </c>
      <c r="F591" s="31">
        <v>7420</v>
      </c>
      <c r="G591" s="31">
        <v>36</v>
      </c>
      <c r="H591" s="31">
        <v>16</v>
      </c>
      <c r="I591" s="110">
        <f t="shared" si="62"/>
        <v>0.00791117000983877</v>
      </c>
      <c r="J591" s="111">
        <f t="shared" si="59"/>
        <v>1.37055837563452</v>
      </c>
      <c r="K591" s="111">
        <f t="shared" si="60"/>
        <v>10.8427203180531</v>
      </c>
      <c r="L591" s="111">
        <f t="shared" si="63"/>
        <v>6.87037037037037</v>
      </c>
      <c r="M591" s="112">
        <f t="shared" si="61"/>
        <v>0.00126903553299492</v>
      </c>
    </row>
    <row r="592" ht="13.85" spans="1:13">
      <c r="A592" s="52">
        <v>45751</v>
      </c>
      <c r="B592" s="102">
        <v>1100</v>
      </c>
      <c r="C592" s="31">
        <v>72425</v>
      </c>
      <c r="D592" s="31">
        <v>862</v>
      </c>
      <c r="E592" s="31">
        <v>3</v>
      </c>
      <c r="F592" s="31">
        <v>37104</v>
      </c>
      <c r="G592" s="31">
        <v>25</v>
      </c>
      <c r="H592" s="31">
        <v>14</v>
      </c>
      <c r="I592" s="110">
        <f t="shared" si="62"/>
        <v>0.0119019675526407</v>
      </c>
      <c r="J592" s="111">
        <f t="shared" si="59"/>
        <v>1.27610208816705</v>
      </c>
      <c r="K592" s="111">
        <f t="shared" si="60"/>
        <v>15.1881256472213</v>
      </c>
      <c r="L592" s="111">
        <f t="shared" si="63"/>
        <v>33.7309090909091</v>
      </c>
      <c r="M592" s="112">
        <f t="shared" si="61"/>
        <v>0.00348027842227378</v>
      </c>
    </row>
    <row r="593" ht="13.85" spans="1:13">
      <c r="A593" s="52">
        <v>45752</v>
      </c>
      <c r="B593" s="102">
        <v>1082</v>
      </c>
      <c r="C593" s="31">
        <v>58746</v>
      </c>
      <c r="D593" s="31">
        <v>782</v>
      </c>
      <c r="E593" s="31">
        <v>1</v>
      </c>
      <c r="F593" s="31">
        <v>9756</v>
      </c>
      <c r="G593" s="31">
        <v>33</v>
      </c>
      <c r="H593" s="31">
        <v>18</v>
      </c>
      <c r="I593" s="110">
        <f t="shared" si="62"/>
        <v>0.0133115446158036</v>
      </c>
      <c r="J593" s="111">
        <f t="shared" ref="J593:J656" si="64">B593/D593</f>
        <v>1.38363171355499</v>
      </c>
      <c r="K593" s="111">
        <f t="shared" si="60"/>
        <v>18.418275286828</v>
      </c>
      <c r="L593" s="111">
        <f t="shared" si="63"/>
        <v>9.01663585951941</v>
      </c>
      <c r="M593" s="112">
        <f t="shared" si="61"/>
        <v>0.00127877237851662</v>
      </c>
    </row>
    <row r="594" ht="13.85" spans="1:13">
      <c r="A594" s="52">
        <v>45753</v>
      </c>
      <c r="B594" s="102">
        <v>1075</v>
      </c>
      <c r="C594" s="31">
        <v>40612</v>
      </c>
      <c r="D594" s="31">
        <v>792</v>
      </c>
      <c r="E594" s="31">
        <v>2</v>
      </c>
      <c r="F594" s="31">
        <v>50536</v>
      </c>
      <c r="G594" s="31">
        <v>51</v>
      </c>
      <c r="H594" s="31">
        <v>17</v>
      </c>
      <c r="I594" s="110">
        <f t="shared" si="62"/>
        <v>0.019501625135428</v>
      </c>
      <c r="J594" s="111">
        <f t="shared" si="64"/>
        <v>1.35732323232323</v>
      </c>
      <c r="K594" s="111">
        <f t="shared" si="60"/>
        <v>26.4700088643751</v>
      </c>
      <c r="L594" s="111">
        <f t="shared" si="63"/>
        <v>47.0102325581395</v>
      </c>
      <c r="M594" s="112">
        <f t="shared" si="61"/>
        <v>0.00252525252525253</v>
      </c>
    </row>
    <row r="595" ht="13.85" spans="1:13">
      <c r="A595" s="52">
        <v>45754</v>
      </c>
      <c r="B595" s="102">
        <v>1566</v>
      </c>
      <c r="C595" s="31">
        <v>44699</v>
      </c>
      <c r="D595" s="31">
        <v>1200</v>
      </c>
      <c r="E595" s="31">
        <v>1</v>
      </c>
      <c r="F595" s="31">
        <v>14814</v>
      </c>
      <c r="G595" s="31">
        <v>55</v>
      </c>
      <c r="H595" s="31">
        <v>10</v>
      </c>
      <c r="I595" s="110">
        <f t="shared" si="62"/>
        <v>0.0268462381708763</v>
      </c>
      <c r="J595" s="111">
        <f t="shared" si="64"/>
        <v>1.305</v>
      </c>
      <c r="K595" s="111">
        <f t="shared" si="60"/>
        <v>35.0343408129936</v>
      </c>
      <c r="L595" s="111">
        <f t="shared" si="63"/>
        <v>9.45977011494253</v>
      </c>
      <c r="M595" s="112">
        <f t="shared" si="61"/>
        <v>0.000833333333333333</v>
      </c>
    </row>
    <row r="596" ht="13.85" spans="1:13">
      <c r="A596" s="52">
        <v>45755</v>
      </c>
      <c r="B596" s="102">
        <v>1096</v>
      </c>
      <c r="C596" s="31">
        <v>44527</v>
      </c>
      <c r="D596" s="31">
        <v>747</v>
      </c>
      <c r="E596" s="31">
        <v>0</v>
      </c>
      <c r="F596" s="31">
        <v>0</v>
      </c>
      <c r="G596" s="31">
        <v>24</v>
      </c>
      <c r="H596" s="31">
        <v>9</v>
      </c>
      <c r="I596" s="110">
        <f t="shared" si="62"/>
        <v>0.0167763379522537</v>
      </c>
      <c r="J596" s="111">
        <f t="shared" si="64"/>
        <v>1.46720214190094</v>
      </c>
      <c r="K596" s="111">
        <f t="shared" si="60"/>
        <v>24.6142789768006</v>
      </c>
      <c r="L596" s="111">
        <f t="shared" si="63"/>
        <v>0</v>
      </c>
      <c r="M596" s="112">
        <f t="shared" si="61"/>
        <v>0</v>
      </c>
    </row>
    <row r="597" ht="13.85" spans="1:13">
      <c r="A597" s="52">
        <v>45756</v>
      </c>
      <c r="B597" s="102">
        <v>1091</v>
      </c>
      <c r="C597" s="31">
        <v>51487</v>
      </c>
      <c r="D597" s="31">
        <v>887</v>
      </c>
      <c r="E597" s="31">
        <v>0</v>
      </c>
      <c r="F597" s="31">
        <v>0</v>
      </c>
      <c r="G597" s="31">
        <v>24</v>
      </c>
      <c r="H597" s="31">
        <v>10</v>
      </c>
      <c r="I597" s="110">
        <f t="shared" si="62"/>
        <v>0.017227649697982</v>
      </c>
      <c r="J597" s="111">
        <f t="shared" si="64"/>
        <v>1.22998872604284</v>
      </c>
      <c r="K597" s="111">
        <f t="shared" si="60"/>
        <v>21.1898149047332</v>
      </c>
      <c r="L597" s="111">
        <f t="shared" si="63"/>
        <v>0</v>
      </c>
      <c r="M597" s="112">
        <f t="shared" si="61"/>
        <v>0</v>
      </c>
    </row>
    <row r="598" ht="13.85" spans="1:13">
      <c r="A598" s="52">
        <v>45757</v>
      </c>
      <c r="B598" s="102">
        <v>1091</v>
      </c>
      <c r="C598" s="31">
        <v>48556</v>
      </c>
      <c r="D598" s="31">
        <v>705</v>
      </c>
      <c r="E598" s="31">
        <v>1</v>
      </c>
      <c r="F598" s="31">
        <v>23784</v>
      </c>
      <c r="G598" s="31">
        <v>35</v>
      </c>
      <c r="H598" s="31">
        <v>20</v>
      </c>
      <c r="I598" s="110">
        <f t="shared" si="62"/>
        <v>0.0145193179009803</v>
      </c>
      <c r="J598" s="111">
        <f t="shared" si="64"/>
        <v>1.54751773049645</v>
      </c>
      <c r="K598" s="111">
        <f t="shared" si="60"/>
        <v>22.4689018864816</v>
      </c>
      <c r="L598" s="111">
        <f t="shared" si="63"/>
        <v>21.8001833180568</v>
      </c>
      <c r="M598" s="112">
        <f t="shared" si="61"/>
        <v>0.00141843971631206</v>
      </c>
    </row>
    <row r="599" ht="13.85" spans="1:13">
      <c r="A599" s="52">
        <v>45758</v>
      </c>
      <c r="B599" s="102">
        <v>1405</v>
      </c>
      <c r="C599" s="31">
        <v>69579</v>
      </c>
      <c r="D599" s="31">
        <v>1033</v>
      </c>
      <c r="E599" s="31">
        <v>0</v>
      </c>
      <c r="F599" s="31">
        <v>0</v>
      </c>
      <c r="G599" s="31">
        <v>52</v>
      </c>
      <c r="H599" s="31">
        <v>14</v>
      </c>
      <c r="I599" s="110">
        <f t="shared" si="62"/>
        <v>0.0148464335503528</v>
      </c>
      <c r="J599" s="111">
        <f t="shared" si="64"/>
        <v>1.36011616650532</v>
      </c>
      <c r="K599" s="111">
        <f t="shared" si="60"/>
        <v>20.1928742867819</v>
      </c>
      <c r="L599" s="111">
        <f t="shared" si="63"/>
        <v>0</v>
      </c>
      <c r="M599" s="112">
        <f t="shared" si="61"/>
        <v>0</v>
      </c>
    </row>
    <row r="600" ht="13.85" spans="1:13">
      <c r="A600" s="52">
        <v>45759</v>
      </c>
      <c r="B600" s="102">
        <v>1447</v>
      </c>
      <c r="C600" s="31">
        <v>99741</v>
      </c>
      <c r="D600" s="31">
        <v>1430</v>
      </c>
      <c r="E600" s="31">
        <v>1</v>
      </c>
      <c r="F600" s="31">
        <v>34128</v>
      </c>
      <c r="G600" s="31">
        <v>36</v>
      </c>
      <c r="H600" s="31">
        <v>8</v>
      </c>
      <c r="I600" s="110">
        <f t="shared" si="62"/>
        <v>0.0143371331749231</v>
      </c>
      <c r="J600" s="111">
        <f t="shared" si="64"/>
        <v>1.01188811188811</v>
      </c>
      <c r="K600" s="111">
        <f t="shared" si="60"/>
        <v>14.5075746182613</v>
      </c>
      <c r="L600" s="111">
        <f t="shared" si="63"/>
        <v>23.5853489979267</v>
      </c>
      <c r="M600" s="112">
        <f t="shared" si="61"/>
        <v>0.000699300699300699</v>
      </c>
    </row>
    <row r="601" ht="13.85" spans="1:13">
      <c r="A601" s="52">
        <v>45760</v>
      </c>
      <c r="B601" s="102">
        <v>1469</v>
      </c>
      <c r="C601" s="31">
        <v>88860</v>
      </c>
      <c r="D601" s="31">
        <v>1253</v>
      </c>
      <c r="E601" s="31">
        <v>0</v>
      </c>
      <c r="F601" s="31">
        <v>0</v>
      </c>
      <c r="G601" s="31">
        <v>50</v>
      </c>
      <c r="H601" s="31">
        <v>13</v>
      </c>
      <c r="I601" s="110">
        <f t="shared" si="62"/>
        <v>0.0141008327706505</v>
      </c>
      <c r="J601" s="111">
        <f t="shared" si="64"/>
        <v>1.17238627294493</v>
      </c>
      <c r="K601" s="111">
        <f t="shared" si="60"/>
        <v>16.5316227774027</v>
      </c>
      <c r="L601" s="111">
        <f t="shared" si="63"/>
        <v>0</v>
      </c>
      <c r="M601" s="112">
        <f t="shared" si="61"/>
        <v>0</v>
      </c>
    </row>
    <row r="602" ht="13.85" spans="1:13">
      <c r="A602" s="52">
        <v>45761</v>
      </c>
      <c r="B602" s="102">
        <v>1695</v>
      </c>
      <c r="C602" s="31">
        <v>77873</v>
      </c>
      <c r="D602" s="31">
        <v>1213</v>
      </c>
      <c r="E602" s="31">
        <v>1</v>
      </c>
      <c r="F602" s="31">
        <v>9074</v>
      </c>
      <c r="G602" s="31">
        <v>31</v>
      </c>
      <c r="H602" s="31">
        <v>16</v>
      </c>
      <c r="I602" s="110">
        <f t="shared" si="62"/>
        <v>0.0155766440229605</v>
      </c>
      <c r="J602" s="111">
        <f t="shared" si="64"/>
        <v>1.39736191261336</v>
      </c>
      <c r="K602" s="111">
        <f t="shared" si="60"/>
        <v>21.7662090840214</v>
      </c>
      <c r="L602" s="111">
        <f t="shared" si="63"/>
        <v>5.35339233038348</v>
      </c>
      <c r="M602" s="112">
        <f t="shared" si="61"/>
        <v>0.000824402308326463</v>
      </c>
    </row>
    <row r="603" ht="13.85" spans="1:13">
      <c r="A603" s="52">
        <v>45762</v>
      </c>
      <c r="B603" s="102">
        <v>1381</v>
      </c>
      <c r="C603" s="31">
        <v>80789</v>
      </c>
      <c r="D603" s="31">
        <v>1030</v>
      </c>
      <c r="E603" s="31">
        <v>0</v>
      </c>
      <c r="F603" s="31">
        <v>0</v>
      </c>
      <c r="G603" s="31">
        <v>28</v>
      </c>
      <c r="H603" s="31">
        <v>7</v>
      </c>
      <c r="I603" s="110">
        <f t="shared" si="62"/>
        <v>0.0127492604191165</v>
      </c>
      <c r="J603" s="111">
        <f t="shared" si="64"/>
        <v>1.34077669902913</v>
      </c>
      <c r="K603" s="111">
        <f t="shared" si="60"/>
        <v>17.0939112998057</v>
      </c>
      <c r="L603" s="111">
        <f t="shared" si="63"/>
        <v>0</v>
      </c>
      <c r="M603" s="112">
        <f t="shared" si="61"/>
        <v>0</v>
      </c>
    </row>
    <row r="604" ht="13.85" spans="1:13">
      <c r="A604" s="52">
        <v>45763</v>
      </c>
      <c r="B604" s="102">
        <v>2239</v>
      </c>
      <c r="C604" s="31">
        <v>80921</v>
      </c>
      <c r="D604" s="31">
        <v>1436</v>
      </c>
      <c r="E604" s="31">
        <v>3</v>
      </c>
      <c r="F604" s="31">
        <v>50586</v>
      </c>
      <c r="G604" s="31">
        <v>36</v>
      </c>
      <c r="H604" s="31">
        <v>20</v>
      </c>
      <c r="I604" s="110">
        <f t="shared" si="62"/>
        <v>0.017745702598831</v>
      </c>
      <c r="J604" s="111">
        <f t="shared" si="64"/>
        <v>1.5591922005571</v>
      </c>
      <c r="K604" s="111">
        <f t="shared" si="60"/>
        <v>27.6689610855031</v>
      </c>
      <c r="L604" s="111">
        <f t="shared" si="63"/>
        <v>22.5931219294328</v>
      </c>
      <c r="M604" s="112">
        <f t="shared" si="61"/>
        <v>0.0020891364902507</v>
      </c>
    </row>
    <row r="605" ht="13.85" spans="1:13">
      <c r="A605" s="52">
        <v>45764</v>
      </c>
      <c r="B605" s="102">
        <v>2843</v>
      </c>
      <c r="C605" s="31">
        <v>202022</v>
      </c>
      <c r="D605" s="31">
        <v>2034</v>
      </c>
      <c r="E605" s="31">
        <v>2</v>
      </c>
      <c r="F605" s="31">
        <v>46388</v>
      </c>
      <c r="G605" s="31">
        <v>54</v>
      </c>
      <c r="H605" s="31">
        <v>19</v>
      </c>
      <c r="I605" s="110">
        <f t="shared" si="62"/>
        <v>0.0100682103929275</v>
      </c>
      <c r="J605" s="111">
        <f t="shared" si="64"/>
        <v>1.39773844641101</v>
      </c>
      <c r="K605" s="111">
        <f t="shared" si="60"/>
        <v>14.0727247527497</v>
      </c>
      <c r="L605" s="111">
        <f t="shared" si="63"/>
        <v>16.3165670066831</v>
      </c>
      <c r="M605" s="112">
        <f t="shared" si="61"/>
        <v>0.000983284169124877</v>
      </c>
    </row>
    <row r="606" ht="13.85" spans="1:13">
      <c r="A606" s="52">
        <v>45765</v>
      </c>
      <c r="B606" s="102">
        <v>2761</v>
      </c>
      <c r="C606" s="31">
        <v>154522</v>
      </c>
      <c r="D606" s="31">
        <v>1742</v>
      </c>
      <c r="E606" s="31">
        <v>2</v>
      </c>
      <c r="F606" s="31">
        <v>24750</v>
      </c>
      <c r="G606" s="31">
        <v>32</v>
      </c>
      <c r="H606" s="31">
        <v>18</v>
      </c>
      <c r="I606" s="110">
        <f t="shared" si="62"/>
        <v>0.0112734756215943</v>
      </c>
      <c r="J606" s="111">
        <f t="shared" si="64"/>
        <v>1.5849598163031</v>
      </c>
      <c r="K606" s="111">
        <f t="shared" si="60"/>
        <v>17.8680058502996</v>
      </c>
      <c r="L606" s="111">
        <f t="shared" si="63"/>
        <v>8.96414342629482</v>
      </c>
      <c r="M606" s="112">
        <f t="shared" si="61"/>
        <v>0.00114810562571757</v>
      </c>
    </row>
    <row r="607" ht="13.85" spans="1:13">
      <c r="A607" s="52">
        <v>45766</v>
      </c>
      <c r="B607" s="102">
        <v>2759</v>
      </c>
      <c r="C607" s="31">
        <v>40790</v>
      </c>
      <c r="D607" s="31">
        <v>1885</v>
      </c>
      <c r="E607" s="31">
        <v>1</v>
      </c>
      <c r="F607" s="31">
        <v>10624</v>
      </c>
      <c r="G607" s="31">
        <v>58</v>
      </c>
      <c r="H607" s="31">
        <v>32</v>
      </c>
      <c r="I607" s="110">
        <f t="shared" si="62"/>
        <v>0.046212306937975</v>
      </c>
      <c r="J607" s="111">
        <f t="shared" si="64"/>
        <v>1.46366047745358</v>
      </c>
      <c r="K607" s="111">
        <f t="shared" si="60"/>
        <v>67.6391272370679</v>
      </c>
      <c r="L607" s="111">
        <f t="shared" si="63"/>
        <v>3.85067053280174</v>
      </c>
      <c r="M607" s="112">
        <f t="shared" si="61"/>
        <v>0.000530503978779841</v>
      </c>
    </row>
    <row r="608" ht="13.85" spans="1:13">
      <c r="A608" s="52">
        <v>45767</v>
      </c>
      <c r="B608" s="102">
        <v>1984</v>
      </c>
      <c r="C608" s="31">
        <v>93146</v>
      </c>
      <c r="D608" s="31">
        <v>1439</v>
      </c>
      <c r="E608" s="31">
        <v>1</v>
      </c>
      <c r="F608" s="31">
        <v>14032</v>
      </c>
      <c r="G608" s="31">
        <v>41</v>
      </c>
      <c r="H608" s="31">
        <v>13</v>
      </c>
      <c r="I608" s="110">
        <f t="shared" si="62"/>
        <v>0.0154488652223391</v>
      </c>
      <c r="J608" s="111">
        <f t="shared" si="64"/>
        <v>1.37873523280056</v>
      </c>
      <c r="K608" s="111">
        <f t="shared" si="60"/>
        <v>21.2998947888261</v>
      </c>
      <c r="L608" s="111">
        <f t="shared" si="63"/>
        <v>7.07258064516129</v>
      </c>
      <c r="M608" s="112">
        <f t="shared" si="61"/>
        <v>0.000694927032661571</v>
      </c>
    </row>
    <row r="609" ht="13.85" spans="1:13">
      <c r="A609" s="52">
        <v>45768</v>
      </c>
      <c r="B609" s="102">
        <v>1645</v>
      </c>
      <c r="C609" s="31">
        <v>75773</v>
      </c>
      <c r="D609" s="31">
        <v>1367</v>
      </c>
      <c r="E609" s="31">
        <v>0</v>
      </c>
      <c r="F609" s="31">
        <v>0</v>
      </c>
      <c r="G609" s="31">
        <v>36</v>
      </c>
      <c r="H609" s="31">
        <v>6</v>
      </c>
      <c r="I609" s="110">
        <f t="shared" si="62"/>
        <v>0.0180407269080015</v>
      </c>
      <c r="J609" s="111">
        <f t="shared" si="64"/>
        <v>1.2033650329188</v>
      </c>
      <c r="K609" s="111">
        <f t="shared" si="60"/>
        <v>21.7095799295263</v>
      </c>
      <c r="L609" s="111">
        <f t="shared" si="63"/>
        <v>0</v>
      </c>
      <c r="M609" s="112">
        <f t="shared" si="61"/>
        <v>0</v>
      </c>
    </row>
    <row r="610" ht="13.85" spans="1:13">
      <c r="A610" s="52">
        <v>45769</v>
      </c>
      <c r="B610" s="102">
        <v>1646</v>
      </c>
      <c r="C610" s="31">
        <v>63539</v>
      </c>
      <c r="D610" s="31">
        <v>1172</v>
      </c>
      <c r="E610" s="31">
        <v>1</v>
      </c>
      <c r="F610" s="31">
        <v>16269</v>
      </c>
      <c r="G610" s="31">
        <v>28</v>
      </c>
      <c r="H610" s="31">
        <v>8</v>
      </c>
      <c r="I610" s="110">
        <f t="shared" si="62"/>
        <v>0.0184453642644675</v>
      </c>
      <c r="J610" s="111">
        <f t="shared" si="64"/>
        <v>1.40443686006826</v>
      </c>
      <c r="K610" s="111">
        <f t="shared" si="60"/>
        <v>25.905349470404</v>
      </c>
      <c r="L610" s="111">
        <f t="shared" si="63"/>
        <v>9.88396111786148</v>
      </c>
      <c r="M610" s="112">
        <f t="shared" si="61"/>
        <v>0.000853242320819113</v>
      </c>
    </row>
    <row r="611" ht="13.85" spans="1:13">
      <c r="A611" s="52">
        <v>45770</v>
      </c>
      <c r="B611" s="102">
        <v>1309</v>
      </c>
      <c r="C611" s="31">
        <v>49570</v>
      </c>
      <c r="D611" s="31">
        <v>1033</v>
      </c>
      <c r="E611" s="31">
        <v>0</v>
      </c>
      <c r="F611" s="31">
        <v>0</v>
      </c>
      <c r="G611" s="31">
        <v>37</v>
      </c>
      <c r="H611" s="31">
        <v>5</v>
      </c>
      <c r="I611" s="110">
        <f t="shared" si="62"/>
        <v>0.0208392172685092</v>
      </c>
      <c r="J611" s="111">
        <f t="shared" si="64"/>
        <v>1.26718296224589</v>
      </c>
      <c r="K611" s="111">
        <f t="shared" si="60"/>
        <v>26.4071010691951</v>
      </c>
      <c r="L611" s="111">
        <f t="shared" si="63"/>
        <v>0</v>
      </c>
      <c r="M611" s="112">
        <f t="shared" si="61"/>
        <v>0</v>
      </c>
    </row>
    <row r="612" ht="13.85" spans="1:13">
      <c r="A612" s="52">
        <v>45771</v>
      </c>
      <c r="B612" s="102">
        <v>1216</v>
      </c>
      <c r="C612" s="31">
        <v>28205</v>
      </c>
      <c r="D612" s="31">
        <v>894</v>
      </c>
      <c r="E612" s="31">
        <v>1</v>
      </c>
      <c r="F612" s="31">
        <v>12843</v>
      </c>
      <c r="G612" s="31">
        <v>17</v>
      </c>
      <c r="H612" s="31">
        <v>7</v>
      </c>
      <c r="I612" s="110">
        <f t="shared" si="62"/>
        <v>0.0316965077113987</v>
      </c>
      <c r="J612" s="111">
        <f t="shared" si="64"/>
        <v>1.36017897091723</v>
      </c>
      <c r="K612" s="111">
        <f t="shared" si="60"/>
        <v>43.1129232405602</v>
      </c>
      <c r="L612" s="111">
        <f t="shared" si="63"/>
        <v>10.5616776315789</v>
      </c>
      <c r="M612" s="112">
        <f t="shared" si="61"/>
        <v>0.00111856823266219</v>
      </c>
    </row>
    <row r="613" ht="13.85" spans="1:13">
      <c r="A613" s="52">
        <v>45772</v>
      </c>
      <c r="B613" s="102">
        <v>1430</v>
      </c>
      <c r="C613" s="31">
        <v>43147</v>
      </c>
      <c r="D613" s="31">
        <v>998</v>
      </c>
      <c r="E613" s="31">
        <v>3</v>
      </c>
      <c r="F613" s="31">
        <v>13660</v>
      </c>
      <c r="G613" s="31">
        <v>25</v>
      </c>
      <c r="H613" s="31">
        <v>7</v>
      </c>
      <c r="I613" s="110">
        <f t="shared" si="62"/>
        <v>0.0231302292163998</v>
      </c>
      <c r="J613" s="111">
        <f t="shared" si="64"/>
        <v>1.43286573146293</v>
      </c>
      <c r="K613" s="111">
        <f t="shared" si="60"/>
        <v>33.1425128050618</v>
      </c>
      <c r="L613" s="111">
        <f t="shared" si="63"/>
        <v>9.55244755244755</v>
      </c>
      <c r="M613" s="112">
        <f t="shared" si="61"/>
        <v>0.0030060120240481</v>
      </c>
    </row>
    <row r="614" ht="13.85" spans="1:13">
      <c r="A614" s="52">
        <v>45773</v>
      </c>
      <c r="B614" s="102">
        <v>1424</v>
      </c>
      <c r="C614" s="31">
        <v>38818</v>
      </c>
      <c r="D614" s="31">
        <v>1040</v>
      </c>
      <c r="E614" s="31">
        <v>0</v>
      </c>
      <c r="F614" s="31">
        <v>0</v>
      </c>
      <c r="G614" s="31">
        <v>25</v>
      </c>
      <c r="H614" s="31">
        <v>8</v>
      </c>
      <c r="I614" s="110">
        <f t="shared" si="62"/>
        <v>0.0267916945746818</v>
      </c>
      <c r="J614" s="111">
        <f t="shared" si="64"/>
        <v>1.36923076923077</v>
      </c>
      <c r="K614" s="111">
        <f t="shared" si="60"/>
        <v>36.6840125714875</v>
      </c>
      <c r="L614" s="111">
        <f t="shared" si="63"/>
        <v>0</v>
      </c>
      <c r="M614" s="112">
        <f t="shared" si="61"/>
        <v>0</v>
      </c>
    </row>
    <row r="615" ht="13.85" spans="1:13">
      <c r="A615" s="52">
        <v>45774</v>
      </c>
      <c r="B615" s="102">
        <v>1444</v>
      </c>
      <c r="C615" s="31">
        <v>64677</v>
      </c>
      <c r="D615" s="31">
        <v>1101</v>
      </c>
      <c r="E615" s="31">
        <v>2</v>
      </c>
      <c r="F615" s="31">
        <v>44758</v>
      </c>
      <c r="G615" s="31">
        <v>19</v>
      </c>
      <c r="H615" s="31">
        <v>6</v>
      </c>
      <c r="I615" s="110">
        <f t="shared" si="62"/>
        <v>0.0170230530173014</v>
      </c>
      <c r="J615" s="111">
        <f t="shared" si="64"/>
        <v>1.31153496821072</v>
      </c>
      <c r="K615" s="111">
        <f t="shared" si="60"/>
        <v>22.3263292978957</v>
      </c>
      <c r="L615" s="111">
        <f t="shared" si="63"/>
        <v>30.9958448753463</v>
      </c>
      <c r="M615" s="112">
        <f t="shared" si="61"/>
        <v>0.00181653042688465</v>
      </c>
    </row>
    <row r="616" ht="13.85" spans="1:13">
      <c r="A616" s="52">
        <v>45775</v>
      </c>
      <c r="B616" s="102">
        <v>1437</v>
      </c>
      <c r="C616" s="31">
        <v>50425</v>
      </c>
      <c r="D616" s="31">
        <v>917</v>
      </c>
      <c r="E616" s="31">
        <v>0</v>
      </c>
      <c r="F616" s="31">
        <v>0</v>
      </c>
      <c r="G616" s="31">
        <v>27</v>
      </c>
      <c r="H616" s="31">
        <v>6</v>
      </c>
      <c r="I616" s="110">
        <f t="shared" si="62"/>
        <v>0.0181854238968765</v>
      </c>
      <c r="J616" s="111">
        <f t="shared" si="64"/>
        <v>1.56706652126499</v>
      </c>
      <c r="K616" s="111">
        <f t="shared" si="60"/>
        <v>28.4977689638076</v>
      </c>
      <c r="L616" s="111">
        <f t="shared" si="63"/>
        <v>0</v>
      </c>
      <c r="M616" s="112">
        <f t="shared" si="61"/>
        <v>0</v>
      </c>
    </row>
    <row r="617" ht="13.85" spans="1:13">
      <c r="A617" s="52">
        <v>45776</v>
      </c>
      <c r="B617" s="102">
        <v>938</v>
      </c>
      <c r="C617" s="31">
        <v>32832</v>
      </c>
      <c r="D617" s="31">
        <v>585</v>
      </c>
      <c r="E617" s="31">
        <v>0</v>
      </c>
      <c r="F617" s="31">
        <v>0</v>
      </c>
      <c r="G617" s="31">
        <v>31</v>
      </c>
      <c r="H617" s="31">
        <v>7</v>
      </c>
      <c r="I617" s="110">
        <f t="shared" si="62"/>
        <v>0.0178179824561404</v>
      </c>
      <c r="J617" s="111">
        <f t="shared" si="64"/>
        <v>1.6034188034188</v>
      </c>
      <c r="K617" s="111">
        <f t="shared" si="60"/>
        <v>28.5696881091618</v>
      </c>
      <c r="L617" s="111">
        <f t="shared" si="63"/>
        <v>0</v>
      </c>
      <c r="M617" s="112">
        <f t="shared" si="61"/>
        <v>0</v>
      </c>
    </row>
    <row r="618" ht="13.85" spans="1:13">
      <c r="A618" s="52">
        <v>45777</v>
      </c>
      <c r="B618" s="102">
        <v>940</v>
      </c>
      <c r="C618" s="31">
        <v>36544</v>
      </c>
      <c r="D618" s="31">
        <v>633</v>
      </c>
      <c r="E618" s="31">
        <v>0</v>
      </c>
      <c r="F618" s="31">
        <v>0</v>
      </c>
      <c r="G618" s="31">
        <v>27</v>
      </c>
      <c r="H618" s="31">
        <v>9</v>
      </c>
      <c r="I618" s="110">
        <f t="shared" si="62"/>
        <v>0.017321584938704</v>
      </c>
      <c r="J618" s="111">
        <f t="shared" si="64"/>
        <v>1.48499210110585</v>
      </c>
      <c r="K618" s="111">
        <f t="shared" si="60"/>
        <v>25.7224168126095</v>
      </c>
      <c r="L618" s="111">
        <f t="shared" si="63"/>
        <v>0</v>
      </c>
      <c r="M618" s="112">
        <f t="shared" si="61"/>
        <v>0</v>
      </c>
    </row>
    <row r="619" ht="13.85" spans="1:13">
      <c r="A619" s="52">
        <v>45778</v>
      </c>
      <c r="B619" s="116">
        <v>933</v>
      </c>
      <c r="C619" s="117">
        <v>33466</v>
      </c>
      <c r="D619" s="117">
        <v>593</v>
      </c>
      <c r="E619" s="117">
        <v>0</v>
      </c>
      <c r="F619" s="117">
        <v>0</v>
      </c>
      <c r="G619" s="117">
        <v>22</v>
      </c>
      <c r="H619" s="117">
        <v>11</v>
      </c>
      <c r="I619" s="110">
        <f t="shared" si="62"/>
        <v>0.0177194764835953</v>
      </c>
      <c r="J619" s="111">
        <f t="shared" si="64"/>
        <v>1.57335581787521</v>
      </c>
      <c r="K619" s="111">
        <f t="shared" si="60"/>
        <v>27.8790414151676</v>
      </c>
      <c r="L619" s="111">
        <f t="shared" si="63"/>
        <v>0</v>
      </c>
      <c r="M619" s="112">
        <f t="shared" si="61"/>
        <v>0</v>
      </c>
    </row>
    <row r="620" ht="13.85" spans="1:13">
      <c r="A620" s="52">
        <v>45779</v>
      </c>
      <c r="B620" s="116">
        <v>939</v>
      </c>
      <c r="C620" s="117">
        <v>44108</v>
      </c>
      <c r="D620" s="117">
        <v>710</v>
      </c>
      <c r="E620" s="117">
        <v>0</v>
      </c>
      <c r="F620" s="117">
        <v>0</v>
      </c>
      <c r="G620" s="117">
        <v>10</v>
      </c>
      <c r="H620" s="117">
        <v>13</v>
      </c>
      <c r="I620" s="110">
        <f t="shared" si="62"/>
        <v>0.0160968531785617</v>
      </c>
      <c r="J620" s="111">
        <f t="shared" si="64"/>
        <v>1.32253521126761</v>
      </c>
      <c r="K620" s="111">
        <f t="shared" si="60"/>
        <v>21.2886551192527</v>
      </c>
      <c r="L620" s="111">
        <f t="shared" si="63"/>
        <v>0</v>
      </c>
      <c r="M620" s="112">
        <f t="shared" si="61"/>
        <v>0</v>
      </c>
    </row>
    <row r="621" ht="13.85" spans="1:13">
      <c r="A621" s="52">
        <v>45780</v>
      </c>
      <c r="B621" s="116">
        <v>942</v>
      </c>
      <c r="C621" s="117">
        <v>49731</v>
      </c>
      <c r="D621" s="117">
        <v>679</v>
      </c>
      <c r="E621" s="117">
        <v>1</v>
      </c>
      <c r="F621" s="117">
        <v>47048</v>
      </c>
      <c r="G621" s="117">
        <v>18</v>
      </c>
      <c r="H621" s="117">
        <v>5</v>
      </c>
      <c r="I621" s="110">
        <f t="shared" si="62"/>
        <v>0.01365345559108</v>
      </c>
      <c r="J621" s="111">
        <f t="shared" si="64"/>
        <v>1.38733431516937</v>
      </c>
      <c r="K621" s="111">
        <f t="shared" si="60"/>
        <v>18.9419074621463</v>
      </c>
      <c r="L621" s="111">
        <f t="shared" si="63"/>
        <v>49.9447983014862</v>
      </c>
      <c r="M621" s="112">
        <f t="shared" si="61"/>
        <v>0.00147275405007364</v>
      </c>
    </row>
    <row r="622" ht="13.85" spans="1:13">
      <c r="A622" s="52">
        <v>45781</v>
      </c>
      <c r="B622" s="116">
        <v>937</v>
      </c>
      <c r="C622" s="117">
        <v>44499</v>
      </c>
      <c r="D622" s="117">
        <v>721</v>
      </c>
      <c r="E622" s="117">
        <v>0</v>
      </c>
      <c r="F622" s="117">
        <v>0</v>
      </c>
      <c r="G622" s="117">
        <v>26</v>
      </c>
      <c r="H622" s="117">
        <v>7</v>
      </c>
      <c r="I622" s="110">
        <f t="shared" si="62"/>
        <v>0.0162026112946358</v>
      </c>
      <c r="J622" s="111">
        <f t="shared" si="64"/>
        <v>1.2995839112344</v>
      </c>
      <c r="K622" s="111">
        <f t="shared" si="60"/>
        <v>21.0566529584935</v>
      </c>
      <c r="L622" s="111">
        <f t="shared" si="63"/>
        <v>0</v>
      </c>
      <c r="M622" s="112">
        <f t="shared" si="61"/>
        <v>0</v>
      </c>
    </row>
    <row r="623" ht="13.85" spans="1:13">
      <c r="A623" s="52">
        <v>45782</v>
      </c>
      <c r="B623" s="116">
        <v>931</v>
      </c>
      <c r="C623" s="117">
        <v>64744</v>
      </c>
      <c r="D623" s="117">
        <v>738</v>
      </c>
      <c r="E623" s="117">
        <v>0</v>
      </c>
      <c r="F623" s="117">
        <v>0</v>
      </c>
      <c r="G623" s="117">
        <v>48</v>
      </c>
      <c r="H623" s="117">
        <v>12</v>
      </c>
      <c r="I623" s="110">
        <f t="shared" si="62"/>
        <v>0.0113987396515507</v>
      </c>
      <c r="J623" s="111">
        <f t="shared" si="64"/>
        <v>1.26151761517615</v>
      </c>
      <c r="K623" s="111">
        <f t="shared" si="60"/>
        <v>14.3797108612381</v>
      </c>
      <c r="L623" s="111">
        <f t="shared" si="63"/>
        <v>0</v>
      </c>
      <c r="M623" s="112">
        <f t="shared" si="61"/>
        <v>0</v>
      </c>
    </row>
    <row r="624" ht="13.85" spans="1:13">
      <c r="A624" s="52">
        <v>45783</v>
      </c>
      <c r="B624" s="116">
        <v>1756</v>
      </c>
      <c r="C624" s="117">
        <v>67332</v>
      </c>
      <c r="D624" s="117">
        <v>1731</v>
      </c>
      <c r="E624" s="117">
        <v>4</v>
      </c>
      <c r="F624" s="117">
        <v>23679</v>
      </c>
      <c r="G624" s="117">
        <v>51</v>
      </c>
      <c r="H624" s="117">
        <v>15</v>
      </c>
      <c r="I624" s="110">
        <f t="shared" si="62"/>
        <v>0.0257084298698984</v>
      </c>
      <c r="J624" s="111">
        <f t="shared" si="64"/>
        <v>1.01444251877527</v>
      </c>
      <c r="K624" s="111">
        <f t="shared" si="60"/>
        <v>26.0797243509772</v>
      </c>
      <c r="L624" s="111">
        <f t="shared" si="63"/>
        <v>13.4846241457859</v>
      </c>
      <c r="M624" s="112">
        <f t="shared" si="61"/>
        <v>0.00231080300404391</v>
      </c>
    </row>
    <row r="625" ht="13.85" spans="1:13">
      <c r="A625" s="52">
        <v>45784</v>
      </c>
      <c r="B625" s="116">
        <v>1346</v>
      </c>
      <c r="C625" s="117">
        <v>86268</v>
      </c>
      <c r="D625" s="117">
        <v>1814</v>
      </c>
      <c r="E625" s="117">
        <v>1</v>
      </c>
      <c r="F625" s="117">
        <v>27708</v>
      </c>
      <c r="G625" s="117">
        <v>43</v>
      </c>
      <c r="H625" s="117">
        <v>11</v>
      </c>
      <c r="I625" s="110">
        <f t="shared" si="62"/>
        <v>0.02102749571104</v>
      </c>
      <c r="J625" s="111">
        <f t="shared" si="64"/>
        <v>0.742006615214994</v>
      </c>
      <c r="K625" s="111">
        <f t="shared" si="60"/>
        <v>15.6025409189966</v>
      </c>
      <c r="L625" s="111">
        <f t="shared" si="63"/>
        <v>20.5854383358098</v>
      </c>
      <c r="M625" s="112">
        <f t="shared" si="61"/>
        <v>0.000551267916207277</v>
      </c>
    </row>
    <row r="626" ht="13.85" spans="1:13">
      <c r="A626" s="52">
        <v>45785</v>
      </c>
      <c r="B626" s="116">
        <v>1329</v>
      </c>
      <c r="C626" s="117">
        <v>95574</v>
      </c>
      <c r="D626" s="117">
        <v>1795</v>
      </c>
      <c r="E626" s="117">
        <v>3</v>
      </c>
      <c r="F626" s="117">
        <v>23806</v>
      </c>
      <c r="G626" s="117">
        <v>39</v>
      </c>
      <c r="H626" s="117">
        <v>12</v>
      </c>
      <c r="I626" s="110">
        <f t="shared" si="62"/>
        <v>0.018781258501266</v>
      </c>
      <c r="J626" s="111">
        <f t="shared" si="64"/>
        <v>0.740389972144847</v>
      </c>
      <c r="K626" s="111">
        <f t="shared" si="60"/>
        <v>13.9054554585975</v>
      </c>
      <c r="L626" s="111">
        <f t="shared" si="63"/>
        <v>17.9127163280662</v>
      </c>
      <c r="M626" s="112">
        <f t="shared" si="61"/>
        <v>0.00167130919220056</v>
      </c>
    </row>
    <row r="627" ht="13.85" spans="1:13">
      <c r="A627" s="52">
        <v>45786</v>
      </c>
      <c r="B627" s="116">
        <v>1609</v>
      </c>
      <c r="C627" s="117">
        <v>87273</v>
      </c>
      <c r="D627" s="117">
        <v>2436</v>
      </c>
      <c r="E627" s="117">
        <v>3</v>
      </c>
      <c r="F627" s="117">
        <v>31992</v>
      </c>
      <c r="G627" s="117">
        <v>25</v>
      </c>
      <c r="H627" s="117">
        <v>5</v>
      </c>
      <c r="I627" s="110">
        <f t="shared" si="62"/>
        <v>0.0279124127737101</v>
      </c>
      <c r="J627" s="111">
        <f t="shared" si="64"/>
        <v>0.660509031198686</v>
      </c>
      <c r="K627" s="111">
        <f t="shared" si="60"/>
        <v>18.4364007195811</v>
      </c>
      <c r="L627" s="111">
        <f t="shared" si="63"/>
        <v>19.8831572405221</v>
      </c>
      <c r="M627" s="112">
        <f t="shared" si="61"/>
        <v>0.00123152709359606</v>
      </c>
    </row>
    <row r="628" ht="13.85" spans="1:13">
      <c r="A628" s="52">
        <v>45787</v>
      </c>
      <c r="B628" s="116">
        <v>1306</v>
      </c>
      <c r="C628" s="117">
        <v>87754</v>
      </c>
      <c r="D628" s="117">
        <v>1641</v>
      </c>
      <c r="E628" s="117">
        <v>9</v>
      </c>
      <c r="F628" s="117">
        <v>63747</v>
      </c>
      <c r="G628" s="117">
        <v>28</v>
      </c>
      <c r="H628" s="117">
        <v>11</v>
      </c>
      <c r="I628" s="110">
        <f t="shared" si="62"/>
        <v>0.0187000022790984</v>
      </c>
      <c r="J628" s="111">
        <f t="shared" si="64"/>
        <v>0.795856185252895</v>
      </c>
      <c r="K628" s="111">
        <f t="shared" si="60"/>
        <v>14.8825124780637</v>
      </c>
      <c r="L628" s="111">
        <f t="shared" si="63"/>
        <v>48.8108728943338</v>
      </c>
      <c r="M628" s="112">
        <f t="shared" si="61"/>
        <v>0.00548446069469835</v>
      </c>
    </row>
    <row r="629" ht="13.85" spans="1:13">
      <c r="A629" s="52">
        <v>45788</v>
      </c>
      <c r="B629" s="116">
        <v>1835</v>
      </c>
      <c r="C629" s="117">
        <v>116336</v>
      </c>
      <c r="D629" s="117">
        <v>1905</v>
      </c>
      <c r="E629" s="117">
        <v>12</v>
      </c>
      <c r="F629" s="117">
        <v>122459</v>
      </c>
      <c r="G629" s="117">
        <v>62</v>
      </c>
      <c r="H629" s="117">
        <v>23</v>
      </c>
      <c r="I629" s="110">
        <f t="shared" si="62"/>
        <v>0.016374982808417</v>
      </c>
      <c r="J629" s="111">
        <f t="shared" si="64"/>
        <v>0.963254593175853</v>
      </c>
      <c r="K629" s="111">
        <f t="shared" si="60"/>
        <v>15.7732774033833</v>
      </c>
      <c r="L629" s="111">
        <f t="shared" si="63"/>
        <v>66.7351498637602</v>
      </c>
      <c r="M629" s="112">
        <f t="shared" si="61"/>
        <v>0.0062992125984252</v>
      </c>
    </row>
    <row r="630" ht="13.85" spans="1:13">
      <c r="A630" s="52">
        <v>45789</v>
      </c>
      <c r="B630" s="116">
        <v>2384</v>
      </c>
      <c r="C630" s="117">
        <v>90910</v>
      </c>
      <c r="D630" s="117">
        <v>1591</v>
      </c>
      <c r="E630" s="117">
        <v>12</v>
      </c>
      <c r="F630" s="117">
        <v>154782</v>
      </c>
      <c r="G630" s="117">
        <v>58</v>
      </c>
      <c r="H630" s="117">
        <v>24</v>
      </c>
      <c r="I630" s="110">
        <f t="shared" si="62"/>
        <v>0.0175008249917501</v>
      </c>
      <c r="J630" s="111">
        <f t="shared" si="64"/>
        <v>1.49842866121936</v>
      </c>
      <c r="K630" s="111">
        <f t="shared" si="60"/>
        <v>26.2237377626224</v>
      </c>
      <c r="L630" s="111">
        <f t="shared" si="63"/>
        <v>64.9253355704698</v>
      </c>
      <c r="M630" s="112">
        <f t="shared" si="61"/>
        <v>0.00754242614707731</v>
      </c>
    </row>
    <row r="631" ht="13.85" spans="1:13">
      <c r="A631" s="52">
        <v>45790</v>
      </c>
      <c r="B631" s="116">
        <v>2514</v>
      </c>
      <c r="C631" s="117">
        <v>80840</v>
      </c>
      <c r="D631" s="117">
        <v>1262</v>
      </c>
      <c r="E631" s="117">
        <v>21</v>
      </c>
      <c r="F631" s="117">
        <v>211846</v>
      </c>
      <c r="G631" s="117">
        <v>77</v>
      </c>
      <c r="H631" s="117">
        <v>22</v>
      </c>
      <c r="I631" s="110">
        <f t="shared" si="62"/>
        <v>0.0156110836219693</v>
      </c>
      <c r="J631" s="111">
        <f t="shared" si="64"/>
        <v>1.99207606973059</v>
      </c>
      <c r="K631" s="111">
        <f t="shared" si="60"/>
        <v>31.0984661058882</v>
      </c>
      <c r="L631" s="111">
        <f t="shared" si="63"/>
        <v>84.266507557677</v>
      </c>
      <c r="M631" s="112">
        <f t="shared" si="61"/>
        <v>0.0166402535657686</v>
      </c>
    </row>
    <row r="632" ht="13.85" spans="1:13">
      <c r="A632" s="52">
        <v>45791</v>
      </c>
      <c r="B632" s="116">
        <v>4214</v>
      </c>
      <c r="C632" s="117">
        <v>96636</v>
      </c>
      <c r="D632" s="117">
        <v>2058</v>
      </c>
      <c r="E632" s="117">
        <v>26</v>
      </c>
      <c r="F632" s="117">
        <v>268593</v>
      </c>
      <c r="G632" s="117">
        <v>94</v>
      </c>
      <c r="H632" s="117">
        <v>29</v>
      </c>
      <c r="I632" s="110">
        <f t="shared" si="62"/>
        <v>0.0212964112753011</v>
      </c>
      <c r="J632" s="111">
        <f t="shared" si="64"/>
        <v>2.04761904761905</v>
      </c>
      <c r="K632" s="111">
        <f t="shared" si="60"/>
        <v>43.6069373732357</v>
      </c>
      <c r="L632" s="111">
        <f t="shared" si="63"/>
        <v>63.7382534409113</v>
      </c>
      <c r="M632" s="112">
        <f t="shared" si="61"/>
        <v>0.0126336248785228</v>
      </c>
    </row>
    <row r="633" ht="13.85" spans="1:13">
      <c r="A633" s="52">
        <v>45792</v>
      </c>
      <c r="B633" s="116">
        <v>7144</v>
      </c>
      <c r="C633" s="117">
        <v>47417</v>
      </c>
      <c r="D633" s="117">
        <v>2494</v>
      </c>
      <c r="E633" s="117">
        <v>23</v>
      </c>
      <c r="F633" s="117">
        <v>239644</v>
      </c>
      <c r="G633" s="117">
        <v>105</v>
      </c>
      <c r="H633" s="117">
        <v>20</v>
      </c>
      <c r="I633" s="110">
        <f t="shared" si="62"/>
        <v>0.052597169791425</v>
      </c>
      <c r="J633" s="111">
        <f t="shared" si="64"/>
        <v>2.8644747393745</v>
      </c>
      <c r="K633" s="111">
        <f t="shared" si="60"/>
        <v>150.663264230128</v>
      </c>
      <c r="L633" s="111">
        <f t="shared" si="63"/>
        <v>33.5447928331467</v>
      </c>
      <c r="M633" s="112">
        <f t="shared" si="61"/>
        <v>0.00922213311948677</v>
      </c>
    </row>
    <row r="634" ht="13.85" spans="1:13">
      <c r="A634" s="52">
        <v>45793</v>
      </c>
      <c r="B634" s="116">
        <v>4955</v>
      </c>
      <c r="C634" s="117">
        <v>110862</v>
      </c>
      <c r="D634" s="117">
        <v>1782</v>
      </c>
      <c r="E634" s="117">
        <v>21</v>
      </c>
      <c r="F634" s="117">
        <v>221982</v>
      </c>
      <c r="G634" s="117">
        <v>78</v>
      </c>
      <c r="H634" s="117">
        <v>24</v>
      </c>
      <c r="I634" s="110">
        <f t="shared" si="62"/>
        <v>0.0160740379931807</v>
      </c>
      <c r="J634" s="111">
        <f t="shared" si="64"/>
        <v>2.78058361391695</v>
      </c>
      <c r="K634" s="111">
        <f t="shared" si="60"/>
        <v>44.6952066533167</v>
      </c>
      <c r="L634" s="111">
        <f t="shared" si="63"/>
        <v>44.7995963673058</v>
      </c>
      <c r="M634" s="112">
        <f t="shared" si="61"/>
        <v>0.0117845117845118</v>
      </c>
    </row>
    <row r="635" ht="13.85" spans="1:13">
      <c r="A635" s="52">
        <v>45794</v>
      </c>
      <c r="B635" s="116">
        <v>3830</v>
      </c>
      <c r="C635" s="117">
        <v>114903</v>
      </c>
      <c r="D635" s="117">
        <v>2056</v>
      </c>
      <c r="E635" s="117">
        <v>10</v>
      </c>
      <c r="F635" s="117">
        <v>129474</v>
      </c>
      <c r="G635" s="117">
        <v>97</v>
      </c>
      <c r="H635" s="117">
        <v>35</v>
      </c>
      <c r="I635" s="110">
        <f t="shared" si="62"/>
        <v>0.017893353524277</v>
      </c>
      <c r="J635" s="111">
        <f t="shared" si="64"/>
        <v>1.86284046692607</v>
      </c>
      <c r="K635" s="111">
        <f t="shared" si="60"/>
        <v>33.3324630340374</v>
      </c>
      <c r="L635" s="111">
        <f t="shared" si="63"/>
        <v>33.8052219321149</v>
      </c>
      <c r="M635" s="112">
        <f t="shared" si="61"/>
        <v>0.00486381322957198</v>
      </c>
    </row>
    <row r="636" ht="13.85" spans="1:13">
      <c r="A636" s="52">
        <v>45795</v>
      </c>
      <c r="B636" s="116">
        <v>3639</v>
      </c>
      <c r="C636" s="117">
        <v>120124</v>
      </c>
      <c r="D636" s="117">
        <v>2041</v>
      </c>
      <c r="E636" s="117">
        <v>14</v>
      </c>
      <c r="F636" s="117">
        <v>148775</v>
      </c>
      <c r="G636" s="117">
        <v>119</v>
      </c>
      <c r="H636" s="117">
        <v>27</v>
      </c>
      <c r="I636" s="110">
        <f t="shared" si="62"/>
        <v>0.0169907761979288</v>
      </c>
      <c r="J636" s="111">
        <f t="shared" si="64"/>
        <v>1.78294953454189</v>
      </c>
      <c r="K636" s="111">
        <f t="shared" ref="K636:K699" si="65">B636/C636*1000</f>
        <v>30.2936965136026</v>
      </c>
      <c r="L636" s="111">
        <f t="shared" si="63"/>
        <v>40.8834844737565</v>
      </c>
      <c r="M636" s="112">
        <f t="shared" si="61"/>
        <v>0.006859382655561</v>
      </c>
    </row>
    <row r="637" ht="13.85" spans="1:13">
      <c r="A637" s="52">
        <v>45796</v>
      </c>
      <c r="B637" s="116">
        <v>4364</v>
      </c>
      <c r="C637" s="117">
        <v>203817</v>
      </c>
      <c r="D637" s="117">
        <v>3308</v>
      </c>
      <c r="E637" s="117">
        <v>13</v>
      </c>
      <c r="F637" s="117">
        <v>174151</v>
      </c>
      <c r="G637" s="117">
        <v>143</v>
      </c>
      <c r="H637" s="117">
        <v>29</v>
      </c>
      <c r="I637" s="110">
        <f t="shared" si="62"/>
        <v>0.0162302457596766</v>
      </c>
      <c r="J637" s="111">
        <f t="shared" si="64"/>
        <v>1.3192261185006</v>
      </c>
      <c r="K637" s="111">
        <f t="shared" si="65"/>
        <v>21.411364115849</v>
      </c>
      <c r="L637" s="111">
        <f t="shared" si="63"/>
        <v>39.9062786434464</v>
      </c>
      <c r="M637" s="112">
        <f t="shared" si="61"/>
        <v>0.00392986698911729</v>
      </c>
    </row>
    <row r="638" ht="13.85" spans="1:13">
      <c r="A638" s="52">
        <v>45797</v>
      </c>
      <c r="B638" s="116">
        <v>3818</v>
      </c>
      <c r="C638" s="117">
        <v>151944</v>
      </c>
      <c r="D638" s="117">
        <v>2688</v>
      </c>
      <c r="E638" s="117">
        <v>22</v>
      </c>
      <c r="F638" s="117">
        <v>230368</v>
      </c>
      <c r="G638" s="117">
        <v>115</v>
      </c>
      <c r="H638" s="117">
        <v>28</v>
      </c>
      <c r="I638" s="110">
        <f t="shared" si="62"/>
        <v>0.0176907281630074</v>
      </c>
      <c r="J638" s="111">
        <f t="shared" si="64"/>
        <v>1.4203869047619</v>
      </c>
      <c r="K638" s="111">
        <f t="shared" si="65"/>
        <v>25.1276786184384</v>
      </c>
      <c r="L638" s="111">
        <f t="shared" si="63"/>
        <v>60.3373493975904</v>
      </c>
      <c r="M638" s="112">
        <f t="shared" si="61"/>
        <v>0.00818452380952381</v>
      </c>
    </row>
    <row r="639" ht="13.85" spans="1:13">
      <c r="A639" s="52">
        <v>45798</v>
      </c>
      <c r="B639" s="116">
        <v>3661</v>
      </c>
      <c r="C639" s="117">
        <v>75893</v>
      </c>
      <c r="D639" s="117">
        <v>2032</v>
      </c>
      <c r="E639" s="117">
        <v>12</v>
      </c>
      <c r="F639" s="117">
        <v>138561</v>
      </c>
      <c r="G639" s="117">
        <v>115</v>
      </c>
      <c r="H639" s="117">
        <v>28</v>
      </c>
      <c r="I639" s="110">
        <f t="shared" si="62"/>
        <v>0.0267745378361641</v>
      </c>
      <c r="J639" s="111">
        <f t="shared" si="64"/>
        <v>1.80167322834646</v>
      </c>
      <c r="K639" s="111">
        <f t="shared" si="65"/>
        <v>48.2389680207661</v>
      </c>
      <c r="L639" s="111">
        <f t="shared" si="63"/>
        <v>37.8478557771101</v>
      </c>
      <c r="M639" s="112">
        <f t="shared" si="61"/>
        <v>0.00590551181102362</v>
      </c>
    </row>
    <row r="640" ht="13.85" spans="1:13">
      <c r="A640" s="52">
        <v>45799</v>
      </c>
      <c r="B640" s="116">
        <v>3345</v>
      </c>
      <c r="C640" s="117">
        <v>72056</v>
      </c>
      <c r="D640" s="117">
        <v>2021</v>
      </c>
      <c r="E640" s="117">
        <v>8</v>
      </c>
      <c r="F640" s="117">
        <v>105911</v>
      </c>
      <c r="G640" s="117">
        <v>87</v>
      </c>
      <c r="H640" s="117">
        <v>23</v>
      </c>
      <c r="I640" s="110">
        <f t="shared" si="62"/>
        <v>0.0280476296214056</v>
      </c>
      <c r="J640" s="111">
        <f t="shared" si="64"/>
        <v>1.65512122711529</v>
      </c>
      <c r="K640" s="111">
        <f t="shared" si="65"/>
        <v>46.4222271566559</v>
      </c>
      <c r="L640" s="111">
        <f t="shared" si="63"/>
        <v>31.6624813153961</v>
      </c>
      <c r="M640" s="112">
        <f t="shared" si="61"/>
        <v>0.00395843641761504</v>
      </c>
    </row>
    <row r="641" ht="13.85" spans="1:13">
      <c r="A641" s="52">
        <v>45800</v>
      </c>
      <c r="B641" s="116">
        <v>2688</v>
      </c>
      <c r="C641" s="117">
        <v>64034</v>
      </c>
      <c r="D641" s="117">
        <v>1442</v>
      </c>
      <c r="E641" s="117">
        <v>7</v>
      </c>
      <c r="F641" s="117">
        <v>84601</v>
      </c>
      <c r="G641" s="117">
        <v>65</v>
      </c>
      <c r="H641" s="117">
        <v>12</v>
      </c>
      <c r="I641" s="110">
        <f t="shared" si="62"/>
        <v>0.0225192866289784</v>
      </c>
      <c r="J641" s="111">
        <f t="shared" si="64"/>
        <v>1.86407766990291</v>
      </c>
      <c r="K641" s="111">
        <f t="shared" si="65"/>
        <v>41.9776993472218</v>
      </c>
      <c r="L641" s="111">
        <f t="shared" si="63"/>
        <v>31.4735863095238</v>
      </c>
      <c r="M641" s="112">
        <f t="shared" ref="M641:M704" si="66">E641/D641</f>
        <v>0.00485436893203883</v>
      </c>
    </row>
    <row r="642" ht="13.85" spans="1:13">
      <c r="A642" s="52">
        <v>45801</v>
      </c>
      <c r="B642" s="116">
        <v>1613</v>
      </c>
      <c r="C642" s="117">
        <v>48589</v>
      </c>
      <c r="D642" s="117">
        <v>833</v>
      </c>
      <c r="E642" s="117">
        <v>6</v>
      </c>
      <c r="F642" s="117">
        <v>67274</v>
      </c>
      <c r="G642" s="117">
        <v>33</v>
      </c>
      <c r="H642" s="117">
        <v>19</v>
      </c>
      <c r="I642" s="110">
        <f t="shared" si="62"/>
        <v>0.0171437979789664</v>
      </c>
      <c r="J642" s="111">
        <f t="shared" si="64"/>
        <v>1.93637454981993</v>
      </c>
      <c r="K642" s="111">
        <f t="shared" si="65"/>
        <v>33.1968140937249</v>
      </c>
      <c r="L642" s="111">
        <f t="shared" si="63"/>
        <v>41.7073775573466</v>
      </c>
      <c r="M642" s="112">
        <f t="shared" si="66"/>
        <v>0.00720288115246098</v>
      </c>
    </row>
    <row r="643" ht="13.85" spans="1:13">
      <c r="A643" s="52">
        <v>45802</v>
      </c>
      <c r="B643" s="116">
        <v>1605</v>
      </c>
      <c r="C643" s="117">
        <v>44925</v>
      </c>
      <c r="D643" s="117">
        <v>897</v>
      </c>
      <c r="E643" s="117">
        <v>3</v>
      </c>
      <c r="F643" s="117">
        <v>37091</v>
      </c>
      <c r="G643" s="117">
        <v>53</v>
      </c>
      <c r="H643" s="117">
        <v>13</v>
      </c>
      <c r="I643" s="110">
        <f t="shared" si="62"/>
        <v>0.0199666110183639</v>
      </c>
      <c r="J643" s="111">
        <f t="shared" si="64"/>
        <v>1.78929765886288</v>
      </c>
      <c r="K643" s="111">
        <f t="shared" si="65"/>
        <v>35.7262103505843</v>
      </c>
      <c r="L643" s="111">
        <f t="shared" si="63"/>
        <v>23.1096573208723</v>
      </c>
      <c r="M643" s="112">
        <f t="shared" si="66"/>
        <v>0.00334448160535117</v>
      </c>
    </row>
    <row r="644" ht="13.85" spans="1:13">
      <c r="A644" s="52">
        <v>45803</v>
      </c>
      <c r="B644" s="116">
        <v>4000</v>
      </c>
      <c r="C644" s="117">
        <v>47237</v>
      </c>
      <c r="D644" s="117">
        <v>2318</v>
      </c>
      <c r="E644" s="117">
        <v>10</v>
      </c>
      <c r="F644" s="117">
        <v>125191</v>
      </c>
      <c r="G644" s="117">
        <v>71</v>
      </c>
      <c r="H644" s="117">
        <v>15</v>
      </c>
      <c r="I644" s="110">
        <f t="shared" si="62"/>
        <v>0.0490717022672905</v>
      </c>
      <c r="J644" s="111">
        <f t="shared" si="64"/>
        <v>1.72562553925798</v>
      </c>
      <c r="K644" s="111">
        <f t="shared" si="65"/>
        <v>84.6793826873002</v>
      </c>
      <c r="L644" s="111">
        <f t="shared" si="63"/>
        <v>31.29775</v>
      </c>
      <c r="M644" s="112">
        <f t="shared" si="66"/>
        <v>0.00431406384814495</v>
      </c>
    </row>
    <row r="645" ht="13.85" spans="1:13">
      <c r="A645" s="52">
        <v>45804</v>
      </c>
      <c r="B645" s="116">
        <v>3490</v>
      </c>
      <c r="C645" s="117">
        <v>54714</v>
      </c>
      <c r="D645" s="117">
        <v>1818</v>
      </c>
      <c r="E645" s="117">
        <v>6</v>
      </c>
      <c r="F645" s="117">
        <v>60661</v>
      </c>
      <c r="G645" s="117">
        <v>91</v>
      </c>
      <c r="H645" s="117">
        <v>27</v>
      </c>
      <c r="I645" s="110">
        <f t="shared" si="62"/>
        <v>0.0332273275578463</v>
      </c>
      <c r="J645" s="111">
        <f t="shared" si="64"/>
        <v>1.91969196919692</v>
      </c>
      <c r="K645" s="111">
        <f t="shared" si="65"/>
        <v>63.7862338706729</v>
      </c>
      <c r="L645" s="111">
        <f t="shared" si="63"/>
        <v>17.3813753581662</v>
      </c>
      <c r="M645" s="112">
        <f t="shared" si="66"/>
        <v>0.0033003300330033</v>
      </c>
    </row>
    <row r="646" ht="13.85" spans="1:13">
      <c r="A646" s="52">
        <v>45805</v>
      </c>
      <c r="B646" s="116">
        <v>2878</v>
      </c>
      <c r="C646" s="117">
        <v>62462</v>
      </c>
      <c r="D646" s="117">
        <v>1688</v>
      </c>
      <c r="E646" s="117">
        <v>7</v>
      </c>
      <c r="F646" s="117">
        <v>67846</v>
      </c>
      <c r="G646" s="117">
        <v>51</v>
      </c>
      <c r="H646" s="117">
        <v>14</v>
      </c>
      <c r="I646" s="110">
        <f t="shared" si="62"/>
        <v>0.0270244308539592</v>
      </c>
      <c r="J646" s="111">
        <f t="shared" si="64"/>
        <v>1.70497630331754</v>
      </c>
      <c r="K646" s="111">
        <f t="shared" si="65"/>
        <v>46.0760142166437</v>
      </c>
      <c r="L646" s="111">
        <f t="shared" si="63"/>
        <v>23.5740097289785</v>
      </c>
      <c r="M646" s="112">
        <f t="shared" si="66"/>
        <v>0.00414691943127962</v>
      </c>
    </row>
    <row r="647" ht="13.85" spans="1:13">
      <c r="A647" s="52">
        <v>45806</v>
      </c>
      <c r="B647" s="116">
        <v>2943</v>
      </c>
      <c r="C647" s="117">
        <v>72731</v>
      </c>
      <c r="D647" s="117">
        <v>1639</v>
      </c>
      <c r="E647" s="117">
        <v>10</v>
      </c>
      <c r="F647" s="117">
        <v>113158</v>
      </c>
      <c r="G647" s="117">
        <v>87</v>
      </c>
      <c r="H647" s="117">
        <v>12</v>
      </c>
      <c r="I647" s="110">
        <f t="shared" si="62"/>
        <v>0.0225350950763773</v>
      </c>
      <c r="J647" s="111">
        <f t="shared" si="64"/>
        <v>1.79560707748627</v>
      </c>
      <c r="K647" s="111">
        <f t="shared" si="65"/>
        <v>40.4641762109692</v>
      </c>
      <c r="L647" s="111">
        <f t="shared" si="63"/>
        <v>38.4498810737343</v>
      </c>
      <c r="M647" s="112">
        <f t="shared" si="66"/>
        <v>0.0061012812690665</v>
      </c>
    </row>
    <row r="648" ht="13.85" spans="1:13">
      <c r="A648" s="52">
        <v>45807</v>
      </c>
      <c r="B648" s="116">
        <v>2897</v>
      </c>
      <c r="C648" s="117">
        <v>54729</v>
      </c>
      <c r="D648" s="117">
        <v>1735</v>
      </c>
      <c r="E648" s="117">
        <v>9</v>
      </c>
      <c r="F648" s="117">
        <v>98427</v>
      </c>
      <c r="G648" s="117">
        <v>72</v>
      </c>
      <c r="H648" s="117">
        <v>15</v>
      </c>
      <c r="I648" s="110">
        <f t="shared" si="62"/>
        <v>0.0317016572566647</v>
      </c>
      <c r="J648" s="111">
        <f t="shared" si="64"/>
        <v>1.66974063400576</v>
      </c>
      <c r="K648" s="111">
        <f t="shared" si="65"/>
        <v>52.9335452867767</v>
      </c>
      <c r="L648" s="111">
        <f t="shared" si="63"/>
        <v>33.9754918881602</v>
      </c>
      <c r="M648" s="112">
        <f t="shared" si="66"/>
        <v>0.00518731988472622</v>
      </c>
    </row>
    <row r="649" ht="13.85" spans="1:13">
      <c r="A649" s="52">
        <v>45808</v>
      </c>
      <c r="B649" s="116">
        <v>2059</v>
      </c>
      <c r="C649" s="117">
        <v>49890</v>
      </c>
      <c r="D649" s="117">
        <v>1344</v>
      </c>
      <c r="E649" s="117">
        <v>4</v>
      </c>
      <c r="F649" s="117">
        <v>45646</v>
      </c>
      <c r="G649" s="117">
        <v>66</v>
      </c>
      <c r="H649" s="117">
        <v>13</v>
      </c>
      <c r="I649" s="110">
        <f t="shared" ref="I649:I712" si="67">D649/C649</f>
        <v>0.0269392663860493</v>
      </c>
      <c r="J649" s="111">
        <f t="shared" si="64"/>
        <v>1.53199404761905</v>
      </c>
      <c r="K649" s="111">
        <f t="shared" si="65"/>
        <v>41.2707957506514</v>
      </c>
      <c r="L649" s="111">
        <f t="shared" ref="L649:L712" si="68">F649/B649</f>
        <v>22.169014084507</v>
      </c>
      <c r="M649" s="112">
        <f t="shared" si="66"/>
        <v>0.00297619047619048</v>
      </c>
    </row>
    <row r="650" ht="13.85" spans="1:13">
      <c r="A650" s="52">
        <v>45809</v>
      </c>
      <c r="B650" s="116">
        <v>2272</v>
      </c>
      <c r="C650" s="117">
        <v>47106</v>
      </c>
      <c r="D650" s="117">
        <v>1379</v>
      </c>
      <c r="E650" s="117">
        <v>11</v>
      </c>
      <c r="F650" s="117">
        <v>111226</v>
      </c>
      <c r="G650" s="117">
        <v>59</v>
      </c>
      <c r="H650" s="117">
        <v>14</v>
      </c>
      <c r="I650" s="110">
        <f t="shared" si="67"/>
        <v>0.0292744024115824</v>
      </c>
      <c r="J650" s="111">
        <f t="shared" si="64"/>
        <v>1.64757070340827</v>
      </c>
      <c r="K650" s="111">
        <f t="shared" si="65"/>
        <v>48.2316477731075</v>
      </c>
      <c r="L650" s="111">
        <f t="shared" si="68"/>
        <v>48.9551056338028</v>
      </c>
      <c r="M650" s="112">
        <f t="shared" si="66"/>
        <v>0.00797679477882524</v>
      </c>
    </row>
    <row r="651" ht="13.85" spans="1:13">
      <c r="A651" s="52">
        <v>45810</v>
      </c>
      <c r="B651" s="116">
        <v>862</v>
      </c>
      <c r="C651" s="117">
        <v>22116</v>
      </c>
      <c r="D651" s="117">
        <v>450</v>
      </c>
      <c r="E651" s="117">
        <v>0</v>
      </c>
      <c r="F651" s="117">
        <v>0</v>
      </c>
      <c r="G651" s="117">
        <v>28</v>
      </c>
      <c r="H651" s="117">
        <v>6</v>
      </c>
      <c r="I651" s="110">
        <f t="shared" si="67"/>
        <v>0.0203472599023332</v>
      </c>
      <c r="J651" s="111">
        <f t="shared" si="64"/>
        <v>1.91555555555556</v>
      </c>
      <c r="K651" s="111">
        <f t="shared" si="65"/>
        <v>38.9763067462471</v>
      </c>
      <c r="L651" s="111">
        <f t="shared" si="68"/>
        <v>0</v>
      </c>
      <c r="M651" s="112">
        <f t="shared" si="66"/>
        <v>0</v>
      </c>
    </row>
    <row r="652" ht="13.85" spans="1:13">
      <c r="A652" s="52">
        <v>45811</v>
      </c>
      <c r="B652" s="116">
        <v>3319</v>
      </c>
      <c r="C652" s="117">
        <v>93335</v>
      </c>
      <c r="D652" s="117">
        <v>2795</v>
      </c>
      <c r="E652" s="117">
        <v>2</v>
      </c>
      <c r="F652" s="117">
        <v>17073</v>
      </c>
      <c r="G652" s="117">
        <v>77</v>
      </c>
      <c r="H652" s="117">
        <v>16</v>
      </c>
      <c r="I652" s="110">
        <f t="shared" si="67"/>
        <v>0.0299458938233246</v>
      </c>
      <c r="J652" s="111">
        <f t="shared" si="64"/>
        <v>1.18747763864043</v>
      </c>
      <c r="K652" s="111">
        <f t="shared" si="65"/>
        <v>35.5600792842985</v>
      </c>
      <c r="L652" s="111">
        <f t="shared" si="68"/>
        <v>5.14401928291654</v>
      </c>
      <c r="M652" s="112">
        <f t="shared" si="66"/>
        <v>0.000715563506261181</v>
      </c>
    </row>
    <row r="653" ht="13.85" spans="1:13">
      <c r="A653" s="52">
        <v>45812</v>
      </c>
      <c r="B653" s="116">
        <v>3083</v>
      </c>
      <c r="C653" s="117">
        <v>106979</v>
      </c>
      <c r="D653" s="117">
        <v>3063</v>
      </c>
      <c r="E653" s="117">
        <v>2</v>
      </c>
      <c r="F653" s="117">
        <v>23192</v>
      </c>
      <c r="G653" s="117">
        <v>128</v>
      </c>
      <c r="H653" s="117">
        <v>38</v>
      </c>
      <c r="I653" s="110">
        <f t="shared" si="67"/>
        <v>0.0286317875470887</v>
      </c>
      <c r="J653" s="111">
        <f t="shared" si="64"/>
        <v>1.00652954619654</v>
      </c>
      <c r="K653" s="111">
        <f t="shared" si="65"/>
        <v>28.8187401265669</v>
      </c>
      <c r="L653" s="111">
        <f t="shared" si="68"/>
        <v>7.5225429776192</v>
      </c>
      <c r="M653" s="112">
        <f t="shared" si="66"/>
        <v>0.000652954619653934</v>
      </c>
    </row>
    <row r="654" ht="13.85" spans="1:13">
      <c r="A654" s="52">
        <v>45813</v>
      </c>
      <c r="B654" s="116">
        <v>2193</v>
      </c>
      <c r="C654" s="117">
        <v>57957</v>
      </c>
      <c r="D654" s="117">
        <v>1936</v>
      </c>
      <c r="E654" s="117">
        <v>4</v>
      </c>
      <c r="F654" s="117">
        <v>28577</v>
      </c>
      <c r="G654" s="117">
        <v>61</v>
      </c>
      <c r="H654" s="117">
        <v>15</v>
      </c>
      <c r="I654" s="110">
        <f t="shared" si="67"/>
        <v>0.0334040754352365</v>
      </c>
      <c r="J654" s="111">
        <f t="shared" si="64"/>
        <v>1.1327479338843</v>
      </c>
      <c r="K654" s="111">
        <f t="shared" si="65"/>
        <v>37.8383974325793</v>
      </c>
      <c r="L654" s="111">
        <f t="shared" si="68"/>
        <v>13.031007751938</v>
      </c>
      <c r="M654" s="112">
        <f t="shared" si="66"/>
        <v>0.00206611570247934</v>
      </c>
    </row>
    <row r="655" ht="13.85" spans="1:13">
      <c r="A655" s="52">
        <v>45814</v>
      </c>
      <c r="B655" s="116">
        <v>2475</v>
      </c>
      <c r="C655" s="117">
        <v>55916</v>
      </c>
      <c r="D655" s="117">
        <v>1926</v>
      </c>
      <c r="E655" s="117">
        <v>7</v>
      </c>
      <c r="F655" s="117">
        <v>92028</v>
      </c>
      <c r="G655" s="117">
        <v>78</v>
      </c>
      <c r="H655" s="117">
        <v>19</v>
      </c>
      <c r="I655" s="110">
        <f t="shared" si="67"/>
        <v>0.0344445239287503</v>
      </c>
      <c r="J655" s="111">
        <f t="shared" si="64"/>
        <v>1.28504672897196</v>
      </c>
      <c r="K655" s="111">
        <f t="shared" si="65"/>
        <v>44.262822805637</v>
      </c>
      <c r="L655" s="111">
        <f t="shared" si="68"/>
        <v>37.1830303030303</v>
      </c>
      <c r="M655" s="112">
        <f t="shared" si="66"/>
        <v>0.00363447559709242</v>
      </c>
    </row>
    <row r="656" ht="13.85" spans="1:13">
      <c r="A656" s="52">
        <v>45815</v>
      </c>
      <c r="B656" s="116">
        <v>3126</v>
      </c>
      <c r="C656" s="117">
        <v>80036</v>
      </c>
      <c r="D656" s="117">
        <v>2019</v>
      </c>
      <c r="E656" s="117">
        <v>2</v>
      </c>
      <c r="F656" s="117">
        <v>17572</v>
      </c>
      <c r="G656" s="117">
        <v>107</v>
      </c>
      <c r="H656" s="117">
        <v>19</v>
      </c>
      <c r="I656" s="110">
        <f t="shared" si="67"/>
        <v>0.025226148233295</v>
      </c>
      <c r="J656" s="111">
        <f t="shared" si="64"/>
        <v>1.5482912332838</v>
      </c>
      <c r="K656" s="111">
        <f t="shared" si="65"/>
        <v>39.0574241591284</v>
      </c>
      <c r="L656" s="111">
        <f t="shared" si="68"/>
        <v>5.6212412028151</v>
      </c>
      <c r="M656" s="112">
        <f t="shared" si="66"/>
        <v>0.000990589400693413</v>
      </c>
    </row>
    <row r="657" ht="13.85" spans="1:13">
      <c r="A657" s="52">
        <v>45816</v>
      </c>
      <c r="B657" s="116">
        <v>2757</v>
      </c>
      <c r="C657" s="117">
        <v>156054</v>
      </c>
      <c r="D657" s="117">
        <v>2425</v>
      </c>
      <c r="E657" s="117">
        <v>6</v>
      </c>
      <c r="F657" s="117">
        <v>74723</v>
      </c>
      <c r="G657" s="117">
        <v>95</v>
      </c>
      <c r="H657" s="117">
        <v>22</v>
      </c>
      <c r="I657" s="110">
        <f t="shared" si="67"/>
        <v>0.0155394927396927</v>
      </c>
      <c r="J657" s="111">
        <f t="shared" ref="J657:J720" si="69">B657/D657</f>
        <v>1.13690721649485</v>
      </c>
      <c r="K657" s="111">
        <f t="shared" si="65"/>
        <v>17.6669614364259</v>
      </c>
      <c r="L657" s="111">
        <f t="shared" si="68"/>
        <v>27.1030105186797</v>
      </c>
      <c r="M657" s="112">
        <f t="shared" si="66"/>
        <v>0.00247422680412371</v>
      </c>
    </row>
    <row r="658" ht="13.85" spans="1:13">
      <c r="A658" s="52">
        <v>45817</v>
      </c>
      <c r="B658" s="116">
        <v>3287</v>
      </c>
      <c r="C658" s="117">
        <v>57068</v>
      </c>
      <c r="D658" s="117">
        <v>2486</v>
      </c>
      <c r="E658" s="117">
        <v>6</v>
      </c>
      <c r="F658" s="117">
        <v>55940</v>
      </c>
      <c r="G658" s="117">
        <v>84</v>
      </c>
      <c r="H658" s="117">
        <v>20</v>
      </c>
      <c r="I658" s="110">
        <f t="shared" si="67"/>
        <v>0.043562066306862</v>
      </c>
      <c r="J658" s="111">
        <f t="shared" si="69"/>
        <v>1.32220434432824</v>
      </c>
      <c r="K658" s="111">
        <f t="shared" si="65"/>
        <v>57.5979533188477</v>
      </c>
      <c r="L658" s="111">
        <f t="shared" si="68"/>
        <v>17.0185579555826</v>
      </c>
      <c r="M658" s="112">
        <f t="shared" si="66"/>
        <v>0.00241351568785197</v>
      </c>
    </row>
    <row r="659" ht="13.85" spans="1:13">
      <c r="A659" s="52">
        <v>45818</v>
      </c>
      <c r="B659" s="116">
        <v>2981</v>
      </c>
      <c r="C659" s="117">
        <v>110242</v>
      </c>
      <c r="D659" s="117">
        <v>2244</v>
      </c>
      <c r="E659" s="117">
        <v>4</v>
      </c>
      <c r="F659" s="117">
        <v>51720</v>
      </c>
      <c r="G659" s="117">
        <v>71</v>
      </c>
      <c r="H659" s="117">
        <v>25</v>
      </c>
      <c r="I659" s="110">
        <f t="shared" si="67"/>
        <v>0.0203552185192576</v>
      </c>
      <c r="J659" s="111">
        <f t="shared" si="69"/>
        <v>1.32843137254902</v>
      </c>
      <c r="K659" s="111">
        <f t="shared" si="65"/>
        <v>27.0405108760726</v>
      </c>
      <c r="L659" s="111">
        <f t="shared" si="68"/>
        <v>17.349882589735</v>
      </c>
      <c r="M659" s="112">
        <f t="shared" si="66"/>
        <v>0.0017825311942959</v>
      </c>
    </row>
    <row r="660" ht="13.85" spans="1:13">
      <c r="A660" s="52">
        <v>45819</v>
      </c>
      <c r="B660" s="116">
        <v>4716</v>
      </c>
      <c r="C660" s="117">
        <v>163442</v>
      </c>
      <c r="D660" s="117">
        <v>3468</v>
      </c>
      <c r="E660" s="117">
        <v>8</v>
      </c>
      <c r="F660" s="117">
        <v>82765</v>
      </c>
      <c r="G660" s="117">
        <v>118</v>
      </c>
      <c r="H660" s="117">
        <v>31</v>
      </c>
      <c r="I660" s="110">
        <f t="shared" si="67"/>
        <v>0.0212185362391552</v>
      </c>
      <c r="J660" s="111">
        <f t="shared" si="69"/>
        <v>1.3598615916955</v>
      </c>
      <c r="K660" s="111">
        <f t="shared" si="65"/>
        <v>28.8542724636262</v>
      </c>
      <c r="L660" s="111">
        <f t="shared" si="68"/>
        <v>17.5498303647159</v>
      </c>
      <c r="M660" s="112">
        <f t="shared" si="66"/>
        <v>0.00230680507497117</v>
      </c>
    </row>
    <row r="661" ht="13.85" spans="1:13">
      <c r="A661" s="52">
        <v>45820</v>
      </c>
      <c r="B661" s="116">
        <v>3066</v>
      </c>
      <c r="C661" s="117">
        <v>111396</v>
      </c>
      <c r="D661" s="117">
        <v>2621</v>
      </c>
      <c r="E661" s="117">
        <v>7</v>
      </c>
      <c r="F661" s="117">
        <v>77286</v>
      </c>
      <c r="G661" s="117">
        <v>100</v>
      </c>
      <c r="H661" s="117">
        <v>30</v>
      </c>
      <c r="I661" s="110">
        <f t="shared" si="67"/>
        <v>0.0235286724837517</v>
      </c>
      <c r="J661" s="111">
        <f t="shared" si="69"/>
        <v>1.16978252575353</v>
      </c>
      <c r="K661" s="111">
        <f t="shared" si="65"/>
        <v>27.5234299256706</v>
      </c>
      <c r="L661" s="111">
        <f t="shared" si="68"/>
        <v>25.2074363992172</v>
      </c>
      <c r="M661" s="112">
        <f t="shared" si="66"/>
        <v>0.00267073636016788</v>
      </c>
    </row>
    <row r="662" ht="13.85" spans="1:13">
      <c r="A662" s="52">
        <v>45821</v>
      </c>
      <c r="B662" s="116">
        <v>2060</v>
      </c>
      <c r="C662" s="117">
        <v>82673</v>
      </c>
      <c r="D662" s="117">
        <v>1615</v>
      </c>
      <c r="E662" s="117">
        <v>3</v>
      </c>
      <c r="F662" s="117">
        <v>45370</v>
      </c>
      <c r="G662" s="117">
        <v>44</v>
      </c>
      <c r="H662" s="117">
        <v>26</v>
      </c>
      <c r="I662" s="110">
        <f t="shared" si="67"/>
        <v>0.019534793705321</v>
      </c>
      <c r="J662" s="111">
        <f t="shared" si="69"/>
        <v>1.27554179566563</v>
      </c>
      <c r="K662" s="111">
        <f t="shared" si="65"/>
        <v>24.9174458408428</v>
      </c>
      <c r="L662" s="111">
        <f t="shared" si="68"/>
        <v>22.0242718446602</v>
      </c>
      <c r="M662" s="112">
        <f t="shared" si="66"/>
        <v>0.00185758513931889</v>
      </c>
    </row>
    <row r="663" ht="13.85" spans="1:13">
      <c r="A663" s="52">
        <v>45822</v>
      </c>
      <c r="B663" s="116">
        <v>1683</v>
      </c>
      <c r="C663" s="117">
        <v>59004</v>
      </c>
      <c r="D663" s="117">
        <v>1054</v>
      </c>
      <c r="E663" s="117">
        <v>1</v>
      </c>
      <c r="F663" s="117">
        <v>16672</v>
      </c>
      <c r="G663" s="117">
        <v>46</v>
      </c>
      <c r="H663" s="117">
        <v>20</v>
      </c>
      <c r="I663" s="110">
        <f t="shared" si="67"/>
        <v>0.0178631957155447</v>
      </c>
      <c r="J663" s="111">
        <f t="shared" si="69"/>
        <v>1.59677419354839</v>
      </c>
      <c r="K663" s="111">
        <f t="shared" si="65"/>
        <v>28.5234899328859</v>
      </c>
      <c r="L663" s="111">
        <f t="shared" si="68"/>
        <v>9.90612002376708</v>
      </c>
      <c r="M663" s="112">
        <f t="shared" si="66"/>
        <v>0.00094876660341556</v>
      </c>
    </row>
    <row r="664" ht="13.85" spans="1:13">
      <c r="A664" s="52">
        <v>45823</v>
      </c>
      <c r="B664" s="116">
        <v>1677</v>
      </c>
      <c r="C664" s="117">
        <v>44039</v>
      </c>
      <c r="D664" s="117">
        <v>983</v>
      </c>
      <c r="E664" s="117">
        <v>3</v>
      </c>
      <c r="F664" s="117">
        <v>69182</v>
      </c>
      <c r="G664" s="117">
        <v>52</v>
      </c>
      <c r="H664" s="117">
        <v>17</v>
      </c>
      <c r="I664" s="110">
        <f t="shared" si="67"/>
        <v>0.0223211244578669</v>
      </c>
      <c r="J664" s="111">
        <f t="shared" si="69"/>
        <v>1.706002034588</v>
      </c>
      <c r="K664" s="111">
        <f t="shared" si="65"/>
        <v>38.0798837394128</v>
      </c>
      <c r="L664" s="111">
        <f t="shared" si="68"/>
        <v>41.2534287418008</v>
      </c>
      <c r="M664" s="112">
        <f t="shared" si="66"/>
        <v>0.00305188199389624</v>
      </c>
    </row>
    <row r="665" ht="13.85" spans="1:13">
      <c r="A665" s="52">
        <v>45824</v>
      </c>
      <c r="B665" s="116">
        <v>2297</v>
      </c>
      <c r="C665" s="117">
        <v>60877</v>
      </c>
      <c r="D665" s="117">
        <v>1594</v>
      </c>
      <c r="E665" s="117">
        <v>3</v>
      </c>
      <c r="F665" s="117">
        <v>44026</v>
      </c>
      <c r="G665" s="117">
        <v>33</v>
      </c>
      <c r="H665" s="117">
        <v>23</v>
      </c>
      <c r="I665" s="110">
        <f t="shared" si="67"/>
        <v>0.0261839446753289</v>
      </c>
      <c r="J665" s="111">
        <f t="shared" si="69"/>
        <v>1.44102885821832</v>
      </c>
      <c r="K665" s="111">
        <f t="shared" si="65"/>
        <v>37.7318198991409</v>
      </c>
      <c r="L665" s="111">
        <f t="shared" si="68"/>
        <v>19.1667392250762</v>
      </c>
      <c r="M665" s="112">
        <f t="shared" si="66"/>
        <v>0.00188205771643664</v>
      </c>
    </row>
    <row r="666" ht="13.85" spans="1:13">
      <c r="A666" s="52">
        <v>45825</v>
      </c>
      <c r="B666" s="116">
        <v>2781</v>
      </c>
      <c r="C666" s="117">
        <v>54671</v>
      </c>
      <c r="D666" s="117">
        <v>1479</v>
      </c>
      <c r="E666" s="117">
        <v>3</v>
      </c>
      <c r="F666" s="117">
        <v>35124</v>
      </c>
      <c r="G666" s="117">
        <v>56</v>
      </c>
      <c r="H666" s="117">
        <v>19</v>
      </c>
      <c r="I666" s="110">
        <f t="shared" si="67"/>
        <v>0.0270527336247736</v>
      </c>
      <c r="J666" s="111">
        <f t="shared" si="69"/>
        <v>1.88032454361055</v>
      </c>
      <c r="K666" s="111">
        <f t="shared" si="65"/>
        <v>50.8679190064202</v>
      </c>
      <c r="L666" s="111">
        <f t="shared" si="68"/>
        <v>12.6299892125135</v>
      </c>
      <c r="M666" s="112">
        <f t="shared" si="66"/>
        <v>0.00202839756592292</v>
      </c>
    </row>
    <row r="667" ht="13.85" spans="1:13">
      <c r="A667" s="52">
        <v>45826</v>
      </c>
      <c r="B667" s="116">
        <v>3785</v>
      </c>
      <c r="C667" s="117">
        <v>55200</v>
      </c>
      <c r="D667" s="117">
        <v>1582</v>
      </c>
      <c r="E667" s="117">
        <v>17</v>
      </c>
      <c r="F667" s="117">
        <v>189657</v>
      </c>
      <c r="G667" s="117">
        <v>68</v>
      </c>
      <c r="H667" s="117">
        <v>21</v>
      </c>
      <c r="I667" s="110">
        <f t="shared" si="67"/>
        <v>0.0286594202898551</v>
      </c>
      <c r="J667" s="111">
        <f t="shared" si="69"/>
        <v>2.39254108723135</v>
      </c>
      <c r="K667" s="111">
        <f t="shared" si="65"/>
        <v>68.5688405797101</v>
      </c>
      <c r="L667" s="111">
        <f t="shared" si="68"/>
        <v>50.1075297225892</v>
      </c>
      <c r="M667" s="112">
        <f t="shared" si="66"/>
        <v>0.0107458912768647</v>
      </c>
    </row>
    <row r="668" ht="13.85" spans="1:13">
      <c r="A668" s="52">
        <v>45827</v>
      </c>
      <c r="B668" s="116">
        <v>5573</v>
      </c>
      <c r="C668" s="117">
        <v>89951</v>
      </c>
      <c r="D668" s="117">
        <v>2413</v>
      </c>
      <c r="E668" s="117">
        <v>23</v>
      </c>
      <c r="F668" s="117">
        <v>283750</v>
      </c>
      <c r="G668" s="117">
        <v>124</v>
      </c>
      <c r="H668" s="117">
        <v>39</v>
      </c>
      <c r="I668" s="110">
        <f t="shared" si="67"/>
        <v>0.0268257162232771</v>
      </c>
      <c r="J668" s="111">
        <f t="shared" si="69"/>
        <v>2.30957314546208</v>
      </c>
      <c r="K668" s="111">
        <f t="shared" si="65"/>
        <v>61.9559537970673</v>
      </c>
      <c r="L668" s="111">
        <f t="shared" si="68"/>
        <v>50.9151265027813</v>
      </c>
      <c r="M668" s="112">
        <f t="shared" si="66"/>
        <v>0.00953170327393286</v>
      </c>
    </row>
    <row r="669" ht="13.85" spans="1:13">
      <c r="A669" s="52">
        <v>45828</v>
      </c>
      <c r="B669" s="116">
        <v>8770</v>
      </c>
      <c r="C669" s="117">
        <v>111924</v>
      </c>
      <c r="D669" s="117">
        <v>2872</v>
      </c>
      <c r="E669" s="117">
        <v>13</v>
      </c>
      <c r="F669" s="117">
        <v>134143</v>
      </c>
      <c r="G669" s="117">
        <v>118</v>
      </c>
      <c r="H669" s="117">
        <v>46</v>
      </c>
      <c r="I669" s="110">
        <f t="shared" si="67"/>
        <v>0.025660269468568</v>
      </c>
      <c r="J669" s="111">
        <f t="shared" si="69"/>
        <v>3.05362116991643</v>
      </c>
      <c r="K669" s="111">
        <f t="shared" si="65"/>
        <v>78.3567420749795</v>
      </c>
      <c r="L669" s="111">
        <f t="shared" si="68"/>
        <v>15.2956670467503</v>
      </c>
      <c r="M669" s="112">
        <f t="shared" si="66"/>
        <v>0.00452646239554318</v>
      </c>
    </row>
    <row r="670" ht="13.85" spans="1:13">
      <c r="A670" s="52">
        <v>45829</v>
      </c>
      <c r="B670" s="116">
        <v>1177</v>
      </c>
      <c r="C670" s="117">
        <v>28430</v>
      </c>
      <c r="D670" s="117">
        <v>721</v>
      </c>
      <c r="E670" s="117">
        <v>4</v>
      </c>
      <c r="F670" s="117">
        <v>43159</v>
      </c>
      <c r="G670" s="117">
        <v>48</v>
      </c>
      <c r="H670" s="117">
        <v>7</v>
      </c>
      <c r="I670" s="110">
        <f t="shared" si="67"/>
        <v>0.0253605346465002</v>
      </c>
      <c r="J670" s="111">
        <f t="shared" si="69"/>
        <v>1.63245492371706</v>
      </c>
      <c r="K670" s="111">
        <f t="shared" si="65"/>
        <v>41.3999296517763</v>
      </c>
      <c r="L670" s="111">
        <f t="shared" si="68"/>
        <v>36.6686491079014</v>
      </c>
      <c r="M670" s="112">
        <f t="shared" si="66"/>
        <v>0.00554785020804438</v>
      </c>
    </row>
    <row r="671" ht="13.85" spans="1:13">
      <c r="A671" s="52">
        <v>45830</v>
      </c>
      <c r="B671" s="116">
        <v>1000</v>
      </c>
      <c r="C671" s="117">
        <v>28026</v>
      </c>
      <c r="D671" s="117">
        <v>700</v>
      </c>
      <c r="E671" s="117">
        <v>2</v>
      </c>
      <c r="F671" s="117">
        <v>18550</v>
      </c>
      <c r="G671" s="117">
        <v>29</v>
      </c>
      <c r="H671" s="117">
        <v>6</v>
      </c>
      <c r="I671" s="110">
        <f t="shared" si="67"/>
        <v>0.0249768072504103</v>
      </c>
      <c r="J671" s="111">
        <f t="shared" si="69"/>
        <v>1.42857142857143</v>
      </c>
      <c r="K671" s="111">
        <f t="shared" si="65"/>
        <v>35.6811532148719</v>
      </c>
      <c r="L671" s="111">
        <f t="shared" si="68"/>
        <v>18.55</v>
      </c>
      <c r="M671" s="112">
        <f t="shared" si="66"/>
        <v>0.00285714285714286</v>
      </c>
    </row>
    <row r="672" ht="13.85" spans="1:13">
      <c r="A672" s="52">
        <v>45831</v>
      </c>
      <c r="B672" s="116">
        <v>1000</v>
      </c>
      <c r="C672" s="117">
        <v>29262</v>
      </c>
      <c r="D672" s="117">
        <v>767</v>
      </c>
      <c r="E672" s="117">
        <v>0</v>
      </c>
      <c r="F672" s="117">
        <v>0</v>
      </c>
      <c r="G672" s="117">
        <v>40</v>
      </c>
      <c r="H672" s="117">
        <v>5</v>
      </c>
      <c r="I672" s="110">
        <f t="shared" si="67"/>
        <v>0.0262114687991251</v>
      </c>
      <c r="J672" s="111">
        <f t="shared" si="69"/>
        <v>1.30378096479791</v>
      </c>
      <c r="K672" s="111">
        <f t="shared" si="65"/>
        <v>34.1740140796938</v>
      </c>
      <c r="L672" s="111">
        <f t="shared" si="68"/>
        <v>0</v>
      </c>
      <c r="M672" s="112">
        <f t="shared" si="66"/>
        <v>0</v>
      </c>
    </row>
    <row r="673" ht="13.85" spans="1:13">
      <c r="A673" s="52">
        <v>45832</v>
      </c>
      <c r="B673" s="116">
        <v>1000</v>
      </c>
      <c r="C673" s="117">
        <v>32832</v>
      </c>
      <c r="D673" s="117">
        <v>818</v>
      </c>
      <c r="E673" s="117">
        <v>1</v>
      </c>
      <c r="F673" s="117">
        <v>3894</v>
      </c>
      <c r="G673" s="117">
        <v>26</v>
      </c>
      <c r="H673" s="117">
        <v>4</v>
      </c>
      <c r="I673" s="110">
        <f t="shared" si="67"/>
        <v>0.0249147173489279</v>
      </c>
      <c r="J673" s="111">
        <f t="shared" si="69"/>
        <v>1.22249388753056</v>
      </c>
      <c r="K673" s="111">
        <f t="shared" si="65"/>
        <v>30.458089668616</v>
      </c>
      <c r="L673" s="111">
        <f t="shared" si="68"/>
        <v>3.894</v>
      </c>
      <c r="M673" s="112">
        <f t="shared" si="66"/>
        <v>0.00122249388753056</v>
      </c>
    </row>
    <row r="674" ht="13.85" spans="1:13">
      <c r="A674" s="52">
        <v>45833</v>
      </c>
      <c r="B674" s="116">
        <v>1097</v>
      </c>
      <c r="C674" s="117">
        <v>32116</v>
      </c>
      <c r="D674" s="117">
        <v>786</v>
      </c>
      <c r="E674" s="117">
        <v>1</v>
      </c>
      <c r="F674" s="117">
        <v>11174</v>
      </c>
      <c r="G674" s="117">
        <v>40</v>
      </c>
      <c r="H674" s="117">
        <v>3</v>
      </c>
      <c r="I674" s="110">
        <f t="shared" si="67"/>
        <v>0.0244737825382987</v>
      </c>
      <c r="J674" s="111">
        <f t="shared" si="69"/>
        <v>1.39567430025445</v>
      </c>
      <c r="K674" s="111">
        <f t="shared" si="65"/>
        <v>34.1574293187196</v>
      </c>
      <c r="L674" s="111">
        <f t="shared" si="68"/>
        <v>10.1859617137648</v>
      </c>
      <c r="M674" s="112">
        <f t="shared" si="66"/>
        <v>0.00127226463104326</v>
      </c>
    </row>
    <row r="675" ht="13.85" spans="1:13">
      <c r="A675" s="52">
        <v>45834</v>
      </c>
      <c r="B675" s="116">
        <v>1633</v>
      </c>
      <c r="C675" s="117">
        <v>57581</v>
      </c>
      <c r="D675" s="117">
        <v>1184</v>
      </c>
      <c r="E675" s="117">
        <v>1</v>
      </c>
      <c r="F675" s="117">
        <v>20172</v>
      </c>
      <c r="G675" s="117">
        <v>43</v>
      </c>
      <c r="H675" s="117">
        <v>4</v>
      </c>
      <c r="I675" s="110">
        <f t="shared" si="67"/>
        <v>0.0205623382713048</v>
      </c>
      <c r="J675" s="111">
        <f t="shared" si="69"/>
        <v>1.37922297297297</v>
      </c>
      <c r="K675" s="111">
        <f t="shared" si="65"/>
        <v>28.3600493218249</v>
      </c>
      <c r="L675" s="111">
        <f t="shared" si="68"/>
        <v>12.3527250459277</v>
      </c>
      <c r="M675" s="112">
        <f t="shared" si="66"/>
        <v>0.000844594594594595</v>
      </c>
    </row>
    <row r="676" ht="13.85" spans="1:13">
      <c r="A676" s="52">
        <v>45835</v>
      </c>
      <c r="B676" s="116">
        <v>2088</v>
      </c>
      <c r="C676" s="117">
        <v>81385</v>
      </c>
      <c r="D676" s="117">
        <v>1627</v>
      </c>
      <c r="E676" s="117">
        <v>0</v>
      </c>
      <c r="F676" s="117">
        <v>0</v>
      </c>
      <c r="G676" s="117">
        <v>72</v>
      </c>
      <c r="H676" s="117">
        <v>32</v>
      </c>
      <c r="I676" s="110">
        <f t="shared" si="67"/>
        <v>0.0199913989064324</v>
      </c>
      <c r="J676" s="111">
        <f t="shared" si="69"/>
        <v>1.28334357713583</v>
      </c>
      <c r="K676" s="111">
        <f t="shared" si="65"/>
        <v>25.6558333845303</v>
      </c>
      <c r="L676" s="111">
        <f t="shared" si="68"/>
        <v>0</v>
      </c>
      <c r="M676" s="112">
        <f t="shared" si="66"/>
        <v>0</v>
      </c>
    </row>
    <row r="677" ht="13.85" spans="1:13">
      <c r="A677" s="52">
        <v>45836</v>
      </c>
      <c r="B677" s="116">
        <v>3431</v>
      </c>
      <c r="C677" s="117">
        <v>129406</v>
      </c>
      <c r="D677" s="117">
        <v>2732</v>
      </c>
      <c r="E677" s="117">
        <v>3</v>
      </c>
      <c r="F677" s="117">
        <v>47242</v>
      </c>
      <c r="G677" s="117">
        <v>86</v>
      </c>
      <c r="H677" s="117">
        <v>35</v>
      </c>
      <c r="I677" s="110">
        <f t="shared" si="67"/>
        <v>0.0211118495278426</v>
      </c>
      <c r="J677" s="111">
        <f t="shared" si="69"/>
        <v>1.25585651537335</v>
      </c>
      <c r="K677" s="111">
        <f t="shared" si="65"/>
        <v>26.513453781123</v>
      </c>
      <c r="L677" s="111">
        <f t="shared" si="68"/>
        <v>13.769163509181</v>
      </c>
      <c r="M677" s="112">
        <f t="shared" si="66"/>
        <v>0.00109809663250366</v>
      </c>
    </row>
    <row r="678" ht="13.85" spans="1:13">
      <c r="A678" s="52">
        <v>45837</v>
      </c>
      <c r="B678" s="116">
        <v>3406</v>
      </c>
      <c r="C678" s="117">
        <v>141956</v>
      </c>
      <c r="D678" s="117">
        <v>3111</v>
      </c>
      <c r="E678" s="117">
        <v>1</v>
      </c>
      <c r="F678" s="117">
        <v>21871</v>
      </c>
      <c r="G678" s="117">
        <v>105</v>
      </c>
      <c r="H678" s="117">
        <v>55</v>
      </c>
      <c r="I678" s="110">
        <f t="shared" si="67"/>
        <v>0.0219152413423878</v>
      </c>
      <c r="J678" s="111">
        <f t="shared" si="69"/>
        <v>1.09482481517197</v>
      </c>
      <c r="K678" s="111">
        <f t="shared" si="65"/>
        <v>23.9933500521288</v>
      </c>
      <c r="L678" s="111">
        <f t="shared" si="68"/>
        <v>6.42131532589548</v>
      </c>
      <c r="M678" s="112">
        <f t="shared" si="66"/>
        <v>0.000321440051430408</v>
      </c>
    </row>
    <row r="679" ht="13.85" spans="1:13">
      <c r="A679" s="52">
        <v>45838</v>
      </c>
      <c r="B679" s="116">
        <v>2668</v>
      </c>
      <c r="C679" s="117">
        <v>88703</v>
      </c>
      <c r="D679" s="117">
        <v>2040</v>
      </c>
      <c r="E679" s="117">
        <v>0</v>
      </c>
      <c r="F679" s="117">
        <v>0</v>
      </c>
      <c r="G679" s="117">
        <v>94</v>
      </c>
      <c r="H679" s="117">
        <v>13</v>
      </c>
      <c r="I679" s="110">
        <f t="shared" si="67"/>
        <v>0.0229980947656787</v>
      </c>
      <c r="J679" s="111">
        <f t="shared" si="69"/>
        <v>1.3078431372549</v>
      </c>
      <c r="K679" s="111">
        <f t="shared" si="65"/>
        <v>30.0779004092308</v>
      </c>
      <c r="L679" s="111">
        <f t="shared" si="68"/>
        <v>0</v>
      </c>
      <c r="M679" s="112">
        <f t="shared" si="66"/>
        <v>0</v>
      </c>
    </row>
    <row r="680" ht="13.85" spans="1:13">
      <c r="A680" s="52">
        <v>45839</v>
      </c>
      <c r="B680" s="116">
        <v>2285</v>
      </c>
      <c r="C680" s="117">
        <v>110344</v>
      </c>
      <c r="D680" s="117">
        <v>2082</v>
      </c>
      <c r="E680" s="117">
        <v>0</v>
      </c>
      <c r="F680" s="117">
        <v>0</v>
      </c>
      <c r="G680" s="117">
        <v>65</v>
      </c>
      <c r="H680" s="117">
        <v>13</v>
      </c>
      <c r="I680" s="110">
        <f t="shared" si="67"/>
        <v>0.0188682665119988</v>
      </c>
      <c r="J680" s="111">
        <f t="shared" si="69"/>
        <v>1.09750240153698</v>
      </c>
      <c r="K680" s="111">
        <f t="shared" si="65"/>
        <v>20.7079678097586</v>
      </c>
      <c r="L680" s="111">
        <f t="shared" si="68"/>
        <v>0</v>
      </c>
      <c r="M680" s="112">
        <f t="shared" si="66"/>
        <v>0</v>
      </c>
    </row>
    <row r="681" ht="13.85" spans="1:13">
      <c r="A681" s="52">
        <v>45840</v>
      </c>
      <c r="B681" s="116">
        <v>1593</v>
      </c>
      <c r="C681" s="117">
        <v>72820</v>
      </c>
      <c r="D681" s="117">
        <v>1495</v>
      </c>
      <c r="E681" s="117">
        <v>1</v>
      </c>
      <c r="F681" s="117">
        <v>18366</v>
      </c>
      <c r="G681" s="117">
        <v>49</v>
      </c>
      <c r="H681" s="117">
        <v>16</v>
      </c>
      <c r="I681" s="110">
        <f t="shared" si="67"/>
        <v>0.0205300741554518</v>
      </c>
      <c r="J681" s="111">
        <f t="shared" si="69"/>
        <v>1.06555183946488</v>
      </c>
      <c r="K681" s="111">
        <f t="shared" si="65"/>
        <v>21.8758582806921</v>
      </c>
      <c r="L681" s="111">
        <f t="shared" si="68"/>
        <v>11.5291902071563</v>
      </c>
      <c r="M681" s="112">
        <f t="shared" si="66"/>
        <v>0.000668896321070234</v>
      </c>
    </row>
    <row r="682" ht="13.85" spans="1:13">
      <c r="A682" s="52">
        <v>45841</v>
      </c>
      <c r="B682" s="116">
        <v>1521</v>
      </c>
      <c r="C682" s="117">
        <v>99116</v>
      </c>
      <c r="D682" s="117">
        <v>1735</v>
      </c>
      <c r="E682" s="117">
        <v>1</v>
      </c>
      <c r="F682" s="117">
        <v>34054</v>
      </c>
      <c r="G682" s="117">
        <v>42</v>
      </c>
      <c r="H682" s="117">
        <v>20</v>
      </c>
      <c r="I682" s="110">
        <f t="shared" si="67"/>
        <v>0.0175047419185601</v>
      </c>
      <c r="J682" s="111">
        <f t="shared" si="69"/>
        <v>0.876657060518732</v>
      </c>
      <c r="K682" s="111">
        <f t="shared" si="65"/>
        <v>15.3456555954639</v>
      </c>
      <c r="L682" s="111">
        <f t="shared" si="68"/>
        <v>22.3892176199869</v>
      </c>
      <c r="M682" s="112">
        <f t="shared" si="66"/>
        <v>0.000576368876080692</v>
      </c>
    </row>
    <row r="683" ht="13.85" spans="1:13">
      <c r="A683" s="52">
        <v>45842</v>
      </c>
      <c r="B683" s="116">
        <v>2059</v>
      </c>
      <c r="C683" s="117">
        <v>81379</v>
      </c>
      <c r="D683" s="117">
        <v>1998</v>
      </c>
      <c r="E683" s="117">
        <v>2</v>
      </c>
      <c r="F683" s="117">
        <v>9868</v>
      </c>
      <c r="G683" s="117">
        <v>53</v>
      </c>
      <c r="H683" s="117">
        <v>15</v>
      </c>
      <c r="I683" s="110">
        <f t="shared" si="67"/>
        <v>0.0245517885449563</v>
      </c>
      <c r="J683" s="111">
        <f t="shared" si="69"/>
        <v>1.03053053053053</v>
      </c>
      <c r="K683" s="111">
        <f t="shared" si="65"/>
        <v>25.3013676747072</v>
      </c>
      <c r="L683" s="111">
        <f t="shared" si="68"/>
        <v>4.79261777561923</v>
      </c>
      <c r="M683" s="112">
        <f t="shared" si="66"/>
        <v>0.001001001001001</v>
      </c>
    </row>
    <row r="684" ht="13.85" spans="1:13">
      <c r="A684" s="52">
        <v>45843</v>
      </c>
      <c r="B684" s="116">
        <v>1555</v>
      </c>
      <c r="C684" s="117">
        <v>102448</v>
      </c>
      <c r="D684" s="117">
        <v>1921</v>
      </c>
      <c r="E684" s="117">
        <v>5</v>
      </c>
      <c r="F684" s="117">
        <v>86596</v>
      </c>
      <c r="G684" s="117">
        <v>37</v>
      </c>
      <c r="H684" s="117">
        <v>9</v>
      </c>
      <c r="I684" s="110">
        <f t="shared" si="67"/>
        <v>0.0187509761049508</v>
      </c>
      <c r="J684" s="111">
        <f t="shared" si="69"/>
        <v>0.809474232170744</v>
      </c>
      <c r="K684" s="111">
        <f t="shared" si="65"/>
        <v>15.178431985007</v>
      </c>
      <c r="L684" s="111">
        <f t="shared" si="68"/>
        <v>55.6887459807074</v>
      </c>
      <c r="M684" s="112">
        <f t="shared" si="66"/>
        <v>0.00260281103591879</v>
      </c>
    </row>
    <row r="685" ht="13.85" spans="1:13">
      <c r="A685" s="52">
        <v>45844</v>
      </c>
      <c r="B685" s="116">
        <v>1596</v>
      </c>
      <c r="C685" s="117">
        <v>113705</v>
      </c>
      <c r="D685" s="117">
        <v>1780</v>
      </c>
      <c r="E685" s="117">
        <v>4</v>
      </c>
      <c r="F685" s="117">
        <v>45753</v>
      </c>
      <c r="G685" s="117">
        <v>40</v>
      </c>
      <c r="H685" s="117">
        <v>15</v>
      </c>
      <c r="I685" s="110">
        <f t="shared" si="67"/>
        <v>0.0156545446550284</v>
      </c>
      <c r="J685" s="111">
        <f t="shared" si="69"/>
        <v>0.896629213483146</v>
      </c>
      <c r="K685" s="111">
        <f t="shared" si="65"/>
        <v>14.0363220614749</v>
      </c>
      <c r="L685" s="111">
        <f t="shared" si="68"/>
        <v>28.6672932330827</v>
      </c>
      <c r="M685" s="112">
        <f t="shared" si="66"/>
        <v>0.00224719101123596</v>
      </c>
    </row>
    <row r="686" ht="13.85" spans="1:13">
      <c r="A686" s="52">
        <v>45845</v>
      </c>
      <c r="B686" s="116">
        <v>2063</v>
      </c>
      <c r="C686" s="117">
        <v>77844</v>
      </c>
      <c r="D686" s="117">
        <v>1905</v>
      </c>
      <c r="E686" s="117">
        <v>1</v>
      </c>
      <c r="F686" s="117">
        <v>2720</v>
      </c>
      <c r="G686" s="117">
        <v>45</v>
      </c>
      <c r="H686" s="117">
        <v>15</v>
      </c>
      <c r="I686" s="110">
        <f t="shared" si="67"/>
        <v>0.0244720209650069</v>
      </c>
      <c r="J686" s="111">
        <f t="shared" si="69"/>
        <v>1.08293963254593</v>
      </c>
      <c r="K686" s="111">
        <f t="shared" si="65"/>
        <v>26.501721391501</v>
      </c>
      <c r="L686" s="111">
        <f t="shared" si="68"/>
        <v>1.31846825012118</v>
      </c>
      <c r="M686" s="112">
        <f t="shared" si="66"/>
        <v>0.0005249343832021</v>
      </c>
    </row>
    <row r="687" ht="13.85" spans="1:13">
      <c r="A687" s="52">
        <v>45846</v>
      </c>
      <c r="B687" s="116">
        <v>1854</v>
      </c>
      <c r="C687" s="117">
        <v>88881</v>
      </c>
      <c r="D687" s="117">
        <v>1560</v>
      </c>
      <c r="E687" s="117">
        <v>1</v>
      </c>
      <c r="F687" s="117">
        <v>19740</v>
      </c>
      <c r="G687" s="117">
        <v>56</v>
      </c>
      <c r="H687" s="117">
        <v>8</v>
      </c>
      <c r="I687" s="110">
        <f t="shared" si="67"/>
        <v>0.0175515577007459</v>
      </c>
      <c r="J687" s="111">
        <f t="shared" si="69"/>
        <v>1.18846153846154</v>
      </c>
      <c r="K687" s="111">
        <f t="shared" si="65"/>
        <v>20.859351267425</v>
      </c>
      <c r="L687" s="111">
        <f t="shared" si="68"/>
        <v>10.6472491909385</v>
      </c>
      <c r="M687" s="112">
        <f t="shared" si="66"/>
        <v>0.000641025641025641</v>
      </c>
    </row>
    <row r="688" ht="13.85" spans="1:13">
      <c r="A688" s="52">
        <v>45847</v>
      </c>
      <c r="B688" s="116">
        <v>2213</v>
      </c>
      <c r="C688" s="117">
        <v>96122</v>
      </c>
      <c r="D688" s="117">
        <v>1928</v>
      </c>
      <c r="E688" s="117">
        <v>0</v>
      </c>
      <c r="F688" s="117">
        <v>0</v>
      </c>
      <c r="G688" s="117">
        <v>57</v>
      </c>
      <c r="H688" s="117">
        <v>10</v>
      </c>
      <c r="I688" s="110">
        <f t="shared" si="67"/>
        <v>0.0200578431576538</v>
      </c>
      <c r="J688" s="111">
        <f t="shared" si="69"/>
        <v>1.14782157676349</v>
      </c>
      <c r="K688" s="111">
        <f t="shared" si="65"/>
        <v>23.0228251596929</v>
      </c>
      <c r="L688" s="111">
        <f t="shared" si="68"/>
        <v>0</v>
      </c>
      <c r="M688" s="112">
        <f t="shared" si="66"/>
        <v>0</v>
      </c>
    </row>
    <row r="689" ht="13.85" spans="1:13">
      <c r="A689" s="52">
        <v>45848</v>
      </c>
      <c r="B689" s="116">
        <v>1967</v>
      </c>
      <c r="C689" s="117">
        <v>90851</v>
      </c>
      <c r="D689" s="117">
        <v>1644</v>
      </c>
      <c r="E689" s="117">
        <v>0</v>
      </c>
      <c r="F689" s="117">
        <v>0</v>
      </c>
      <c r="G689" s="117">
        <v>46</v>
      </c>
      <c r="H689" s="117">
        <v>17</v>
      </c>
      <c r="I689" s="110">
        <f t="shared" si="67"/>
        <v>0.0180955630647984</v>
      </c>
      <c r="J689" s="111">
        <f t="shared" si="69"/>
        <v>1.19647201946472</v>
      </c>
      <c r="K689" s="111">
        <f t="shared" si="65"/>
        <v>21.6508348834905</v>
      </c>
      <c r="L689" s="111">
        <f t="shared" si="68"/>
        <v>0</v>
      </c>
      <c r="M689" s="112">
        <f t="shared" si="66"/>
        <v>0</v>
      </c>
    </row>
    <row r="690" ht="13.85" spans="1:13">
      <c r="A690" s="52">
        <v>45849</v>
      </c>
      <c r="B690" s="116">
        <v>1940</v>
      </c>
      <c r="C690" s="117">
        <v>88134</v>
      </c>
      <c r="D690" s="117">
        <v>1768</v>
      </c>
      <c r="E690" s="117">
        <v>2</v>
      </c>
      <c r="F690" s="117">
        <v>32415</v>
      </c>
      <c r="G690" s="117">
        <v>29</v>
      </c>
      <c r="H690" s="117">
        <v>15</v>
      </c>
      <c r="I690" s="110">
        <f t="shared" si="67"/>
        <v>0.0200603626296322</v>
      </c>
      <c r="J690" s="111">
        <f t="shared" si="69"/>
        <v>1.0972850678733</v>
      </c>
      <c r="K690" s="111">
        <f t="shared" si="65"/>
        <v>22.011936369619</v>
      </c>
      <c r="L690" s="111">
        <f t="shared" si="68"/>
        <v>16.7087628865979</v>
      </c>
      <c r="M690" s="112">
        <f t="shared" si="66"/>
        <v>0.00113122171945701</v>
      </c>
    </row>
    <row r="691" ht="13.85" spans="1:13">
      <c r="A691" s="52">
        <v>45850</v>
      </c>
      <c r="B691" s="116">
        <v>1597</v>
      </c>
      <c r="C691" s="117">
        <v>85092</v>
      </c>
      <c r="D691" s="117">
        <v>1464</v>
      </c>
      <c r="E691" s="117">
        <v>0</v>
      </c>
      <c r="F691" s="117">
        <v>0</v>
      </c>
      <c r="G691" s="117">
        <v>59</v>
      </c>
      <c r="H691" s="117">
        <v>14</v>
      </c>
      <c r="I691" s="110">
        <f t="shared" si="67"/>
        <v>0.0172049076293894</v>
      </c>
      <c r="J691" s="111">
        <f t="shared" si="69"/>
        <v>1.09084699453552</v>
      </c>
      <c r="K691" s="111">
        <f t="shared" si="65"/>
        <v>18.7679217787806</v>
      </c>
      <c r="L691" s="111">
        <f t="shared" si="68"/>
        <v>0</v>
      </c>
      <c r="M691" s="112">
        <f t="shared" si="66"/>
        <v>0</v>
      </c>
    </row>
    <row r="692" ht="13.85" spans="1:13">
      <c r="A692" s="52">
        <v>45851</v>
      </c>
      <c r="B692" s="116">
        <v>1580</v>
      </c>
      <c r="C692" s="117">
        <v>95519</v>
      </c>
      <c r="D692" s="117">
        <v>1493</v>
      </c>
      <c r="E692" s="117">
        <v>1</v>
      </c>
      <c r="F692" s="117">
        <v>12214</v>
      </c>
      <c r="G692" s="117">
        <v>31</v>
      </c>
      <c r="H692" s="117">
        <v>15</v>
      </c>
      <c r="I692" s="110">
        <f t="shared" si="67"/>
        <v>0.0156303981406841</v>
      </c>
      <c r="J692" s="111">
        <f t="shared" si="69"/>
        <v>1.05827193569993</v>
      </c>
      <c r="K692" s="111">
        <f t="shared" si="65"/>
        <v>16.5412116961023</v>
      </c>
      <c r="L692" s="111">
        <f t="shared" si="68"/>
        <v>7.73037974683544</v>
      </c>
      <c r="M692" s="112">
        <f t="shared" si="66"/>
        <v>0.000669792364367046</v>
      </c>
    </row>
    <row r="693" ht="13.85" spans="1:13">
      <c r="A693" s="52">
        <v>45852</v>
      </c>
      <c r="B693" s="116">
        <v>1936</v>
      </c>
      <c r="C693" s="117">
        <v>81780</v>
      </c>
      <c r="D693" s="117">
        <v>1757</v>
      </c>
      <c r="E693" s="117">
        <v>1</v>
      </c>
      <c r="F693" s="117">
        <v>5644</v>
      </c>
      <c r="G693" s="117">
        <v>63</v>
      </c>
      <c r="H693" s="117">
        <v>15</v>
      </c>
      <c r="I693" s="110">
        <f t="shared" si="67"/>
        <v>0.0214844705306921</v>
      </c>
      <c r="J693" s="111">
        <f t="shared" si="69"/>
        <v>1.1018782014798</v>
      </c>
      <c r="K693" s="111">
        <f t="shared" si="65"/>
        <v>23.6732697481047</v>
      </c>
      <c r="L693" s="111">
        <f t="shared" si="68"/>
        <v>2.91528925619835</v>
      </c>
      <c r="M693" s="112">
        <f t="shared" si="66"/>
        <v>0.000569151963574274</v>
      </c>
    </row>
    <row r="694" ht="13.85" spans="1:13">
      <c r="A694" s="52">
        <v>45853</v>
      </c>
      <c r="B694" s="116">
        <v>1591</v>
      </c>
      <c r="C694" s="117">
        <v>91436</v>
      </c>
      <c r="D694" s="117">
        <v>1609</v>
      </c>
      <c r="E694" s="117">
        <v>0</v>
      </c>
      <c r="F694" s="117">
        <v>0</v>
      </c>
      <c r="G694" s="117">
        <v>48</v>
      </c>
      <c r="H694" s="117">
        <v>17</v>
      </c>
      <c r="I694" s="110">
        <f t="shared" si="67"/>
        <v>0.0175970077431209</v>
      </c>
      <c r="J694" s="111">
        <f t="shared" si="69"/>
        <v>0.988812927284027</v>
      </c>
      <c r="K694" s="111">
        <f t="shared" si="65"/>
        <v>17.400148737915</v>
      </c>
      <c r="L694" s="111">
        <f t="shared" si="68"/>
        <v>0</v>
      </c>
      <c r="M694" s="112">
        <f t="shared" si="66"/>
        <v>0</v>
      </c>
    </row>
    <row r="695" ht="13.85" spans="1:13">
      <c r="A695" s="52">
        <v>45854</v>
      </c>
      <c r="B695" s="116">
        <v>1992</v>
      </c>
      <c r="C695" s="117">
        <v>65818</v>
      </c>
      <c r="D695" s="117">
        <v>1679</v>
      </c>
      <c r="E695" s="117">
        <v>0</v>
      </c>
      <c r="F695" s="117">
        <v>0</v>
      </c>
      <c r="G695" s="117">
        <v>65</v>
      </c>
      <c r="H695" s="117">
        <v>18</v>
      </c>
      <c r="I695" s="110">
        <f t="shared" si="67"/>
        <v>0.0255097389771795</v>
      </c>
      <c r="J695" s="111">
        <f t="shared" si="69"/>
        <v>1.18642048838594</v>
      </c>
      <c r="K695" s="111">
        <f t="shared" si="65"/>
        <v>30.2652769759032</v>
      </c>
      <c r="L695" s="111">
        <f t="shared" si="68"/>
        <v>0</v>
      </c>
      <c r="M695" s="112">
        <f t="shared" si="66"/>
        <v>0</v>
      </c>
    </row>
    <row r="696" ht="13.85" spans="1:13">
      <c r="A696" s="52">
        <v>45855</v>
      </c>
      <c r="B696" s="116">
        <v>1900</v>
      </c>
      <c r="C696" s="117">
        <v>50785</v>
      </c>
      <c r="D696" s="117">
        <v>1482</v>
      </c>
      <c r="E696" s="117">
        <v>3</v>
      </c>
      <c r="F696" s="117">
        <v>40315</v>
      </c>
      <c r="G696" s="117">
        <v>83</v>
      </c>
      <c r="H696" s="117">
        <v>13</v>
      </c>
      <c r="I696" s="110">
        <f t="shared" si="67"/>
        <v>0.0291818450329822</v>
      </c>
      <c r="J696" s="111">
        <f t="shared" si="69"/>
        <v>1.28205128205128</v>
      </c>
      <c r="K696" s="111">
        <f t="shared" si="65"/>
        <v>37.4126218371566</v>
      </c>
      <c r="L696" s="111">
        <f t="shared" si="68"/>
        <v>21.2184210526316</v>
      </c>
      <c r="M696" s="112">
        <f t="shared" si="66"/>
        <v>0.00202429149797571</v>
      </c>
    </row>
    <row r="697" ht="13.85" spans="1:13">
      <c r="A697" s="52">
        <v>45856</v>
      </c>
      <c r="B697" s="116">
        <v>2293</v>
      </c>
      <c r="C697" s="117">
        <v>58973</v>
      </c>
      <c r="D697" s="117">
        <v>1578</v>
      </c>
      <c r="E697" s="117">
        <v>0</v>
      </c>
      <c r="F697" s="117">
        <v>0</v>
      </c>
      <c r="G697" s="117">
        <v>51</v>
      </c>
      <c r="H697" s="117">
        <v>14</v>
      </c>
      <c r="I697" s="110">
        <f t="shared" si="67"/>
        <v>0.0267580079019212</v>
      </c>
      <c r="J697" s="111">
        <f t="shared" si="69"/>
        <v>1.4531051964512</v>
      </c>
      <c r="K697" s="111">
        <f t="shared" si="65"/>
        <v>38.8822003289641</v>
      </c>
      <c r="L697" s="111">
        <f t="shared" si="68"/>
        <v>0</v>
      </c>
      <c r="M697" s="112">
        <f t="shared" si="66"/>
        <v>0</v>
      </c>
    </row>
    <row r="698" ht="13.85" spans="1:13">
      <c r="A698" s="52">
        <v>45857</v>
      </c>
      <c r="B698" s="116">
        <v>1598</v>
      </c>
      <c r="C698" s="117">
        <v>64530</v>
      </c>
      <c r="D698" s="117">
        <v>1270</v>
      </c>
      <c r="E698" s="117">
        <v>3</v>
      </c>
      <c r="F698" s="117">
        <v>50380</v>
      </c>
      <c r="G698" s="117">
        <v>54</v>
      </c>
      <c r="H698" s="117">
        <v>15</v>
      </c>
      <c r="I698" s="110">
        <f t="shared" si="67"/>
        <v>0.0196807686347435</v>
      </c>
      <c r="J698" s="111">
        <f t="shared" si="69"/>
        <v>1.25826771653543</v>
      </c>
      <c r="K698" s="111">
        <f t="shared" si="65"/>
        <v>24.7636758097009</v>
      </c>
      <c r="L698" s="111">
        <f t="shared" si="68"/>
        <v>31.5269086357947</v>
      </c>
      <c r="M698" s="112">
        <f t="shared" si="66"/>
        <v>0.00236220472440945</v>
      </c>
    </row>
    <row r="699" ht="13.85" spans="1:13">
      <c r="A699" s="52">
        <v>45858</v>
      </c>
      <c r="B699" s="116">
        <v>1598</v>
      </c>
      <c r="C699" s="117">
        <v>70589</v>
      </c>
      <c r="D699" s="117">
        <v>1372</v>
      </c>
      <c r="E699" s="117">
        <v>0</v>
      </c>
      <c r="F699" s="117">
        <v>0</v>
      </c>
      <c r="G699" s="117">
        <v>52</v>
      </c>
      <c r="H699" s="117">
        <v>10</v>
      </c>
      <c r="I699" s="110">
        <f t="shared" si="67"/>
        <v>0.0194364561050589</v>
      </c>
      <c r="J699" s="111">
        <f t="shared" si="69"/>
        <v>1.16472303206997</v>
      </c>
      <c r="K699" s="111">
        <f t="shared" si="65"/>
        <v>22.6380880873791</v>
      </c>
      <c r="L699" s="111">
        <f t="shared" si="68"/>
        <v>0</v>
      </c>
      <c r="M699" s="112">
        <f t="shared" si="66"/>
        <v>0</v>
      </c>
    </row>
    <row r="700" ht="13.85" spans="1:13">
      <c r="A700" s="52">
        <v>45859</v>
      </c>
      <c r="B700" s="116">
        <v>2275</v>
      </c>
      <c r="C700" s="117">
        <v>77888</v>
      </c>
      <c r="D700" s="117">
        <v>1905</v>
      </c>
      <c r="E700" s="117">
        <v>0</v>
      </c>
      <c r="F700" s="117">
        <v>0</v>
      </c>
      <c r="G700" s="117">
        <v>62</v>
      </c>
      <c r="H700" s="117">
        <v>11</v>
      </c>
      <c r="I700" s="110">
        <f t="shared" si="67"/>
        <v>0.0244581963845522</v>
      </c>
      <c r="J700" s="111">
        <f t="shared" si="69"/>
        <v>1.19422572178478</v>
      </c>
      <c r="K700" s="111">
        <f t="shared" ref="K700:K763" si="70">B700/C700*1000</f>
        <v>29.2086072308956</v>
      </c>
      <c r="L700" s="111">
        <f t="shared" si="68"/>
        <v>0</v>
      </c>
      <c r="M700" s="112">
        <f t="shared" si="66"/>
        <v>0</v>
      </c>
    </row>
    <row r="701" ht="13.85" spans="1:13">
      <c r="A701" s="52">
        <v>45860</v>
      </c>
      <c r="B701" s="116">
        <v>1598</v>
      </c>
      <c r="C701" s="117">
        <v>48594</v>
      </c>
      <c r="D701" s="117">
        <v>1364</v>
      </c>
      <c r="E701" s="117">
        <v>0</v>
      </c>
      <c r="F701" s="117">
        <v>0</v>
      </c>
      <c r="G701" s="117">
        <v>51</v>
      </c>
      <c r="H701" s="117">
        <v>14</v>
      </c>
      <c r="I701" s="110">
        <f t="shared" si="67"/>
        <v>0.0280693089681854</v>
      </c>
      <c r="J701" s="111">
        <f t="shared" si="69"/>
        <v>1.17155425219941</v>
      </c>
      <c r="K701" s="111">
        <f t="shared" si="70"/>
        <v>32.8847182779767</v>
      </c>
      <c r="L701" s="111">
        <f t="shared" si="68"/>
        <v>0</v>
      </c>
      <c r="M701" s="112">
        <f t="shared" si="66"/>
        <v>0</v>
      </c>
    </row>
    <row r="702" ht="13.85" spans="1:13">
      <c r="A702" s="52">
        <v>45861</v>
      </c>
      <c r="B702" s="116">
        <v>2573</v>
      </c>
      <c r="C702" s="117">
        <v>66821</v>
      </c>
      <c r="D702" s="117">
        <v>1954</v>
      </c>
      <c r="E702" s="117">
        <v>2</v>
      </c>
      <c r="F702" s="117">
        <v>13334</v>
      </c>
      <c r="G702" s="117">
        <v>56</v>
      </c>
      <c r="H702" s="117">
        <v>22</v>
      </c>
      <c r="I702" s="110">
        <f t="shared" si="67"/>
        <v>0.029242304066087</v>
      </c>
      <c r="J702" s="111">
        <f t="shared" si="69"/>
        <v>1.31678607983623</v>
      </c>
      <c r="K702" s="111">
        <f t="shared" si="70"/>
        <v>38.5058589365619</v>
      </c>
      <c r="L702" s="111">
        <f t="shared" si="68"/>
        <v>5.18227749708511</v>
      </c>
      <c r="M702" s="112">
        <f t="shared" si="66"/>
        <v>0.00102354145342886</v>
      </c>
    </row>
    <row r="703" ht="13.85" spans="1:13">
      <c r="A703" s="52">
        <v>45862</v>
      </c>
      <c r="B703" s="116">
        <v>2596</v>
      </c>
      <c r="C703" s="117">
        <v>76717</v>
      </c>
      <c r="D703" s="117">
        <v>1812</v>
      </c>
      <c r="E703" s="117">
        <v>1</v>
      </c>
      <c r="F703" s="117">
        <v>12692</v>
      </c>
      <c r="G703" s="117">
        <v>53</v>
      </c>
      <c r="H703" s="117">
        <v>15</v>
      </c>
      <c r="I703" s="110">
        <f t="shared" si="67"/>
        <v>0.0236192760405125</v>
      </c>
      <c r="J703" s="111">
        <f t="shared" si="69"/>
        <v>1.4326710816777</v>
      </c>
      <c r="K703" s="111">
        <f t="shared" si="70"/>
        <v>33.8386537534054</v>
      </c>
      <c r="L703" s="111">
        <f t="shared" si="68"/>
        <v>4.88906009244992</v>
      </c>
      <c r="M703" s="112">
        <f t="shared" si="66"/>
        <v>0.000551876379690949</v>
      </c>
    </row>
    <row r="704" ht="13.85" spans="1:13">
      <c r="A704" s="52">
        <v>45863</v>
      </c>
      <c r="B704" s="116">
        <v>2527</v>
      </c>
      <c r="C704" s="117">
        <v>114320</v>
      </c>
      <c r="D704" s="117">
        <v>2148</v>
      </c>
      <c r="E704" s="117">
        <v>0</v>
      </c>
      <c r="F704" s="117">
        <v>0</v>
      </c>
      <c r="G704" s="117">
        <v>47</v>
      </c>
      <c r="H704" s="117">
        <v>17</v>
      </c>
      <c r="I704" s="110">
        <f t="shared" si="67"/>
        <v>0.0187893631910427</v>
      </c>
      <c r="J704" s="111">
        <f t="shared" si="69"/>
        <v>1.17644320297952</v>
      </c>
      <c r="K704" s="111">
        <f t="shared" si="70"/>
        <v>22.1046186144157</v>
      </c>
      <c r="L704" s="111">
        <f t="shared" si="68"/>
        <v>0</v>
      </c>
      <c r="M704" s="112">
        <f t="shared" si="66"/>
        <v>0</v>
      </c>
    </row>
    <row r="705" ht="13.85" spans="1:13">
      <c r="A705" s="52">
        <v>45864</v>
      </c>
      <c r="B705" s="116">
        <v>2046</v>
      </c>
      <c r="C705" s="117">
        <v>79698</v>
      </c>
      <c r="D705" s="117">
        <v>1657</v>
      </c>
      <c r="E705" s="117">
        <v>1</v>
      </c>
      <c r="F705" s="117">
        <v>17654</v>
      </c>
      <c r="G705" s="117">
        <v>52</v>
      </c>
      <c r="H705" s="117">
        <v>11</v>
      </c>
      <c r="I705" s="110">
        <f t="shared" si="67"/>
        <v>0.0207909859720445</v>
      </c>
      <c r="J705" s="111">
        <f t="shared" si="69"/>
        <v>1.23476161738081</v>
      </c>
      <c r="K705" s="111">
        <f t="shared" si="70"/>
        <v>25.6719114657833</v>
      </c>
      <c r="L705" s="111">
        <f t="shared" si="68"/>
        <v>8.62854349951124</v>
      </c>
      <c r="M705" s="112">
        <f t="shared" ref="M705:M768" si="71">E705/D705</f>
        <v>0.000603500301750151</v>
      </c>
    </row>
    <row r="706" ht="13.85" spans="1:13">
      <c r="A706" s="52">
        <v>45865</v>
      </c>
      <c r="B706" s="116">
        <v>2037</v>
      </c>
      <c r="C706" s="117">
        <v>95946</v>
      </c>
      <c r="D706" s="117">
        <v>1971</v>
      </c>
      <c r="E706" s="117">
        <v>0</v>
      </c>
      <c r="F706" s="117">
        <v>0</v>
      </c>
      <c r="G706" s="117">
        <v>53</v>
      </c>
      <c r="H706" s="117">
        <v>16</v>
      </c>
      <c r="I706" s="110">
        <f t="shared" si="67"/>
        <v>0.020542805327997</v>
      </c>
      <c r="J706" s="111">
        <f t="shared" si="69"/>
        <v>1.03348554033486</v>
      </c>
      <c r="K706" s="111">
        <f t="shared" si="70"/>
        <v>21.2306922643987</v>
      </c>
      <c r="L706" s="111">
        <f t="shared" si="68"/>
        <v>0</v>
      </c>
      <c r="M706" s="112">
        <f t="shared" si="71"/>
        <v>0</v>
      </c>
    </row>
    <row r="707" ht="13.85" spans="1:13">
      <c r="A707" s="52">
        <v>45866</v>
      </c>
      <c r="B707" s="116">
        <v>2586</v>
      </c>
      <c r="C707" s="117">
        <v>70668</v>
      </c>
      <c r="D707" s="117">
        <v>1922</v>
      </c>
      <c r="E707" s="117">
        <v>1</v>
      </c>
      <c r="F707" s="117">
        <v>14934</v>
      </c>
      <c r="G707" s="117">
        <v>79</v>
      </c>
      <c r="H707" s="117">
        <v>13</v>
      </c>
      <c r="I707" s="110">
        <f t="shared" si="67"/>
        <v>0.0271976000452822</v>
      </c>
      <c r="J707" s="111">
        <f t="shared" si="69"/>
        <v>1.34547346514048</v>
      </c>
      <c r="K707" s="111">
        <f t="shared" si="70"/>
        <v>36.5936491764306</v>
      </c>
      <c r="L707" s="111">
        <f t="shared" si="68"/>
        <v>5.77494199535963</v>
      </c>
      <c r="M707" s="112">
        <f t="shared" si="71"/>
        <v>0.000520291363163372</v>
      </c>
    </row>
    <row r="708" ht="13.85" spans="1:13">
      <c r="A708" s="52">
        <v>45867</v>
      </c>
      <c r="B708" s="116">
        <v>1603</v>
      </c>
      <c r="C708" s="117">
        <v>58516</v>
      </c>
      <c r="D708" s="117">
        <v>1388</v>
      </c>
      <c r="E708" s="117">
        <v>4</v>
      </c>
      <c r="F708" s="117">
        <v>46892</v>
      </c>
      <c r="G708" s="117">
        <v>32</v>
      </c>
      <c r="H708" s="117">
        <v>13</v>
      </c>
      <c r="I708" s="110">
        <f t="shared" si="67"/>
        <v>0.0237200082028847</v>
      </c>
      <c r="J708" s="111">
        <f t="shared" si="69"/>
        <v>1.15489913544669</v>
      </c>
      <c r="K708" s="111">
        <f t="shared" si="70"/>
        <v>27.3942169662998</v>
      </c>
      <c r="L708" s="111">
        <f t="shared" si="68"/>
        <v>29.2526512788522</v>
      </c>
      <c r="M708" s="112">
        <f t="shared" si="71"/>
        <v>0.00288184438040346</v>
      </c>
    </row>
    <row r="709" ht="13.85" spans="1:13">
      <c r="A709" s="52">
        <v>45868</v>
      </c>
      <c r="B709" s="116">
        <v>2685</v>
      </c>
      <c r="C709" s="117">
        <v>73975</v>
      </c>
      <c r="D709" s="117">
        <v>2133</v>
      </c>
      <c r="E709" s="117">
        <v>5</v>
      </c>
      <c r="F709" s="117">
        <v>64185</v>
      </c>
      <c r="G709" s="117">
        <v>60</v>
      </c>
      <c r="H709" s="117">
        <v>16</v>
      </c>
      <c r="I709" s="110">
        <f t="shared" si="67"/>
        <v>0.0288340655626901</v>
      </c>
      <c r="J709" s="111">
        <f t="shared" si="69"/>
        <v>1.25879043600563</v>
      </c>
      <c r="K709" s="111">
        <f t="shared" si="70"/>
        <v>36.2960459614735</v>
      </c>
      <c r="L709" s="111">
        <f t="shared" si="68"/>
        <v>23.9050279329609</v>
      </c>
      <c r="M709" s="112">
        <f t="shared" si="71"/>
        <v>0.0023441162681669</v>
      </c>
    </row>
    <row r="710" ht="13.85" spans="1:13">
      <c r="A710" s="52">
        <v>45869</v>
      </c>
      <c r="B710" s="116">
        <v>2086</v>
      </c>
      <c r="C710" s="117">
        <v>73291</v>
      </c>
      <c r="D710" s="117">
        <v>1580</v>
      </c>
      <c r="E710" s="117">
        <v>1</v>
      </c>
      <c r="F710" s="117">
        <v>16716</v>
      </c>
      <c r="G710" s="117">
        <v>48</v>
      </c>
      <c r="H710" s="117">
        <v>11</v>
      </c>
      <c r="I710" s="110">
        <f t="shared" si="67"/>
        <v>0.0215578993327967</v>
      </c>
      <c r="J710" s="111">
        <f t="shared" si="69"/>
        <v>1.32025316455696</v>
      </c>
      <c r="K710" s="111">
        <f t="shared" si="70"/>
        <v>28.4618848153252</v>
      </c>
      <c r="L710" s="111">
        <f t="shared" si="68"/>
        <v>8.01342281879195</v>
      </c>
      <c r="M710" s="112">
        <f t="shared" si="71"/>
        <v>0.000632911392405063</v>
      </c>
    </row>
    <row r="711" ht="13.85" spans="1:13">
      <c r="A711" s="52">
        <v>45870</v>
      </c>
      <c r="B711" s="116">
        <v>1618</v>
      </c>
      <c r="C711" s="117">
        <v>52962</v>
      </c>
      <c r="D711" s="117">
        <v>1206</v>
      </c>
      <c r="E711" s="117">
        <v>2</v>
      </c>
      <c r="F711" s="117">
        <v>39140</v>
      </c>
      <c r="G711" s="117">
        <v>32</v>
      </c>
      <c r="H711" s="117">
        <v>7</v>
      </c>
      <c r="I711" s="110">
        <f t="shared" si="67"/>
        <v>0.0227710433896001</v>
      </c>
      <c r="J711" s="111">
        <f t="shared" si="69"/>
        <v>1.34162520729685</v>
      </c>
      <c r="K711" s="111">
        <f t="shared" si="70"/>
        <v>30.5502058079378</v>
      </c>
      <c r="L711" s="111">
        <f t="shared" si="68"/>
        <v>24.1903584672435</v>
      </c>
      <c r="M711" s="112">
        <f t="shared" si="71"/>
        <v>0.00165837479270315</v>
      </c>
    </row>
    <row r="712" ht="13.85" spans="1:13">
      <c r="A712" s="52">
        <v>45871</v>
      </c>
      <c r="B712" s="116">
        <v>1975</v>
      </c>
      <c r="C712" s="117">
        <v>45873</v>
      </c>
      <c r="D712" s="117">
        <v>1378</v>
      </c>
      <c r="E712" s="117">
        <v>2</v>
      </c>
      <c r="F712" s="117">
        <v>42225</v>
      </c>
      <c r="G712" s="117">
        <v>45</v>
      </c>
      <c r="H712" s="117">
        <v>12</v>
      </c>
      <c r="I712" s="110">
        <f t="shared" si="67"/>
        <v>0.0300394567610577</v>
      </c>
      <c r="J712" s="111">
        <f t="shared" si="69"/>
        <v>1.43323657474601</v>
      </c>
      <c r="K712" s="111">
        <f t="shared" si="70"/>
        <v>43.0536481154492</v>
      </c>
      <c r="L712" s="111">
        <f t="shared" si="68"/>
        <v>21.379746835443</v>
      </c>
      <c r="M712" s="112">
        <f t="shared" si="71"/>
        <v>0.00145137880986938</v>
      </c>
    </row>
    <row r="713" ht="13.85" spans="1:13">
      <c r="A713" s="52">
        <v>45872</v>
      </c>
      <c r="B713" s="116">
        <v>2595</v>
      </c>
      <c r="C713" s="117">
        <v>67571</v>
      </c>
      <c r="D713" s="117">
        <v>2188</v>
      </c>
      <c r="E713" s="117">
        <v>1</v>
      </c>
      <c r="F713" s="117">
        <v>13854</v>
      </c>
      <c r="G713" s="117">
        <v>69</v>
      </c>
      <c r="H713" s="117">
        <v>16</v>
      </c>
      <c r="I713" s="110">
        <f t="shared" ref="I713:I776" si="72">D713/C713</f>
        <v>0.0323807550576431</v>
      </c>
      <c r="J713" s="111">
        <f t="shared" si="69"/>
        <v>1.18601462522852</v>
      </c>
      <c r="K713" s="111">
        <f t="shared" si="70"/>
        <v>38.404049074307</v>
      </c>
      <c r="L713" s="111">
        <f t="shared" ref="L713:L776" si="73">F713/B713</f>
        <v>5.33872832369942</v>
      </c>
      <c r="M713" s="112">
        <f t="shared" si="71"/>
        <v>0.000457038391224863</v>
      </c>
    </row>
    <row r="714" ht="13.85" spans="1:13">
      <c r="A714" s="52">
        <v>45873</v>
      </c>
      <c r="B714" s="116">
        <v>2194</v>
      </c>
      <c r="C714" s="117">
        <v>77991</v>
      </c>
      <c r="D714" s="117">
        <v>1757</v>
      </c>
      <c r="E714" s="117">
        <v>3</v>
      </c>
      <c r="F714" s="117">
        <v>45882</v>
      </c>
      <c r="G714" s="117">
        <v>83</v>
      </c>
      <c r="H714" s="117">
        <v>14</v>
      </c>
      <c r="I714" s="110">
        <f t="shared" si="72"/>
        <v>0.0225282404379993</v>
      </c>
      <c r="J714" s="111">
        <f t="shared" si="69"/>
        <v>1.24871940808196</v>
      </c>
      <c r="K714" s="111">
        <f t="shared" si="70"/>
        <v>28.1314510648665</v>
      </c>
      <c r="L714" s="111">
        <f t="shared" si="73"/>
        <v>20.9124886052871</v>
      </c>
      <c r="M714" s="112">
        <f t="shared" si="71"/>
        <v>0.00170745589072282</v>
      </c>
    </row>
    <row r="715" ht="13.85" spans="1:13">
      <c r="A715" s="52">
        <v>45874</v>
      </c>
      <c r="B715" s="116">
        <v>1586</v>
      </c>
      <c r="C715" s="117">
        <v>64117</v>
      </c>
      <c r="D715" s="117">
        <v>1410</v>
      </c>
      <c r="E715" s="117">
        <v>0</v>
      </c>
      <c r="F715" s="117">
        <v>0</v>
      </c>
      <c r="G715" s="117">
        <v>43</v>
      </c>
      <c r="H715" s="117">
        <v>16</v>
      </c>
      <c r="I715" s="110">
        <f t="shared" si="72"/>
        <v>0.0219910476160769</v>
      </c>
      <c r="J715" s="111">
        <f t="shared" si="69"/>
        <v>1.12482269503546</v>
      </c>
      <c r="K715" s="111">
        <f t="shared" si="70"/>
        <v>24.7360294461687</v>
      </c>
      <c r="L715" s="111">
        <f t="shared" si="73"/>
        <v>0</v>
      </c>
      <c r="M715" s="112">
        <f t="shared" si="71"/>
        <v>0</v>
      </c>
    </row>
    <row r="716" ht="13.85" spans="1:13">
      <c r="A716" s="52">
        <v>45875</v>
      </c>
      <c r="B716" s="116">
        <v>2559</v>
      </c>
      <c r="C716" s="117">
        <v>71637</v>
      </c>
      <c r="D716" s="117">
        <v>1888</v>
      </c>
      <c r="E716" s="117">
        <v>1</v>
      </c>
      <c r="F716" s="117">
        <v>3000</v>
      </c>
      <c r="G716" s="117">
        <v>58</v>
      </c>
      <c r="H716" s="117">
        <v>14</v>
      </c>
      <c r="I716" s="110">
        <f t="shared" si="72"/>
        <v>0.026355095830367</v>
      </c>
      <c r="J716" s="111">
        <f t="shared" si="69"/>
        <v>1.35540254237288</v>
      </c>
      <c r="K716" s="111">
        <f t="shared" si="70"/>
        <v>35.7217638929603</v>
      </c>
      <c r="L716" s="111">
        <f t="shared" si="73"/>
        <v>1.17233294255569</v>
      </c>
      <c r="M716" s="112">
        <f t="shared" si="71"/>
        <v>0.000529661016949153</v>
      </c>
    </row>
    <row r="717" ht="13.85" spans="1:13">
      <c r="A717" s="52">
        <v>45876</v>
      </c>
      <c r="B717" s="116">
        <v>2668</v>
      </c>
      <c r="C717" s="117">
        <v>81648</v>
      </c>
      <c r="D717" s="117">
        <v>1960</v>
      </c>
      <c r="E717" s="117">
        <v>3</v>
      </c>
      <c r="F717" s="117">
        <v>18932</v>
      </c>
      <c r="G717" s="117">
        <v>61</v>
      </c>
      <c r="H717" s="117">
        <v>16</v>
      </c>
      <c r="I717" s="110">
        <f t="shared" si="72"/>
        <v>0.0240054869684499</v>
      </c>
      <c r="J717" s="111">
        <f t="shared" si="69"/>
        <v>1.36122448979592</v>
      </c>
      <c r="K717" s="111">
        <f t="shared" si="70"/>
        <v>32.6768567509308</v>
      </c>
      <c r="L717" s="111">
        <f t="shared" si="73"/>
        <v>7.09595202398801</v>
      </c>
      <c r="M717" s="112">
        <f t="shared" si="71"/>
        <v>0.00153061224489796</v>
      </c>
    </row>
    <row r="718" ht="13.85" spans="1:13">
      <c r="A718" s="52">
        <v>45877</v>
      </c>
      <c r="B718" s="116">
        <v>2757</v>
      </c>
      <c r="C718" s="117">
        <v>78818</v>
      </c>
      <c r="D718" s="117">
        <v>3003</v>
      </c>
      <c r="E718" s="117">
        <v>7</v>
      </c>
      <c r="F718" s="117">
        <v>77748</v>
      </c>
      <c r="G718" s="117">
        <v>63</v>
      </c>
      <c r="H718" s="117">
        <v>18</v>
      </c>
      <c r="I718" s="110">
        <f t="shared" si="72"/>
        <v>0.0381004339110355</v>
      </c>
      <c r="J718" s="111">
        <f t="shared" si="69"/>
        <v>0.918081918081918</v>
      </c>
      <c r="K718" s="111">
        <f t="shared" si="70"/>
        <v>34.9793194447969</v>
      </c>
      <c r="L718" s="111">
        <f t="shared" si="73"/>
        <v>28.2002176278564</v>
      </c>
      <c r="M718" s="112">
        <f t="shared" si="71"/>
        <v>0.00233100233100233</v>
      </c>
    </row>
    <row r="719" ht="13.85" spans="1:13">
      <c r="A719" s="52">
        <v>45878</v>
      </c>
      <c r="B719" s="116">
        <v>1607</v>
      </c>
      <c r="C719" s="117">
        <v>53872</v>
      </c>
      <c r="D719" s="117">
        <v>1198</v>
      </c>
      <c r="E719" s="117">
        <v>10</v>
      </c>
      <c r="F719" s="117">
        <v>143451</v>
      </c>
      <c r="G719" s="117">
        <v>60</v>
      </c>
      <c r="H719" s="117">
        <v>21</v>
      </c>
      <c r="I719" s="110">
        <f t="shared" si="72"/>
        <v>0.0222378972378972</v>
      </c>
      <c r="J719" s="111">
        <f t="shared" si="69"/>
        <v>1.34140233722871</v>
      </c>
      <c r="K719" s="111">
        <f t="shared" si="70"/>
        <v>29.8299673299673</v>
      </c>
      <c r="L719" s="111">
        <f t="shared" si="73"/>
        <v>89.2663347853143</v>
      </c>
      <c r="M719" s="112">
        <f t="shared" si="71"/>
        <v>0.00834724540901502</v>
      </c>
    </row>
    <row r="720" ht="13.85" spans="1:13">
      <c r="A720" s="52">
        <v>45879</v>
      </c>
      <c r="B720" s="116">
        <v>2704</v>
      </c>
      <c r="C720" s="117">
        <v>73645</v>
      </c>
      <c r="D720" s="117">
        <v>2024</v>
      </c>
      <c r="E720" s="117">
        <v>6</v>
      </c>
      <c r="F720" s="117">
        <v>72928</v>
      </c>
      <c r="G720" s="117">
        <v>63</v>
      </c>
      <c r="H720" s="117">
        <v>19</v>
      </c>
      <c r="I720" s="110">
        <f t="shared" si="72"/>
        <v>0.0274831964152353</v>
      </c>
      <c r="J720" s="111">
        <f t="shared" si="69"/>
        <v>1.33596837944664</v>
      </c>
      <c r="K720" s="111">
        <f t="shared" si="70"/>
        <v>36.7166813768756</v>
      </c>
      <c r="L720" s="111">
        <f t="shared" si="73"/>
        <v>26.9704142011834</v>
      </c>
      <c r="M720" s="112">
        <f t="shared" si="71"/>
        <v>0.00296442687747036</v>
      </c>
    </row>
    <row r="721" ht="13.85" spans="1:13">
      <c r="A721" s="52">
        <v>45880</v>
      </c>
      <c r="B721" s="116">
        <v>2882</v>
      </c>
      <c r="C721" s="117">
        <v>95751</v>
      </c>
      <c r="D721" s="117">
        <v>2178</v>
      </c>
      <c r="E721" s="117">
        <v>1</v>
      </c>
      <c r="F721" s="117">
        <v>18994</v>
      </c>
      <c r="G721" s="117">
        <v>78</v>
      </c>
      <c r="H721" s="117">
        <v>16</v>
      </c>
      <c r="I721" s="110">
        <f t="shared" si="72"/>
        <v>0.0227464987310837</v>
      </c>
      <c r="J721" s="111">
        <f t="shared" ref="J721:J784" si="74">B721/D721</f>
        <v>1.32323232323232</v>
      </c>
      <c r="K721" s="111">
        <f t="shared" si="70"/>
        <v>30.098902361333</v>
      </c>
      <c r="L721" s="111">
        <f t="shared" si="73"/>
        <v>6.59056210964608</v>
      </c>
      <c r="M721" s="112">
        <f t="shared" si="71"/>
        <v>0.000459136822773186</v>
      </c>
    </row>
    <row r="722" ht="13.85" spans="1:13">
      <c r="A722" s="52">
        <v>45881</v>
      </c>
      <c r="B722" s="116">
        <v>1596</v>
      </c>
      <c r="C722" s="117">
        <v>82271</v>
      </c>
      <c r="D722" s="117">
        <v>1451</v>
      </c>
      <c r="E722" s="117">
        <v>2</v>
      </c>
      <c r="F722" s="117">
        <v>19128</v>
      </c>
      <c r="G722" s="117">
        <v>41</v>
      </c>
      <c r="H722" s="117">
        <v>17</v>
      </c>
      <c r="I722" s="110">
        <f t="shared" si="72"/>
        <v>0.0176368343644784</v>
      </c>
      <c r="J722" s="111">
        <f t="shared" si="74"/>
        <v>1.09993108201241</v>
      </c>
      <c r="K722" s="111">
        <f t="shared" si="70"/>
        <v>19.3993023057943</v>
      </c>
      <c r="L722" s="111">
        <f t="shared" si="73"/>
        <v>11.984962406015</v>
      </c>
      <c r="M722" s="112">
        <f t="shared" si="71"/>
        <v>0.00137835975189524</v>
      </c>
    </row>
    <row r="723" ht="13.85" spans="1:13">
      <c r="A723" s="52">
        <v>45882</v>
      </c>
      <c r="B723" s="116">
        <v>2754</v>
      </c>
      <c r="C723" s="117">
        <v>80790</v>
      </c>
      <c r="D723" s="117">
        <v>2147</v>
      </c>
      <c r="E723" s="117">
        <v>4</v>
      </c>
      <c r="F723" s="117">
        <v>48660</v>
      </c>
      <c r="G723" s="117">
        <v>100</v>
      </c>
      <c r="H723" s="117">
        <v>12</v>
      </c>
      <c r="I723" s="110">
        <f t="shared" si="72"/>
        <v>0.0265750711721748</v>
      </c>
      <c r="J723" s="111">
        <f t="shared" si="74"/>
        <v>1.28272007452259</v>
      </c>
      <c r="K723" s="111">
        <f t="shared" si="70"/>
        <v>34.0883772744152</v>
      </c>
      <c r="L723" s="111">
        <f t="shared" si="73"/>
        <v>17.6688453159041</v>
      </c>
      <c r="M723" s="112">
        <f t="shared" si="71"/>
        <v>0.00186306474149977</v>
      </c>
    </row>
    <row r="724" ht="13.85" spans="1:13">
      <c r="A724" s="52">
        <v>45883</v>
      </c>
      <c r="B724" s="116">
        <v>2542</v>
      </c>
      <c r="C724" s="117">
        <v>96669</v>
      </c>
      <c r="D724" s="117">
        <v>1968</v>
      </c>
      <c r="E724" s="117">
        <v>4</v>
      </c>
      <c r="F724" s="117">
        <v>30540</v>
      </c>
      <c r="G724" s="117">
        <v>65</v>
      </c>
      <c r="H724" s="117">
        <v>9</v>
      </c>
      <c r="I724" s="110">
        <f t="shared" si="72"/>
        <v>0.0203581292865345</v>
      </c>
      <c r="J724" s="111">
        <f t="shared" si="74"/>
        <v>1.29166666666667</v>
      </c>
      <c r="K724" s="111">
        <f t="shared" si="70"/>
        <v>26.295916995107</v>
      </c>
      <c r="L724" s="111">
        <f t="shared" si="73"/>
        <v>12.0141620771046</v>
      </c>
      <c r="M724" s="112">
        <f t="shared" si="71"/>
        <v>0.00203252032520325</v>
      </c>
    </row>
    <row r="725" ht="13.85" spans="1:13">
      <c r="A725" s="52">
        <v>45884</v>
      </c>
      <c r="B725" s="116">
        <v>3128</v>
      </c>
      <c r="C725" s="117">
        <v>123580</v>
      </c>
      <c r="D725" s="117">
        <v>2707</v>
      </c>
      <c r="E725" s="117">
        <v>1</v>
      </c>
      <c r="F725" s="117">
        <v>17014</v>
      </c>
      <c r="G725" s="117">
        <v>89</v>
      </c>
      <c r="H725" s="117">
        <v>14</v>
      </c>
      <c r="I725" s="110">
        <f t="shared" si="72"/>
        <v>0.0219048389707072</v>
      </c>
      <c r="J725" s="111">
        <f t="shared" si="74"/>
        <v>1.15552271887699</v>
      </c>
      <c r="K725" s="111">
        <f t="shared" si="70"/>
        <v>25.3115390839942</v>
      </c>
      <c r="L725" s="111">
        <f t="shared" si="73"/>
        <v>5.43925831202046</v>
      </c>
      <c r="M725" s="112">
        <f t="shared" si="71"/>
        <v>0.00036941263391208</v>
      </c>
    </row>
    <row r="726" ht="13.85" spans="1:13">
      <c r="A726" s="52">
        <v>45885</v>
      </c>
      <c r="B726" s="116">
        <v>1795</v>
      </c>
      <c r="C726" s="117">
        <v>69456</v>
      </c>
      <c r="D726" s="117">
        <v>1832</v>
      </c>
      <c r="E726" s="117">
        <v>0</v>
      </c>
      <c r="F726" s="117">
        <v>0</v>
      </c>
      <c r="G726" s="117">
        <v>65</v>
      </c>
      <c r="H726" s="117">
        <v>11</v>
      </c>
      <c r="I726" s="110">
        <f t="shared" si="72"/>
        <v>0.0263764109652154</v>
      </c>
      <c r="J726" s="111">
        <f t="shared" si="74"/>
        <v>0.979803493449782</v>
      </c>
      <c r="K726" s="111">
        <f t="shared" si="70"/>
        <v>25.8436996083852</v>
      </c>
      <c r="L726" s="111">
        <f t="shared" si="73"/>
        <v>0</v>
      </c>
      <c r="M726" s="112">
        <f t="shared" si="71"/>
        <v>0</v>
      </c>
    </row>
    <row r="727" ht="13.85" spans="1:13">
      <c r="A727" s="52">
        <v>45886</v>
      </c>
      <c r="B727" s="116">
        <v>2990</v>
      </c>
      <c r="C727" s="117">
        <v>82610</v>
      </c>
      <c r="D727" s="117">
        <v>2701</v>
      </c>
      <c r="E727" s="117">
        <v>3</v>
      </c>
      <c r="F727" s="117">
        <v>73775</v>
      </c>
      <c r="G727" s="117">
        <v>101</v>
      </c>
      <c r="H727" s="117">
        <v>17</v>
      </c>
      <c r="I727" s="110">
        <f t="shared" si="72"/>
        <v>0.0326957995400073</v>
      </c>
      <c r="J727" s="111">
        <f t="shared" si="74"/>
        <v>1.10699740836727</v>
      </c>
      <c r="K727" s="111">
        <f t="shared" si="70"/>
        <v>36.1941653552839</v>
      </c>
      <c r="L727" s="111">
        <f t="shared" si="73"/>
        <v>24.6739130434783</v>
      </c>
      <c r="M727" s="112">
        <f t="shared" si="71"/>
        <v>0.00111069974083673</v>
      </c>
    </row>
    <row r="728" ht="13.85" spans="1:13">
      <c r="A728" s="52">
        <v>45887</v>
      </c>
      <c r="B728" s="102">
        <v>3038</v>
      </c>
      <c r="C728" s="31">
        <v>72345</v>
      </c>
      <c r="D728" s="31">
        <v>2476</v>
      </c>
      <c r="E728" s="31">
        <v>2</v>
      </c>
      <c r="F728" s="31">
        <v>12448</v>
      </c>
      <c r="G728" s="31">
        <v>69</v>
      </c>
      <c r="H728" s="31">
        <v>16</v>
      </c>
      <c r="I728" s="110">
        <f t="shared" si="72"/>
        <v>0.0342248946022531</v>
      </c>
      <c r="J728" s="111">
        <f t="shared" si="74"/>
        <v>1.22697899838449</v>
      </c>
      <c r="K728" s="111">
        <f t="shared" si="70"/>
        <v>41.9932268988873</v>
      </c>
      <c r="L728" s="111">
        <f t="shared" si="73"/>
        <v>4.09743252139566</v>
      </c>
      <c r="M728" s="112">
        <f t="shared" si="71"/>
        <v>0.000807754442649435</v>
      </c>
    </row>
    <row r="729" ht="13.85" spans="1:13">
      <c r="A729" s="52">
        <v>45888</v>
      </c>
      <c r="B729" s="116">
        <v>1796</v>
      </c>
      <c r="C729" s="117">
        <v>83629</v>
      </c>
      <c r="D729" s="117">
        <v>1948</v>
      </c>
      <c r="E729" s="117">
        <v>2</v>
      </c>
      <c r="F729" s="117">
        <v>18588</v>
      </c>
      <c r="G729" s="117">
        <v>75</v>
      </c>
      <c r="H729" s="117">
        <v>10</v>
      </c>
      <c r="I729" s="110">
        <f t="shared" si="72"/>
        <v>0.0232933551758361</v>
      </c>
      <c r="J729" s="111">
        <f t="shared" si="74"/>
        <v>0.921971252566735</v>
      </c>
      <c r="K729" s="111">
        <f t="shared" si="70"/>
        <v>21.4758038479475</v>
      </c>
      <c r="L729" s="111">
        <f t="shared" si="73"/>
        <v>10.3496659242762</v>
      </c>
      <c r="M729" s="112">
        <f t="shared" si="71"/>
        <v>0.00102669404517454</v>
      </c>
    </row>
    <row r="730" ht="13.85" spans="1:13">
      <c r="A730" s="52">
        <v>45889</v>
      </c>
      <c r="B730" s="102">
        <v>2885</v>
      </c>
      <c r="C730" s="31">
        <v>86861</v>
      </c>
      <c r="D730" s="31">
        <v>2332</v>
      </c>
      <c r="E730" s="31">
        <v>0</v>
      </c>
      <c r="F730" s="31">
        <v>0</v>
      </c>
      <c r="G730" s="31">
        <v>88</v>
      </c>
      <c r="H730" s="31">
        <v>14</v>
      </c>
      <c r="I730" s="110">
        <f t="shared" si="72"/>
        <v>0.026847491969929</v>
      </c>
      <c r="J730" s="111">
        <f t="shared" si="74"/>
        <v>1.23713550600343</v>
      </c>
      <c r="K730" s="111">
        <f t="shared" si="70"/>
        <v>33.2139855631411</v>
      </c>
      <c r="L730" s="111">
        <f t="shared" si="73"/>
        <v>0</v>
      </c>
      <c r="M730" s="112">
        <f t="shared" si="71"/>
        <v>0</v>
      </c>
    </row>
    <row r="731" ht="13.85" spans="1:13">
      <c r="A731" s="52">
        <v>45890</v>
      </c>
      <c r="B731" s="116">
        <v>2765</v>
      </c>
      <c r="C731" s="117">
        <v>70203</v>
      </c>
      <c r="D731" s="117">
        <v>2316</v>
      </c>
      <c r="E731" s="117">
        <v>2</v>
      </c>
      <c r="F731" s="117">
        <v>34488</v>
      </c>
      <c r="G731" s="117">
        <v>56</v>
      </c>
      <c r="H731" s="117">
        <v>18</v>
      </c>
      <c r="I731" s="110">
        <f t="shared" si="72"/>
        <v>0.0329900431605487</v>
      </c>
      <c r="J731" s="111">
        <f t="shared" si="74"/>
        <v>1.19386873920553</v>
      </c>
      <c r="K731" s="111">
        <f t="shared" si="70"/>
        <v>39.3857812344202</v>
      </c>
      <c r="L731" s="111">
        <f t="shared" si="73"/>
        <v>12.4730560578662</v>
      </c>
      <c r="M731" s="112">
        <f t="shared" si="71"/>
        <v>0.000863557858376511</v>
      </c>
    </row>
    <row r="732" ht="13.85" spans="1:13">
      <c r="A732" s="52">
        <v>45891</v>
      </c>
      <c r="B732" s="116">
        <v>2708</v>
      </c>
      <c r="C732" s="117">
        <v>58074</v>
      </c>
      <c r="D732" s="117">
        <v>2294</v>
      </c>
      <c r="E732" s="117">
        <v>1</v>
      </c>
      <c r="F732" s="117">
        <v>11202</v>
      </c>
      <c r="G732" s="117">
        <v>75</v>
      </c>
      <c r="H732" s="117">
        <v>8</v>
      </c>
      <c r="I732" s="110">
        <f t="shared" si="72"/>
        <v>0.0395013258945483</v>
      </c>
      <c r="J732" s="111">
        <f t="shared" si="74"/>
        <v>1.18047079337402</v>
      </c>
      <c r="K732" s="111">
        <f t="shared" si="70"/>
        <v>46.6301615180632</v>
      </c>
      <c r="L732" s="111">
        <f t="shared" si="73"/>
        <v>4.13663220088626</v>
      </c>
      <c r="M732" s="112">
        <f t="shared" si="71"/>
        <v>0.0004359197907585</v>
      </c>
    </row>
    <row r="733" ht="13.85" spans="1:13">
      <c r="A733" s="52">
        <v>45892</v>
      </c>
      <c r="B733" s="116">
        <v>1502</v>
      </c>
      <c r="C733" s="117">
        <v>48095</v>
      </c>
      <c r="D733" s="117">
        <v>1470</v>
      </c>
      <c r="E733" s="117">
        <v>2</v>
      </c>
      <c r="F733" s="117">
        <v>22838</v>
      </c>
      <c r="G733" s="117">
        <v>41</v>
      </c>
      <c r="H733" s="117">
        <v>8</v>
      </c>
      <c r="I733" s="110">
        <f t="shared" si="72"/>
        <v>0.0305645077450878</v>
      </c>
      <c r="J733" s="111">
        <f t="shared" si="74"/>
        <v>1.02176870748299</v>
      </c>
      <c r="K733" s="111">
        <f t="shared" si="70"/>
        <v>31.2298575735523</v>
      </c>
      <c r="L733" s="111">
        <f t="shared" si="73"/>
        <v>15.2050599201065</v>
      </c>
      <c r="M733" s="112">
        <f t="shared" si="71"/>
        <v>0.00136054421768707</v>
      </c>
    </row>
    <row r="734" ht="13.85" spans="1:13">
      <c r="A734" s="52">
        <v>45893</v>
      </c>
      <c r="B734" s="116">
        <v>2715</v>
      </c>
      <c r="C734" s="117">
        <v>56731</v>
      </c>
      <c r="D734" s="117">
        <v>2193</v>
      </c>
      <c r="E734" s="117">
        <v>2</v>
      </c>
      <c r="F734" s="117">
        <v>13808</v>
      </c>
      <c r="G734" s="117">
        <v>49</v>
      </c>
      <c r="H734" s="117">
        <v>13</v>
      </c>
      <c r="I734" s="110">
        <f t="shared" si="72"/>
        <v>0.0386561139412314</v>
      </c>
      <c r="J734" s="111">
        <f t="shared" si="74"/>
        <v>1.23803009575923</v>
      </c>
      <c r="K734" s="111">
        <f t="shared" si="70"/>
        <v>47.8574324443426</v>
      </c>
      <c r="L734" s="111">
        <f t="shared" si="73"/>
        <v>5.08581952117864</v>
      </c>
      <c r="M734" s="112">
        <f t="shared" si="71"/>
        <v>0.000911992704058368</v>
      </c>
    </row>
    <row r="735" ht="13.85" spans="1:13">
      <c r="A735" s="52">
        <v>45894</v>
      </c>
      <c r="B735" s="116">
        <v>2689</v>
      </c>
      <c r="C735" s="117">
        <v>68561</v>
      </c>
      <c r="D735" s="117">
        <v>2642</v>
      </c>
      <c r="E735" s="117">
        <v>1</v>
      </c>
      <c r="F735" s="117">
        <v>12954</v>
      </c>
      <c r="G735" s="117">
        <v>65</v>
      </c>
      <c r="H735" s="117">
        <v>6</v>
      </c>
      <c r="I735" s="110">
        <f t="shared" si="72"/>
        <v>0.0385350272020536</v>
      </c>
      <c r="J735" s="111">
        <f t="shared" si="74"/>
        <v>1.01778955336866</v>
      </c>
      <c r="K735" s="111">
        <f t="shared" si="70"/>
        <v>39.2205481250273</v>
      </c>
      <c r="L735" s="111">
        <f t="shared" si="73"/>
        <v>4.81740423949424</v>
      </c>
      <c r="M735" s="112">
        <f t="shared" si="71"/>
        <v>0.000378501135503407</v>
      </c>
    </row>
    <row r="736" ht="13.85" spans="1:13">
      <c r="A736" s="118">
        <v>45895</v>
      </c>
      <c r="B736" s="116">
        <v>2692</v>
      </c>
      <c r="C736" s="117">
        <v>47567</v>
      </c>
      <c r="D736" s="117">
        <v>1927</v>
      </c>
      <c r="E736" s="117">
        <v>2</v>
      </c>
      <c r="F736" s="117">
        <v>22906</v>
      </c>
      <c r="G736" s="117">
        <v>58</v>
      </c>
      <c r="H736" s="117">
        <v>8</v>
      </c>
      <c r="I736" s="110">
        <f t="shared" si="72"/>
        <v>0.0405112788277587</v>
      </c>
      <c r="J736" s="111">
        <f t="shared" si="74"/>
        <v>1.39699014011417</v>
      </c>
      <c r="K736" s="111">
        <f t="shared" si="70"/>
        <v>56.5938570857948</v>
      </c>
      <c r="L736" s="111">
        <f t="shared" si="73"/>
        <v>8.50891530460624</v>
      </c>
      <c r="M736" s="112">
        <f t="shared" si="71"/>
        <v>0.00103788271925272</v>
      </c>
    </row>
    <row r="737" ht="13.85" spans="1:13">
      <c r="A737" s="118">
        <v>45896</v>
      </c>
      <c r="B737" s="116">
        <v>2362</v>
      </c>
      <c r="C737" s="117">
        <v>56979</v>
      </c>
      <c r="D737" s="117">
        <v>1947</v>
      </c>
      <c r="E737" s="117">
        <v>1</v>
      </c>
      <c r="F737" s="117">
        <v>15534</v>
      </c>
      <c r="G737" s="117">
        <v>49</v>
      </c>
      <c r="H737" s="117">
        <v>12</v>
      </c>
      <c r="I737" s="110">
        <f t="shared" si="72"/>
        <v>0.0341704838624756</v>
      </c>
      <c r="J737" s="111">
        <f t="shared" si="74"/>
        <v>1.21314843348742</v>
      </c>
      <c r="K737" s="111">
        <f t="shared" si="70"/>
        <v>41.4538689692694</v>
      </c>
      <c r="L737" s="111">
        <f t="shared" si="73"/>
        <v>6.5766299745978</v>
      </c>
      <c r="M737" s="112">
        <f t="shared" si="71"/>
        <v>0.000513610683102209</v>
      </c>
    </row>
    <row r="738" ht="13.85" spans="1:13">
      <c r="A738" s="118">
        <v>45897</v>
      </c>
      <c r="B738" s="116">
        <v>2173</v>
      </c>
      <c r="C738" s="117">
        <v>33148</v>
      </c>
      <c r="D738" s="117">
        <v>1730</v>
      </c>
      <c r="E738" s="117">
        <v>0</v>
      </c>
      <c r="F738" s="117">
        <v>0</v>
      </c>
      <c r="G738" s="117">
        <v>63</v>
      </c>
      <c r="H738" s="117">
        <v>5</v>
      </c>
      <c r="I738" s="110">
        <f t="shared" si="72"/>
        <v>0.0521901773862676</v>
      </c>
      <c r="J738" s="111">
        <f t="shared" si="74"/>
        <v>1.25606936416185</v>
      </c>
      <c r="K738" s="111">
        <f t="shared" si="70"/>
        <v>65.5544829250634</v>
      </c>
      <c r="L738" s="111">
        <f t="shared" si="73"/>
        <v>0</v>
      </c>
      <c r="M738" s="112">
        <f t="shared" si="71"/>
        <v>0</v>
      </c>
    </row>
    <row r="739" ht="13.85" spans="1:13">
      <c r="A739" s="118">
        <v>45898</v>
      </c>
      <c r="B739" s="116">
        <v>2277</v>
      </c>
      <c r="C739" s="117">
        <v>39694</v>
      </c>
      <c r="D739" s="117">
        <v>1739</v>
      </c>
      <c r="E739" s="117">
        <v>3</v>
      </c>
      <c r="F739" s="117">
        <v>37049</v>
      </c>
      <c r="G739" s="117">
        <v>57</v>
      </c>
      <c r="H739" s="117">
        <v>9</v>
      </c>
      <c r="I739" s="110">
        <f t="shared" si="72"/>
        <v>0.0438101476293646</v>
      </c>
      <c r="J739" s="111">
        <f t="shared" si="74"/>
        <v>1.30937320299022</v>
      </c>
      <c r="K739" s="111">
        <f t="shared" si="70"/>
        <v>57.3638333249358</v>
      </c>
      <c r="L739" s="111">
        <f t="shared" si="73"/>
        <v>16.2709705753184</v>
      </c>
      <c r="M739" s="112">
        <f t="shared" si="71"/>
        <v>0.00172512938470385</v>
      </c>
    </row>
    <row r="740" ht="13.85" spans="1:13">
      <c r="A740" s="118">
        <v>45899</v>
      </c>
      <c r="B740" s="116">
        <v>1765</v>
      </c>
      <c r="C740" s="117">
        <v>33757</v>
      </c>
      <c r="D740" s="117">
        <v>1384</v>
      </c>
      <c r="E740" s="117">
        <v>3</v>
      </c>
      <c r="F740" s="117">
        <v>40600</v>
      </c>
      <c r="G740" s="117">
        <v>53</v>
      </c>
      <c r="H740" s="117">
        <v>13</v>
      </c>
      <c r="I740" s="110">
        <f t="shared" si="72"/>
        <v>0.0409989039310365</v>
      </c>
      <c r="J740" s="111">
        <f t="shared" si="74"/>
        <v>1.27528901734104</v>
      </c>
      <c r="K740" s="111">
        <f t="shared" si="70"/>
        <v>52.2854519062713</v>
      </c>
      <c r="L740" s="111">
        <f t="shared" si="73"/>
        <v>23.0028328611898</v>
      </c>
      <c r="M740" s="112">
        <f t="shared" si="71"/>
        <v>0.00216763005780347</v>
      </c>
    </row>
    <row r="741" ht="13.85" spans="1:13">
      <c r="A741" s="118">
        <v>45900</v>
      </c>
      <c r="B741" s="116">
        <v>2309</v>
      </c>
      <c r="C741" s="117">
        <v>34676</v>
      </c>
      <c r="D741" s="117">
        <v>1808</v>
      </c>
      <c r="E741" s="117">
        <v>0</v>
      </c>
      <c r="F741" s="117">
        <v>0</v>
      </c>
      <c r="G741" s="117">
        <v>51</v>
      </c>
      <c r="H741" s="117">
        <v>17</v>
      </c>
      <c r="I741" s="110">
        <f t="shared" si="72"/>
        <v>0.0521398085130926</v>
      </c>
      <c r="J741" s="111">
        <f t="shared" si="74"/>
        <v>1.2771017699115</v>
      </c>
      <c r="K741" s="111">
        <f t="shared" si="70"/>
        <v>66.5878417349175</v>
      </c>
      <c r="L741" s="111">
        <f t="shared" si="73"/>
        <v>0</v>
      </c>
      <c r="M741" s="112">
        <f t="shared" si="71"/>
        <v>0</v>
      </c>
    </row>
    <row r="742" ht="13.85" spans="1:13">
      <c r="A742" s="118">
        <v>45901</v>
      </c>
      <c r="B742" s="116">
        <v>2501</v>
      </c>
      <c r="C742" s="117">
        <v>39713</v>
      </c>
      <c r="D742" s="117">
        <v>1890</v>
      </c>
      <c r="E742" s="117">
        <v>1</v>
      </c>
      <c r="F742" s="117">
        <v>160</v>
      </c>
      <c r="G742" s="117">
        <v>69</v>
      </c>
      <c r="H742" s="117">
        <v>9</v>
      </c>
      <c r="I742" s="110">
        <f t="shared" si="72"/>
        <v>0.0475914687885579</v>
      </c>
      <c r="J742" s="111">
        <f t="shared" si="74"/>
        <v>1.32328042328042</v>
      </c>
      <c r="K742" s="111">
        <f t="shared" si="70"/>
        <v>62.97685896306</v>
      </c>
      <c r="L742" s="111">
        <f t="shared" si="73"/>
        <v>0.0639744102359056</v>
      </c>
      <c r="M742" s="112">
        <f t="shared" si="71"/>
        <v>0.000529100529100529</v>
      </c>
    </row>
    <row r="743" ht="13.85" spans="1:13">
      <c r="A743" s="118">
        <v>45902</v>
      </c>
      <c r="B743" s="116">
        <v>3184</v>
      </c>
      <c r="C743" s="117">
        <v>64180</v>
      </c>
      <c r="D743" s="117">
        <v>2140</v>
      </c>
      <c r="E743" s="117">
        <v>3</v>
      </c>
      <c r="F743" s="117">
        <v>45096</v>
      </c>
      <c r="G743" s="117">
        <v>78</v>
      </c>
      <c r="H743" s="117">
        <v>6</v>
      </c>
      <c r="I743" s="110">
        <f t="shared" si="72"/>
        <v>0.0333437207852914</v>
      </c>
      <c r="J743" s="111">
        <f t="shared" si="74"/>
        <v>1.48785046728972</v>
      </c>
      <c r="K743" s="111">
        <f t="shared" si="70"/>
        <v>49.6104705515737</v>
      </c>
      <c r="L743" s="111">
        <f t="shared" si="73"/>
        <v>14.1633165829146</v>
      </c>
      <c r="M743" s="112">
        <f t="shared" si="71"/>
        <v>0.0014018691588785</v>
      </c>
    </row>
    <row r="744" ht="13.85" spans="1:13">
      <c r="A744" s="118">
        <v>45903</v>
      </c>
      <c r="B744" s="116">
        <v>3324</v>
      </c>
      <c r="C744" s="117">
        <v>63663</v>
      </c>
      <c r="D744" s="117">
        <v>2437</v>
      </c>
      <c r="E744" s="117">
        <v>0</v>
      </c>
      <c r="F744" s="117">
        <v>0</v>
      </c>
      <c r="G744" s="117">
        <v>54</v>
      </c>
      <c r="H744" s="117">
        <v>7</v>
      </c>
      <c r="I744" s="110">
        <f t="shared" si="72"/>
        <v>0.0382796915005576</v>
      </c>
      <c r="J744" s="111">
        <f t="shared" si="74"/>
        <v>1.36397209684038</v>
      </c>
      <c r="K744" s="111">
        <f t="shared" si="70"/>
        <v>52.2124310824184</v>
      </c>
      <c r="L744" s="111">
        <f t="shared" si="73"/>
        <v>0</v>
      </c>
      <c r="M744" s="112">
        <f t="shared" si="71"/>
        <v>0</v>
      </c>
    </row>
    <row r="745" ht="13.85" spans="1:13">
      <c r="A745" s="118">
        <v>45904</v>
      </c>
      <c r="B745" s="116">
        <v>3295</v>
      </c>
      <c r="C745" s="117">
        <v>56176</v>
      </c>
      <c r="D745" s="117">
        <v>2062</v>
      </c>
      <c r="E745" s="117">
        <v>3</v>
      </c>
      <c r="F745" s="117">
        <v>26304</v>
      </c>
      <c r="G745" s="117">
        <v>75</v>
      </c>
      <c r="H745" s="117">
        <v>10</v>
      </c>
      <c r="I745" s="110">
        <f t="shared" si="72"/>
        <v>0.0367060666476787</v>
      </c>
      <c r="J745" s="111">
        <f t="shared" si="74"/>
        <v>1.59796314258002</v>
      </c>
      <c r="K745" s="111">
        <f t="shared" si="70"/>
        <v>58.6549416120763</v>
      </c>
      <c r="L745" s="111">
        <f t="shared" si="73"/>
        <v>7.98300455235205</v>
      </c>
      <c r="M745" s="112">
        <f t="shared" si="71"/>
        <v>0.001454898157129</v>
      </c>
    </row>
    <row r="746" ht="13.85" spans="1:13">
      <c r="A746" s="118">
        <v>45905</v>
      </c>
      <c r="B746" s="116">
        <v>3339</v>
      </c>
      <c r="C746" s="117">
        <v>68509</v>
      </c>
      <c r="D746" s="117">
        <v>1967</v>
      </c>
      <c r="E746" s="117">
        <v>4</v>
      </c>
      <c r="F746" s="117">
        <v>25079</v>
      </c>
      <c r="G746" s="117">
        <v>54</v>
      </c>
      <c r="H746" s="117">
        <v>6</v>
      </c>
      <c r="I746" s="110">
        <f t="shared" si="72"/>
        <v>0.0287115561459078</v>
      </c>
      <c r="J746" s="111">
        <f t="shared" si="74"/>
        <v>1.69750889679715</v>
      </c>
      <c r="K746" s="111">
        <f t="shared" si="70"/>
        <v>48.7381219985695</v>
      </c>
      <c r="L746" s="111">
        <f t="shared" si="73"/>
        <v>7.51093141659179</v>
      </c>
      <c r="M746" s="112">
        <f t="shared" si="71"/>
        <v>0.00203355363497712</v>
      </c>
    </row>
    <row r="747" ht="13.85" spans="1:13">
      <c r="A747" s="118">
        <v>45906</v>
      </c>
      <c r="B747" s="116">
        <v>3290</v>
      </c>
      <c r="C747" s="117">
        <v>88436</v>
      </c>
      <c r="D747" s="117">
        <v>2188</v>
      </c>
      <c r="E747" s="117">
        <v>3</v>
      </c>
      <c r="F747" s="117">
        <v>54612</v>
      </c>
      <c r="G747" s="117">
        <v>55</v>
      </c>
      <c r="H747" s="117">
        <v>9</v>
      </c>
      <c r="I747" s="110">
        <f t="shared" si="72"/>
        <v>0.0247410556786829</v>
      </c>
      <c r="J747" s="111">
        <f t="shared" si="74"/>
        <v>1.5036563071298</v>
      </c>
      <c r="K747" s="111">
        <f t="shared" si="70"/>
        <v>37.202044416301</v>
      </c>
      <c r="L747" s="111">
        <f t="shared" si="73"/>
        <v>16.5993920972644</v>
      </c>
      <c r="M747" s="112">
        <f t="shared" si="71"/>
        <v>0.00137111517367459</v>
      </c>
    </row>
    <row r="748" ht="13.85" spans="1:13">
      <c r="A748" s="118">
        <v>45907</v>
      </c>
      <c r="B748" s="116">
        <v>2956</v>
      </c>
      <c r="C748" s="117">
        <v>68503</v>
      </c>
      <c r="D748" s="117">
        <v>2095</v>
      </c>
      <c r="E748" s="117">
        <v>2</v>
      </c>
      <c r="F748" s="117">
        <v>33034</v>
      </c>
      <c r="G748" s="117">
        <v>63</v>
      </c>
      <c r="H748" s="117">
        <v>6</v>
      </c>
      <c r="I748" s="110">
        <f t="shared" si="72"/>
        <v>0.0305826022218005</v>
      </c>
      <c r="J748" s="111">
        <f t="shared" si="74"/>
        <v>1.4109785202864</v>
      </c>
      <c r="K748" s="111">
        <f t="shared" si="70"/>
        <v>43.1513948294235</v>
      </c>
      <c r="L748" s="111">
        <f t="shared" si="73"/>
        <v>11.1752368064953</v>
      </c>
      <c r="M748" s="112">
        <f t="shared" si="71"/>
        <v>0.000954653937947494</v>
      </c>
    </row>
    <row r="749" ht="13.85" spans="1:13">
      <c r="A749" s="118">
        <v>45908</v>
      </c>
      <c r="B749" s="116">
        <v>2288</v>
      </c>
      <c r="C749" s="117">
        <v>50893</v>
      </c>
      <c r="D749" s="117">
        <v>1372</v>
      </c>
      <c r="E749" s="117">
        <v>2</v>
      </c>
      <c r="F749" s="117">
        <v>41368</v>
      </c>
      <c r="G749" s="117">
        <v>47</v>
      </c>
      <c r="H749" s="117">
        <v>5</v>
      </c>
      <c r="I749" s="110">
        <f t="shared" si="72"/>
        <v>0.0269585208181872</v>
      </c>
      <c r="J749" s="111">
        <f t="shared" si="74"/>
        <v>1.66763848396501</v>
      </c>
      <c r="K749" s="111">
        <f t="shared" si="70"/>
        <v>44.9570667871809</v>
      </c>
      <c r="L749" s="111">
        <f t="shared" si="73"/>
        <v>18.0804195804196</v>
      </c>
      <c r="M749" s="112">
        <f t="shared" si="71"/>
        <v>0.00145772594752187</v>
      </c>
    </row>
    <row r="750" ht="13.85" spans="1:13">
      <c r="A750" s="118">
        <v>45909</v>
      </c>
      <c r="B750" s="116">
        <v>1314</v>
      </c>
      <c r="C750" s="117">
        <v>20873</v>
      </c>
      <c r="D750" s="117">
        <v>843</v>
      </c>
      <c r="E750" s="117">
        <v>0</v>
      </c>
      <c r="F750" s="117">
        <v>0</v>
      </c>
      <c r="G750" s="117">
        <v>41</v>
      </c>
      <c r="H750" s="117">
        <v>6</v>
      </c>
      <c r="I750" s="110">
        <f t="shared" si="72"/>
        <v>0.0403871029559718</v>
      </c>
      <c r="J750" s="111">
        <f t="shared" si="74"/>
        <v>1.55871886120996</v>
      </c>
      <c r="K750" s="111">
        <f t="shared" si="70"/>
        <v>62.952139127102</v>
      </c>
      <c r="L750" s="111">
        <f t="shared" si="73"/>
        <v>0</v>
      </c>
      <c r="M750" s="112">
        <f t="shared" si="71"/>
        <v>0</v>
      </c>
    </row>
    <row r="751" ht="13.85" spans="1:13">
      <c r="A751" s="118">
        <v>45910</v>
      </c>
      <c r="B751" s="116">
        <v>2945</v>
      </c>
      <c r="C751" s="117">
        <v>63057</v>
      </c>
      <c r="D751" s="117">
        <v>1924</v>
      </c>
      <c r="E751" s="117">
        <v>3</v>
      </c>
      <c r="F751" s="117">
        <v>63926</v>
      </c>
      <c r="G751" s="117">
        <v>60</v>
      </c>
      <c r="H751" s="117">
        <v>10</v>
      </c>
      <c r="I751" s="110">
        <f t="shared" si="72"/>
        <v>0.0305120763753429</v>
      </c>
      <c r="J751" s="111">
        <f t="shared" si="74"/>
        <v>1.53066528066528</v>
      </c>
      <c r="K751" s="111">
        <f t="shared" si="70"/>
        <v>46.7037759487448</v>
      </c>
      <c r="L751" s="111">
        <f t="shared" si="73"/>
        <v>21.7066213921902</v>
      </c>
      <c r="M751" s="112">
        <f t="shared" si="71"/>
        <v>0.00155925155925156</v>
      </c>
    </row>
    <row r="752" ht="13.85" spans="1:13">
      <c r="A752" s="118">
        <v>45911</v>
      </c>
      <c r="B752" s="116">
        <v>1935</v>
      </c>
      <c r="C752" s="117">
        <v>28448</v>
      </c>
      <c r="D752" s="117">
        <v>1253</v>
      </c>
      <c r="E752" s="117">
        <v>0</v>
      </c>
      <c r="F752" s="117">
        <v>0</v>
      </c>
      <c r="G752" s="117">
        <v>47</v>
      </c>
      <c r="H752" s="117">
        <v>6</v>
      </c>
      <c r="I752" s="110">
        <f t="shared" si="72"/>
        <v>0.0440452755905512</v>
      </c>
      <c r="J752" s="111">
        <f t="shared" si="74"/>
        <v>1.54429369513168</v>
      </c>
      <c r="K752" s="111">
        <f t="shared" si="70"/>
        <v>68.0188413948256</v>
      </c>
      <c r="L752" s="111">
        <f t="shared" si="73"/>
        <v>0</v>
      </c>
      <c r="M752" s="112">
        <f t="shared" si="71"/>
        <v>0</v>
      </c>
    </row>
    <row r="753" ht="13.85" spans="1:13">
      <c r="A753" s="118">
        <v>45912</v>
      </c>
      <c r="B753" s="116">
        <v>2854</v>
      </c>
      <c r="C753" s="117">
        <v>65011</v>
      </c>
      <c r="D753" s="117">
        <v>1776</v>
      </c>
      <c r="E753" s="117">
        <v>2</v>
      </c>
      <c r="F753" s="117">
        <v>35344</v>
      </c>
      <c r="G753" s="117">
        <v>78</v>
      </c>
      <c r="H753" s="117">
        <v>5</v>
      </c>
      <c r="I753" s="110">
        <f t="shared" si="72"/>
        <v>0.0273184538001261</v>
      </c>
      <c r="J753" s="111">
        <f t="shared" si="74"/>
        <v>1.60698198198198</v>
      </c>
      <c r="K753" s="111">
        <f t="shared" si="70"/>
        <v>43.9002630324099</v>
      </c>
      <c r="L753" s="111">
        <f t="shared" si="73"/>
        <v>12.3840224246671</v>
      </c>
      <c r="M753" s="112">
        <f t="shared" si="71"/>
        <v>0.00112612612612613</v>
      </c>
    </row>
    <row r="754" ht="13.85" spans="1:13">
      <c r="A754" s="118">
        <v>45913</v>
      </c>
      <c r="B754" s="116">
        <v>2866</v>
      </c>
      <c r="C754" s="117">
        <v>61641</v>
      </c>
      <c r="D754" s="117">
        <v>1775</v>
      </c>
      <c r="E754" s="117">
        <v>4</v>
      </c>
      <c r="F754" s="117">
        <v>58218</v>
      </c>
      <c r="G754" s="117">
        <v>27</v>
      </c>
      <c r="H754" s="117">
        <v>6</v>
      </c>
      <c r="I754" s="110">
        <f t="shared" si="72"/>
        <v>0.0287957690498207</v>
      </c>
      <c r="J754" s="111">
        <f t="shared" si="74"/>
        <v>1.61464788732394</v>
      </c>
      <c r="K754" s="111">
        <f t="shared" si="70"/>
        <v>46.4950276601613</v>
      </c>
      <c r="L754" s="111">
        <f t="shared" si="73"/>
        <v>20.3133286810886</v>
      </c>
      <c r="M754" s="112">
        <f t="shared" si="71"/>
        <v>0.00225352112676056</v>
      </c>
    </row>
    <row r="755" ht="13.85" spans="1:13">
      <c r="A755" s="118">
        <v>45914</v>
      </c>
      <c r="B755" s="116">
        <v>1514</v>
      </c>
      <c r="C755" s="117">
        <v>21935</v>
      </c>
      <c r="D755" s="117">
        <v>1186</v>
      </c>
      <c r="E755" s="117">
        <v>1</v>
      </c>
      <c r="F755" s="117">
        <v>6434</v>
      </c>
      <c r="G755" s="117">
        <v>38</v>
      </c>
      <c r="H755" s="117">
        <v>3</v>
      </c>
      <c r="I755" s="110">
        <f t="shared" si="72"/>
        <v>0.0540688397538181</v>
      </c>
      <c r="J755" s="111">
        <f t="shared" si="74"/>
        <v>1.27655986509275</v>
      </c>
      <c r="K755" s="111">
        <f t="shared" si="70"/>
        <v>69.0221107818555</v>
      </c>
      <c r="L755" s="111">
        <f t="shared" si="73"/>
        <v>4.24966974900925</v>
      </c>
      <c r="M755" s="112">
        <f t="shared" si="71"/>
        <v>0.000843170320404722</v>
      </c>
    </row>
    <row r="756" ht="13.85" spans="1:13">
      <c r="A756" s="118">
        <v>45915</v>
      </c>
      <c r="B756" s="116">
        <v>1768</v>
      </c>
      <c r="C756" s="117">
        <v>25463</v>
      </c>
      <c r="D756" s="117">
        <v>1279</v>
      </c>
      <c r="E756" s="117">
        <v>1</v>
      </c>
      <c r="F756" s="117">
        <v>21702</v>
      </c>
      <c r="G756" s="117">
        <v>44</v>
      </c>
      <c r="H756" s="117">
        <v>5</v>
      </c>
      <c r="I756" s="110">
        <f t="shared" si="72"/>
        <v>0.0502297451203707</v>
      </c>
      <c r="J756" s="111">
        <f t="shared" si="74"/>
        <v>1.38232994526974</v>
      </c>
      <c r="K756" s="111">
        <f t="shared" si="70"/>
        <v>69.4340808231552</v>
      </c>
      <c r="L756" s="111">
        <f t="shared" si="73"/>
        <v>12.2748868778281</v>
      </c>
      <c r="M756" s="112">
        <f t="shared" si="71"/>
        <v>0.000781860828772478</v>
      </c>
    </row>
    <row r="757" ht="13.85" spans="1:13">
      <c r="A757" s="118">
        <v>45916</v>
      </c>
      <c r="B757" s="116">
        <v>1642</v>
      </c>
      <c r="C757" s="117">
        <v>28968</v>
      </c>
      <c r="D757" s="117">
        <v>1162</v>
      </c>
      <c r="E757" s="117">
        <v>0</v>
      </c>
      <c r="F757" s="117">
        <v>0</v>
      </c>
      <c r="G757" s="117">
        <v>33</v>
      </c>
      <c r="H757" s="117">
        <v>2</v>
      </c>
      <c r="I757" s="110">
        <f t="shared" si="72"/>
        <v>0.0401132283899475</v>
      </c>
      <c r="J757" s="111">
        <f t="shared" si="74"/>
        <v>1.41308089500861</v>
      </c>
      <c r="K757" s="111">
        <f t="shared" si="70"/>
        <v>56.6832366749517</v>
      </c>
      <c r="L757" s="111">
        <f t="shared" si="73"/>
        <v>0</v>
      </c>
      <c r="M757" s="112">
        <f t="shared" si="71"/>
        <v>0</v>
      </c>
    </row>
    <row r="758" ht="13.85" spans="1:13">
      <c r="A758" s="118">
        <v>45917</v>
      </c>
      <c r="B758" s="116">
        <v>1621</v>
      </c>
      <c r="C758" s="117">
        <v>24828</v>
      </c>
      <c r="D758" s="117">
        <v>1325</v>
      </c>
      <c r="E758" s="117">
        <v>0</v>
      </c>
      <c r="F758" s="117">
        <v>0</v>
      </c>
      <c r="G758" s="117">
        <v>29</v>
      </c>
      <c r="H758" s="117">
        <v>4</v>
      </c>
      <c r="I758" s="110">
        <f t="shared" si="72"/>
        <v>0.0533671661027872</v>
      </c>
      <c r="J758" s="111">
        <f t="shared" si="74"/>
        <v>1.22339622641509</v>
      </c>
      <c r="K758" s="111">
        <f t="shared" si="70"/>
        <v>65.2891896246174</v>
      </c>
      <c r="L758" s="111">
        <f t="shared" si="73"/>
        <v>0</v>
      </c>
      <c r="M758" s="112">
        <f t="shared" si="71"/>
        <v>0</v>
      </c>
    </row>
    <row r="759" ht="13.85" spans="1:13">
      <c r="A759" s="118">
        <v>45918</v>
      </c>
      <c r="B759" s="116">
        <v>1653</v>
      </c>
      <c r="C759" s="117">
        <v>30818</v>
      </c>
      <c r="D759" s="117">
        <v>1191</v>
      </c>
      <c r="E759" s="117">
        <v>2</v>
      </c>
      <c r="F759" s="117">
        <v>16913</v>
      </c>
      <c r="G759" s="117">
        <v>28</v>
      </c>
      <c r="H759" s="117">
        <v>2</v>
      </c>
      <c r="I759" s="110">
        <f t="shared" si="72"/>
        <v>0.0386462457005646</v>
      </c>
      <c r="J759" s="111">
        <f t="shared" si="74"/>
        <v>1.38790931989924</v>
      </c>
      <c r="K759" s="111">
        <f t="shared" si="70"/>
        <v>53.6374845869297</v>
      </c>
      <c r="L759" s="111">
        <f t="shared" si="73"/>
        <v>10.2316999395039</v>
      </c>
      <c r="M759" s="112">
        <f t="shared" si="71"/>
        <v>0.00167926112510495</v>
      </c>
    </row>
    <row r="760" ht="13.85" spans="1:13">
      <c r="A760" s="118">
        <v>45919</v>
      </c>
      <c r="B760" s="116">
        <v>1690</v>
      </c>
      <c r="C760" s="117">
        <v>33570</v>
      </c>
      <c r="D760" s="117">
        <v>1173</v>
      </c>
      <c r="E760" s="117">
        <v>0</v>
      </c>
      <c r="F760" s="117">
        <v>0</v>
      </c>
      <c r="G760" s="117">
        <v>38</v>
      </c>
      <c r="H760" s="117">
        <v>5</v>
      </c>
      <c r="I760" s="110">
        <f t="shared" si="72"/>
        <v>0.0349419124218052</v>
      </c>
      <c r="J760" s="111">
        <f t="shared" si="74"/>
        <v>1.44075021312873</v>
      </c>
      <c r="K760" s="111">
        <f t="shared" si="70"/>
        <v>50.3425677688412</v>
      </c>
      <c r="L760" s="111">
        <f t="shared" si="73"/>
        <v>0</v>
      </c>
      <c r="M760" s="112">
        <f t="shared" si="71"/>
        <v>0</v>
      </c>
    </row>
    <row r="761" ht="13.85" spans="1:13">
      <c r="A761" s="118">
        <v>45920</v>
      </c>
      <c r="B761" s="116">
        <v>1659</v>
      </c>
      <c r="C761" s="117">
        <v>41867</v>
      </c>
      <c r="D761" s="117">
        <v>1066</v>
      </c>
      <c r="E761" s="117">
        <v>0</v>
      </c>
      <c r="F761" s="117">
        <v>0</v>
      </c>
      <c r="G761" s="117">
        <v>25</v>
      </c>
      <c r="H761" s="117">
        <v>4</v>
      </c>
      <c r="I761" s="110">
        <f t="shared" si="72"/>
        <v>0.0254615807198987</v>
      </c>
      <c r="J761" s="111">
        <f t="shared" si="74"/>
        <v>1.5562851782364</v>
      </c>
      <c r="K761" s="111">
        <f t="shared" si="70"/>
        <v>39.625480688848</v>
      </c>
      <c r="L761" s="111">
        <f t="shared" si="73"/>
        <v>0</v>
      </c>
      <c r="M761" s="112">
        <f t="shared" si="71"/>
        <v>0</v>
      </c>
    </row>
    <row r="762" ht="13.85" spans="1:13">
      <c r="A762" s="118">
        <v>45921</v>
      </c>
      <c r="B762" s="116">
        <v>1611</v>
      </c>
      <c r="C762" s="117">
        <v>37822</v>
      </c>
      <c r="D762" s="117">
        <v>1478</v>
      </c>
      <c r="E762" s="117">
        <v>0</v>
      </c>
      <c r="F762" s="117">
        <v>0</v>
      </c>
      <c r="G762" s="117">
        <v>35</v>
      </c>
      <c r="H762" s="117">
        <v>3</v>
      </c>
      <c r="I762" s="110">
        <f t="shared" si="72"/>
        <v>0.0390777854158955</v>
      </c>
      <c r="J762" s="111">
        <f t="shared" si="74"/>
        <v>1.08998646820027</v>
      </c>
      <c r="K762" s="111">
        <f t="shared" si="70"/>
        <v>42.59425731056</v>
      </c>
      <c r="L762" s="111">
        <f t="shared" si="73"/>
        <v>0</v>
      </c>
      <c r="M762" s="112">
        <f t="shared" si="71"/>
        <v>0</v>
      </c>
    </row>
    <row r="763" ht="13.85" spans="1:13">
      <c r="A763" s="118">
        <v>45922</v>
      </c>
      <c r="B763" s="116">
        <v>1659</v>
      </c>
      <c r="C763" s="117">
        <v>36940</v>
      </c>
      <c r="D763" s="117">
        <v>1298</v>
      </c>
      <c r="E763" s="117">
        <v>1</v>
      </c>
      <c r="F763" s="117">
        <v>12752</v>
      </c>
      <c r="G763" s="117">
        <v>22</v>
      </c>
      <c r="H763" s="117">
        <v>5</v>
      </c>
      <c r="I763" s="110">
        <f t="shared" si="72"/>
        <v>0.0351380617217109</v>
      </c>
      <c r="J763" s="111">
        <f t="shared" si="74"/>
        <v>1.27812018489985</v>
      </c>
      <c r="K763" s="111">
        <f t="shared" si="70"/>
        <v>44.9106659447753</v>
      </c>
      <c r="L763" s="111">
        <f t="shared" si="73"/>
        <v>7.68655816757083</v>
      </c>
      <c r="M763" s="112">
        <f t="shared" si="71"/>
        <v>0.000770416024653313</v>
      </c>
    </row>
    <row r="764" ht="13.85" spans="1:13">
      <c r="A764" s="118">
        <v>45923</v>
      </c>
      <c r="B764" s="116">
        <v>1642</v>
      </c>
      <c r="C764" s="117">
        <v>35597</v>
      </c>
      <c r="D764" s="117">
        <v>1335</v>
      </c>
      <c r="E764" s="117">
        <v>0</v>
      </c>
      <c r="F764" s="117">
        <v>0</v>
      </c>
      <c r="G764" s="117">
        <v>29</v>
      </c>
      <c r="H764" s="117">
        <v>3</v>
      </c>
      <c r="I764" s="110">
        <f t="shared" si="72"/>
        <v>0.0375031603786836</v>
      </c>
      <c r="J764" s="111">
        <f t="shared" si="74"/>
        <v>1.22996254681648</v>
      </c>
      <c r="K764" s="111">
        <f t="shared" ref="K764:K827" si="75">B764/C764*1000</f>
        <v>46.1274826530326</v>
      </c>
      <c r="L764" s="111">
        <f t="shared" si="73"/>
        <v>0</v>
      </c>
      <c r="M764" s="112">
        <f t="shared" si="71"/>
        <v>0</v>
      </c>
    </row>
    <row r="765" ht="13.85" spans="1:13">
      <c r="A765" s="118">
        <v>45924</v>
      </c>
      <c r="B765" s="116">
        <v>1576</v>
      </c>
      <c r="C765" s="117">
        <v>36677</v>
      </c>
      <c r="D765" s="117">
        <v>1155</v>
      </c>
      <c r="E765" s="117">
        <v>0</v>
      </c>
      <c r="F765" s="117">
        <v>0</v>
      </c>
      <c r="G765" s="117">
        <v>31</v>
      </c>
      <c r="H765" s="117">
        <v>3</v>
      </c>
      <c r="I765" s="110">
        <f t="shared" si="72"/>
        <v>0.0314911252283447</v>
      </c>
      <c r="J765" s="111">
        <f t="shared" si="74"/>
        <v>1.36450216450216</v>
      </c>
      <c r="K765" s="111">
        <f t="shared" si="75"/>
        <v>42.9697085366851</v>
      </c>
      <c r="L765" s="111">
        <f t="shared" si="73"/>
        <v>0</v>
      </c>
      <c r="M765" s="112">
        <f t="shared" si="71"/>
        <v>0</v>
      </c>
    </row>
    <row r="766" ht="13.85" spans="1:13">
      <c r="A766" s="118">
        <v>45925</v>
      </c>
      <c r="B766" s="116">
        <v>1951</v>
      </c>
      <c r="C766" s="117">
        <v>27969</v>
      </c>
      <c r="D766" s="117">
        <v>867</v>
      </c>
      <c r="E766" s="117">
        <v>0</v>
      </c>
      <c r="F766" s="117">
        <v>0</v>
      </c>
      <c r="G766" s="117">
        <v>27</v>
      </c>
      <c r="H766" s="117">
        <v>4</v>
      </c>
      <c r="I766" s="110">
        <f t="shared" si="72"/>
        <v>0.0309986055990561</v>
      </c>
      <c r="J766" s="111">
        <f t="shared" si="74"/>
        <v>2.25028835063437</v>
      </c>
      <c r="K766" s="111">
        <f t="shared" si="75"/>
        <v>69.7558010654653</v>
      </c>
      <c r="L766" s="111">
        <f t="shared" si="73"/>
        <v>0</v>
      </c>
      <c r="M766" s="112">
        <f t="shared" si="71"/>
        <v>0</v>
      </c>
    </row>
    <row r="767" ht="13.85" spans="1:13">
      <c r="A767" s="118">
        <v>45926</v>
      </c>
      <c r="B767" s="116">
        <v>1998</v>
      </c>
      <c r="C767" s="117">
        <v>30680</v>
      </c>
      <c r="D767" s="117">
        <v>989</v>
      </c>
      <c r="E767" s="117">
        <v>2</v>
      </c>
      <c r="F767" s="117">
        <v>19926</v>
      </c>
      <c r="G767" s="117">
        <v>26</v>
      </c>
      <c r="H767" s="117">
        <v>2</v>
      </c>
      <c r="I767" s="110">
        <f t="shared" si="72"/>
        <v>0.0322359843546284</v>
      </c>
      <c r="J767" s="111">
        <f t="shared" si="74"/>
        <v>2.02022244691608</v>
      </c>
      <c r="K767" s="111">
        <f t="shared" si="75"/>
        <v>65.1238591916558</v>
      </c>
      <c r="L767" s="111">
        <f t="shared" si="73"/>
        <v>9.97297297297297</v>
      </c>
      <c r="M767" s="112">
        <f t="shared" si="71"/>
        <v>0.00202224469160768</v>
      </c>
    </row>
    <row r="768" ht="13.85" spans="1:13">
      <c r="A768" s="118">
        <v>45927</v>
      </c>
      <c r="B768" s="116">
        <v>1950</v>
      </c>
      <c r="C768" s="117">
        <v>31452</v>
      </c>
      <c r="D768" s="117">
        <v>955</v>
      </c>
      <c r="E768" s="117">
        <v>0</v>
      </c>
      <c r="F768" s="117">
        <v>0</v>
      </c>
      <c r="G768" s="117">
        <v>27</v>
      </c>
      <c r="H768" s="117">
        <v>5</v>
      </c>
      <c r="I768" s="110">
        <f t="shared" si="72"/>
        <v>0.0303637288566705</v>
      </c>
      <c r="J768" s="111">
        <f t="shared" si="74"/>
        <v>2.04188481675393</v>
      </c>
      <c r="K768" s="111">
        <f t="shared" si="75"/>
        <v>61.9992369324685</v>
      </c>
      <c r="L768" s="111">
        <f t="shared" si="73"/>
        <v>0</v>
      </c>
      <c r="M768" s="112">
        <f t="shared" si="71"/>
        <v>0</v>
      </c>
    </row>
    <row r="769" ht="13.85" spans="1:13">
      <c r="A769" s="118">
        <v>45928</v>
      </c>
      <c r="B769" s="116">
        <v>1950</v>
      </c>
      <c r="C769" s="117">
        <v>30612</v>
      </c>
      <c r="D769" s="117">
        <v>912</v>
      </c>
      <c r="E769" s="117">
        <v>0</v>
      </c>
      <c r="F769" s="117">
        <v>0</v>
      </c>
      <c r="G769" s="117">
        <v>34</v>
      </c>
      <c r="H769" s="117">
        <v>5</v>
      </c>
      <c r="I769" s="110">
        <f t="shared" si="72"/>
        <v>0.0297922383379067</v>
      </c>
      <c r="J769" s="111">
        <f t="shared" si="74"/>
        <v>2.13815789473684</v>
      </c>
      <c r="K769" s="111">
        <f t="shared" si="75"/>
        <v>63.7005096040768</v>
      </c>
      <c r="L769" s="111">
        <f t="shared" si="73"/>
        <v>0</v>
      </c>
      <c r="M769" s="112">
        <f t="shared" ref="M769:M832" si="76">E769/D769</f>
        <v>0</v>
      </c>
    </row>
    <row r="770" ht="13.85" spans="1:13">
      <c r="A770" s="118">
        <v>45929</v>
      </c>
      <c r="B770" s="116">
        <v>1306</v>
      </c>
      <c r="C770" s="117">
        <v>13560</v>
      </c>
      <c r="D770" s="117">
        <v>768</v>
      </c>
      <c r="E770" s="117">
        <v>0</v>
      </c>
      <c r="F770" s="117">
        <v>0</v>
      </c>
      <c r="G770" s="117">
        <v>10</v>
      </c>
      <c r="H770" s="117">
        <v>3</v>
      </c>
      <c r="I770" s="110">
        <f t="shared" si="72"/>
        <v>0.0566371681415929</v>
      </c>
      <c r="J770" s="111">
        <f t="shared" si="74"/>
        <v>1.70052083333333</v>
      </c>
      <c r="K770" s="111">
        <f t="shared" si="75"/>
        <v>96.3126843657817</v>
      </c>
      <c r="L770" s="111">
        <f t="shared" si="73"/>
        <v>0</v>
      </c>
      <c r="M770" s="112">
        <f t="shared" si="76"/>
        <v>0</v>
      </c>
    </row>
    <row r="771" ht="13.85" spans="1:13">
      <c r="A771" s="118">
        <v>45930</v>
      </c>
      <c r="B771" s="116">
        <v>1550</v>
      </c>
      <c r="C771" s="117">
        <v>22645</v>
      </c>
      <c r="D771" s="117">
        <v>707</v>
      </c>
      <c r="E771" s="117">
        <v>2</v>
      </c>
      <c r="F771" s="117">
        <v>18426</v>
      </c>
      <c r="G771" s="117">
        <v>46</v>
      </c>
      <c r="H771" s="117">
        <v>4</v>
      </c>
      <c r="I771" s="110">
        <f t="shared" si="72"/>
        <v>0.0312210200927357</v>
      </c>
      <c r="J771" s="111">
        <f t="shared" si="74"/>
        <v>2.19236209335219</v>
      </c>
      <c r="K771" s="111">
        <f t="shared" si="75"/>
        <v>68.4477809671009</v>
      </c>
      <c r="L771" s="111">
        <f t="shared" si="73"/>
        <v>11.8877419354839</v>
      </c>
      <c r="M771" s="112">
        <f t="shared" si="76"/>
        <v>0.00282885431400283</v>
      </c>
    </row>
    <row r="772" ht="13.85" spans="1:13">
      <c r="A772" s="118">
        <v>45931</v>
      </c>
      <c r="B772" s="116">
        <v>1549</v>
      </c>
      <c r="C772" s="117">
        <v>27368</v>
      </c>
      <c r="D772" s="117">
        <v>875</v>
      </c>
      <c r="E772" s="117">
        <v>3</v>
      </c>
      <c r="F772" s="117">
        <v>30382</v>
      </c>
      <c r="G772" s="117">
        <v>32</v>
      </c>
      <c r="H772" s="117">
        <v>3</v>
      </c>
      <c r="I772" s="110">
        <f t="shared" si="72"/>
        <v>0.0319716457176264</v>
      </c>
      <c r="J772" s="111">
        <f t="shared" si="74"/>
        <v>1.77028571428571</v>
      </c>
      <c r="K772" s="111">
        <f t="shared" si="75"/>
        <v>56.5989476761181</v>
      </c>
      <c r="L772" s="111">
        <f t="shared" si="73"/>
        <v>19.6139444803099</v>
      </c>
      <c r="M772" s="112">
        <f t="shared" si="76"/>
        <v>0.00342857142857143</v>
      </c>
    </row>
    <row r="773" ht="13.85" spans="1:13">
      <c r="A773" s="118">
        <v>45932</v>
      </c>
      <c r="B773" s="116">
        <v>1550</v>
      </c>
      <c r="C773" s="117">
        <v>31985</v>
      </c>
      <c r="D773" s="117">
        <v>896</v>
      </c>
      <c r="E773" s="117">
        <v>0</v>
      </c>
      <c r="F773" s="117">
        <v>0</v>
      </c>
      <c r="G773" s="117">
        <v>24</v>
      </c>
      <c r="H773" s="117">
        <v>3</v>
      </c>
      <c r="I773" s="110">
        <f t="shared" si="72"/>
        <v>0.028013131155229</v>
      </c>
      <c r="J773" s="111">
        <f t="shared" si="74"/>
        <v>1.72991071428571</v>
      </c>
      <c r="K773" s="111">
        <f t="shared" si="75"/>
        <v>48.4602157261216</v>
      </c>
      <c r="L773" s="111">
        <f t="shared" si="73"/>
        <v>0</v>
      </c>
      <c r="M773" s="112">
        <f t="shared" si="76"/>
        <v>0</v>
      </c>
    </row>
    <row r="774" ht="13.85" spans="1:13">
      <c r="A774" s="118">
        <v>45933</v>
      </c>
      <c r="B774" s="116">
        <v>797</v>
      </c>
      <c r="C774" s="117">
        <v>23010</v>
      </c>
      <c r="D774" s="117">
        <v>716</v>
      </c>
      <c r="E774" s="117">
        <v>0</v>
      </c>
      <c r="F774" s="117">
        <v>0</v>
      </c>
      <c r="G774" s="117">
        <v>26</v>
      </c>
      <c r="H774" s="117">
        <v>9</v>
      </c>
      <c r="I774" s="110">
        <f t="shared" si="72"/>
        <v>0.0311169056931769</v>
      </c>
      <c r="J774" s="111">
        <f t="shared" si="74"/>
        <v>1.11312849162011</v>
      </c>
      <c r="K774" s="111">
        <f t="shared" si="75"/>
        <v>34.6371142981312</v>
      </c>
      <c r="L774" s="111">
        <f t="shared" si="73"/>
        <v>0</v>
      </c>
      <c r="M774" s="112">
        <f t="shared" si="76"/>
        <v>0</v>
      </c>
    </row>
    <row r="775" ht="13.85" spans="1:13">
      <c r="A775" s="118">
        <v>45934</v>
      </c>
      <c r="B775" s="116">
        <v>781</v>
      </c>
      <c r="C775" s="117">
        <v>16860</v>
      </c>
      <c r="D775" s="117">
        <v>618</v>
      </c>
      <c r="E775" s="117">
        <v>0</v>
      </c>
      <c r="F775" s="117">
        <v>0</v>
      </c>
      <c r="G775" s="117">
        <v>48</v>
      </c>
      <c r="H775" s="117">
        <v>15</v>
      </c>
      <c r="I775" s="110">
        <f t="shared" si="72"/>
        <v>0.0366548042704626</v>
      </c>
      <c r="J775" s="111">
        <f t="shared" si="74"/>
        <v>1.26375404530744</v>
      </c>
      <c r="K775" s="111">
        <f t="shared" si="75"/>
        <v>46.3226571767497</v>
      </c>
      <c r="L775" s="111">
        <f t="shared" si="73"/>
        <v>0</v>
      </c>
      <c r="M775" s="112">
        <f t="shared" si="76"/>
        <v>0</v>
      </c>
    </row>
    <row r="776" ht="13.85" spans="1:13">
      <c r="A776" s="118">
        <v>45935</v>
      </c>
      <c r="B776" s="116">
        <v>794</v>
      </c>
      <c r="C776" s="117">
        <v>17849</v>
      </c>
      <c r="D776" s="117">
        <v>563</v>
      </c>
      <c r="E776" s="117">
        <v>2</v>
      </c>
      <c r="F776" s="117">
        <v>8241</v>
      </c>
      <c r="G776" s="117">
        <v>39</v>
      </c>
      <c r="H776" s="117">
        <v>6</v>
      </c>
      <c r="I776" s="110">
        <f t="shared" si="72"/>
        <v>0.031542383326797</v>
      </c>
      <c r="J776" s="111">
        <f t="shared" si="74"/>
        <v>1.41030195381883</v>
      </c>
      <c r="K776" s="111">
        <f t="shared" si="75"/>
        <v>44.4842848338843</v>
      </c>
      <c r="L776" s="111">
        <f t="shared" si="73"/>
        <v>10.3790931989924</v>
      </c>
      <c r="M776" s="112">
        <f t="shared" si="76"/>
        <v>0.00355239786856128</v>
      </c>
    </row>
    <row r="777" ht="13.85" spans="1:13">
      <c r="A777" s="118">
        <v>45936</v>
      </c>
      <c r="B777" s="116">
        <v>800</v>
      </c>
      <c r="C777" s="117">
        <v>13064</v>
      </c>
      <c r="D777" s="117">
        <v>526</v>
      </c>
      <c r="E777" s="117">
        <v>6</v>
      </c>
      <c r="F777" s="117">
        <v>38371</v>
      </c>
      <c r="G777" s="117">
        <v>40</v>
      </c>
      <c r="H777" s="117">
        <v>14</v>
      </c>
      <c r="I777" s="110">
        <f t="shared" ref="I777:I840" si="77">D777/C777</f>
        <v>0.040263319044703</v>
      </c>
      <c r="J777" s="111">
        <f t="shared" si="74"/>
        <v>1.52091254752852</v>
      </c>
      <c r="K777" s="111">
        <f t="shared" si="75"/>
        <v>61.2369871402327</v>
      </c>
      <c r="L777" s="111">
        <f t="shared" ref="L777:L840" si="78">F777/B777</f>
        <v>47.96375</v>
      </c>
      <c r="M777" s="112">
        <f t="shared" si="76"/>
        <v>0.0114068441064639</v>
      </c>
    </row>
    <row r="778" ht="13.85" spans="1:13">
      <c r="A778" s="118">
        <v>45937</v>
      </c>
      <c r="B778" s="116">
        <v>797</v>
      </c>
      <c r="C778" s="117">
        <v>10564</v>
      </c>
      <c r="D778" s="117">
        <v>520</v>
      </c>
      <c r="E778" s="117">
        <v>3</v>
      </c>
      <c r="F778" s="117">
        <v>19118</v>
      </c>
      <c r="G778" s="117">
        <v>45</v>
      </c>
      <c r="H778" s="117">
        <v>9</v>
      </c>
      <c r="I778" s="110">
        <f t="shared" si="77"/>
        <v>0.0492237788716395</v>
      </c>
      <c r="J778" s="111">
        <f t="shared" si="74"/>
        <v>1.53269230769231</v>
      </c>
      <c r="K778" s="111">
        <f t="shared" si="75"/>
        <v>75.444907232109</v>
      </c>
      <c r="L778" s="111">
        <f t="shared" si="78"/>
        <v>23.9874529485571</v>
      </c>
      <c r="M778" s="112">
        <f t="shared" si="76"/>
        <v>0.00576923076923077</v>
      </c>
    </row>
    <row r="779" ht="13.85" spans="1:13">
      <c r="A779" s="118">
        <v>45938</v>
      </c>
      <c r="B779" s="116">
        <v>794</v>
      </c>
      <c r="C779" s="117">
        <v>11371</v>
      </c>
      <c r="D779" s="117">
        <v>517</v>
      </c>
      <c r="E779" s="117">
        <v>0</v>
      </c>
      <c r="F779" s="117">
        <v>0</v>
      </c>
      <c r="G779" s="117">
        <v>55</v>
      </c>
      <c r="H779" s="117">
        <v>5</v>
      </c>
      <c r="I779" s="110">
        <f t="shared" si="77"/>
        <v>0.045466537683581</v>
      </c>
      <c r="J779" s="111">
        <f t="shared" si="74"/>
        <v>1.5357833655706</v>
      </c>
      <c r="K779" s="111">
        <f t="shared" si="75"/>
        <v>69.8267522645326</v>
      </c>
      <c r="L779" s="111">
        <f t="shared" si="78"/>
        <v>0</v>
      </c>
      <c r="M779" s="112">
        <f t="shared" si="76"/>
        <v>0</v>
      </c>
    </row>
    <row r="780" ht="13.85" spans="1:13">
      <c r="A780" s="118">
        <v>45939</v>
      </c>
      <c r="B780" s="116">
        <v>1743</v>
      </c>
      <c r="C780" s="117">
        <v>22823</v>
      </c>
      <c r="D780" s="117">
        <v>877</v>
      </c>
      <c r="E780" s="117">
        <v>1</v>
      </c>
      <c r="F780" s="117">
        <v>8494</v>
      </c>
      <c r="G780" s="117">
        <v>66</v>
      </c>
      <c r="H780" s="117">
        <v>4</v>
      </c>
      <c r="I780" s="110">
        <f t="shared" si="77"/>
        <v>0.0384261490601586</v>
      </c>
      <c r="J780" s="111">
        <f t="shared" si="74"/>
        <v>1.98745724059293</v>
      </c>
      <c r="K780" s="111">
        <f t="shared" si="75"/>
        <v>76.3703281777155</v>
      </c>
      <c r="L780" s="111">
        <f t="shared" si="78"/>
        <v>4.87320711417097</v>
      </c>
      <c r="M780" s="112">
        <f t="shared" si="76"/>
        <v>0.00114025085518814</v>
      </c>
    </row>
    <row r="781" ht="13.85" spans="1:13">
      <c r="A781" s="118">
        <v>45940</v>
      </c>
      <c r="B781" s="116">
        <v>1496</v>
      </c>
      <c r="C781" s="117">
        <v>11726</v>
      </c>
      <c r="D781" s="117">
        <v>760</v>
      </c>
      <c r="E781" s="117">
        <v>0</v>
      </c>
      <c r="F781" s="117">
        <v>0</v>
      </c>
      <c r="G781" s="117">
        <v>48</v>
      </c>
      <c r="H781" s="117">
        <v>10</v>
      </c>
      <c r="I781" s="110">
        <f t="shared" si="77"/>
        <v>0.0648132355449429</v>
      </c>
      <c r="J781" s="111">
        <f t="shared" si="74"/>
        <v>1.96842105263158</v>
      </c>
      <c r="K781" s="111">
        <f t="shared" si="75"/>
        <v>127.579737335835</v>
      </c>
      <c r="L781" s="111">
        <f t="shared" si="78"/>
        <v>0</v>
      </c>
      <c r="M781" s="112">
        <f t="shared" si="76"/>
        <v>0</v>
      </c>
    </row>
    <row r="782" ht="13.85" spans="1:13">
      <c r="A782" s="118">
        <v>45941</v>
      </c>
      <c r="B782" s="116">
        <v>1704</v>
      </c>
      <c r="C782" s="117">
        <v>17137</v>
      </c>
      <c r="D782" s="117">
        <v>763</v>
      </c>
      <c r="E782" s="117">
        <v>2</v>
      </c>
      <c r="F782" s="117">
        <v>6165</v>
      </c>
      <c r="G782" s="117">
        <v>33</v>
      </c>
      <c r="H782" s="117">
        <v>5</v>
      </c>
      <c r="I782" s="110">
        <f t="shared" si="77"/>
        <v>0.0445235455447278</v>
      </c>
      <c r="J782" s="111">
        <f t="shared" si="74"/>
        <v>2.23328964613368</v>
      </c>
      <c r="K782" s="111">
        <f t="shared" si="75"/>
        <v>99.433973274202</v>
      </c>
      <c r="L782" s="111">
        <f t="shared" si="78"/>
        <v>3.61795774647887</v>
      </c>
      <c r="M782" s="112">
        <f t="shared" si="76"/>
        <v>0.00262123197903014</v>
      </c>
    </row>
    <row r="783" ht="13.85" spans="1:13">
      <c r="A783" s="118">
        <v>45942</v>
      </c>
      <c r="B783" s="116">
        <v>1765</v>
      </c>
      <c r="C783" s="117">
        <v>14467</v>
      </c>
      <c r="D783" s="117">
        <v>850</v>
      </c>
      <c r="E783" s="117">
        <v>1</v>
      </c>
      <c r="F783" s="117">
        <v>24254</v>
      </c>
      <c r="G783" s="117">
        <v>47</v>
      </c>
      <c r="H783" s="117">
        <v>5</v>
      </c>
      <c r="I783" s="110">
        <f t="shared" si="77"/>
        <v>0.0587544065804935</v>
      </c>
      <c r="J783" s="111">
        <f t="shared" si="74"/>
        <v>2.07647058823529</v>
      </c>
      <c r="K783" s="111">
        <f t="shared" si="75"/>
        <v>122.001797193613</v>
      </c>
      <c r="L783" s="111">
        <f t="shared" si="78"/>
        <v>13.7416430594901</v>
      </c>
      <c r="M783" s="112">
        <f t="shared" si="76"/>
        <v>0.00117647058823529</v>
      </c>
    </row>
    <row r="784" ht="13.85" spans="1:13">
      <c r="A784" s="118">
        <v>45943</v>
      </c>
      <c r="B784" s="116">
        <v>1757</v>
      </c>
      <c r="C784" s="117">
        <v>13698</v>
      </c>
      <c r="D784" s="117">
        <v>801</v>
      </c>
      <c r="E784" s="117">
        <v>1</v>
      </c>
      <c r="F784" s="117">
        <v>1</v>
      </c>
      <c r="G784" s="117">
        <v>81</v>
      </c>
      <c r="H784" s="117">
        <v>3</v>
      </c>
      <c r="I784" s="110">
        <f t="shared" si="77"/>
        <v>0.0584756898817346</v>
      </c>
      <c r="J784" s="111">
        <f t="shared" si="74"/>
        <v>2.19350811485643</v>
      </c>
      <c r="K784" s="111">
        <f t="shared" si="75"/>
        <v>128.266900277413</v>
      </c>
      <c r="L784" s="111">
        <f t="shared" si="78"/>
        <v>0.000569151963574274</v>
      </c>
      <c r="M784" s="112">
        <f t="shared" si="76"/>
        <v>0.00124843945068664</v>
      </c>
    </row>
    <row r="785" ht="13.85" spans="1:13">
      <c r="A785" s="118">
        <v>45944</v>
      </c>
      <c r="B785" s="116">
        <v>1764</v>
      </c>
      <c r="C785" s="117">
        <v>17165</v>
      </c>
      <c r="D785" s="117">
        <v>807</v>
      </c>
      <c r="E785" s="117">
        <v>1</v>
      </c>
      <c r="F785" s="117">
        <v>1</v>
      </c>
      <c r="G785" s="117">
        <v>64</v>
      </c>
      <c r="H785" s="117">
        <v>14</v>
      </c>
      <c r="I785" s="110">
        <f t="shared" si="77"/>
        <v>0.0470142732304107</v>
      </c>
      <c r="J785" s="111">
        <f t="shared" ref="J785:J848" si="79">B785/D785</f>
        <v>2.18587360594796</v>
      </c>
      <c r="K785" s="111">
        <f t="shared" si="75"/>
        <v>102.76725895718</v>
      </c>
      <c r="L785" s="111">
        <f t="shared" si="78"/>
        <v>0.000566893424036281</v>
      </c>
      <c r="M785" s="112">
        <f t="shared" si="76"/>
        <v>0.00123915737298637</v>
      </c>
    </row>
    <row r="786" ht="13.85" spans="1:13">
      <c r="A786" s="118">
        <v>45945</v>
      </c>
      <c r="B786" s="116">
        <v>4330</v>
      </c>
      <c r="C786" s="117">
        <v>19264</v>
      </c>
      <c r="D786" s="117">
        <v>1347</v>
      </c>
      <c r="E786" s="117">
        <v>4</v>
      </c>
      <c r="F786" s="117">
        <v>51617</v>
      </c>
      <c r="G786" s="117">
        <v>123</v>
      </c>
      <c r="H786" s="117">
        <v>19</v>
      </c>
      <c r="I786" s="110">
        <f t="shared" si="77"/>
        <v>0.0699231727574751</v>
      </c>
      <c r="J786" s="111">
        <f t="shared" si="79"/>
        <v>3.21455085374907</v>
      </c>
      <c r="K786" s="111">
        <f t="shared" si="75"/>
        <v>224.771594684385</v>
      </c>
      <c r="L786" s="111">
        <f t="shared" si="78"/>
        <v>11.9207852193995</v>
      </c>
      <c r="M786" s="112">
        <f t="shared" si="76"/>
        <v>0.00296956198960653</v>
      </c>
    </row>
    <row r="787" ht="13.85" spans="1:13">
      <c r="A787" s="118">
        <v>45946</v>
      </c>
      <c r="B787" s="116">
        <v>4317</v>
      </c>
      <c r="C787" s="117">
        <v>32147</v>
      </c>
      <c r="D787" s="117">
        <v>1575</v>
      </c>
      <c r="E787" s="117">
        <v>7</v>
      </c>
      <c r="F787" s="117">
        <v>56169</v>
      </c>
      <c r="G787" s="117">
        <v>99</v>
      </c>
      <c r="H787" s="117">
        <v>11</v>
      </c>
      <c r="I787" s="110">
        <f t="shared" si="77"/>
        <v>0.0489936852583445</v>
      </c>
      <c r="J787" s="111">
        <f t="shared" si="79"/>
        <v>2.74095238095238</v>
      </c>
      <c r="K787" s="111">
        <f t="shared" si="75"/>
        <v>134.289358260491</v>
      </c>
      <c r="L787" s="111">
        <f t="shared" si="78"/>
        <v>13.0111188325226</v>
      </c>
      <c r="M787" s="112">
        <f t="shared" si="76"/>
        <v>0.00444444444444444</v>
      </c>
    </row>
    <row r="788" ht="13.85" spans="1:13">
      <c r="A788" s="118">
        <v>45947</v>
      </c>
      <c r="B788" s="116">
        <v>4452</v>
      </c>
      <c r="C788" s="117">
        <v>25010</v>
      </c>
      <c r="D788" s="117">
        <v>1575</v>
      </c>
      <c r="E788" s="117">
        <v>8</v>
      </c>
      <c r="F788" s="117">
        <v>61816</v>
      </c>
      <c r="G788" s="117">
        <v>114</v>
      </c>
      <c r="H788" s="117">
        <v>9</v>
      </c>
      <c r="I788" s="110">
        <f t="shared" si="77"/>
        <v>0.0629748100759696</v>
      </c>
      <c r="J788" s="111">
        <f t="shared" si="79"/>
        <v>2.82666666666667</v>
      </c>
      <c r="K788" s="111">
        <f t="shared" si="75"/>
        <v>178.008796481407</v>
      </c>
      <c r="L788" s="111">
        <f t="shared" si="78"/>
        <v>13.884995507637</v>
      </c>
      <c r="M788" s="112">
        <f t="shared" si="76"/>
        <v>0.00507936507936508</v>
      </c>
    </row>
    <row r="789" ht="13.85" spans="1:13">
      <c r="A789" s="118">
        <v>45948</v>
      </c>
      <c r="B789" s="116">
        <v>4440</v>
      </c>
      <c r="C789" s="117">
        <v>28416</v>
      </c>
      <c r="D789" s="117">
        <v>1728</v>
      </c>
      <c r="E789" s="117">
        <v>4</v>
      </c>
      <c r="F789" s="117">
        <v>37930</v>
      </c>
      <c r="G789" s="117">
        <v>127</v>
      </c>
      <c r="H789" s="117">
        <v>13</v>
      </c>
      <c r="I789" s="110">
        <f t="shared" si="77"/>
        <v>0.0608108108108108</v>
      </c>
      <c r="J789" s="111">
        <f t="shared" si="79"/>
        <v>2.56944444444444</v>
      </c>
      <c r="K789" s="111">
        <f t="shared" si="75"/>
        <v>156.25</v>
      </c>
      <c r="L789" s="111">
        <f t="shared" si="78"/>
        <v>8.54279279279279</v>
      </c>
      <c r="M789" s="112">
        <f t="shared" si="76"/>
        <v>0.00231481481481481</v>
      </c>
    </row>
    <row r="790" ht="13.85" spans="1:13">
      <c r="A790" s="118">
        <v>45949</v>
      </c>
      <c r="B790" s="116">
        <v>2130</v>
      </c>
      <c r="C790" s="117">
        <v>11957</v>
      </c>
      <c r="D790" s="117">
        <v>549</v>
      </c>
      <c r="E790" s="117">
        <v>3</v>
      </c>
      <c r="F790" s="117">
        <v>19352</v>
      </c>
      <c r="G790" s="117">
        <v>53</v>
      </c>
      <c r="H790" s="117">
        <v>4</v>
      </c>
      <c r="I790" s="110">
        <f t="shared" si="77"/>
        <v>0.0459145270552814</v>
      </c>
      <c r="J790" s="111">
        <f t="shared" si="79"/>
        <v>3.87978142076503</v>
      </c>
      <c r="K790" s="111">
        <f t="shared" si="75"/>
        <v>178.138329012294</v>
      </c>
      <c r="L790" s="111">
        <f t="shared" si="78"/>
        <v>9.08544600938967</v>
      </c>
      <c r="M790" s="112">
        <f t="shared" si="76"/>
        <v>0.00546448087431694</v>
      </c>
    </row>
    <row r="791" ht="13.85" spans="1:13">
      <c r="A791" s="118">
        <v>45950</v>
      </c>
      <c r="B791" s="116">
        <v>4702</v>
      </c>
      <c r="C791" s="117">
        <v>23228</v>
      </c>
      <c r="D791" s="117">
        <v>2229</v>
      </c>
      <c r="E791" s="117">
        <v>22</v>
      </c>
      <c r="F791" s="117">
        <v>241674</v>
      </c>
      <c r="G791" s="117">
        <v>129</v>
      </c>
      <c r="H791" s="117">
        <v>11</v>
      </c>
      <c r="I791" s="110">
        <f t="shared" si="77"/>
        <v>0.0959617702772516</v>
      </c>
      <c r="J791" s="111">
        <f t="shared" si="79"/>
        <v>2.10946612830866</v>
      </c>
      <c r="K791" s="111">
        <f t="shared" si="75"/>
        <v>202.428104012399</v>
      </c>
      <c r="L791" s="111">
        <f t="shared" si="78"/>
        <v>51.3981284559762</v>
      </c>
      <c r="M791" s="112">
        <f t="shared" si="76"/>
        <v>0.00986989681471512</v>
      </c>
    </row>
    <row r="792" ht="13.85" spans="1:13">
      <c r="A792" s="118">
        <v>45951</v>
      </c>
      <c r="B792" s="116">
        <v>6059</v>
      </c>
      <c r="C792" s="117">
        <v>37834</v>
      </c>
      <c r="D792" s="117">
        <v>1915</v>
      </c>
      <c r="E792" s="117">
        <v>15</v>
      </c>
      <c r="F792" s="117">
        <v>126866</v>
      </c>
      <c r="G792" s="117">
        <v>100</v>
      </c>
      <c r="H792" s="117">
        <v>8</v>
      </c>
      <c r="I792" s="110">
        <f t="shared" si="77"/>
        <v>0.0506158481788867</v>
      </c>
      <c r="J792" s="111">
        <f t="shared" si="79"/>
        <v>3.16396866840731</v>
      </c>
      <c r="K792" s="111">
        <f t="shared" si="75"/>
        <v>160.146957762859</v>
      </c>
      <c r="L792" s="111">
        <f t="shared" si="78"/>
        <v>20.9384386862519</v>
      </c>
      <c r="M792" s="112">
        <f t="shared" si="76"/>
        <v>0.00783289817232376</v>
      </c>
    </row>
    <row r="793" ht="13.85" spans="1:13">
      <c r="A793" s="118">
        <v>45952</v>
      </c>
      <c r="B793" s="116">
        <v>5664</v>
      </c>
      <c r="C793" s="117">
        <v>36363</v>
      </c>
      <c r="D793" s="117">
        <v>1713</v>
      </c>
      <c r="E793" s="117">
        <v>19</v>
      </c>
      <c r="F793" s="117">
        <v>115766</v>
      </c>
      <c r="G793" s="117">
        <v>86</v>
      </c>
      <c r="H793" s="117">
        <v>9</v>
      </c>
      <c r="I793" s="110">
        <f t="shared" si="77"/>
        <v>0.0471083243956769</v>
      </c>
      <c r="J793" s="111">
        <f t="shared" si="79"/>
        <v>3.30647985989492</v>
      </c>
      <c r="K793" s="111">
        <f t="shared" si="75"/>
        <v>155.762725847702</v>
      </c>
      <c r="L793" s="111">
        <f t="shared" si="78"/>
        <v>20.4389124293785</v>
      </c>
      <c r="M793" s="112">
        <f t="shared" si="76"/>
        <v>0.0110916520723876</v>
      </c>
    </row>
    <row r="794" ht="13.85" spans="1:13">
      <c r="A794" s="118">
        <v>45953</v>
      </c>
      <c r="B794" s="116">
        <v>5581</v>
      </c>
      <c r="C794" s="117">
        <v>35801</v>
      </c>
      <c r="D794" s="117">
        <v>1971</v>
      </c>
      <c r="E794" s="117">
        <v>14</v>
      </c>
      <c r="F794" s="117">
        <v>127006</v>
      </c>
      <c r="G794" s="117">
        <v>107</v>
      </c>
      <c r="H794" s="117">
        <v>11</v>
      </c>
      <c r="I794" s="110">
        <f t="shared" si="77"/>
        <v>0.0550543280913941</v>
      </c>
      <c r="J794" s="111">
        <f t="shared" si="79"/>
        <v>2.83155758498224</v>
      </c>
      <c r="K794" s="111">
        <f t="shared" si="75"/>
        <v>155.889500293288</v>
      </c>
      <c r="L794" s="111">
        <f t="shared" si="78"/>
        <v>22.7568536104641</v>
      </c>
      <c r="M794" s="112">
        <f t="shared" si="76"/>
        <v>0.00710299340436327</v>
      </c>
    </row>
    <row r="795" ht="13.85" spans="1:13">
      <c r="A795" s="118">
        <v>45954</v>
      </c>
      <c r="B795" s="116">
        <v>5062</v>
      </c>
      <c r="C795" s="117">
        <v>57232</v>
      </c>
      <c r="D795" s="117">
        <v>2342</v>
      </c>
      <c r="E795" s="117">
        <v>15</v>
      </c>
      <c r="F795" s="117">
        <v>112426</v>
      </c>
      <c r="G795" s="117">
        <v>142</v>
      </c>
      <c r="H795" s="117">
        <v>13</v>
      </c>
      <c r="I795" s="110">
        <f t="shared" si="77"/>
        <v>0.0409211629857422</v>
      </c>
      <c r="J795" s="111">
        <f t="shared" si="79"/>
        <v>2.16140051238258</v>
      </c>
      <c r="K795" s="111">
        <f t="shared" si="75"/>
        <v>88.4470226446743</v>
      </c>
      <c r="L795" s="111">
        <f t="shared" si="78"/>
        <v>22.2097984986171</v>
      </c>
      <c r="M795" s="112">
        <f t="shared" si="76"/>
        <v>0.00640478223740393</v>
      </c>
    </row>
    <row r="796" ht="13.85" spans="1:13">
      <c r="A796" s="118">
        <v>45955</v>
      </c>
      <c r="B796" s="116">
        <v>5132</v>
      </c>
      <c r="C796" s="117">
        <v>59346</v>
      </c>
      <c r="D796" s="117">
        <v>2561</v>
      </c>
      <c r="E796" s="117">
        <v>20</v>
      </c>
      <c r="F796" s="117">
        <v>169094</v>
      </c>
      <c r="G796" s="117">
        <v>102</v>
      </c>
      <c r="H796" s="117">
        <v>20</v>
      </c>
      <c r="I796" s="110">
        <f t="shared" si="77"/>
        <v>0.0431537087588043</v>
      </c>
      <c r="J796" s="111">
        <f t="shared" si="79"/>
        <v>2.00390472471691</v>
      </c>
      <c r="K796" s="111">
        <f t="shared" si="75"/>
        <v>86.4759208708253</v>
      </c>
      <c r="L796" s="111">
        <f t="shared" si="78"/>
        <v>32.9489477786438</v>
      </c>
      <c r="M796" s="112">
        <f t="shared" si="76"/>
        <v>0.00780944943381492</v>
      </c>
    </row>
    <row r="797" ht="13.85" spans="1:13">
      <c r="A797" s="118">
        <v>45956</v>
      </c>
      <c r="B797" s="116">
        <v>5131</v>
      </c>
      <c r="C797" s="117">
        <v>66490</v>
      </c>
      <c r="D797" s="117">
        <v>2528</v>
      </c>
      <c r="E797" s="117">
        <v>17</v>
      </c>
      <c r="F797" s="117">
        <v>173515</v>
      </c>
      <c r="G797" s="117">
        <v>152</v>
      </c>
      <c r="H797" s="117">
        <v>12</v>
      </c>
      <c r="I797" s="110">
        <f t="shared" si="77"/>
        <v>0.038020755000752</v>
      </c>
      <c r="J797" s="111">
        <f t="shared" si="79"/>
        <v>2.02966772151899</v>
      </c>
      <c r="K797" s="111">
        <f t="shared" si="75"/>
        <v>77.1694991728079</v>
      </c>
      <c r="L797" s="111">
        <f t="shared" si="78"/>
        <v>33.8169947378679</v>
      </c>
      <c r="M797" s="112">
        <f t="shared" si="76"/>
        <v>0.0067246835443038</v>
      </c>
    </row>
    <row r="798" ht="13.85" spans="1:13">
      <c r="A798" s="118">
        <v>45957</v>
      </c>
      <c r="B798" s="116">
        <v>5171</v>
      </c>
      <c r="C798" s="117">
        <v>68207</v>
      </c>
      <c r="D798" s="117">
        <v>2434</v>
      </c>
      <c r="E798" s="117">
        <v>9</v>
      </c>
      <c r="F798" s="117">
        <v>105334</v>
      </c>
      <c r="G798" s="117">
        <v>111</v>
      </c>
      <c r="H798" s="117">
        <v>12</v>
      </c>
      <c r="I798" s="110">
        <f t="shared" si="77"/>
        <v>0.0356854868268653</v>
      </c>
      <c r="J798" s="111">
        <f t="shared" si="79"/>
        <v>2.12448644207067</v>
      </c>
      <c r="K798" s="111">
        <f t="shared" si="75"/>
        <v>75.8133329423666</v>
      </c>
      <c r="L798" s="111">
        <f t="shared" si="78"/>
        <v>20.3701411719203</v>
      </c>
      <c r="M798" s="112">
        <f t="shared" si="76"/>
        <v>0.00369761709120789</v>
      </c>
    </row>
    <row r="799" ht="13.85" spans="1:13">
      <c r="A799" s="118">
        <v>45958</v>
      </c>
      <c r="B799" s="116">
        <v>5043</v>
      </c>
      <c r="C799" s="117">
        <v>68522</v>
      </c>
      <c r="D799" s="117">
        <v>2615</v>
      </c>
      <c r="E799" s="117">
        <v>8</v>
      </c>
      <c r="F799" s="117">
        <v>37392</v>
      </c>
      <c r="G799" s="117">
        <v>101</v>
      </c>
      <c r="H799" s="117">
        <v>13</v>
      </c>
      <c r="I799" s="110">
        <f t="shared" si="77"/>
        <v>0.0381629257756633</v>
      </c>
      <c r="J799" s="111">
        <f t="shared" si="79"/>
        <v>1.92848948374761</v>
      </c>
      <c r="K799" s="111">
        <f t="shared" si="75"/>
        <v>73.5968010274073</v>
      </c>
      <c r="L799" s="111">
        <f t="shared" si="78"/>
        <v>7.41463414634146</v>
      </c>
      <c r="M799" s="112">
        <f t="shared" si="76"/>
        <v>0.00305927342256214</v>
      </c>
    </row>
    <row r="800" ht="13.85" spans="1:13">
      <c r="A800" s="118">
        <v>45959</v>
      </c>
      <c r="B800" s="116">
        <v>5057</v>
      </c>
      <c r="C800" s="117">
        <v>53953</v>
      </c>
      <c r="D800" s="117">
        <v>2656</v>
      </c>
      <c r="E800" s="117">
        <v>7</v>
      </c>
      <c r="F800" s="117">
        <v>64630</v>
      </c>
      <c r="G800" s="117">
        <v>80</v>
      </c>
      <c r="H800" s="117">
        <v>14</v>
      </c>
      <c r="I800" s="110">
        <f t="shared" si="77"/>
        <v>0.0492280318054603</v>
      </c>
      <c r="J800" s="111">
        <f t="shared" si="79"/>
        <v>1.90399096385542</v>
      </c>
      <c r="K800" s="111">
        <f t="shared" si="75"/>
        <v>93.7297277259837</v>
      </c>
      <c r="L800" s="111">
        <f t="shared" si="78"/>
        <v>12.7803045283765</v>
      </c>
      <c r="M800" s="112">
        <f t="shared" si="76"/>
        <v>0.0026355421686747</v>
      </c>
    </row>
    <row r="801" ht="13.85" spans="1:13">
      <c r="A801" s="118">
        <v>45960</v>
      </c>
      <c r="B801" s="116">
        <v>5625</v>
      </c>
      <c r="C801" s="117">
        <v>51721</v>
      </c>
      <c r="D801" s="117">
        <v>2443</v>
      </c>
      <c r="E801" s="117">
        <v>8</v>
      </c>
      <c r="F801" s="117">
        <v>76859</v>
      </c>
      <c r="G801" s="117">
        <v>86</v>
      </c>
      <c r="H801" s="117">
        <v>14</v>
      </c>
      <c r="I801" s="110">
        <f t="shared" si="77"/>
        <v>0.0472341988747317</v>
      </c>
      <c r="J801" s="111">
        <f t="shared" si="79"/>
        <v>2.30249693000409</v>
      </c>
      <c r="K801" s="111">
        <f t="shared" si="75"/>
        <v>108.756597900273</v>
      </c>
      <c r="L801" s="111">
        <f t="shared" si="78"/>
        <v>13.6638222222222</v>
      </c>
      <c r="M801" s="112">
        <f t="shared" si="76"/>
        <v>0.00327466230045027</v>
      </c>
    </row>
    <row r="802" ht="13.85" spans="1:13">
      <c r="A802" s="118">
        <v>45961</v>
      </c>
      <c r="B802" s="116">
        <v>5539</v>
      </c>
      <c r="C802" s="117">
        <v>46265</v>
      </c>
      <c r="D802" s="117">
        <v>2285</v>
      </c>
      <c r="E802" s="117">
        <v>9</v>
      </c>
      <c r="F802" s="117">
        <v>102166</v>
      </c>
      <c r="G802" s="117">
        <v>89</v>
      </c>
      <c r="H802" s="117">
        <v>20</v>
      </c>
      <c r="I802" s="110">
        <f t="shared" si="77"/>
        <v>0.0493893872257646</v>
      </c>
      <c r="J802" s="111">
        <f t="shared" si="79"/>
        <v>2.42407002188184</v>
      </c>
      <c r="K802" s="111">
        <f t="shared" si="75"/>
        <v>119.72333297309</v>
      </c>
      <c r="L802" s="111">
        <f t="shared" si="78"/>
        <v>18.4448456400072</v>
      </c>
      <c r="M802" s="112">
        <f t="shared" si="76"/>
        <v>0.00393873085339169</v>
      </c>
    </row>
    <row r="803" ht="13.85" spans="1:13">
      <c r="A803" s="118">
        <v>45962</v>
      </c>
      <c r="B803" s="116">
        <v>5620</v>
      </c>
      <c r="C803" s="117">
        <v>43640</v>
      </c>
      <c r="D803" s="117">
        <v>2224</v>
      </c>
      <c r="E803" s="117">
        <v>11</v>
      </c>
      <c r="F803" s="117">
        <v>83273</v>
      </c>
      <c r="G803" s="117">
        <v>112</v>
      </c>
      <c r="H803" s="117">
        <v>17</v>
      </c>
      <c r="I803" s="110">
        <f t="shared" si="77"/>
        <v>0.0509624197983501</v>
      </c>
      <c r="J803" s="111">
        <f t="shared" si="79"/>
        <v>2.52697841726619</v>
      </c>
      <c r="K803" s="111">
        <f t="shared" si="75"/>
        <v>128.78093492209</v>
      </c>
      <c r="L803" s="111">
        <f t="shared" si="78"/>
        <v>14.8172597864769</v>
      </c>
      <c r="M803" s="112">
        <f t="shared" si="76"/>
        <v>0.00494604316546763</v>
      </c>
    </row>
    <row r="804" ht="13.85" spans="1:13">
      <c r="A804" s="118">
        <v>45963</v>
      </c>
      <c r="B804" s="116">
        <v>5609</v>
      </c>
      <c r="C804" s="117">
        <v>49120</v>
      </c>
      <c r="D804" s="117">
        <v>2133</v>
      </c>
      <c r="E804" s="117">
        <v>8</v>
      </c>
      <c r="F804" s="117">
        <v>69579</v>
      </c>
      <c r="G804" s="117">
        <v>92</v>
      </c>
      <c r="H804" s="117">
        <v>10</v>
      </c>
      <c r="I804" s="110">
        <f t="shared" si="77"/>
        <v>0.0434242671009772</v>
      </c>
      <c r="J804" s="111">
        <f t="shared" si="79"/>
        <v>2.62962962962963</v>
      </c>
      <c r="K804" s="111">
        <f t="shared" si="75"/>
        <v>114.189739413681</v>
      </c>
      <c r="L804" s="111">
        <f t="shared" si="78"/>
        <v>12.40488500624</v>
      </c>
      <c r="M804" s="112">
        <f t="shared" si="76"/>
        <v>0.00375058602906704</v>
      </c>
    </row>
    <row r="805" ht="13.85" spans="1:13">
      <c r="A805" s="118">
        <v>45964</v>
      </c>
      <c r="B805" s="116">
        <v>5160</v>
      </c>
      <c r="C805" s="117">
        <v>46109</v>
      </c>
      <c r="D805" s="117">
        <v>1985</v>
      </c>
      <c r="E805" s="117">
        <v>7</v>
      </c>
      <c r="F805" s="117">
        <v>58982</v>
      </c>
      <c r="G805" s="117">
        <v>76</v>
      </c>
      <c r="H805" s="117">
        <v>6</v>
      </c>
      <c r="I805" s="110">
        <f t="shared" si="77"/>
        <v>0.0430501637424364</v>
      </c>
      <c r="J805" s="111">
        <f t="shared" si="79"/>
        <v>2.59949622166247</v>
      </c>
      <c r="K805" s="111">
        <f t="shared" si="75"/>
        <v>111.908737990414</v>
      </c>
      <c r="L805" s="111">
        <f t="shared" si="78"/>
        <v>11.4306201550388</v>
      </c>
      <c r="M805" s="112">
        <f t="shared" si="76"/>
        <v>0.0035264483627204</v>
      </c>
    </row>
    <row r="806" ht="13.85" spans="1:13">
      <c r="A806" s="118">
        <v>45965</v>
      </c>
      <c r="B806" s="116">
        <v>6905</v>
      </c>
      <c r="C806" s="117">
        <v>67656</v>
      </c>
      <c r="D806" s="117">
        <v>2659</v>
      </c>
      <c r="E806" s="117">
        <v>6</v>
      </c>
      <c r="F806" s="117">
        <v>52883</v>
      </c>
      <c r="G806" s="117">
        <v>90</v>
      </c>
      <c r="H806" s="117">
        <v>10</v>
      </c>
      <c r="I806" s="110">
        <f t="shared" si="77"/>
        <v>0.0393017618540854</v>
      </c>
      <c r="J806" s="111">
        <f t="shared" si="79"/>
        <v>2.59684091763821</v>
      </c>
      <c r="K806" s="111">
        <f t="shared" si="75"/>
        <v>102.060423317961</v>
      </c>
      <c r="L806" s="111">
        <f t="shared" si="78"/>
        <v>7.65865314989138</v>
      </c>
      <c r="M806" s="112">
        <f t="shared" si="76"/>
        <v>0.00225648740127868</v>
      </c>
    </row>
    <row r="807" ht="13.85" spans="1:13">
      <c r="A807" s="118">
        <v>45966</v>
      </c>
      <c r="B807" s="116">
        <v>6953</v>
      </c>
      <c r="C807" s="117">
        <v>61696</v>
      </c>
      <c r="D807" s="117">
        <v>2530</v>
      </c>
      <c r="E807" s="117">
        <v>6</v>
      </c>
      <c r="F807" s="117">
        <v>43689</v>
      </c>
      <c r="G807" s="117">
        <v>106</v>
      </c>
      <c r="H807" s="117">
        <v>18</v>
      </c>
      <c r="I807" s="110">
        <f t="shared" si="77"/>
        <v>0.041007520746888</v>
      </c>
      <c r="J807" s="111">
        <f t="shared" si="79"/>
        <v>2.74822134387352</v>
      </c>
      <c r="K807" s="111">
        <f t="shared" si="75"/>
        <v>112.697743775934</v>
      </c>
      <c r="L807" s="111">
        <f t="shared" si="78"/>
        <v>6.28347475909679</v>
      </c>
      <c r="M807" s="112">
        <f t="shared" si="76"/>
        <v>0.00237154150197628</v>
      </c>
    </row>
    <row r="808" ht="13.85" spans="1:13">
      <c r="A808" s="118">
        <v>45967</v>
      </c>
      <c r="B808" s="116">
        <v>6867</v>
      </c>
      <c r="C808" s="117">
        <v>73060</v>
      </c>
      <c r="D808" s="117">
        <v>2763</v>
      </c>
      <c r="E808" s="117">
        <v>5</v>
      </c>
      <c r="F808" s="117">
        <v>41887</v>
      </c>
      <c r="G808" s="117">
        <v>87</v>
      </c>
      <c r="H808" s="117">
        <v>10</v>
      </c>
      <c r="I808" s="110">
        <f t="shared" si="77"/>
        <v>0.0378182315904736</v>
      </c>
      <c r="J808" s="111">
        <f t="shared" si="79"/>
        <v>2.48534201954397</v>
      </c>
      <c r="K808" s="111">
        <f t="shared" si="75"/>
        <v>93.9912400766493</v>
      </c>
      <c r="L808" s="111">
        <f t="shared" si="78"/>
        <v>6.09975243920198</v>
      </c>
      <c r="M808" s="112">
        <f t="shared" si="76"/>
        <v>0.00180962721679334</v>
      </c>
    </row>
    <row r="809" ht="13.85" spans="1:13">
      <c r="A809" s="118">
        <v>45968</v>
      </c>
      <c r="B809" s="116">
        <v>6436</v>
      </c>
      <c r="C809" s="117">
        <v>83132</v>
      </c>
      <c r="D809" s="117">
        <v>3404</v>
      </c>
      <c r="E809" s="117">
        <v>14</v>
      </c>
      <c r="F809" s="117">
        <v>109003</v>
      </c>
      <c r="G809" s="117">
        <v>62</v>
      </c>
      <c r="H809" s="117">
        <v>10</v>
      </c>
      <c r="I809" s="110">
        <f t="shared" si="77"/>
        <v>0.0409469277775105</v>
      </c>
      <c r="J809" s="111">
        <f t="shared" si="79"/>
        <v>1.89071680376028</v>
      </c>
      <c r="K809" s="111">
        <f t="shared" si="75"/>
        <v>77.4190444112977</v>
      </c>
      <c r="L809" s="111">
        <f t="shared" si="78"/>
        <v>16.9364512119329</v>
      </c>
      <c r="M809" s="112">
        <f t="shared" si="76"/>
        <v>0.00411280846063455</v>
      </c>
    </row>
    <row r="810" ht="13.85" spans="1:13">
      <c r="A810" s="118">
        <v>45969</v>
      </c>
      <c r="B810" s="116">
        <v>6497</v>
      </c>
      <c r="C810" s="117">
        <v>93976</v>
      </c>
      <c r="D810" s="117">
        <v>3188</v>
      </c>
      <c r="E810" s="117">
        <v>8</v>
      </c>
      <c r="F810" s="117">
        <v>68579</v>
      </c>
      <c r="G810" s="117">
        <v>80</v>
      </c>
      <c r="H810" s="117">
        <v>13</v>
      </c>
      <c r="I810" s="110">
        <f t="shared" si="77"/>
        <v>0.0339235549502001</v>
      </c>
      <c r="J810" s="111">
        <f t="shared" si="79"/>
        <v>2.03795483061481</v>
      </c>
      <c r="K810" s="111">
        <f t="shared" si="75"/>
        <v>69.134672682387</v>
      </c>
      <c r="L810" s="111">
        <f t="shared" si="78"/>
        <v>10.5554871479144</v>
      </c>
      <c r="M810" s="112">
        <f t="shared" si="76"/>
        <v>0.00250941028858218</v>
      </c>
    </row>
    <row r="811" ht="13.85" spans="1:13">
      <c r="A811" s="118">
        <v>45970</v>
      </c>
      <c r="B811" s="116">
        <v>6572</v>
      </c>
      <c r="C811" s="117">
        <v>69527</v>
      </c>
      <c r="D811" s="117">
        <v>4437</v>
      </c>
      <c r="E811" s="117">
        <v>10</v>
      </c>
      <c r="F811" s="117">
        <v>94631</v>
      </c>
      <c r="G811" s="117">
        <v>205</v>
      </c>
      <c r="H811" s="117">
        <v>22</v>
      </c>
      <c r="I811" s="110">
        <f t="shared" si="77"/>
        <v>0.0638169344283516</v>
      </c>
      <c r="J811" s="111">
        <f t="shared" si="79"/>
        <v>1.48118097813838</v>
      </c>
      <c r="K811" s="111">
        <f t="shared" si="75"/>
        <v>94.5244293583788</v>
      </c>
      <c r="L811" s="111">
        <f t="shared" si="78"/>
        <v>14.3991174680463</v>
      </c>
      <c r="M811" s="112">
        <f t="shared" si="76"/>
        <v>0.00225377507324769</v>
      </c>
    </row>
    <row r="812" ht="13.85" spans="1:13">
      <c r="A812" s="118">
        <v>45971</v>
      </c>
      <c r="B812" s="116">
        <v>10095</v>
      </c>
      <c r="C812" s="117">
        <v>121671</v>
      </c>
      <c r="D812" s="117">
        <v>4227</v>
      </c>
      <c r="E812" s="117">
        <v>39</v>
      </c>
      <c r="F812" s="117">
        <v>324021</v>
      </c>
      <c r="G812" s="117">
        <v>159</v>
      </c>
      <c r="H812" s="117">
        <v>19</v>
      </c>
      <c r="I812" s="110">
        <f t="shared" si="77"/>
        <v>0.0347412283946051</v>
      </c>
      <c r="J812" s="111">
        <f t="shared" si="79"/>
        <v>2.38821859474805</v>
      </c>
      <c r="K812" s="111">
        <f t="shared" si="75"/>
        <v>82.9696476563848</v>
      </c>
      <c r="L812" s="111">
        <f t="shared" si="78"/>
        <v>32.097176820208</v>
      </c>
      <c r="M812" s="112">
        <f t="shared" si="76"/>
        <v>0.0092264017033357</v>
      </c>
    </row>
    <row r="813" ht="13.85" spans="1:13">
      <c r="A813" s="118">
        <v>45972</v>
      </c>
      <c r="B813" s="116">
        <v>9079</v>
      </c>
      <c r="C813" s="117">
        <v>111973</v>
      </c>
      <c r="D813" s="117">
        <v>3870</v>
      </c>
      <c r="E813" s="117">
        <v>32</v>
      </c>
      <c r="F813" s="117">
        <v>300503</v>
      </c>
      <c r="G813" s="117">
        <v>151</v>
      </c>
      <c r="H813" s="117">
        <v>19</v>
      </c>
      <c r="I813" s="110">
        <f t="shared" si="77"/>
        <v>0.034561903315978</v>
      </c>
      <c r="J813" s="111">
        <f t="shared" si="79"/>
        <v>2.34599483204134</v>
      </c>
      <c r="K813" s="111">
        <f t="shared" si="75"/>
        <v>81.0820465647969</v>
      </c>
      <c r="L813" s="111">
        <f t="shared" si="78"/>
        <v>33.0986892829607</v>
      </c>
      <c r="M813" s="112">
        <f t="shared" si="76"/>
        <v>0.0082687338501292</v>
      </c>
    </row>
    <row r="814" ht="13.85" spans="1:13">
      <c r="A814" s="118">
        <v>45973</v>
      </c>
      <c r="B814" s="116">
        <v>8851</v>
      </c>
      <c r="C814" s="117">
        <v>126220</v>
      </c>
      <c r="D814" s="117">
        <v>4778</v>
      </c>
      <c r="E814" s="117">
        <v>34</v>
      </c>
      <c r="F814" s="117">
        <v>275484</v>
      </c>
      <c r="G814" s="117">
        <v>124</v>
      </c>
      <c r="H814" s="117">
        <v>16</v>
      </c>
      <c r="I814" s="110">
        <f t="shared" si="77"/>
        <v>0.0378545396926002</v>
      </c>
      <c r="J814" s="111">
        <f t="shared" si="79"/>
        <v>1.85244872331519</v>
      </c>
      <c r="K814" s="111">
        <f t="shared" si="75"/>
        <v>70.1235937252416</v>
      </c>
      <c r="L814" s="111">
        <f t="shared" si="78"/>
        <v>31.124618687154</v>
      </c>
      <c r="M814" s="112">
        <f t="shared" si="76"/>
        <v>0.00711594809543742</v>
      </c>
    </row>
    <row r="815" ht="13.85" spans="1:13">
      <c r="A815" s="118">
        <v>45974</v>
      </c>
      <c r="B815" s="116">
        <v>8864</v>
      </c>
      <c r="C815" s="117">
        <v>158041</v>
      </c>
      <c r="D815" s="117">
        <v>5922</v>
      </c>
      <c r="E815" s="117">
        <v>23</v>
      </c>
      <c r="F815" s="117">
        <v>192050</v>
      </c>
      <c r="G815" s="117">
        <v>139</v>
      </c>
      <c r="H815" s="117">
        <v>17</v>
      </c>
      <c r="I815" s="110">
        <f t="shared" si="77"/>
        <v>0.0374712890958675</v>
      </c>
      <c r="J815" s="111">
        <f t="shared" si="79"/>
        <v>1.4967916244512</v>
      </c>
      <c r="K815" s="111">
        <f t="shared" si="75"/>
        <v>56.0867116760841</v>
      </c>
      <c r="L815" s="111">
        <f t="shared" si="78"/>
        <v>21.6662906137184</v>
      </c>
      <c r="M815" s="112">
        <f t="shared" si="76"/>
        <v>0.0038838230327592</v>
      </c>
    </row>
    <row r="816" ht="13.85" spans="1:13">
      <c r="A816" s="118">
        <v>45975</v>
      </c>
      <c r="B816" s="116">
        <v>8864</v>
      </c>
      <c r="C816" s="117">
        <v>154806</v>
      </c>
      <c r="D816" s="117">
        <v>5876</v>
      </c>
      <c r="E816" s="117">
        <v>26</v>
      </c>
      <c r="F816" s="117">
        <v>222289</v>
      </c>
      <c r="G816" s="117">
        <v>128</v>
      </c>
      <c r="H816" s="117">
        <v>18</v>
      </c>
      <c r="I816" s="110">
        <f t="shared" si="77"/>
        <v>0.0379571851220237</v>
      </c>
      <c r="J816" s="111">
        <f t="shared" si="79"/>
        <v>1.50850918992512</v>
      </c>
      <c r="K816" s="111">
        <f t="shared" si="75"/>
        <v>57.2587625802617</v>
      </c>
      <c r="L816" s="111">
        <f t="shared" si="78"/>
        <v>25.0777301444043</v>
      </c>
      <c r="M816" s="112">
        <f t="shared" si="76"/>
        <v>0.00442477876106195</v>
      </c>
    </row>
    <row r="817" ht="13.85" spans="1:13">
      <c r="A817" s="118">
        <v>45976</v>
      </c>
      <c r="B817" s="116">
        <v>2347</v>
      </c>
      <c r="C817" s="117">
        <v>15292</v>
      </c>
      <c r="D817" s="117">
        <v>1203</v>
      </c>
      <c r="E817" s="117">
        <v>0</v>
      </c>
      <c r="F817" s="117">
        <v>0</v>
      </c>
      <c r="G817" s="117">
        <v>36</v>
      </c>
      <c r="H817" s="117">
        <v>6</v>
      </c>
      <c r="I817" s="110">
        <f t="shared" si="77"/>
        <v>0.0786685848809835</v>
      </c>
      <c r="J817" s="111">
        <f t="shared" si="79"/>
        <v>1.95095594347465</v>
      </c>
      <c r="K817" s="111">
        <f t="shared" si="75"/>
        <v>153.478943238295</v>
      </c>
      <c r="L817" s="111">
        <f t="shared" si="78"/>
        <v>0</v>
      </c>
      <c r="M817" s="112">
        <f t="shared" si="76"/>
        <v>0</v>
      </c>
    </row>
    <row r="818" ht="13.85" spans="1:13">
      <c r="A818" s="118">
        <v>45977</v>
      </c>
      <c r="B818" s="116">
        <v>2266</v>
      </c>
      <c r="C818" s="117">
        <v>19396</v>
      </c>
      <c r="D818" s="117">
        <v>1089</v>
      </c>
      <c r="E818" s="117">
        <v>0</v>
      </c>
      <c r="F818" s="117">
        <v>0</v>
      </c>
      <c r="G818" s="117">
        <v>20</v>
      </c>
      <c r="H818" s="117">
        <v>3</v>
      </c>
      <c r="I818" s="110">
        <f t="shared" si="77"/>
        <v>0.0561455970303155</v>
      </c>
      <c r="J818" s="111">
        <f t="shared" si="79"/>
        <v>2.08080808080808</v>
      </c>
      <c r="K818" s="111">
        <f t="shared" si="75"/>
        <v>116.828212002475</v>
      </c>
      <c r="L818" s="111">
        <f t="shared" si="78"/>
        <v>0</v>
      </c>
      <c r="M818" s="112">
        <f t="shared" si="76"/>
        <v>0</v>
      </c>
    </row>
    <row r="819" ht="13.85" spans="1:13">
      <c r="A819" s="118">
        <v>45978</v>
      </c>
      <c r="B819" s="116">
        <v>855</v>
      </c>
      <c r="C819" s="117">
        <v>8077</v>
      </c>
      <c r="D819" s="117">
        <v>349</v>
      </c>
      <c r="E819" s="117">
        <v>0</v>
      </c>
      <c r="F819" s="117">
        <v>0</v>
      </c>
      <c r="G819" s="117">
        <v>18</v>
      </c>
      <c r="H819" s="117">
        <v>5</v>
      </c>
      <c r="I819" s="110">
        <f t="shared" si="77"/>
        <v>0.0432091122941686</v>
      </c>
      <c r="J819" s="111">
        <f t="shared" si="79"/>
        <v>2.44985673352436</v>
      </c>
      <c r="K819" s="111">
        <f t="shared" si="75"/>
        <v>105.856134703479</v>
      </c>
      <c r="L819" s="111">
        <f t="shared" si="78"/>
        <v>0</v>
      </c>
      <c r="M819" s="112">
        <f t="shared" si="76"/>
        <v>0</v>
      </c>
    </row>
    <row r="820" ht="13.85" spans="1:13">
      <c r="A820" s="118">
        <v>45979</v>
      </c>
      <c r="B820" s="116">
        <v>496</v>
      </c>
      <c r="C820" s="117">
        <v>6107</v>
      </c>
      <c r="D820" s="117">
        <v>232</v>
      </c>
      <c r="E820" s="117">
        <v>0</v>
      </c>
      <c r="F820" s="117">
        <v>0</v>
      </c>
      <c r="G820" s="117">
        <v>8</v>
      </c>
      <c r="H820" s="117">
        <v>2</v>
      </c>
      <c r="I820" s="110">
        <f t="shared" si="77"/>
        <v>0.0379891927296545</v>
      </c>
      <c r="J820" s="111">
        <f t="shared" si="79"/>
        <v>2.13793103448276</v>
      </c>
      <c r="K820" s="111">
        <f t="shared" si="75"/>
        <v>81.2182741116751</v>
      </c>
      <c r="L820" s="111">
        <f t="shared" si="78"/>
        <v>0</v>
      </c>
      <c r="M820" s="112">
        <f t="shared" si="76"/>
        <v>0</v>
      </c>
    </row>
    <row r="821" ht="13.85" spans="1:13">
      <c r="A821" s="118">
        <v>45980</v>
      </c>
      <c r="B821" s="116">
        <v>397</v>
      </c>
      <c r="C821" s="117">
        <v>3535</v>
      </c>
      <c r="D821" s="117">
        <v>190</v>
      </c>
      <c r="E821" s="117">
        <v>0</v>
      </c>
      <c r="F821" s="117">
        <v>0</v>
      </c>
      <c r="G821" s="117">
        <v>11</v>
      </c>
      <c r="H821" s="117">
        <v>2</v>
      </c>
      <c r="I821" s="110">
        <f t="shared" si="77"/>
        <v>0.0537482319660538</v>
      </c>
      <c r="J821" s="111">
        <f t="shared" si="79"/>
        <v>2.08947368421053</v>
      </c>
      <c r="K821" s="111">
        <f t="shared" si="75"/>
        <v>112.305516265912</v>
      </c>
      <c r="L821" s="111">
        <f t="shared" si="78"/>
        <v>0</v>
      </c>
      <c r="M821" s="112">
        <f t="shared" si="76"/>
        <v>0</v>
      </c>
    </row>
    <row r="822" ht="13.85" spans="1:13">
      <c r="A822" s="118">
        <v>45981</v>
      </c>
      <c r="B822" s="116">
        <v>383</v>
      </c>
      <c r="C822" s="117">
        <v>2074</v>
      </c>
      <c r="D822" s="117">
        <v>156</v>
      </c>
      <c r="E822" s="117">
        <v>0</v>
      </c>
      <c r="F822" s="117">
        <v>0</v>
      </c>
      <c r="G822" s="117">
        <v>5</v>
      </c>
      <c r="H822" s="117">
        <v>2</v>
      </c>
      <c r="I822" s="110">
        <f t="shared" si="77"/>
        <v>0.0752169720347155</v>
      </c>
      <c r="J822" s="111">
        <f t="shared" si="79"/>
        <v>2.45512820512821</v>
      </c>
      <c r="K822" s="111">
        <f t="shared" si="75"/>
        <v>184.66730954677</v>
      </c>
      <c r="L822" s="111">
        <f t="shared" si="78"/>
        <v>0</v>
      </c>
      <c r="M822" s="112">
        <f t="shared" si="76"/>
        <v>0</v>
      </c>
    </row>
    <row r="823" ht="13.85" spans="1:13">
      <c r="A823" s="118">
        <v>45982</v>
      </c>
      <c r="B823" s="116">
        <v>497</v>
      </c>
      <c r="C823" s="117">
        <v>1971</v>
      </c>
      <c r="D823" s="117">
        <v>173</v>
      </c>
      <c r="E823" s="117">
        <v>2</v>
      </c>
      <c r="F823" s="117">
        <v>31092</v>
      </c>
      <c r="G823" s="117">
        <v>8</v>
      </c>
      <c r="H823" s="117">
        <v>0</v>
      </c>
      <c r="I823" s="110">
        <f t="shared" si="77"/>
        <v>0.0877727042110604</v>
      </c>
      <c r="J823" s="111">
        <f t="shared" si="79"/>
        <v>2.8728323699422</v>
      </c>
      <c r="K823" s="111">
        <f t="shared" si="75"/>
        <v>252.156265854896</v>
      </c>
      <c r="L823" s="111">
        <f t="shared" si="78"/>
        <v>62.5593561368209</v>
      </c>
      <c r="M823" s="112">
        <f t="shared" si="76"/>
        <v>0.0115606936416185</v>
      </c>
    </row>
    <row r="824" ht="13.85" spans="1:13">
      <c r="A824" s="118">
        <v>45983</v>
      </c>
      <c r="B824" s="116">
        <v>500</v>
      </c>
      <c r="C824" s="117">
        <v>4416</v>
      </c>
      <c r="D824" s="117">
        <v>223</v>
      </c>
      <c r="E824" s="117">
        <v>0</v>
      </c>
      <c r="F824" s="117">
        <v>0</v>
      </c>
      <c r="G824" s="117">
        <v>8</v>
      </c>
      <c r="H824" s="117">
        <v>1</v>
      </c>
      <c r="I824" s="110">
        <f t="shared" si="77"/>
        <v>0.0504981884057971</v>
      </c>
      <c r="J824" s="111">
        <f t="shared" si="79"/>
        <v>2.24215246636771</v>
      </c>
      <c r="K824" s="111">
        <f t="shared" si="75"/>
        <v>113.224637681159</v>
      </c>
      <c r="L824" s="111">
        <f t="shared" si="78"/>
        <v>0</v>
      </c>
      <c r="M824" s="112">
        <f t="shared" si="76"/>
        <v>0</v>
      </c>
    </row>
    <row r="825" ht="13.85" spans="1:13">
      <c r="A825" s="118">
        <v>45984</v>
      </c>
      <c r="B825" s="116">
        <v>500</v>
      </c>
      <c r="C825" s="117">
        <v>2881</v>
      </c>
      <c r="D825" s="117">
        <v>182</v>
      </c>
      <c r="E825" s="117">
        <v>0</v>
      </c>
      <c r="F825" s="117">
        <v>0</v>
      </c>
      <c r="G825" s="117">
        <v>7</v>
      </c>
      <c r="H825" s="117">
        <v>1</v>
      </c>
      <c r="I825" s="110">
        <f t="shared" si="77"/>
        <v>0.0631725095452968</v>
      </c>
      <c r="J825" s="111">
        <f t="shared" si="79"/>
        <v>2.74725274725275</v>
      </c>
      <c r="K825" s="111">
        <f t="shared" si="75"/>
        <v>173.550850399167</v>
      </c>
      <c r="L825" s="111">
        <f t="shared" si="78"/>
        <v>0</v>
      </c>
      <c r="M825" s="112">
        <f t="shared" si="76"/>
        <v>0</v>
      </c>
    </row>
    <row r="826" ht="13.85" spans="1:13">
      <c r="A826" s="118">
        <v>45985</v>
      </c>
      <c r="B826" s="116">
        <v>499</v>
      </c>
      <c r="C826" s="117">
        <v>4562</v>
      </c>
      <c r="D826" s="117">
        <v>208</v>
      </c>
      <c r="E826" s="117">
        <v>0</v>
      </c>
      <c r="F826" s="117">
        <v>0</v>
      </c>
      <c r="G826" s="117">
        <v>14</v>
      </c>
      <c r="H826" s="117">
        <v>4</v>
      </c>
      <c r="I826" s="110">
        <f t="shared" si="77"/>
        <v>0.0455940377027619</v>
      </c>
      <c r="J826" s="111">
        <f t="shared" si="79"/>
        <v>2.39903846153846</v>
      </c>
      <c r="K826" s="111">
        <f t="shared" si="75"/>
        <v>109.381850065761</v>
      </c>
      <c r="L826" s="111">
        <f t="shared" si="78"/>
        <v>0</v>
      </c>
      <c r="M826" s="112">
        <f t="shared" si="76"/>
        <v>0</v>
      </c>
    </row>
    <row r="827" ht="13.85" spans="1:13">
      <c r="A827" s="118">
        <v>45986</v>
      </c>
      <c r="B827" s="116">
        <v>500</v>
      </c>
      <c r="C827" s="117">
        <v>3839</v>
      </c>
      <c r="D827" s="117">
        <v>198</v>
      </c>
      <c r="E827" s="117">
        <v>0</v>
      </c>
      <c r="F827" s="117">
        <v>0</v>
      </c>
      <c r="G827" s="117">
        <v>9</v>
      </c>
      <c r="H827" s="117">
        <v>3</v>
      </c>
      <c r="I827" s="110">
        <f t="shared" si="77"/>
        <v>0.0515759312320917</v>
      </c>
      <c r="J827" s="111">
        <f t="shared" si="79"/>
        <v>2.52525252525252</v>
      </c>
      <c r="K827" s="111">
        <f t="shared" si="75"/>
        <v>130.24225058609</v>
      </c>
      <c r="L827" s="111">
        <f t="shared" si="78"/>
        <v>0</v>
      </c>
      <c r="M827" s="112">
        <f t="shared" si="76"/>
        <v>0</v>
      </c>
    </row>
    <row r="828" ht="13.85" spans="1:13">
      <c r="A828" s="118">
        <v>45987</v>
      </c>
      <c r="B828" s="116">
        <v>777</v>
      </c>
      <c r="C828" s="117">
        <v>3948</v>
      </c>
      <c r="D828" s="117">
        <v>281</v>
      </c>
      <c r="E828" s="117">
        <v>1</v>
      </c>
      <c r="F828" s="117">
        <v>14663</v>
      </c>
      <c r="G828" s="117">
        <v>17</v>
      </c>
      <c r="H828" s="117">
        <v>2</v>
      </c>
      <c r="I828" s="110">
        <f t="shared" si="77"/>
        <v>0.0711752786220871</v>
      </c>
      <c r="J828" s="111">
        <f t="shared" si="79"/>
        <v>2.76512455516014</v>
      </c>
      <c r="K828" s="111">
        <f t="shared" ref="K828:K891" si="80">B828/C828*1000</f>
        <v>196.808510638298</v>
      </c>
      <c r="L828" s="111">
        <f t="shared" si="78"/>
        <v>18.8712998712999</v>
      </c>
      <c r="M828" s="112">
        <f t="shared" si="76"/>
        <v>0.00355871886120996</v>
      </c>
    </row>
    <row r="829" ht="13.85" spans="1:13">
      <c r="A829" s="118">
        <v>45988</v>
      </c>
      <c r="B829" s="116">
        <v>1261</v>
      </c>
      <c r="C829" s="117">
        <v>5736</v>
      </c>
      <c r="D829" s="117">
        <v>409</v>
      </c>
      <c r="E829" s="117">
        <v>0</v>
      </c>
      <c r="F829" s="117">
        <v>0</v>
      </c>
      <c r="G829" s="117">
        <v>14</v>
      </c>
      <c r="H829" s="117">
        <v>4</v>
      </c>
      <c r="I829" s="110">
        <f t="shared" si="77"/>
        <v>0.0713040446304045</v>
      </c>
      <c r="J829" s="111">
        <f t="shared" si="79"/>
        <v>3.08312958435208</v>
      </c>
      <c r="K829" s="111">
        <f t="shared" si="80"/>
        <v>219.839609483961</v>
      </c>
      <c r="L829" s="111">
        <f t="shared" si="78"/>
        <v>0</v>
      </c>
      <c r="M829" s="112">
        <f t="shared" si="76"/>
        <v>0</v>
      </c>
    </row>
    <row r="830" ht="13.85" spans="1:13">
      <c r="A830" s="118">
        <v>45989</v>
      </c>
      <c r="B830" s="116">
        <v>1315</v>
      </c>
      <c r="C830" s="117">
        <v>6042</v>
      </c>
      <c r="D830" s="117">
        <v>473</v>
      </c>
      <c r="E830" s="117">
        <v>0</v>
      </c>
      <c r="F830" s="117">
        <v>0</v>
      </c>
      <c r="G830" s="117">
        <v>6</v>
      </c>
      <c r="H830" s="117">
        <v>0</v>
      </c>
      <c r="I830" s="110">
        <f t="shared" si="77"/>
        <v>0.0782853359814631</v>
      </c>
      <c r="J830" s="111">
        <f t="shared" si="79"/>
        <v>2.78012684989429</v>
      </c>
      <c r="K830" s="111">
        <f t="shared" si="80"/>
        <v>217.643164515061</v>
      </c>
      <c r="L830" s="111">
        <f t="shared" si="78"/>
        <v>0</v>
      </c>
      <c r="M830" s="112">
        <f t="shared" si="76"/>
        <v>0</v>
      </c>
    </row>
    <row r="831" ht="13.85" spans="1:13">
      <c r="A831" s="118">
        <v>45990</v>
      </c>
      <c r="B831" s="116">
        <v>496</v>
      </c>
      <c r="C831" s="117">
        <v>3709</v>
      </c>
      <c r="D831" s="117">
        <v>221</v>
      </c>
      <c r="E831" s="117">
        <v>0</v>
      </c>
      <c r="F831" s="117">
        <v>0</v>
      </c>
      <c r="G831" s="117">
        <v>7</v>
      </c>
      <c r="H831" s="117">
        <v>1</v>
      </c>
      <c r="I831" s="110">
        <f t="shared" si="77"/>
        <v>0.0595847937449447</v>
      </c>
      <c r="J831" s="111">
        <f t="shared" si="79"/>
        <v>2.24434389140271</v>
      </c>
      <c r="K831" s="111">
        <f t="shared" si="80"/>
        <v>133.728767861957</v>
      </c>
      <c r="L831" s="111">
        <f t="shared" si="78"/>
        <v>0</v>
      </c>
      <c r="M831" s="112">
        <f t="shared" si="76"/>
        <v>0</v>
      </c>
    </row>
    <row r="832" ht="13.85" spans="1:13">
      <c r="A832" s="118">
        <v>45991</v>
      </c>
      <c r="B832" s="116">
        <v>500</v>
      </c>
      <c r="C832" s="117">
        <v>3150</v>
      </c>
      <c r="D832" s="117">
        <v>229</v>
      </c>
      <c r="E832" s="117">
        <v>0</v>
      </c>
      <c r="F832" s="117">
        <v>0</v>
      </c>
      <c r="G832" s="117">
        <v>14</v>
      </c>
      <c r="H832" s="117">
        <v>3</v>
      </c>
      <c r="I832" s="110">
        <f t="shared" si="77"/>
        <v>0.0726984126984127</v>
      </c>
      <c r="J832" s="111">
        <f t="shared" si="79"/>
        <v>2.18340611353712</v>
      </c>
      <c r="K832" s="111">
        <f t="shared" si="80"/>
        <v>158.730158730159</v>
      </c>
      <c r="L832" s="111">
        <f t="shared" si="78"/>
        <v>0</v>
      </c>
      <c r="M832" s="112">
        <f t="shared" si="76"/>
        <v>0</v>
      </c>
    </row>
    <row r="833" ht="13.85" spans="1:13">
      <c r="A833" s="118">
        <v>45992</v>
      </c>
      <c r="B833" s="116">
        <v>1500</v>
      </c>
      <c r="C833" s="117">
        <v>9990</v>
      </c>
      <c r="D833" s="117">
        <v>584</v>
      </c>
      <c r="E833" s="117">
        <v>0</v>
      </c>
      <c r="F833" s="117">
        <v>0</v>
      </c>
      <c r="G833" s="117">
        <v>17</v>
      </c>
      <c r="H833" s="117">
        <v>4</v>
      </c>
      <c r="I833" s="110">
        <f t="shared" si="77"/>
        <v>0.0584584584584585</v>
      </c>
      <c r="J833" s="111">
        <f t="shared" si="79"/>
        <v>2.56849315068493</v>
      </c>
      <c r="K833" s="111">
        <f t="shared" si="80"/>
        <v>150.15015015015</v>
      </c>
      <c r="L833" s="111">
        <f t="shared" si="78"/>
        <v>0</v>
      </c>
      <c r="M833" s="112">
        <f t="shared" ref="M833:M896" si="81">E833/D833</f>
        <v>0</v>
      </c>
    </row>
    <row r="834" ht="13.85" spans="1:13">
      <c r="A834" s="118">
        <v>45993</v>
      </c>
      <c r="B834" s="116">
        <v>989</v>
      </c>
      <c r="C834" s="117">
        <v>5988</v>
      </c>
      <c r="D834" s="117">
        <v>361</v>
      </c>
      <c r="E834" s="117">
        <v>0</v>
      </c>
      <c r="F834" s="117">
        <v>0</v>
      </c>
      <c r="G834" s="117">
        <v>20</v>
      </c>
      <c r="H834" s="117">
        <v>4</v>
      </c>
      <c r="I834" s="110">
        <f t="shared" si="77"/>
        <v>0.0602872411489646</v>
      </c>
      <c r="J834" s="111">
        <f t="shared" si="79"/>
        <v>2.73961218836565</v>
      </c>
      <c r="K834" s="111">
        <f t="shared" si="80"/>
        <v>165.163660654643</v>
      </c>
      <c r="L834" s="111">
        <f t="shared" si="78"/>
        <v>0</v>
      </c>
      <c r="M834" s="112">
        <f t="shared" si="81"/>
        <v>0</v>
      </c>
    </row>
    <row r="835" ht="13.85" spans="1:13">
      <c r="A835" s="118">
        <v>45994</v>
      </c>
      <c r="B835" s="116">
        <v>998</v>
      </c>
      <c r="C835" s="117">
        <v>8002</v>
      </c>
      <c r="D835" s="117">
        <v>397</v>
      </c>
      <c r="E835" s="117">
        <v>0</v>
      </c>
      <c r="F835" s="117">
        <v>0</v>
      </c>
      <c r="G835" s="117">
        <v>33</v>
      </c>
      <c r="H835" s="117">
        <v>4</v>
      </c>
      <c r="I835" s="110">
        <f t="shared" si="77"/>
        <v>0.0496125968507873</v>
      </c>
      <c r="J835" s="111">
        <f t="shared" si="79"/>
        <v>2.51385390428212</v>
      </c>
      <c r="K835" s="111">
        <f t="shared" si="80"/>
        <v>124.718820294926</v>
      </c>
      <c r="L835" s="111">
        <f t="shared" si="78"/>
        <v>0</v>
      </c>
      <c r="M835" s="112">
        <f t="shared" si="81"/>
        <v>0</v>
      </c>
    </row>
    <row r="836" ht="13.85" spans="1:13">
      <c r="A836" s="118">
        <v>45995</v>
      </c>
      <c r="B836" s="116">
        <v>993</v>
      </c>
      <c r="C836" s="117">
        <v>8800</v>
      </c>
      <c r="D836" s="117">
        <v>403</v>
      </c>
      <c r="E836" s="117">
        <v>0</v>
      </c>
      <c r="F836" s="117">
        <v>0</v>
      </c>
      <c r="G836" s="117">
        <v>16</v>
      </c>
      <c r="H836" s="117">
        <v>2</v>
      </c>
      <c r="I836" s="110">
        <f t="shared" si="77"/>
        <v>0.0457954545454545</v>
      </c>
      <c r="J836" s="111">
        <f t="shared" si="79"/>
        <v>2.46401985111662</v>
      </c>
      <c r="K836" s="111">
        <f t="shared" si="80"/>
        <v>112.840909090909</v>
      </c>
      <c r="L836" s="111">
        <f t="shared" si="78"/>
        <v>0</v>
      </c>
      <c r="M836" s="112">
        <f t="shared" si="81"/>
        <v>0</v>
      </c>
    </row>
    <row r="837" ht="13.85" spans="1:13">
      <c r="A837" s="118">
        <v>45996</v>
      </c>
      <c r="B837" s="116">
        <v>1000</v>
      </c>
      <c r="C837" s="117">
        <v>8606</v>
      </c>
      <c r="D837" s="117">
        <v>335</v>
      </c>
      <c r="E837" s="117">
        <v>0</v>
      </c>
      <c r="F837" s="117">
        <v>0</v>
      </c>
      <c r="G837" s="117">
        <v>12</v>
      </c>
      <c r="H837" s="117">
        <v>3</v>
      </c>
      <c r="I837" s="110">
        <f t="shared" si="77"/>
        <v>0.038926330467116</v>
      </c>
      <c r="J837" s="111">
        <f t="shared" si="79"/>
        <v>2.98507462686567</v>
      </c>
      <c r="K837" s="111">
        <f t="shared" si="80"/>
        <v>116.198001394376</v>
      </c>
      <c r="L837" s="111">
        <f t="shared" si="78"/>
        <v>0</v>
      </c>
      <c r="M837" s="112">
        <f t="shared" si="81"/>
        <v>0</v>
      </c>
    </row>
    <row r="838" ht="13.85" spans="1:13">
      <c r="A838" s="118">
        <v>45997</v>
      </c>
      <c r="B838" s="116">
        <v>1000</v>
      </c>
      <c r="C838" s="117">
        <v>10317</v>
      </c>
      <c r="D838" s="117">
        <v>494</v>
      </c>
      <c r="E838" s="117">
        <v>0</v>
      </c>
      <c r="F838" s="117">
        <v>0</v>
      </c>
      <c r="G838" s="117">
        <v>25</v>
      </c>
      <c r="H838" s="117">
        <v>6</v>
      </c>
      <c r="I838" s="110">
        <f t="shared" si="77"/>
        <v>0.0478821362799263</v>
      </c>
      <c r="J838" s="111">
        <f t="shared" si="79"/>
        <v>2.02429149797571</v>
      </c>
      <c r="K838" s="111">
        <f t="shared" si="80"/>
        <v>96.9274013763691</v>
      </c>
      <c r="L838" s="111">
        <f t="shared" si="78"/>
        <v>0</v>
      </c>
      <c r="M838" s="112">
        <f t="shared" si="81"/>
        <v>0</v>
      </c>
    </row>
    <row r="839" ht="13.85" spans="1:13">
      <c r="A839" s="118">
        <v>45998</v>
      </c>
      <c r="B839" s="116">
        <v>1000</v>
      </c>
      <c r="C839" s="117">
        <v>11585</v>
      </c>
      <c r="D839" s="117">
        <v>452</v>
      </c>
      <c r="E839" s="117">
        <v>0</v>
      </c>
      <c r="F839" s="117">
        <v>0</v>
      </c>
      <c r="G839" s="117">
        <v>18</v>
      </c>
      <c r="H839" s="117">
        <v>4</v>
      </c>
      <c r="I839" s="110">
        <f t="shared" si="77"/>
        <v>0.0390159689253345</v>
      </c>
      <c r="J839" s="111">
        <f t="shared" si="79"/>
        <v>2.21238938053097</v>
      </c>
      <c r="K839" s="111">
        <f t="shared" si="80"/>
        <v>86.3185153215365</v>
      </c>
      <c r="L839" s="111">
        <f t="shared" si="78"/>
        <v>0</v>
      </c>
      <c r="M839" s="112">
        <f t="shared" si="81"/>
        <v>0</v>
      </c>
    </row>
    <row r="840" ht="13.85" spans="1:13">
      <c r="A840" s="118">
        <v>45999</v>
      </c>
      <c r="B840" s="116">
        <v>992</v>
      </c>
      <c r="C840" s="117">
        <v>12319</v>
      </c>
      <c r="D840" s="117">
        <v>476</v>
      </c>
      <c r="E840" s="117">
        <v>0</v>
      </c>
      <c r="F840" s="117">
        <v>0</v>
      </c>
      <c r="G840" s="117">
        <v>22</v>
      </c>
      <c r="H840" s="117">
        <v>5</v>
      </c>
      <c r="I840" s="110">
        <f t="shared" si="77"/>
        <v>0.0386394999594123</v>
      </c>
      <c r="J840" s="111">
        <f t="shared" si="79"/>
        <v>2.08403361344538</v>
      </c>
      <c r="K840" s="111">
        <f t="shared" si="80"/>
        <v>80.5260167221365</v>
      </c>
      <c r="L840" s="111">
        <f t="shared" si="78"/>
        <v>0</v>
      </c>
      <c r="M840" s="112">
        <f t="shared" si="81"/>
        <v>0</v>
      </c>
    </row>
    <row r="841" ht="13.85" spans="1:13">
      <c r="A841" s="118">
        <v>46000</v>
      </c>
      <c r="B841" s="116">
        <v>1693</v>
      </c>
      <c r="C841" s="117">
        <v>12858</v>
      </c>
      <c r="D841" s="117">
        <v>723</v>
      </c>
      <c r="E841" s="117">
        <v>1</v>
      </c>
      <c r="F841" s="117">
        <v>31968</v>
      </c>
      <c r="G841" s="117">
        <v>25</v>
      </c>
      <c r="H841" s="117">
        <v>1</v>
      </c>
      <c r="I841" s="110">
        <f t="shared" ref="I841:I904" si="82">D841/C841</f>
        <v>0.0562295846943537</v>
      </c>
      <c r="J841" s="111">
        <f t="shared" si="79"/>
        <v>2.34163208852006</v>
      </c>
      <c r="K841" s="111">
        <f t="shared" si="80"/>
        <v>131.668999844455</v>
      </c>
      <c r="L841" s="111">
        <f t="shared" ref="L841:L904" si="83">F841/B841</f>
        <v>18.8824571766096</v>
      </c>
      <c r="M841" s="112">
        <f t="shared" si="81"/>
        <v>0.00138312586445367</v>
      </c>
    </row>
    <row r="842" ht="13.85" spans="1:13">
      <c r="A842" s="118">
        <v>46001</v>
      </c>
      <c r="B842" s="116">
        <v>1771</v>
      </c>
      <c r="C842" s="117">
        <v>14046</v>
      </c>
      <c r="D842" s="117">
        <v>795</v>
      </c>
      <c r="E842" s="117">
        <v>0</v>
      </c>
      <c r="F842" s="117">
        <v>0</v>
      </c>
      <c r="G842" s="117">
        <v>30</v>
      </c>
      <c r="H842" s="117">
        <v>6</v>
      </c>
      <c r="I842" s="110">
        <f t="shared" si="82"/>
        <v>0.0565997436992738</v>
      </c>
      <c r="J842" s="111">
        <f t="shared" si="79"/>
        <v>2.22767295597484</v>
      </c>
      <c r="K842" s="111">
        <f t="shared" si="80"/>
        <v>126.08571835398</v>
      </c>
      <c r="L842" s="111">
        <f t="shared" si="83"/>
        <v>0</v>
      </c>
      <c r="M842" s="112">
        <f t="shared" si="81"/>
        <v>0</v>
      </c>
    </row>
    <row r="843" ht="13.85" spans="1:13">
      <c r="A843" s="118">
        <v>46002</v>
      </c>
      <c r="B843" s="116">
        <v>2254</v>
      </c>
      <c r="C843" s="117">
        <v>22084</v>
      </c>
      <c r="D843" s="117">
        <v>970</v>
      </c>
      <c r="E843" s="117">
        <v>0</v>
      </c>
      <c r="F843" s="117">
        <v>0</v>
      </c>
      <c r="G843" s="117">
        <v>21</v>
      </c>
      <c r="H843" s="117">
        <v>3</v>
      </c>
      <c r="I843" s="110">
        <f t="shared" si="82"/>
        <v>0.0439232023184206</v>
      </c>
      <c r="J843" s="111">
        <f t="shared" si="79"/>
        <v>2.32371134020619</v>
      </c>
      <c r="K843" s="111">
        <f t="shared" si="80"/>
        <v>102.064843325485</v>
      </c>
      <c r="L843" s="111">
        <f t="shared" si="83"/>
        <v>0</v>
      </c>
      <c r="M843" s="112">
        <f t="shared" si="81"/>
        <v>0</v>
      </c>
    </row>
    <row r="844" ht="13.85" spans="1:13">
      <c r="A844" s="118">
        <v>46003</v>
      </c>
      <c r="B844" s="116">
        <v>2973</v>
      </c>
      <c r="C844" s="117">
        <v>23420</v>
      </c>
      <c r="D844" s="117">
        <v>1240</v>
      </c>
      <c r="E844" s="117">
        <v>4</v>
      </c>
      <c r="F844" s="117">
        <v>36932</v>
      </c>
      <c r="G844" s="117">
        <v>44</v>
      </c>
      <c r="H844" s="117">
        <v>3</v>
      </c>
      <c r="I844" s="110">
        <f t="shared" si="82"/>
        <v>0.0529461998292058</v>
      </c>
      <c r="J844" s="111">
        <f t="shared" si="79"/>
        <v>2.39758064516129</v>
      </c>
      <c r="K844" s="111">
        <f t="shared" si="80"/>
        <v>126.942783945346</v>
      </c>
      <c r="L844" s="111">
        <f t="shared" si="83"/>
        <v>12.4224688866465</v>
      </c>
      <c r="M844" s="112">
        <f t="shared" si="81"/>
        <v>0.0032258064516129</v>
      </c>
    </row>
    <row r="845" ht="13.85" spans="1:13">
      <c r="A845" s="118">
        <v>46004</v>
      </c>
      <c r="B845" s="116">
        <v>2958</v>
      </c>
      <c r="C845" s="117">
        <v>29929</v>
      </c>
      <c r="D845" s="117">
        <v>1773</v>
      </c>
      <c r="E845" s="117">
        <v>1</v>
      </c>
      <c r="F845" s="117">
        <v>9722</v>
      </c>
      <c r="G845" s="117">
        <v>58</v>
      </c>
      <c r="H845" s="117">
        <v>5</v>
      </c>
      <c r="I845" s="110">
        <f t="shared" si="82"/>
        <v>0.0592402018109526</v>
      </c>
      <c r="J845" s="111">
        <f t="shared" si="79"/>
        <v>1.66835871404399</v>
      </c>
      <c r="K845" s="111">
        <f t="shared" si="80"/>
        <v>98.8339069130275</v>
      </c>
      <c r="L845" s="111">
        <f t="shared" si="83"/>
        <v>3.28668018931711</v>
      </c>
      <c r="M845" s="112">
        <f t="shared" si="81"/>
        <v>0.000564015792442188</v>
      </c>
    </row>
    <row r="846" ht="13.85" spans="1:13">
      <c r="A846" s="118">
        <v>46005</v>
      </c>
      <c r="B846" s="116">
        <v>2670</v>
      </c>
      <c r="C846" s="117">
        <v>25159</v>
      </c>
      <c r="D846" s="117">
        <v>1174</v>
      </c>
      <c r="E846" s="117">
        <v>0</v>
      </c>
      <c r="F846" s="117">
        <v>0</v>
      </c>
      <c r="G846" s="117">
        <v>30</v>
      </c>
      <c r="H846" s="117">
        <v>7</v>
      </c>
      <c r="I846" s="110">
        <f t="shared" si="82"/>
        <v>0.0466632219086609</v>
      </c>
      <c r="J846" s="111">
        <f t="shared" si="79"/>
        <v>2.27427597955707</v>
      </c>
      <c r="K846" s="111">
        <f t="shared" si="80"/>
        <v>106.125044715609</v>
      </c>
      <c r="L846" s="111">
        <f t="shared" si="83"/>
        <v>0</v>
      </c>
      <c r="M846" s="112">
        <f t="shared" si="81"/>
        <v>0</v>
      </c>
    </row>
    <row r="847" ht="13.85" spans="1:13">
      <c r="A847" s="118">
        <v>46006</v>
      </c>
      <c r="B847" s="116">
        <v>2040</v>
      </c>
      <c r="C847" s="117">
        <v>17238</v>
      </c>
      <c r="D847" s="117">
        <v>769</v>
      </c>
      <c r="E847" s="117">
        <v>1</v>
      </c>
      <c r="F847" s="117">
        <v>10262</v>
      </c>
      <c r="G847" s="117">
        <v>30</v>
      </c>
      <c r="H847" s="117">
        <v>2</v>
      </c>
      <c r="I847" s="110">
        <f t="shared" si="82"/>
        <v>0.0446107437057663</v>
      </c>
      <c r="J847" s="111">
        <f t="shared" si="79"/>
        <v>2.65279583875163</v>
      </c>
      <c r="K847" s="111">
        <f t="shared" si="80"/>
        <v>118.343195266272</v>
      </c>
      <c r="L847" s="111">
        <f t="shared" si="83"/>
        <v>5.03039215686274</v>
      </c>
      <c r="M847" s="112">
        <f t="shared" si="81"/>
        <v>0.00130039011703511</v>
      </c>
    </row>
    <row r="848" ht="13.85" spans="1:13">
      <c r="A848" s="118">
        <v>46007</v>
      </c>
      <c r="B848" s="116">
        <v>2465</v>
      </c>
      <c r="C848" s="117">
        <v>17116</v>
      </c>
      <c r="D848" s="117">
        <v>969</v>
      </c>
      <c r="E848" s="117">
        <v>1</v>
      </c>
      <c r="F848" s="117">
        <v>10617</v>
      </c>
      <c r="G848" s="117">
        <v>29</v>
      </c>
      <c r="H848" s="117">
        <v>6</v>
      </c>
      <c r="I848" s="110">
        <f t="shared" si="82"/>
        <v>0.056613694788502</v>
      </c>
      <c r="J848" s="111">
        <f t="shared" si="79"/>
        <v>2.54385964912281</v>
      </c>
      <c r="K848" s="111">
        <f t="shared" si="80"/>
        <v>144.017293760224</v>
      </c>
      <c r="L848" s="111">
        <f t="shared" si="83"/>
        <v>4.30709939148073</v>
      </c>
      <c r="M848" s="112">
        <f t="shared" si="81"/>
        <v>0.00103199174406605</v>
      </c>
    </row>
    <row r="849" ht="13.85" spans="1:13">
      <c r="A849" s="118">
        <v>46008</v>
      </c>
      <c r="B849" s="116">
        <v>2396</v>
      </c>
      <c r="C849" s="117">
        <v>26804</v>
      </c>
      <c r="D849" s="117">
        <v>1309</v>
      </c>
      <c r="E849" s="117">
        <v>0</v>
      </c>
      <c r="F849" s="117">
        <v>0</v>
      </c>
      <c r="G849" s="117">
        <v>22</v>
      </c>
      <c r="H849" s="117">
        <v>11</v>
      </c>
      <c r="I849" s="110">
        <f t="shared" si="82"/>
        <v>0.0488359946276675</v>
      </c>
      <c r="J849" s="111">
        <f t="shared" ref="J849:J912" si="84">B849/D849</f>
        <v>1.83040488922842</v>
      </c>
      <c r="K849" s="111">
        <f t="shared" si="80"/>
        <v>89.3896433368154</v>
      </c>
      <c r="L849" s="111">
        <f t="shared" si="83"/>
        <v>0</v>
      </c>
      <c r="M849" s="112">
        <f t="shared" si="81"/>
        <v>0</v>
      </c>
    </row>
    <row r="850" ht="13.85" spans="1:13">
      <c r="A850" s="118">
        <v>46009</v>
      </c>
      <c r="B850" s="116">
        <v>2469</v>
      </c>
      <c r="C850" s="117">
        <v>28360</v>
      </c>
      <c r="D850" s="117">
        <v>1252</v>
      </c>
      <c r="E850" s="117">
        <v>6</v>
      </c>
      <c r="F850" s="117">
        <v>48523</v>
      </c>
      <c r="G850" s="117">
        <v>22</v>
      </c>
      <c r="H850" s="117">
        <v>11</v>
      </c>
      <c r="I850" s="110">
        <f t="shared" si="82"/>
        <v>0.0441466854724965</v>
      </c>
      <c r="J850" s="111">
        <f t="shared" si="84"/>
        <v>1.9720447284345</v>
      </c>
      <c r="K850" s="111">
        <f t="shared" si="80"/>
        <v>87.0592383638928</v>
      </c>
      <c r="L850" s="111">
        <f t="shared" si="83"/>
        <v>19.652895909275</v>
      </c>
      <c r="M850" s="112">
        <f t="shared" si="81"/>
        <v>0.00479233226837061</v>
      </c>
    </row>
    <row r="851" ht="13.85" spans="1:13">
      <c r="A851" s="118">
        <v>46010</v>
      </c>
      <c r="B851" s="116">
        <v>1200</v>
      </c>
      <c r="C851" s="117">
        <v>7840</v>
      </c>
      <c r="D851" s="117">
        <v>401</v>
      </c>
      <c r="E851" s="117">
        <v>0</v>
      </c>
      <c r="F851" s="117">
        <v>0</v>
      </c>
      <c r="G851" s="117">
        <v>8</v>
      </c>
      <c r="H851" s="117">
        <v>5</v>
      </c>
      <c r="I851" s="110">
        <f t="shared" si="82"/>
        <v>0.0511479591836735</v>
      </c>
      <c r="J851" s="111">
        <f t="shared" si="84"/>
        <v>2.9925187032419</v>
      </c>
      <c r="K851" s="111">
        <f t="shared" si="80"/>
        <v>153.061224489796</v>
      </c>
      <c r="L851" s="111">
        <f t="shared" si="83"/>
        <v>0</v>
      </c>
      <c r="M851" s="112">
        <f t="shared" si="81"/>
        <v>0</v>
      </c>
    </row>
    <row r="852" ht="13.85" spans="1:13">
      <c r="A852" s="118">
        <v>46011</v>
      </c>
      <c r="B852" s="116">
        <v>1196</v>
      </c>
      <c r="C852" s="117">
        <v>19490</v>
      </c>
      <c r="D852" s="117">
        <v>558</v>
      </c>
      <c r="E852" s="117">
        <v>1</v>
      </c>
      <c r="F852" s="117">
        <v>9052</v>
      </c>
      <c r="G852" s="117">
        <v>20</v>
      </c>
      <c r="H852" s="117">
        <v>6</v>
      </c>
      <c r="I852" s="110">
        <f t="shared" si="82"/>
        <v>0.0286300667008722</v>
      </c>
      <c r="J852" s="111">
        <f t="shared" si="84"/>
        <v>2.14336917562724</v>
      </c>
      <c r="K852" s="111">
        <f t="shared" si="80"/>
        <v>61.3648024628014</v>
      </c>
      <c r="L852" s="111">
        <f t="shared" si="83"/>
        <v>7.5685618729097</v>
      </c>
      <c r="M852" s="112">
        <f t="shared" si="81"/>
        <v>0.0017921146953405</v>
      </c>
    </row>
    <row r="853" ht="13.85" spans="1:13">
      <c r="A853" s="118">
        <v>46012</v>
      </c>
      <c r="B853" s="116">
        <v>2639</v>
      </c>
      <c r="C853" s="117">
        <v>25228</v>
      </c>
      <c r="D853" s="117">
        <v>1191</v>
      </c>
      <c r="E853" s="117">
        <v>1</v>
      </c>
      <c r="F853" s="117">
        <v>9052</v>
      </c>
      <c r="G853" s="117">
        <v>34</v>
      </c>
      <c r="H853" s="117">
        <v>7</v>
      </c>
      <c r="I853" s="110">
        <f t="shared" si="82"/>
        <v>0.0472094498176629</v>
      </c>
      <c r="J853" s="111">
        <f t="shared" si="84"/>
        <v>2.21578505457599</v>
      </c>
      <c r="K853" s="111">
        <f t="shared" si="80"/>
        <v>104.605993340733</v>
      </c>
      <c r="L853" s="111">
        <f t="shared" si="83"/>
        <v>3.43008715422509</v>
      </c>
      <c r="M853" s="112">
        <f t="shared" si="81"/>
        <v>0.000839630562552477</v>
      </c>
    </row>
    <row r="854" ht="13.85" spans="1:13">
      <c r="A854" s="118">
        <v>46013</v>
      </c>
      <c r="B854" s="116">
        <v>1000</v>
      </c>
      <c r="C854" s="117">
        <v>10067</v>
      </c>
      <c r="D854" s="117">
        <v>405</v>
      </c>
      <c r="E854" s="117">
        <v>0</v>
      </c>
      <c r="F854" s="117">
        <v>0</v>
      </c>
      <c r="G854" s="117">
        <v>13</v>
      </c>
      <c r="H854" s="117">
        <v>2</v>
      </c>
      <c r="I854" s="110">
        <f t="shared" si="82"/>
        <v>0.0402304559451674</v>
      </c>
      <c r="J854" s="111">
        <f t="shared" si="84"/>
        <v>2.46913580246914</v>
      </c>
      <c r="K854" s="111">
        <f t="shared" si="80"/>
        <v>99.3344591238701</v>
      </c>
      <c r="L854" s="111">
        <f t="shared" si="83"/>
        <v>0</v>
      </c>
      <c r="M854" s="112">
        <f t="shared" si="81"/>
        <v>0</v>
      </c>
    </row>
    <row r="855" ht="13.85" spans="1:13">
      <c r="A855" s="118">
        <v>46014</v>
      </c>
      <c r="B855" s="116">
        <v>1500</v>
      </c>
      <c r="C855" s="117">
        <v>14592</v>
      </c>
      <c r="D855" s="117">
        <v>566</v>
      </c>
      <c r="E855" s="117">
        <v>0</v>
      </c>
      <c r="F855" s="117">
        <v>0</v>
      </c>
      <c r="G855" s="117">
        <v>20</v>
      </c>
      <c r="H855" s="117">
        <v>7</v>
      </c>
      <c r="I855" s="110">
        <f t="shared" si="82"/>
        <v>0.0387883771929825</v>
      </c>
      <c r="J855" s="111">
        <f t="shared" si="84"/>
        <v>2.65017667844523</v>
      </c>
      <c r="K855" s="111">
        <f t="shared" si="80"/>
        <v>102.796052631579</v>
      </c>
      <c r="L855" s="111">
        <f t="shared" si="83"/>
        <v>0</v>
      </c>
      <c r="M855" s="112">
        <f t="shared" si="81"/>
        <v>0</v>
      </c>
    </row>
    <row r="856" ht="13.85" spans="1:13">
      <c r="A856" s="118">
        <v>46015</v>
      </c>
      <c r="B856" s="116">
        <v>1500</v>
      </c>
      <c r="C856" s="117">
        <v>18974</v>
      </c>
      <c r="D856" s="117">
        <v>673</v>
      </c>
      <c r="E856" s="117">
        <v>0</v>
      </c>
      <c r="F856" s="117">
        <v>0</v>
      </c>
      <c r="G856" s="117">
        <v>16</v>
      </c>
      <c r="H856" s="117">
        <v>8</v>
      </c>
      <c r="I856" s="110">
        <f t="shared" si="82"/>
        <v>0.0354695899652156</v>
      </c>
      <c r="J856" s="111">
        <f t="shared" si="84"/>
        <v>2.22882615156018</v>
      </c>
      <c r="K856" s="111">
        <f t="shared" si="80"/>
        <v>79.0555496995889</v>
      </c>
      <c r="L856" s="111">
        <f t="shared" si="83"/>
        <v>0</v>
      </c>
      <c r="M856" s="112">
        <f t="shared" si="81"/>
        <v>0</v>
      </c>
    </row>
    <row r="857" ht="13.85" spans="1:13">
      <c r="A857" s="118">
        <v>46016</v>
      </c>
      <c r="B857" s="116">
        <v>3012</v>
      </c>
      <c r="C857" s="117">
        <v>39006</v>
      </c>
      <c r="D857" s="117">
        <v>1381</v>
      </c>
      <c r="E857" s="117">
        <v>0</v>
      </c>
      <c r="F857" s="117">
        <v>0</v>
      </c>
      <c r="G857" s="117">
        <v>31</v>
      </c>
      <c r="H857" s="117">
        <v>12</v>
      </c>
      <c r="I857" s="110">
        <f t="shared" si="82"/>
        <v>0.0354048095164846</v>
      </c>
      <c r="J857" s="111">
        <f t="shared" si="84"/>
        <v>2.1810282404055</v>
      </c>
      <c r="K857" s="111">
        <f t="shared" si="80"/>
        <v>77.2188894016305</v>
      </c>
      <c r="L857" s="111">
        <f t="shared" si="83"/>
        <v>0</v>
      </c>
      <c r="M857" s="112">
        <f t="shared" si="81"/>
        <v>0</v>
      </c>
    </row>
    <row r="858" ht="13.85" spans="1:13">
      <c r="A858" s="118">
        <v>46017</v>
      </c>
      <c r="B858" s="116">
        <v>1500</v>
      </c>
      <c r="C858" s="117">
        <v>23876</v>
      </c>
      <c r="D858" s="117">
        <v>798</v>
      </c>
      <c r="E858" s="117">
        <v>1</v>
      </c>
      <c r="F858" s="117">
        <v>5293</v>
      </c>
      <c r="G858" s="117">
        <v>19</v>
      </c>
      <c r="H858" s="117">
        <v>9</v>
      </c>
      <c r="I858" s="110">
        <f t="shared" si="82"/>
        <v>0.0334226838666443</v>
      </c>
      <c r="J858" s="111">
        <f t="shared" si="84"/>
        <v>1.8796992481203</v>
      </c>
      <c r="K858" s="111">
        <f t="shared" si="80"/>
        <v>62.8245937342938</v>
      </c>
      <c r="L858" s="111">
        <f t="shared" si="83"/>
        <v>3.52866666666667</v>
      </c>
      <c r="M858" s="112">
        <f t="shared" si="81"/>
        <v>0.0012531328320802</v>
      </c>
    </row>
    <row r="859" ht="13.85" spans="1:13">
      <c r="A859" s="118">
        <v>46018</v>
      </c>
      <c r="B859" s="116">
        <v>1496</v>
      </c>
      <c r="C859" s="117">
        <v>17870</v>
      </c>
      <c r="D859" s="117">
        <v>692</v>
      </c>
      <c r="E859" s="117">
        <v>1</v>
      </c>
      <c r="F859" s="117">
        <v>17032</v>
      </c>
      <c r="G859" s="117">
        <v>15</v>
      </c>
      <c r="H859" s="117">
        <v>7</v>
      </c>
      <c r="I859" s="110">
        <f t="shared" si="82"/>
        <v>0.0387241186345831</v>
      </c>
      <c r="J859" s="111">
        <f t="shared" si="84"/>
        <v>2.16184971098266</v>
      </c>
      <c r="K859" s="111">
        <f t="shared" si="80"/>
        <v>83.7157246782317</v>
      </c>
      <c r="L859" s="111">
        <f t="shared" si="83"/>
        <v>11.3850267379679</v>
      </c>
      <c r="M859" s="112">
        <f t="shared" si="81"/>
        <v>0.00144508670520231</v>
      </c>
    </row>
    <row r="860" ht="13.85" spans="1:13">
      <c r="A860" s="118">
        <v>46019</v>
      </c>
      <c r="B860" s="116">
        <v>2978</v>
      </c>
      <c r="C860" s="117">
        <v>33704</v>
      </c>
      <c r="D860" s="117">
        <v>1344</v>
      </c>
      <c r="E860" s="117">
        <v>0</v>
      </c>
      <c r="F860" s="117">
        <v>0</v>
      </c>
      <c r="G860" s="117">
        <v>38</v>
      </c>
      <c r="H860" s="117">
        <v>5</v>
      </c>
      <c r="I860" s="110">
        <f t="shared" si="82"/>
        <v>0.0398765725136482</v>
      </c>
      <c r="J860" s="111">
        <f t="shared" si="84"/>
        <v>2.21577380952381</v>
      </c>
      <c r="K860" s="111">
        <f t="shared" si="80"/>
        <v>88.3574649893188</v>
      </c>
      <c r="L860" s="111">
        <f t="shared" si="83"/>
        <v>0</v>
      </c>
      <c r="M860" s="112">
        <f t="shared" si="81"/>
        <v>0</v>
      </c>
    </row>
    <row r="861" ht="13.85" spans="1:13">
      <c r="A861" s="118">
        <v>46020</v>
      </c>
      <c r="B861" s="116">
        <v>2994</v>
      </c>
      <c r="C861" s="117">
        <v>24587</v>
      </c>
      <c r="D861" s="117">
        <v>1339</v>
      </c>
      <c r="E861" s="117">
        <v>1</v>
      </c>
      <c r="F861" s="117">
        <v>22214</v>
      </c>
      <c r="G861" s="117">
        <v>24</v>
      </c>
      <c r="H861" s="117">
        <v>4</v>
      </c>
      <c r="I861" s="110">
        <f t="shared" si="82"/>
        <v>0.0544596738113637</v>
      </c>
      <c r="J861" s="111">
        <f t="shared" si="84"/>
        <v>2.23599701269604</v>
      </c>
      <c r="K861" s="111">
        <f t="shared" si="80"/>
        <v>121.77166795461</v>
      </c>
      <c r="L861" s="111">
        <f t="shared" si="83"/>
        <v>7.41950567802271</v>
      </c>
      <c r="M861" s="112">
        <f t="shared" si="81"/>
        <v>0.000746825989544436</v>
      </c>
    </row>
    <row r="862" ht="13.85" spans="1:13">
      <c r="A862" s="118">
        <v>46021</v>
      </c>
      <c r="B862" s="116">
        <v>1850</v>
      </c>
      <c r="C862" s="117">
        <v>14275</v>
      </c>
      <c r="D862" s="117">
        <v>624</v>
      </c>
      <c r="E862" s="117">
        <v>2</v>
      </c>
      <c r="F862" s="117">
        <v>30346</v>
      </c>
      <c r="G862" s="117">
        <v>31</v>
      </c>
      <c r="H862" s="117">
        <v>1</v>
      </c>
      <c r="I862" s="110">
        <f t="shared" si="82"/>
        <v>0.0437127845884413</v>
      </c>
      <c r="J862" s="111">
        <f t="shared" si="84"/>
        <v>2.96474358974359</v>
      </c>
      <c r="K862" s="111">
        <f t="shared" si="80"/>
        <v>129.597197898424</v>
      </c>
      <c r="L862" s="111">
        <f t="shared" si="83"/>
        <v>16.4032432432432</v>
      </c>
      <c r="M862" s="112">
        <f t="shared" si="81"/>
        <v>0.00320512820512821</v>
      </c>
    </row>
    <row r="863" ht="13.85" spans="1:13">
      <c r="A863" s="118">
        <v>46022</v>
      </c>
      <c r="B863" s="116">
        <v>1996</v>
      </c>
      <c r="C863" s="117">
        <v>74262</v>
      </c>
      <c r="D863" s="117">
        <v>948</v>
      </c>
      <c r="E863" s="117">
        <v>0</v>
      </c>
      <c r="F863" s="117">
        <v>0</v>
      </c>
      <c r="G863" s="117">
        <v>28</v>
      </c>
      <c r="H863" s="117">
        <v>4</v>
      </c>
      <c r="I863" s="110">
        <f t="shared" si="82"/>
        <v>0.0127656136381999</v>
      </c>
      <c r="J863" s="111">
        <f t="shared" si="84"/>
        <v>2.10548523206751</v>
      </c>
      <c r="K863" s="111">
        <f t="shared" si="80"/>
        <v>26.8778109935095</v>
      </c>
      <c r="L863" s="111">
        <f t="shared" si="83"/>
        <v>0</v>
      </c>
      <c r="M863" s="112">
        <f t="shared" si="81"/>
        <v>0</v>
      </c>
    </row>
    <row r="864" ht="13.85" spans="1:13">
      <c r="A864" s="118">
        <v>46023</v>
      </c>
      <c r="B864" s="116">
        <v>1645</v>
      </c>
      <c r="C864" s="117">
        <v>35922</v>
      </c>
      <c r="D864" s="117">
        <v>787</v>
      </c>
      <c r="E864" s="117">
        <v>2</v>
      </c>
      <c r="F864" s="117">
        <v>15429</v>
      </c>
      <c r="G864" s="117">
        <v>19</v>
      </c>
      <c r="H864" s="117">
        <v>4</v>
      </c>
      <c r="I864" s="110">
        <f t="shared" si="82"/>
        <v>0.0219085797004621</v>
      </c>
      <c r="J864" s="111">
        <f t="shared" si="84"/>
        <v>2.09021601016518</v>
      </c>
      <c r="K864" s="111">
        <f t="shared" si="80"/>
        <v>45.7936640498859</v>
      </c>
      <c r="L864" s="111">
        <f t="shared" si="83"/>
        <v>9.37933130699088</v>
      </c>
      <c r="M864" s="112">
        <f t="shared" si="81"/>
        <v>0.00254129606099111</v>
      </c>
    </row>
    <row r="865" ht="13.85" spans="1:13">
      <c r="A865" s="118">
        <v>46024</v>
      </c>
      <c r="B865" s="116">
        <v>1641</v>
      </c>
      <c r="C865" s="117">
        <v>21555</v>
      </c>
      <c r="D865" s="117">
        <v>729</v>
      </c>
      <c r="E865" s="117">
        <v>0</v>
      </c>
      <c r="F865" s="117">
        <v>0</v>
      </c>
      <c r="G865" s="117">
        <v>20</v>
      </c>
      <c r="H865" s="117">
        <v>9</v>
      </c>
      <c r="I865" s="110">
        <f t="shared" si="82"/>
        <v>0.0338204592901879</v>
      </c>
      <c r="J865" s="111">
        <f t="shared" si="84"/>
        <v>2.25102880658436</v>
      </c>
      <c r="K865" s="111">
        <f t="shared" si="80"/>
        <v>76.1308281141266</v>
      </c>
      <c r="L865" s="111">
        <f t="shared" si="83"/>
        <v>0</v>
      </c>
      <c r="M865" s="112">
        <f t="shared" si="81"/>
        <v>0</v>
      </c>
    </row>
    <row r="866" ht="13.85" spans="1:13">
      <c r="A866" s="118">
        <v>46025</v>
      </c>
      <c r="B866" s="116">
        <v>1995</v>
      </c>
      <c r="C866" s="117">
        <v>34275</v>
      </c>
      <c r="D866" s="117">
        <v>898</v>
      </c>
      <c r="E866" s="117">
        <v>1</v>
      </c>
      <c r="F866" s="117">
        <v>9694</v>
      </c>
      <c r="G866" s="117">
        <v>47</v>
      </c>
      <c r="H866" s="117">
        <v>5</v>
      </c>
      <c r="I866" s="110">
        <f t="shared" si="82"/>
        <v>0.0261998541210795</v>
      </c>
      <c r="J866" s="111">
        <f t="shared" si="84"/>
        <v>2.22160356347439</v>
      </c>
      <c r="K866" s="111">
        <f t="shared" si="80"/>
        <v>58.2056892778993</v>
      </c>
      <c r="L866" s="111">
        <f t="shared" si="83"/>
        <v>4.85914786967419</v>
      </c>
      <c r="M866" s="112">
        <f t="shared" si="81"/>
        <v>0.00111358574610245</v>
      </c>
    </row>
    <row r="867" ht="13.85" spans="1:13">
      <c r="A867" s="118">
        <v>46026</v>
      </c>
      <c r="B867" s="116">
        <v>3314</v>
      </c>
      <c r="C867" s="117">
        <v>26739</v>
      </c>
      <c r="D867" s="117">
        <v>1495</v>
      </c>
      <c r="E867" s="117">
        <v>0</v>
      </c>
      <c r="F867" s="117">
        <v>0</v>
      </c>
      <c r="G867" s="117">
        <v>42</v>
      </c>
      <c r="H867" s="117">
        <v>10</v>
      </c>
      <c r="I867" s="110">
        <f t="shared" si="82"/>
        <v>0.0559108418415049</v>
      </c>
      <c r="J867" s="111">
        <f t="shared" si="84"/>
        <v>2.21672240802676</v>
      </c>
      <c r="K867" s="111">
        <f t="shared" si="80"/>
        <v>123.938815961704</v>
      </c>
      <c r="L867" s="111">
        <f t="shared" si="83"/>
        <v>0</v>
      </c>
      <c r="M867" s="112">
        <f t="shared" si="81"/>
        <v>0</v>
      </c>
    </row>
    <row r="868" ht="13.85" spans="1:13">
      <c r="A868" s="118">
        <v>46027</v>
      </c>
      <c r="B868" s="116">
        <v>1998</v>
      </c>
      <c r="C868" s="117">
        <v>14608</v>
      </c>
      <c r="D868" s="117">
        <v>656</v>
      </c>
      <c r="E868" s="117">
        <v>0</v>
      </c>
      <c r="F868" s="117">
        <v>0</v>
      </c>
      <c r="G868" s="117">
        <v>24</v>
      </c>
      <c r="H868" s="117">
        <v>1</v>
      </c>
      <c r="I868" s="110">
        <f t="shared" si="82"/>
        <v>0.0449069003285871</v>
      </c>
      <c r="J868" s="111">
        <f t="shared" si="84"/>
        <v>3.04573170731707</v>
      </c>
      <c r="K868" s="111">
        <f t="shared" si="80"/>
        <v>136.774370208105</v>
      </c>
      <c r="L868" s="111">
        <f t="shared" si="83"/>
        <v>0</v>
      </c>
      <c r="M868" s="112">
        <f t="shared" si="81"/>
        <v>0</v>
      </c>
    </row>
    <row r="869" ht="13.85" spans="1:13">
      <c r="A869" s="118">
        <v>46028</v>
      </c>
      <c r="B869" s="116">
        <v>2566</v>
      </c>
      <c r="C869" s="117">
        <v>38290</v>
      </c>
      <c r="D869" s="117">
        <v>1305</v>
      </c>
      <c r="E869" s="117">
        <v>0</v>
      </c>
      <c r="F869" s="117">
        <v>0</v>
      </c>
      <c r="G869" s="117">
        <v>52</v>
      </c>
      <c r="H869" s="117">
        <v>9</v>
      </c>
      <c r="I869" s="110">
        <f t="shared" si="82"/>
        <v>0.0340820057456255</v>
      </c>
      <c r="J869" s="111">
        <f t="shared" si="84"/>
        <v>1.96628352490421</v>
      </c>
      <c r="K869" s="111">
        <f t="shared" si="80"/>
        <v>67.0148863933142</v>
      </c>
      <c r="L869" s="111">
        <f t="shared" si="83"/>
        <v>0</v>
      </c>
      <c r="M869" s="112">
        <f t="shared" si="81"/>
        <v>0</v>
      </c>
    </row>
    <row r="870" ht="13.85" spans="1:13">
      <c r="A870" s="118">
        <v>46029</v>
      </c>
      <c r="B870" s="116">
        <v>2487</v>
      </c>
      <c r="C870" s="117">
        <v>49510</v>
      </c>
      <c r="D870" s="117">
        <v>1462</v>
      </c>
      <c r="E870" s="117">
        <v>1</v>
      </c>
      <c r="F870" s="117">
        <v>10352</v>
      </c>
      <c r="G870" s="117">
        <v>32</v>
      </c>
      <c r="H870" s="117">
        <v>8</v>
      </c>
      <c r="I870" s="110">
        <f t="shared" si="82"/>
        <v>0.0295293880024238</v>
      </c>
      <c r="J870" s="111">
        <f t="shared" si="84"/>
        <v>1.70109439124487</v>
      </c>
      <c r="K870" s="111">
        <f t="shared" si="80"/>
        <v>50.2322763078166</v>
      </c>
      <c r="L870" s="111">
        <f t="shared" si="83"/>
        <v>4.16244471250503</v>
      </c>
      <c r="M870" s="112">
        <f t="shared" si="81"/>
        <v>0.000683994528043776</v>
      </c>
    </row>
    <row r="871" ht="13.85" spans="1:13">
      <c r="A871" s="118">
        <v>46030</v>
      </c>
      <c r="B871" s="116">
        <v>2487</v>
      </c>
      <c r="C871" s="117">
        <v>57487</v>
      </c>
      <c r="D871" s="117">
        <v>1392</v>
      </c>
      <c r="E871" s="117">
        <v>0</v>
      </c>
      <c r="F871" s="117">
        <v>0</v>
      </c>
      <c r="G871" s="117">
        <v>34</v>
      </c>
      <c r="H871" s="117">
        <v>6</v>
      </c>
      <c r="I871" s="110">
        <f t="shared" si="82"/>
        <v>0.0242141701602101</v>
      </c>
      <c r="J871" s="111">
        <f t="shared" si="84"/>
        <v>1.78663793103448</v>
      </c>
      <c r="K871" s="111">
        <f t="shared" si="80"/>
        <v>43.2619548767547</v>
      </c>
      <c r="L871" s="111">
        <f t="shared" si="83"/>
        <v>0</v>
      </c>
      <c r="M871" s="112">
        <f t="shared" si="81"/>
        <v>0</v>
      </c>
    </row>
    <row r="872" ht="13.85" spans="1:13">
      <c r="A872" s="118">
        <v>46031</v>
      </c>
      <c r="B872" s="116">
        <v>3985</v>
      </c>
      <c r="C872" s="117">
        <v>65579</v>
      </c>
      <c r="D872" s="117">
        <v>1997</v>
      </c>
      <c r="E872" s="117">
        <v>2</v>
      </c>
      <c r="F872" s="117">
        <v>14358</v>
      </c>
      <c r="G872" s="117">
        <v>41</v>
      </c>
      <c r="H872" s="117">
        <v>6</v>
      </c>
      <c r="I872" s="110">
        <f t="shared" si="82"/>
        <v>0.030451821467238</v>
      </c>
      <c r="J872" s="111">
        <f t="shared" si="84"/>
        <v>1.99549323985979</v>
      </c>
      <c r="K872" s="111">
        <f t="shared" si="80"/>
        <v>60.7664038792906</v>
      </c>
      <c r="L872" s="111">
        <f t="shared" si="83"/>
        <v>3.6030112923463</v>
      </c>
      <c r="M872" s="112">
        <f t="shared" si="81"/>
        <v>0.00100150225338007</v>
      </c>
    </row>
    <row r="873" ht="13.85" spans="1:13">
      <c r="A873" s="118">
        <v>46032</v>
      </c>
      <c r="B873" s="116">
        <v>3791</v>
      </c>
      <c r="C873" s="117">
        <v>64142</v>
      </c>
      <c r="D873" s="117">
        <v>2123</v>
      </c>
      <c r="E873" s="117">
        <v>7</v>
      </c>
      <c r="F873" s="117">
        <v>81200</v>
      </c>
      <c r="G873" s="117">
        <v>46</v>
      </c>
      <c r="H873" s="117">
        <v>9</v>
      </c>
      <c r="I873" s="110">
        <f t="shared" si="82"/>
        <v>0.0330984378410402</v>
      </c>
      <c r="J873" s="111">
        <f t="shared" si="84"/>
        <v>1.78568064060292</v>
      </c>
      <c r="K873" s="111">
        <f t="shared" si="80"/>
        <v>59.1032396869446</v>
      </c>
      <c r="L873" s="111">
        <f t="shared" si="83"/>
        <v>21.4191506198892</v>
      </c>
      <c r="M873" s="112">
        <f t="shared" si="81"/>
        <v>0.00329722091380122</v>
      </c>
    </row>
    <row r="874" ht="13.85" spans="1:13">
      <c r="A874" s="118">
        <v>46033</v>
      </c>
      <c r="B874" s="116">
        <v>3285</v>
      </c>
      <c r="C874" s="117">
        <v>47220</v>
      </c>
      <c r="D874" s="117">
        <v>1543</v>
      </c>
      <c r="E874" s="117">
        <v>0</v>
      </c>
      <c r="F874" s="117">
        <v>0</v>
      </c>
      <c r="G874" s="117">
        <v>44</v>
      </c>
      <c r="H874" s="117">
        <v>3</v>
      </c>
      <c r="I874" s="110">
        <f t="shared" si="82"/>
        <v>0.0326768318509106</v>
      </c>
      <c r="J874" s="111">
        <f t="shared" si="84"/>
        <v>2.12896953985742</v>
      </c>
      <c r="K874" s="111">
        <f t="shared" si="80"/>
        <v>69.5679796696315</v>
      </c>
      <c r="L874" s="111">
        <f t="shared" si="83"/>
        <v>0</v>
      </c>
      <c r="M874" s="112">
        <f t="shared" si="81"/>
        <v>0</v>
      </c>
    </row>
    <row r="875" ht="13.85" spans="1:13">
      <c r="A875" s="118">
        <v>46034</v>
      </c>
      <c r="B875" s="116">
        <v>3435</v>
      </c>
      <c r="C875" s="117">
        <v>50034</v>
      </c>
      <c r="D875" s="117">
        <v>2035</v>
      </c>
      <c r="E875" s="117">
        <v>0</v>
      </c>
      <c r="F875" s="117">
        <v>0</v>
      </c>
      <c r="G875" s="117">
        <v>44</v>
      </c>
      <c r="H875" s="117">
        <v>8</v>
      </c>
      <c r="I875" s="110">
        <f t="shared" si="82"/>
        <v>0.0406723428068913</v>
      </c>
      <c r="J875" s="111">
        <f t="shared" si="84"/>
        <v>1.68796068796069</v>
      </c>
      <c r="K875" s="111">
        <f t="shared" si="80"/>
        <v>68.6533157452932</v>
      </c>
      <c r="L875" s="111">
        <f t="shared" si="83"/>
        <v>0</v>
      </c>
      <c r="M875" s="112">
        <f t="shared" si="81"/>
        <v>0</v>
      </c>
    </row>
    <row r="876" ht="13.85" spans="1:13">
      <c r="A876" s="118">
        <v>46035</v>
      </c>
      <c r="B876" s="116">
        <v>3476</v>
      </c>
      <c r="C876" s="117">
        <v>47369</v>
      </c>
      <c r="D876" s="117">
        <v>1666</v>
      </c>
      <c r="E876" s="117">
        <v>4</v>
      </c>
      <c r="F876" s="117">
        <v>23274</v>
      </c>
      <c r="G876" s="117">
        <v>39</v>
      </c>
      <c r="H876" s="117">
        <v>5</v>
      </c>
      <c r="I876" s="110">
        <f t="shared" si="82"/>
        <v>0.0351706812472292</v>
      </c>
      <c r="J876" s="111">
        <f t="shared" si="84"/>
        <v>2.08643457382953</v>
      </c>
      <c r="K876" s="111">
        <f t="shared" si="80"/>
        <v>73.381325339357</v>
      </c>
      <c r="L876" s="111">
        <f t="shared" si="83"/>
        <v>6.69562715765247</v>
      </c>
      <c r="M876" s="112">
        <f t="shared" si="81"/>
        <v>0.00240096038415366</v>
      </c>
    </row>
    <row r="877" ht="13.85" spans="1:13">
      <c r="A877" s="118">
        <v>46036</v>
      </c>
      <c r="B877" s="116">
        <v>3475</v>
      </c>
      <c r="C877" s="117">
        <v>46051</v>
      </c>
      <c r="D877" s="117">
        <v>1800</v>
      </c>
      <c r="E877" s="117">
        <v>2</v>
      </c>
      <c r="F877" s="117">
        <v>30760</v>
      </c>
      <c r="G877" s="117">
        <v>57</v>
      </c>
      <c r="H877" s="117">
        <v>6</v>
      </c>
      <c r="I877" s="110">
        <f t="shared" si="82"/>
        <v>0.0390870990857962</v>
      </c>
      <c r="J877" s="111">
        <f t="shared" si="84"/>
        <v>1.93055555555556</v>
      </c>
      <c r="K877" s="111">
        <f t="shared" si="80"/>
        <v>75.4598162906343</v>
      </c>
      <c r="L877" s="111">
        <f t="shared" si="83"/>
        <v>8.85179856115108</v>
      </c>
      <c r="M877" s="112">
        <f t="shared" si="81"/>
        <v>0.00111111111111111</v>
      </c>
    </row>
    <row r="878" ht="13.85" spans="1:13">
      <c r="A878" s="118">
        <v>46037</v>
      </c>
      <c r="B878" s="116">
        <v>2996</v>
      </c>
      <c r="C878" s="117">
        <v>29159</v>
      </c>
      <c r="D878" s="117">
        <v>1270</v>
      </c>
      <c r="E878" s="117">
        <v>0</v>
      </c>
      <c r="F878" s="117">
        <v>0</v>
      </c>
      <c r="G878" s="117">
        <v>35</v>
      </c>
      <c r="H878" s="117">
        <v>9</v>
      </c>
      <c r="I878" s="110">
        <f t="shared" si="82"/>
        <v>0.0435543057032134</v>
      </c>
      <c r="J878" s="111">
        <f t="shared" si="84"/>
        <v>2.35905511811024</v>
      </c>
      <c r="K878" s="111">
        <f t="shared" si="80"/>
        <v>102.747007784903</v>
      </c>
      <c r="L878" s="111">
        <f t="shared" si="83"/>
        <v>0</v>
      </c>
      <c r="M878" s="112">
        <f t="shared" si="81"/>
        <v>0</v>
      </c>
    </row>
    <row r="879" ht="13.85" spans="1:13">
      <c r="A879" s="118">
        <v>46038</v>
      </c>
      <c r="B879" s="116">
        <v>2998</v>
      </c>
      <c r="C879" s="117">
        <v>24533</v>
      </c>
      <c r="D879" s="117">
        <v>1189</v>
      </c>
      <c r="E879" s="117">
        <v>1</v>
      </c>
      <c r="F879" s="117">
        <v>12455</v>
      </c>
      <c r="G879" s="117">
        <v>44</v>
      </c>
      <c r="H879" s="117">
        <v>5</v>
      </c>
      <c r="I879" s="110">
        <f t="shared" si="82"/>
        <v>0.0484653324094077</v>
      </c>
      <c r="J879" s="111">
        <f t="shared" si="84"/>
        <v>2.52144659377628</v>
      </c>
      <c r="K879" s="111">
        <f t="shared" si="80"/>
        <v>122.202747319936</v>
      </c>
      <c r="L879" s="111">
        <f t="shared" si="83"/>
        <v>4.15443629086057</v>
      </c>
      <c r="M879" s="112">
        <f t="shared" si="81"/>
        <v>0.000841042893187553</v>
      </c>
    </row>
    <row r="880" ht="13.85" spans="1:13">
      <c r="A880" s="118">
        <v>46039</v>
      </c>
      <c r="B880" s="116">
        <v>2997</v>
      </c>
      <c r="C880" s="117">
        <v>31275</v>
      </c>
      <c r="D880" s="117">
        <v>1274</v>
      </c>
      <c r="E880" s="117">
        <v>0</v>
      </c>
      <c r="F880" s="117">
        <v>0</v>
      </c>
      <c r="G880" s="117">
        <v>31</v>
      </c>
      <c r="H880" s="117">
        <v>2</v>
      </c>
      <c r="I880" s="110">
        <f t="shared" si="82"/>
        <v>0.0407354116706635</v>
      </c>
      <c r="J880" s="111">
        <f t="shared" si="84"/>
        <v>2.35243328100471</v>
      </c>
      <c r="K880" s="111">
        <f t="shared" si="80"/>
        <v>95.8273381294964</v>
      </c>
      <c r="L880" s="111">
        <f t="shared" si="83"/>
        <v>0</v>
      </c>
      <c r="M880" s="112">
        <f t="shared" si="81"/>
        <v>0</v>
      </c>
    </row>
    <row r="881" ht="13.85" spans="1:13">
      <c r="A881" s="118">
        <v>46040</v>
      </c>
      <c r="B881" s="116">
        <v>2523</v>
      </c>
      <c r="C881" s="117">
        <v>25579</v>
      </c>
      <c r="D881" s="117">
        <v>1146</v>
      </c>
      <c r="E881" s="117">
        <v>3</v>
      </c>
      <c r="F881" s="117">
        <v>37896</v>
      </c>
      <c r="G881" s="117">
        <v>43</v>
      </c>
      <c r="H881" s="117">
        <v>4</v>
      </c>
      <c r="I881" s="110">
        <f t="shared" si="82"/>
        <v>0.0448023769498417</v>
      </c>
      <c r="J881" s="111">
        <f t="shared" si="84"/>
        <v>2.20157068062827</v>
      </c>
      <c r="K881" s="111">
        <f t="shared" si="80"/>
        <v>98.6355995152273</v>
      </c>
      <c r="L881" s="111">
        <f t="shared" si="83"/>
        <v>15.0202140309156</v>
      </c>
      <c r="M881" s="112">
        <f t="shared" si="81"/>
        <v>0.00261780104712042</v>
      </c>
    </row>
    <row r="882" ht="13.85" spans="1:13">
      <c r="A882" s="118">
        <v>46041</v>
      </c>
      <c r="B882" s="116">
        <v>6451</v>
      </c>
      <c r="C882" s="117">
        <v>55334</v>
      </c>
      <c r="D882" s="117">
        <v>2537</v>
      </c>
      <c r="E882" s="117">
        <v>1</v>
      </c>
      <c r="F882" s="117">
        <v>12954</v>
      </c>
      <c r="G882" s="117">
        <v>52</v>
      </c>
      <c r="H882" s="117">
        <v>3</v>
      </c>
      <c r="I882" s="110">
        <f t="shared" si="82"/>
        <v>0.0458488451946362</v>
      </c>
      <c r="J882" s="111">
        <f t="shared" si="84"/>
        <v>2.54276704769413</v>
      </c>
      <c r="K882" s="111">
        <f t="shared" si="80"/>
        <v>116.58293273575</v>
      </c>
      <c r="L882" s="111">
        <f t="shared" si="83"/>
        <v>2.00806076577275</v>
      </c>
      <c r="M882" s="112">
        <f t="shared" si="81"/>
        <v>0.000394166338194718</v>
      </c>
    </row>
    <row r="883" ht="13.85" spans="1:13">
      <c r="A883" s="118">
        <v>46042</v>
      </c>
      <c r="B883" s="116">
        <v>6491</v>
      </c>
      <c r="C883" s="117">
        <v>55528</v>
      </c>
      <c r="D883" s="117">
        <v>2599</v>
      </c>
      <c r="E883" s="117">
        <v>2</v>
      </c>
      <c r="F883" s="117">
        <v>33496</v>
      </c>
      <c r="G883" s="117">
        <v>63</v>
      </c>
      <c r="H883" s="117">
        <v>11</v>
      </c>
      <c r="I883" s="110">
        <f t="shared" si="82"/>
        <v>0.0468052153868319</v>
      </c>
      <c r="J883" s="111">
        <f t="shared" si="84"/>
        <v>2.49749903809157</v>
      </c>
      <c r="K883" s="111">
        <f t="shared" si="80"/>
        <v>116.895980406282</v>
      </c>
      <c r="L883" s="111">
        <f t="shared" si="83"/>
        <v>5.16037590509937</v>
      </c>
      <c r="M883" s="112">
        <f t="shared" si="81"/>
        <v>0.000769526741054252</v>
      </c>
    </row>
    <row r="884" ht="13.85" spans="1:13">
      <c r="A884" s="118">
        <v>46043</v>
      </c>
      <c r="B884" s="116">
        <v>6490</v>
      </c>
      <c r="C884" s="117">
        <v>60953</v>
      </c>
      <c r="D884" s="117">
        <v>2497</v>
      </c>
      <c r="E884" s="117">
        <v>2</v>
      </c>
      <c r="F884" s="117">
        <v>25399</v>
      </c>
      <c r="G884" s="117">
        <v>47</v>
      </c>
      <c r="H884" s="117">
        <v>14</v>
      </c>
      <c r="I884" s="110">
        <f t="shared" si="82"/>
        <v>0.0409659901891621</v>
      </c>
      <c r="J884" s="111">
        <f t="shared" si="84"/>
        <v>2.59911894273128</v>
      </c>
      <c r="K884" s="111">
        <f t="shared" si="80"/>
        <v>106.475481108395</v>
      </c>
      <c r="L884" s="111">
        <f t="shared" si="83"/>
        <v>3.9135593220339</v>
      </c>
      <c r="M884" s="112">
        <f t="shared" si="81"/>
        <v>0.000800961153384061</v>
      </c>
    </row>
    <row r="885" ht="13.85" spans="1:13">
      <c r="A885" s="118">
        <v>46044</v>
      </c>
      <c r="B885" s="116">
        <v>6500</v>
      </c>
      <c r="C885" s="117">
        <v>90241</v>
      </c>
      <c r="D885" s="117">
        <v>3284</v>
      </c>
      <c r="E885" s="117">
        <v>2</v>
      </c>
      <c r="F885" s="117">
        <v>17722</v>
      </c>
      <c r="G885" s="117">
        <v>77</v>
      </c>
      <c r="H885" s="117">
        <v>15</v>
      </c>
      <c r="I885" s="110">
        <f t="shared" si="82"/>
        <v>0.0363914406976873</v>
      </c>
      <c r="J885" s="111">
        <f t="shared" si="84"/>
        <v>1.97929354445798</v>
      </c>
      <c r="K885" s="111">
        <f t="shared" si="80"/>
        <v>72.0293436464578</v>
      </c>
      <c r="L885" s="111">
        <f t="shared" si="83"/>
        <v>2.72646153846154</v>
      </c>
      <c r="M885" s="112">
        <f t="shared" si="81"/>
        <v>0.000609013398294762</v>
      </c>
    </row>
    <row r="886" ht="13.85" spans="1:13">
      <c r="A886" s="118">
        <v>46045</v>
      </c>
      <c r="B886" s="116">
        <v>3000</v>
      </c>
      <c r="C886" s="117">
        <v>81427</v>
      </c>
      <c r="D886" s="117">
        <v>3355</v>
      </c>
      <c r="E886" s="117">
        <v>2</v>
      </c>
      <c r="F886" s="117">
        <v>27925</v>
      </c>
      <c r="G886" s="117">
        <v>41</v>
      </c>
      <c r="H886" s="117">
        <v>15</v>
      </c>
      <c r="I886" s="110">
        <f t="shared" si="82"/>
        <v>0.0412025495228855</v>
      </c>
      <c r="J886" s="111">
        <f t="shared" si="84"/>
        <v>0.894187779433681</v>
      </c>
      <c r="K886" s="111">
        <f t="shared" si="80"/>
        <v>36.8428162648753</v>
      </c>
      <c r="L886" s="111">
        <f t="shared" si="83"/>
        <v>9.30833333333333</v>
      </c>
      <c r="M886" s="112">
        <f t="shared" si="81"/>
        <v>0.000596125186289121</v>
      </c>
    </row>
    <row r="887" ht="13.85" spans="1:13">
      <c r="A887" s="118">
        <v>46046</v>
      </c>
      <c r="B887" s="116">
        <v>1499</v>
      </c>
      <c r="C887" s="117">
        <v>37185</v>
      </c>
      <c r="D887" s="117">
        <v>1013</v>
      </c>
      <c r="E887" s="117">
        <v>0</v>
      </c>
      <c r="F887" s="117">
        <v>0</v>
      </c>
      <c r="G887" s="117">
        <v>35</v>
      </c>
      <c r="H887" s="117">
        <v>11</v>
      </c>
      <c r="I887" s="110">
        <f t="shared" si="82"/>
        <v>0.027242167540675</v>
      </c>
      <c r="J887" s="111">
        <f t="shared" si="84"/>
        <v>1.47976307996051</v>
      </c>
      <c r="K887" s="111">
        <f t="shared" si="80"/>
        <v>40.3119537447896</v>
      </c>
      <c r="L887" s="111">
        <f t="shared" si="83"/>
        <v>0</v>
      </c>
      <c r="M887" s="112">
        <f t="shared" si="81"/>
        <v>0</v>
      </c>
    </row>
    <row r="888" ht="13.85" spans="1:13">
      <c r="A888" s="118">
        <v>46047</v>
      </c>
      <c r="B888" s="116">
        <v>2998</v>
      </c>
      <c r="C888" s="117">
        <v>65655</v>
      </c>
      <c r="D888" s="117">
        <v>1658</v>
      </c>
      <c r="E888" s="117">
        <v>2</v>
      </c>
      <c r="F888" s="117">
        <v>22865</v>
      </c>
      <c r="G888" s="117">
        <v>56</v>
      </c>
      <c r="H888" s="117">
        <v>12</v>
      </c>
      <c r="I888" s="110">
        <f t="shared" si="82"/>
        <v>0.0252532175767268</v>
      </c>
      <c r="J888" s="111">
        <f t="shared" si="84"/>
        <v>1.80820265379976</v>
      </c>
      <c r="K888" s="111">
        <f t="shared" si="80"/>
        <v>45.6629350392202</v>
      </c>
      <c r="L888" s="111">
        <f t="shared" si="83"/>
        <v>7.62675116744496</v>
      </c>
      <c r="M888" s="112">
        <f t="shared" si="81"/>
        <v>0.00120627261761158</v>
      </c>
    </row>
    <row r="889" ht="13.85" spans="1:13">
      <c r="A889" s="118">
        <v>46048</v>
      </c>
      <c r="B889" s="116">
        <v>2989</v>
      </c>
      <c r="C889" s="117">
        <v>31114</v>
      </c>
      <c r="D889" s="117">
        <v>1125</v>
      </c>
      <c r="E889" s="117">
        <v>3</v>
      </c>
      <c r="F889" s="117">
        <v>23192</v>
      </c>
      <c r="G889" s="117">
        <v>53</v>
      </c>
      <c r="H889" s="117">
        <v>4</v>
      </c>
      <c r="I889" s="110">
        <f t="shared" si="82"/>
        <v>0.036157356816867</v>
      </c>
      <c r="J889" s="111">
        <f t="shared" si="84"/>
        <v>2.65688888888889</v>
      </c>
      <c r="K889" s="111">
        <f t="shared" si="80"/>
        <v>96.0660795783249</v>
      </c>
      <c r="L889" s="111">
        <f t="shared" si="83"/>
        <v>7.75911676145868</v>
      </c>
      <c r="M889" s="112">
        <f t="shared" si="81"/>
        <v>0.00266666666666667</v>
      </c>
    </row>
    <row r="890" ht="13.85" spans="1:13">
      <c r="A890" s="118">
        <v>46049</v>
      </c>
      <c r="B890" s="116">
        <v>1498</v>
      </c>
      <c r="C890" s="117">
        <v>16217</v>
      </c>
      <c r="D890" s="117">
        <v>602</v>
      </c>
      <c r="E890" s="117">
        <v>1</v>
      </c>
      <c r="F890" s="117">
        <v>8146</v>
      </c>
      <c r="G890" s="117">
        <v>35</v>
      </c>
      <c r="H890" s="117">
        <v>8</v>
      </c>
      <c r="I890" s="110">
        <f t="shared" si="82"/>
        <v>0.0371215391256089</v>
      </c>
      <c r="J890" s="111">
        <f t="shared" si="84"/>
        <v>2.48837209302326</v>
      </c>
      <c r="K890" s="111">
        <f t="shared" si="80"/>
        <v>92.3722020102362</v>
      </c>
      <c r="L890" s="111">
        <f t="shared" si="83"/>
        <v>5.43791722296395</v>
      </c>
      <c r="M890" s="112">
        <f t="shared" si="81"/>
        <v>0.00166112956810631</v>
      </c>
    </row>
    <row r="891" ht="13.85" spans="1:13">
      <c r="A891" s="118">
        <v>46050</v>
      </c>
      <c r="B891" s="116">
        <v>3103</v>
      </c>
      <c r="C891" s="117">
        <v>45896</v>
      </c>
      <c r="D891" s="117">
        <v>1301</v>
      </c>
      <c r="E891" s="117">
        <v>3</v>
      </c>
      <c r="F891" s="117">
        <v>19192</v>
      </c>
      <c r="G891" s="117">
        <v>51</v>
      </c>
      <c r="H891" s="117">
        <v>7</v>
      </c>
      <c r="I891" s="110">
        <f t="shared" si="82"/>
        <v>0.0283466968799024</v>
      </c>
      <c r="J891" s="111">
        <f t="shared" si="84"/>
        <v>2.38508839354343</v>
      </c>
      <c r="K891" s="111">
        <f t="shared" si="80"/>
        <v>67.6093777235489</v>
      </c>
      <c r="L891" s="111">
        <f t="shared" si="83"/>
        <v>6.18498227521753</v>
      </c>
      <c r="M891" s="112">
        <f t="shared" si="81"/>
        <v>0.00230591852421214</v>
      </c>
    </row>
    <row r="892" ht="13.85" spans="1:13">
      <c r="A892" s="118">
        <v>46051</v>
      </c>
      <c r="B892" s="116">
        <v>1747</v>
      </c>
      <c r="C892" s="117">
        <v>33642</v>
      </c>
      <c r="D892" s="117">
        <v>1051</v>
      </c>
      <c r="E892" s="117">
        <v>4</v>
      </c>
      <c r="F892" s="117">
        <v>26891</v>
      </c>
      <c r="G892" s="117">
        <v>46</v>
      </c>
      <c r="H892" s="117">
        <v>14</v>
      </c>
      <c r="I892" s="110">
        <f t="shared" si="82"/>
        <v>0.0312407110159919</v>
      </c>
      <c r="J892" s="111">
        <f t="shared" si="84"/>
        <v>1.66222645099905</v>
      </c>
      <c r="K892" s="111">
        <f t="shared" ref="K892:K955" si="85">B892/C892*1000</f>
        <v>51.9291361987991</v>
      </c>
      <c r="L892" s="111">
        <f t="shared" si="83"/>
        <v>15.3926731539782</v>
      </c>
      <c r="M892" s="112">
        <f t="shared" si="81"/>
        <v>0.00380589914367269</v>
      </c>
    </row>
    <row r="893" ht="13.85" spans="1:13">
      <c r="A893" s="118">
        <v>46052</v>
      </c>
      <c r="B893" s="116">
        <v>3247</v>
      </c>
      <c r="C893" s="117">
        <v>42588</v>
      </c>
      <c r="D893" s="117">
        <v>1405</v>
      </c>
      <c r="E893" s="117">
        <v>6</v>
      </c>
      <c r="F893" s="117">
        <v>38493</v>
      </c>
      <c r="G893" s="117">
        <v>32</v>
      </c>
      <c r="H893" s="117">
        <v>12</v>
      </c>
      <c r="I893" s="110">
        <f t="shared" si="82"/>
        <v>0.0329905137597445</v>
      </c>
      <c r="J893" s="111">
        <f t="shared" si="84"/>
        <v>2.31103202846975</v>
      </c>
      <c r="K893" s="111">
        <f t="shared" si="85"/>
        <v>76.2421339344416</v>
      </c>
      <c r="L893" s="111">
        <f t="shared" si="83"/>
        <v>11.8549430243302</v>
      </c>
      <c r="M893" s="112">
        <f t="shared" si="81"/>
        <v>0.00427046263345196</v>
      </c>
    </row>
    <row r="894" ht="13.85" spans="1:13">
      <c r="A894" s="118">
        <v>46053</v>
      </c>
      <c r="B894" s="116">
        <v>3080</v>
      </c>
      <c r="C894" s="117">
        <v>47331</v>
      </c>
      <c r="D894" s="117">
        <v>1792</v>
      </c>
      <c r="E894" s="117">
        <v>2</v>
      </c>
      <c r="F894" s="117">
        <v>27156</v>
      </c>
      <c r="G894" s="117">
        <v>50</v>
      </c>
      <c r="H894" s="117">
        <v>7</v>
      </c>
      <c r="I894" s="110">
        <f t="shared" si="82"/>
        <v>0.0378610213179523</v>
      </c>
      <c r="J894" s="111">
        <f t="shared" si="84"/>
        <v>1.71875</v>
      </c>
      <c r="K894" s="111">
        <f t="shared" si="85"/>
        <v>65.0736303902305</v>
      </c>
      <c r="L894" s="111">
        <f t="shared" si="83"/>
        <v>8.81688311688312</v>
      </c>
      <c r="M894" s="112">
        <f t="shared" si="81"/>
        <v>0.00111607142857143</v>
      </c>
    </row>
    <row r="895" ht="13.85" spans="1:13">
      <c r="A895" s="118">
        <v>46054</v>
      </c>
      <c r="B895" s="116">
        <v>1803</v>
      </c>
      <c r="C895" s="117">
        <v>22034</v>
      </c>
      <c r="D895" s="117">
        <v>963</v>
      </c>
      <c r="E895" s="117">
        <v>3</v>
      </c>
      <c r="F895" s="117">
        <v>13510</v>
      </c>
      <c r="G895" s="117">
        <v>56</v>
      </c>
      <c r="H895" s="117">
        <v>4</v>
      </c>
      <c r="I895" s="110">
        <f t="shared" si="82"/>
        <v>0.0437051828991558</v>
      </c>
      <c r="J895" s="111">
        <f t="shared" si="84"/>
        <v>1.87227414330218</v>
      </c>
      <c r="K895" s="111">
        <f t="shared" si="85"/>
        <v>81.8280838703821</v>
      </c>
      <c r="L895" s="111">
        <f t="shared" si="83"/>
        <v>7.4930671103716</v>
      </c>
      <c r="M895" s="112">
        <f t="shared" si="81"/>
        <v>0.00311526479750779</v>
      </c>
    </row>
    <row r="896" ht="13.85" spans="1:13">
      <c r="A896" s="118">
        <v>46055</v>
      </c>
      <c r="B896" s="116">
        <v>1800</v>
      </c>
      <c r="C896" s="117">
        <v>23602</v>
      </c>
      <c r="D896" s="117">
        <v>895</v>
      </c>
      <c r="E896" s="117">
        <v>2</v>
      </c>
      <c r="F896" s="117">
        <v>21630</v>
      </c>
      <c r="G896" s="117">
        <v>35</v>
      </c>
      <c r="H896" s="117">
        <v>4</v>
      </c>
      <c r="I896" s="110">
        <f t="shared" si="82"/>
        <v>0.0379205152105754</v>
      </c>
      <c r="J896" s="111">
        <f t="shared" si="84"/>
        <v>2.01117318435754</v>
      </c>
      <c r="K896" s="111">
        <f t="shared" si="85"/>
        <v>76.2647233285315</v>
      </c>
      <c r="L896" s="111">
        <f t="shared" si="83"/>
        <v>12.0166666666667</v>
      </c>
      <c r="M896" s="112">
        <f t="shared" si="81"/>
        <v>0.00223463687150838</v>
      </c>
    </row>
    <row r="897" ht="13.85" spans="1:13">
      <c r="A897" s="118">
        <v>46056</v>
      </c>
      <c r="B897" s="116">
        <v>1120</v>
      </c>
      <c r="C897" s="117">
        <v>13025</v>
      </c>
      <c r="D897" s="117">
        <v>488</v>
      </c>
      <c r="E897" s="117">
        <v>5</v>
      </c>
      <c r="F897" s="117">
        <v>72519</v>
      </c>
      <c r="G897" s="117">
        <v>34</v>
      </c>
      <c r="H897" s="117">
        <v>5</v>
      </c>
      <c r="I897" s="110">
        <f t="shared" si="82"/>
        <v>0.0374664107485605</v>
      </c>
      <c r="J897" s="111">
        <f t="shared" si="84"/>
        <v>2.29508196721311</v>
      </c>
      <c r="K897" s="111">
        <f t="shared" si="85"/>
        <v>85.9884836852207</v>
      </c>
      <c r="L897" s="111">
        <f t="shared" si="83"/>
        <v>64.7491071428571</v>
      </c>
      <c r="M897" s="112">
        <f t="shared" ref="M897:M960" si="86">E897/D897</f>
        <v>0.0102459016393443</v>
      </c>
    </row>
    <row r="898" ht="13.85" spans="1:13">
      <c r="A898" s="118">
        <v>46057</v>
      </c>
      <c r="B898" s="116">
        <v>1000</v>
      </c>
      <c r="C898" s="117">
        <v>8562</v>
      </c>
      <c r="D898" s="117">
        <v>361</v>
      </c>
      <c r="E898" s="117">
        <v>0</v>
      </c>
      <c r="F898" s="117">
        <v>0</v>
      </c>
      <c r="G898" s="117">
        <v>26</v>
      </c>
      <c r="H898" s="117">
        <v>5</v>
      </c>
      <c r="I898" s="110">
        <f t="shared" si="82"/>
        <v>0.0421630460172857</v>
      </c>
      <c r="J898" s="111">
        <f t="shared" si="84"/>
        <v>2.77008310249307</v>
      </c>
      <c r="K898" s="111">
        <f t="shared" si="85"/>
        <v>116.795141322121</v>
      </c>
      <c r="L898" s="111">
        <f t="shared" si="83"/>
        <v>0</v>
      </c>
      <c r="M898" s="112">
        <f t="shared" si="86"/>
        <v>0</v>
      </c>
    </row>
    <row r="899" ht="13.85" spans="1:13">
      <c r="A899" s="118">
        <v>46058</v>
      </c>
      <c r="B899" s="116">
        <v>1000</v>
      </c>
      <c r="C899" s="117">
        <v>7725</v>
      </c>
      <c r="D899" s="117">
        <v>373</v>
      </c>
      <c r="E899" s="117">
        <v>1</v>
      </c>
      <c r="F899" s="117">
        <v>8994</v>
      </c>
      <c r="G899" s="117">
        <v>24</v>
      </c>
      <c r="H899" s="117">
        <v>10</v>
      </c>
      <c r="I899" s="110">
        <f t="shared" si="82"/>
        <v>0.0482847896440129</v>
      </c>
      <c r="J899" s="111">
        <f t="shared" si="84"/>
        <v>2.68096514745308</v>
      </c>
      <c r="K899" s="111">
        <f t="shared" si="85"/>
        <v>129.449838187702</v>
      </c>
      <c r="L899" s="111">
        <f t="shared" si="83"/>
        <v>8.994</v>
      </c>
      <c r="M899" s="112">
        <f t="shared" si="86"/>
        <v>0.00268096514745308</v>
      </c>
    </row>
    <row r="900" ht="13.85" spans="1:13">
      <c r="A900" s="118">
        <v>46059</v>
      </c>
      <c r="B900" s="116">
        <v>2489</v>
      </c>
      <c r="C900" s="117">
        <v>26056</v>
      </c>
      <c r="D900" s="117">
        <v>1045</v>
      </c>
      <c r="E900" s="117">
        <v>3</v>
      </c>
      <c r="F900" s="117">
        <v>33938</v>
      </c>
      <c r="G900" s="117">
        <v>48</v>
      </c>
      <c r="H900" s="117">
        <v>9</v>
      </c>
      <c r="I900" s="110">
        <f t="shared" si="82"/>
        <v>0.0401059256984955</v>
      </c>
      <c r="J900" s="111">
        <f t="shared" si="84"/>
        <v>2.38181818181818</v>
      </c>
      <c r="K900" s="111">
        <f t="shared" si="85"/>
        <v>95.5250230273258</v>
      </c>
      <c r="L900" s="111">
        <f t="shared" si="83"/>
        <v>13.6351948573724</v>
      </c>
      <c r="M900" s="112">
        <f t="shared" si="86"/>
        <v>0.00287081339712919</v>
      </c>
    </row>
    <row r="901" ht="13.85" spans="1:13">
      <c r="A901" s="118">
        <v>46060</v>
      </c>
      <c r="B901" s="116">
        <v>2500</v>
      </c>
      <c r="C901" s="117">
        <v>24349</v>
      </c>
      <c r="D901" s="117">
        <v>909</v>
      </c>
      <c r="E901" s="117">
        <v>3</v>
      </c>
      <c r="F901" s="117">
        <v>27243</v>
      </c>
      <c r="G901" s="117">
        <v>36</v>
      </c>
      <c r="H901" s="117">
        <v>7</v>
      </c>
      <c r="I901" s="110">
        <f t="shared" si="82"/>
        <v>0.0373321286295125</v>
      </c>
      <c r="J901" s="111">
        <f t="shared" si="84"/>
        <v>2.75027502750275</v>
      </c>
      <c r="K901" s="111">
        <f t="shared" si="85"/>
        <v>102.673621093269</v>
      </c>
      <c r="L901" s="111">
        <f t="shared" si="83"/>
        <v>10.8972</v>
      </c>
      <c r="M901" s="112">
        <f t="shared" si="86"/>
        <v>0.0033003300330033</v>
      </c>
    </row>
    <row r="902" ht="13.85" spans="1:13">
      <c r="A902" s="118">
        <v>46061</v>
      </c>
      <c r="B902" s="116">
        <v>2495</v>
      </c>
      <c r="C902" s="117">
        <v>27991</v>
      </c>
      <c r="D902" s="117">
        <v>1044</v>
      </c>
      <c r="E902" s="117">
        <v>0</v>
      </c>
      <c r="F902" s="117">
        <v>0</v>
      </c>
      <c r="G902" s="117">
        <v>24</v>
      </c>
      <c r="H902" s="117">
        <v>4</v>
      </c>
      <c r="I902" s="110">
        <f t="shared" si="82"/>
        <v>0.0372977028330535</v>
      </c>
      <c r="J902" s="111">
        <f t="shared" si="84"/>
        <v>2.38984674329502</v>
      </c>
      <c r="K902" s="111">
        <f t="shared" si="85"/>
        <v>89.1357936479583</v>
      </c>
      <c r="L902" s="111">
        <f t="shared" si="83"/>
        <v>0</v>
      </c>
      <c r="M902" s="112">
        <f t="shared" si="86"/>
        <v>0</v>
      </c>
    </row>
    <row r="903" ht="13.85" spans="1:13">
      <c r="A903" s="118">
        <v>46062</v>
      </c>
      <c r="B903" s="116">
        <v>2500</v>
      </c>
      <c r="C903" s="117">
        <v>27383</v>
      </c>
      <c r="D903" s="117">
        <v>1098</v>
      </c>
      <c r="E903" s="117">
        <v>1</v>
      </c>
      <c r="F903" s="117">
        <v>7378</v>
      </c>
      <c r="G903" s="117">
        <v>35</v>
      </c>
      <c r="H903" s="117">
        <v>9</v>
      </c>
      <c r="I903" s="110">
        <f t="shared" si="82"/>
        <v>0.0400978709418252</v>
      </c>
      <c r="J903" s="111">
        <f t="shared" si="84"/>
        <v>2.27686703096539</v>
      </c>
      <c r="K903" s="111">
        <f t="shared" si="85"/>
        <v>91.297520359347</v>
      </c>
      <c r="L903" s="111">
        <f t="shared" si="83"/>
        <v>2.9512</v>
      </c>
      <c r="M903" s="112">
        <f t="shared" si="86"/>
        <v>0.000910746812386157</v>
      </c>
    </row>
    <row r="904" ht="13.85" spans="1:13">
      <c r="A904" s="118">
        <v>46063</v>
      </c>
      <c r="B904" s="116">
        <v>3287</v>
      </c>
      <c r="C904" s="117">
        <v>38403</v>
      </c>
      <c r="D904" s="117">
        <v>1353</v>
      </c>
      <c r="E904" s="117">
        <v>0</v>
      </c>
      <c r="F904" s="117">
        <v>0</v>
      </c>
      <c r="G904" s="117">
        <v>29</v>
      </c>
      <c r="H904" s="117">
        <v>4</v>
      </c>
      <c r="I904" s="110">
        <f t="shared" si="82"/>
        <v>0.0352316225294899</v>
      </c>
      <c r="J904" s="111">
        <f t="shared" si="84"/>
        <v>2.42941611234294</v>
      </c>
      <c r="K904" s="111">
        <f t="shared" si="85"/>
        <v>85.5922714371273</v>
      </c>
      <c r="L904" s="111">
        <f t="shared" si="83"/>
        <v>0</v>
      </c>
      <c r="M904" s="112">
        <f t="shared" si="86"/>
        <v>0</v>
      </c>
    </row>
    <row r="905" ht="13.85" spans="1:13">
      <c r="A905" s="118">
        <v>46064</v>
      </c>
      <c r="B905" s="116">
        <v>5993</v>
      </c>
      <c r="C905" s="117">
        <v>55009</v>
      </c>
      <c r="D905" s="117">
        <v>2689</v>
      </c>
      <c r="E905" s="117">
        <v>1</v>
      </c>
      <c r="F905" s="117">
        <v>10015</v>
      </c>
      <c r="G905" s="117">
        <v>53</v>
      </c>
      <c r="H905" s="117">
        <v>10</v>
      </c>
      <c r="I905" s="110">
        <f t="shared" ref="I905:I967" si="87">D905/C905</f>
        <v>0.0488829100692614</v>
      </c>
      <c r="J905" s="111">
        <f t="shared" si="84"/>
        <v>2.2287095574563</v>
      </c>
      <c r="K905" s="111">
        <f t="shared" si="85"/>
        <v>108.94580886764</v>
      </c>
      <c r="L905" s="111">
        <f t="shared" ref="L905:L967" si="88">F905/B905</f>
        <v>1.67111630235274</v>
      </c>
      <c r="M905" s="112">
        <f t="shared" si="86"/>
        <v>0.000371885459278542</v>
      </c>
    </row>
    <row r="906" ht="13.85" spans="1:13">
      <c r="A906" s="118">
        <v>46065</v>
      </c>
      <c r="B906" s="116">
        <v>5700</v>
      </c>
      <c r="C906" s="117">
        <v>45005</v>
      </c>
      <c r="D906" s="117">
        <v>52033</v>
      </c>
      <c r="E906" s="117">
        <v>1</v>
      </c>
      <c r="F906" s="117">
        <v>7025</v>
      </c>
      <c r="G906" s="117">
        <v>42</v>
      </c>
      <c r="H906" s="117">
        <v>8</v>
      </c>
      <c r="I906" s="110">
        <f t="shared" si="87"/>
        <v>1.15616042661926</v>
      </c>
      <c r="J906" s="111">
        <f t="shared" si="84"/>
        <v>0.109545865124056</v>
      </c>
      <c r="K906" s="111">
        <f t="shared" si="85"/>
        <v>126.652594156205</v>
      </c>
      <c r="L906" s="111">
        <f t="shared" si="88"/>
        <v>1.23245614035088</v>
      </c>
      <c r="M906" s="112">
        <f t="shared" si="86"/>
        <v>1.92185728287817e-5</v>
      </c>
    </row>
    <row r="907" ht="13.85" spans="1:13">
      <c r="A907" s="118">
        <v>46066</v>
      </c>
      <c r="B907" s="116">
        <v>5700</v>
      </c>
      <c r="C907" s="117">
        <v>55258</v>
      </c>
      <c r="D907" s="117">
        <v>3684</v>
      </c>
      <c r="E907" s="117">
        <v>4</v>
      </c>
      <c r="F907" s="117">
        <v>32690</v>
      </c>
      <c r="G907" s="117">
        <v>72</v>
      </c>
      <c r="H907" s="117">
        <v>9</v>
      </c>
      <c r="I907" s="110">
        <f t="shared" si="87"/>
        <v>0.0666690795902856</v>
      </c>
      <c r="J907" s="111">
        <f t="shared" si="84"/>
        <v>1.54723127035831</v>
      </c>
      <c r="K907" s="111">
        <f t="shared" si="85"/>
        <v>103.152484708097</v>
      </c>
      <c r="L907" s="111">
        <f t="shared" si="88"/>
        <v>5.73508771929825</v>
      </c>
      <c r="M907" s="112">
        <f t="shared" si="86"/>
        <v>0.001085776330076</v>
      </c>
    </row>
    <row r="908" ht="13.85" spans="1:13">
      <c r="A908" s="118">
        <v>46067</v>
      </c>
      <c r="B908" s="116">
        <v>696</v>
      </c>
      <c r="C908" s="117">
        <v>5205</v>
      </c>
      <c r="D908" s="117">
        <v>350</v>
      </c>
      <c r="E908" s="117">
        <v>2</v>
      </c>
      <c r="F908" s="117">
        <v>16612</v>
      </c>
      <c r="G908" s="117">
        <v>19</v>
      </c>
      <c r="H908" s="117">
        <v>8</v>
      </c>
      <c r="I908" s="110">
        <f t="shared" si="87"/>
        <v>0.0672430355427474</v>
      </c>
      <c r="J908" s="111">
        <f t="shared" si="84"/>
        <v>1.98857142857143</v>
      </c>
      <c r="K908" s="111">
        <f t="shared" si="85"/>
        <v>133.71757925072</v>
      </c>
      <c r="L908" s="111">
        <f t="shared" si="88"/>
        <v>23.867816091954</v>
      </c>
      <c r="M908" s="112">
        <f t="shared" si="86"/>
        <v>0.00571428571428571</v>
      </c>
    </row>
    <row r="909" ht="13.85" spans="1:13">
      <c r="A909" s="118">
        <v>46068</v>
      </c>
      <c r="B909" s="116">
        <v>700</v>
      </c>
      <c r="C909" s="117">
        <v>5141</v>
      </c>
      <c r="D909" s="117">
        <v>339</v>
      </c>
      <c r="E909" s="117">
        <v>0</v>
      </c>
      <c r="F909" s="117">
        <v>0</v>
      </c>
      <c r="G909" s="117">
        <v>21</v>
      </c>
      <c r="H909" s="117">
        <v>7</v>
      </c>
      <c r="I909" s="110">
        <f t="shared" si="87"/>
        <v>0.0659404785061272</v>
      </c>
      <c r="J909" s="111">
        <f t="shared" si="84"/>
        <v>2.06489675516224</v>
      </c>
      <c r="K909" s="111">
        <f t="shared" si="85"/>
        <v>136.160280101148</v>
      </c>
      <c r="L909" s="111">
        <f t="shared" si="88"/>
        <v>0</v>
      </c>
      <c r="M909" s="112">
        <f t="shared" si="86"/>
        <v>0</v>
      </c>
    </row>
    <row r="910" ht="13.85" spans="1:13">
      <c r="A910" s="118">
        <v>46069</v>
      </c>
      <c r="B910" s="116">
        <v>700</v>
      </c>
      <c r="C910" s="117">
        <v>6045</v>
      </c>
      <c r="D910" s="117">
        <v>356</v>
      </c>
      <c r="E910" s="117">
        <v>1</v>
      </c>
      <c r="F910" s="117">
        <v>8524</v>
      </c>
      <c r="G910" s="117">
        <v>31</v>
      </c>
      <c r="H910" s="117">
        <v>4</v>
      </c>
      <c r="I910" s="110">
        <f t="shared" si="87"/>
        <v>0.0588916459884202</v>
      </c>
      <c r="J910" s="111">
        <f t="shared" si="84"/>
        <v>1.96629213483146</v>
      </c>
      <c r="K910" s="111">
        <f t="shared" si="85"/>
        <v>115.798180314309</v>
      </c>
      <c r="L910" s="111">
        <f t="shared" si="88"/>
        <v>12.1771428571429</v>
      </c>
      <c r="M910" s="112">
        <f t="shared" si="86"/>
        <v>0.00280898876404494</v>
      </c>
    </row>
    <row r="911" ht="13.85" spans="1:13">
      <c r="A911" s="118">
        <v>46070</v>
      </c>
      <c r="B911" s="116">
        <v>700</v>
      </c>
      <c r="C911" s="117">
        <v>6459</v>
      </c>
      <c r="D911" s="117">
        <v>352</v>
      </c>
      <c r="E911" s="117">
        <v>0</v>
      </c>
      <c r="F911" s="117">
        <v>0</v>
      </c>
      <c r="G911" s="117">
        <v>19</v>
      </c>
      <c r="H911" s="117">
        <v>2</v>
      </c>
      <c r="I911" s="110">
        <f t="shared" si="87"/>
        <v>0.0544976002477164</v>
      </c>
      <c r="J911" s="111">
        <f t="shared" si="84"/>
        <v>1.98863636363636</v>
      </c>
      <c r="K911" s="111">
        <f t="shared" si="85"/>
        <v>108.375909583527</v>
      </c>
      <c r="L911" s="111">
        <f t="shared" si="88"/>
        <v>0</v>
      </c>
      <c r="M911" s="112">
        <f t="shared" si="86"/>
        <v>0</v>
      </c>
    </row>
    <row r="912" ht="13.85" spans="1:13">
      <c r="A912" s="118">
        <v>46071</v>
      </c>
      <c r="B912" s="116">
        <v>700</v>
      </c>
      <c r="C912" s="117">
        <v>5403</v>
      </c>
      <c r="D912" s="117">
        <v>386</v>
      </c>
      <c r="E912" s="117">
        <v>5</v>
      </c>
      <c r="F912" s="117">
        <v>41113</v>
      </c>
      <c r="G912" s="117">
        <v>37</v>
      </c>
      <c r="H912" s="117">
        <v>7</v>
      </c>
      <c r="I912" s="110">
        <f t="shared" si="87"/>
        <v>0.0714417915972608</v>
      </c>
      <c r="J912" s="111">
        <f t="shared" si="84"/>
        <v>1.81347150259067</v>
      </c>
      <c r="K912" s="111">
        <f t="shared" si="85"/>
        <v>129.557653155654</v>
      </c>
      <c r="L912" s="111">
        <f t="shared" si="88"/>
        <v>58.7328571428571</v>
      </c>
      <c r="M912" s="112">
        <f t="shared" si="86"/>
        <v>0.0129533678756477</v>
      </c>
    </row>
    <row r="913" ht="13.85" spans="1:13">
      <c r="A913" s="118">
        <v>46072</v>
      </c>
      <c r="B913" s="116">
        <v>698</v>
      </c>
      <c r="C913" s="117">
        <v>4444</v>
      </c>
      <c r="D913" s="117">
        <v>332</v>
      </c>
      <c r="E913" s="117">
        <v>2</v>
      </c>
      <c r="F913" s="117">
        <v>17080</v>
      </c>
      <c r="G913" s="117">
        <v>12</v>
      </c>
      <c r="H913" s="117">
        <v>4</v>
      </c>
      <c r="I913" s="110">
        <f t="shared" si="87"/>
        <v>0.0747074707470747</v>
      </c>
      <c r="J913" s="111">
        <f t="shared" ref="J913:J967" si="89">B913/D913</f>
        <v>2.10240963855422</v>
      </c>
      <c r="K913" s="111">
        <f t="shared" si="85"/>
        <v>157.065706570657</v>
      </c>
      <c r="L913" s="111">
        <f t="shared" si="88"/>
        <v>24.4699140401146</v>
      </c>
      <c r="M913" s="112">
        <f t="shared" si="86"/>
        <v>0.00602409638554217</v>
      </c>
    </row>
    <row r="914" ht="13.85" spans="1:13">
      <c r="A914" s="118">
        <v>46073</v>
      </c>
      <c r="B914" s="116">
        <v>2183</v>
      </c>
      <c r="C914" s="117">
        <v>32001</v>
      </c>
      <c r="D914" s="117">
        <v>1826</v>
      </c>
      <c r="E914" s="117">
        <v>3</v>
      </c>
      <c r="F914" s="117">
        <v>65630</v>
      </c>
      <c r="G914" s="117">
        <v>45</v>
      </c>
      <c r="H914" s="117">
        <v>3</v>
      </c>
      <c r="I914" s="110">
        <f t="shared" si="87"/>
        <v>0.0570607168525984</v>
      </c>
      <c r="J914" s="111">
        <f t="shared" si="89"/>
        <v>1.19550930996714</v>
      </c>
      <c r="K914" s="111">
        <f t="shared" si="85"/>
        <v>68.2166182306803</v>
      </c>
      <c r="L914" s="111">
        <f t="shared" si="88"/>
        <v>30.0641319285387</v>
      </c>
      <c r="M914" s="112">
        <f t="shared" si="86"/>
        <v>0.00164293537787514</v>
      </c>
    </row>
    <row r="915" ht="13.85" spans="1:13">
      <c r="A915" s="118">
        <v>46074</v>
      </c>
      <c r="B915" s="116">
        <v>2200</v>
      </c>
      <c r="C915" s="117">
        <v>30531</v>
      </c>
      <c r="D915" s="117">
        <v>1372</v>
      </c>
      <c r="E915" s="117">
        <v>3</v>
      </c>
      <c r="F915" s="117">
        <v>27904</v>
      </c>
      <c r="G915" s="117">
        <v>64</v>
      </c>
      <c r="H915" s="117">
        <v>4</v>
      </c>
      <c r="I915" s="110">
        <f t="shared" si="87"/>
        <v>0.0449379319380302</v>
      </c>
      <c r="J915" s="111">
        <f t="shared" si="89"/>
        <v>1.60349854227405</v>
      </c>
      <c r="K915" s="111">
        <f t="shared" si="85"/>
        <v>72.057908355442</v>
      </c>
      <c r="L915" s="111">
        <f t="shared" si="88"/>
        <v>12.6836363636364</v>
      </c>
      <c r="M915" s="112">
        <f t="shared" si="86"/>
        <v>0.0021865889212828</v>
      </c>
    </row>
    <row r="916" ht="13.85" spans="1:13">
      <c r="A916" s="118">
        <v>46075</v>
      </c>
      <c r="B916" s="116">
        <v>2153</v>
      </c>
      <c r="C916" s="117">
        <v>19964</v>
      </c>
      <c r="D916" s="117">
        <v>1626</v>
      </c>
      <c r="E916" s="117">
        <v>3</v>
      </c>
      <c r="F916" s="117">
        <v>21416</v>
      </c>
      <c r="G916" s="117">
        <v>44</v>
      </c>
      <c r="H916" s="117">
        <v>3</v>
      </c>
      <c r="I916" s="110">
        <f t="shared" si="87"/>
        <v>0.0814466038869966</v>
      </c>
      <c r="J916" s="111">
        <f t="shared" si="89"/>
        <v>1.32410824108241</v>
      </c>
      <c r="K916" s="111">
        <f t="shared" si="85"/>
        <v>107.844119414947</v>
      </c>
      <c r="L916" s="111">
        <f t="shared" si="88"/>
        <v>9.94705062703205</v>
      </c>
      <c r="M916" s="112">
        <f t="shared" si="86"/>
        <v>0.0018450184501845</v>
      </c>
    </row>
    <row r="917" ht="13.85" spans="1:13">
      <c r="A917" s="118">
        <v>46076</v>
      </c>
      <c r="B917" s="116">
        <v>2199</v>
      </c>
      <c r="C917" s="117">
        <v>31520</v>
      </c>
      <c r="D917" s="117">
        <v>1132</v>
      </c>
      <c r="E917" s="117">
        <v>2</v>
      </c>
      <c r="F917" s="117">
        <v>38643</v>
      </c>
      <c r="G917" s="117">
        <v>53</v>
      </c>
      <c r="H917" s="117">
        <v>10</v>
      </c>
      <c r="I917" s="110">
        <f t="shared" si="87"/>
        <v>0.0359137055837563</v>
      </c>
      <c r="J917" s="111">
        <f t="shared" si="89"/>
        <v>1.94257950530035</v>
      </c>
      <c r="K917" s="111">
        <f t="shared" si="85"/>
        <v>69.765228426396</v>
      </c>
      <c r="L917" s="111">
        <f t="shared" si="88"/>
        <v>17.5729877216917</v>
      </c>
      <c r="M917" s="112">
        <f t="shared" si="86"/>
        <v>0.00176678445229682</v>
      </c>
    </row>
    <row r="918" ht="13.85" spans="1:13">
      <c r="A918" s="118">
        <v>46077</v>
      </c>
      <c r="B918" s="116">
        <v>2200</v>
      </c>
      <c r="C918" s="117">
        <v>20720</v>
      </c>
      <c r="D918" s="117">
        <v>993</v>
      </c>
      <c r="E918" s="117">
        <v>3</v>
      </c>
      <c r="F918" s="117">
        <v>26870</v>
      </c>
      <c r="G918" s="117">
        <v>59</v>
      </c>
      <c r="H918" s="117">
        <v>3</v>
      </c>
      <c r="I918" s="110">
        <f t="shared" si="87"/>
        <v>0.0479247104247104</v>
      </c>
      <c r="J918" s="111">
        <f t="shared" si="89"/>
        <v>2.21550855991944</v>
      </c>
      <c r="K918" s="111">
        <f t="shared" si="85"/>
        <v>106.177606177606</v>
      </c>
      <c r="L918" s="111">
        <f t="shared" si="88"/>
        <v>12.2136363636364</v>
      </c>
      <c r="M918" s="112">
        <f t="shared" si="86"/>
        <v>0.00302114803625378</v>
      </c>
    </row>
    <row r="919" ht="13.85" spans="1:13">
      <c r="A919" s="118">
        <v>46078</v>
      </c>
      <c r="B919" s="116">
        <v>2541</v>
      </c>
      <c r="C919" s="117">
        <v>25480</v>
      </c>
      <c r="D919" s="117">
        <v>1519</v>
      </c>
      <c r="E919" s="117">
        <v>1</v>
      </c>
      <c r="F919" s="117">
        <v>24828</v>
      </c>
      <c r="G919" s="117">
        <v>58</v>
      </c>
      <c r="H919" s="117">
        <v>6</v>
      </c>
      <c r="I919" s="110">
        <f t="shared" si="87"/>
        <v>0.0596153846153846</v>
      </c>
      <c r="J919" s="111">
        <f t="shared" si="89"/>
        <v>1.67281105990783</v>
      </c>
      <c r="K919" s="111">
        <f t="shared" si="85"/>
        <v>99.7252747252747</v>
      </c>
      <c r="L919" s="111">
        <f t="shared" si="88"/>
        <v>9.77095631641086</v>
      </c>
      <c r="M919" s="112">
        <f t="shared" si="86"/>
        <v>0.000658327847267939</v>
      </c>
    </row>
    <row r="920" ht="13.85" spans="1:13">
      <c r="A920" s="118">
        <v>46079</v>
      </c>
      <c r="B920" s="116">
        <v>3024</v>
      </c>
      <c r="C920" s="117">
        <v>35205</v>
      </c>
      <c r="D920" s="117">
        <v>2245</v>
      </c>
      <c r="E920" s="117">
        <v>1</v>
      </c>
      <c r="F920" s="117">
        <v>9200</v>
      </c>
      <c r="G920" s="117">
        <v>94</v>
      </c>
      <c r="H920" s="117">
        <v>11</v>
      </c>
      <c r="I920" s="110">
        <f t="shared" si="87"/>
        <v>0.0637693509444681</v>
      </c>
      <c r="J920" s="111">
        <f t="shared" si="89"/>
        <v>1.34699331848552</v>
      </c>
      <c r="K920" s="111">
        <f t="shared" si="85"/>
        <v>85.8968896463571</v>
      </c>
      <c r="L920" s="111">
        <f t="shared" si="88"/>
        <v>3.04232804232804</v>
      </c>
      <c r="M920" s="112">
        <f t="shared" si="86"/>
        <v>0.00044543429844098</v>
      </c>
    </row>
    <row r="921" ht="13.85" spans="1:13">
      <c r="A921" s="118">
        <v>46080</v>
      </c>
      <c r="B921" s="116">
        <v>1352</v>
      </c>
      <c r="C921" s="117">
        <v>14905</v>
      </c>
      <c r="D921" s="117">
        <v>879</v>
      </c>
      <c r="E921" s="117">
        <v>1</v>
      </c>
      <c r="F921" s="117">
        <v>7590</v>
      </c>
      <c r="G921" s="117">
        <v>67</v>
      </c>
      <c r="H921" s="117">
        <v>6</v>
      </c>
      <c r="I921" s="110">
        <f t="shared" si="87"/>
        <v>0.0589734988258973</v>
      </c>
      <c r="J921" s="111">
        <f t="shared" si="89"/>
        <v>1.53811149032992</v>
      </c>
      <c r="K921" s="111">
        <f t="shared" si="85"/>
        <v>90.7078161690708</v>
      </c>
      <c r="L921" s="111">
        <f t="shared" si="88"/>
        <v>5.61390532544379</v>
      </c>
      <c r="M921" s="112">
        <f t="shared" si="86"/>
        <v>0.00113765642775882</v>
      </c>
    </row>
    <row r="922" ht="13.85" spans="1:13">
      <c r="A922" s="118">
        <v>46081</v>
      </c>
      <c r="B922" s="116">
        <v>1359</v>
      </c>
      <c r="C922" s="117">
        <v>15658</v>
      </c>
      <c r="D922" s="117">
        <v>883</v>
      </c>
      <c r="E922" s="117">
        <v>1</v>
      </c>
      <c r="F922" s="117">
        <v>18434</v>
      </c>
      <c r="G922" s="117">
        <v>68</v>
      </c>
      <c r="H922" s="117">
        <v>8</v>
      </c>
      <c r="I922" s="110">
        <f t="shared" si="87"/>
        <v>0.0563928981990037</v>
      </c>
      <c r="J922" s="111">
        <f t="shared" si="89"/>
        <v>1.53907134767837</v>
      </c>
      <c r="K922" s="111">
        <f t="shared" si="85"/>
        <v>86.7926938306297</v>
      </c>
      <c r="L922" s="111">
        <f t="shared" si="88"/>
        <v>13.5643855776306</v>
      </c>
      <c r="M922" s="112">
        <f t="shared" si="86"/>
        <v>0.00113250283125708</v>
      </c>
    </row>
    <row r="923" ht="13.85" spans="1:13">
      <c r="A923" s="118">
        <v>46082</v>
      </c>
      <c r="B923" s="116">
        <v>3029</v>
      </c>
      <c r="C923" s="117">
        <v>36031</v>
      </c>
      <c r="D923" s="117">
        <v>1384</v>
      </c>
      <c r="E923" s="117">
        <v>1</v>
      </c>
      <c r="F923" s="117">
        <v>11912</v>
      </c>
      <c r="G923" s="117">
        <v>69</v>
      </c>
      <c r="H923" s="117">
        <v>8</v>
      </c>
      <c r="I923" s="110">
        <f t="shared" si="87"/>
        <v>0.0384113679886764</v>
      </c>
      <c r="J923" s="111">
        <f t="shared" si="89"/>
        <v>2.1885838150289</v>
      </c>
      <c r="K923" s="111">
        <f t="shared" si="85"/>
        <v>84.0664982931365</v>
      </c>
      <c r="L923" s="111">
        <f t="shared" si="88"/>
        <v>3.93265103994718</v>
      </c>
      <c r="M923" s="112">
        <f t="shared" si="86"/>
        <v>0.000722543352601156</v>
      </c>
    </row>
    <row r="924" ht="13.85" spans="1:13">
      <c r="A924" s="118">
        <v>46083</v>
      </c>
      <c r="B924" s="116">
        <v>3261</v>
      </c>
      <c r="C924" s="117">
        <v>42216</v>
      </c>
      <c r="D924" s="117">
        <v>1602</v>
      </c>
      <c r="E924" s="117">
        <v>2</v>
      </c>
      <c r="F924" s="117">
        <v>33778</v>
      </c>
      <c r="G924" s="117">
        <v>76</v>
      </c>
      <c r="H924" s="117">
        <v>4</v>
      </c>
      <c r="I924" s="110">
        <f t="shared" si="87"/>
        <v>0.0379476975554292</v>
      </c>
      <c r="J924" s="111">
        <f t="shared" si="89"/>
        <v>2.03558052434457</v>
      </c>
      <c r="K924" s="111">
        <f t="shared" si="85"/>
        <v>77.2455940875497</v>
      </c>
      <c r="L924" s="111">
        <f t="shared" si="88"/>
        <v>10.3581723397731</v>
      </c>
      <c r="M924" s="112">
        <f t="shared" si="86"/>
        <v>0.00124843945068664</v>
      </c>
    </row>
    <row r="925" ht="13.85" spans="1:13">
      <c r="A925" s="118">
        <v>46084</v>
      </c>
      <c r="B925" s="116">
        <v>3600</v>
      </c>
      <c r="C925" s="117">
        <v>33662</v>
      </c>
      <c r="D925" s="117">
        <v>1448</v>
      </c>
      <c r="E925" s="117">
        <v>5</v>
      </c>
      <c r="F925" s="117">
        <v>30827</v>
      </c>
      <c r="G925" s="117">
        <v>50</v>
      </c>
      <c r="H925" s="117">
        <v>6</v>
      </c>
      <c r="I925" s="110">
        <f t="shared" si="87"/>
        <v>0.0430158635850514</v>
      </c>
      <c r="J925" s="111">
        <f t="shared" si="89"/>
        <v>2.48618784530387</v>
      </c>
      <c r="K925" s="111">
        <f t="shared" si="85"/>
        <v>106.945517200404</v>
      </c>
      <c r="L925" s="111">
        <f t="shared" si="88"/>
        <v>8.56305555555556</v>
      </c>
      <c r="M925" s="112">
        <f t="shared" si="86"/>
        <v>0.00345303867403315</v>
      </c>
    </row>
    <row r="926" ht="13.85" spans="1:13">
      <c r="A926" s="118">
        <v>46085</v>
      </c>
      <c r="B926" s="116">
        <v>4074</v>
      </c>
      <c r="C926" s="117">
        <v>41612</v>
      </c>
      <c r="D926" s="117">
        <v>1659</v>
      </c>
      <c r="E926" s="117">
        <v>3</v>
      </c>
      <c r="F926" s="117">
        <v>37346</v>
      </c>
      <c r="G926" s="117">
        <v>76</v>
      </c>
      <c r="H926" s="117">
        <v>8</v>
      </c>
      <c r="I926" s="110">
        <f t="shared" si="87"/>
        <v>0.0398683072190714</v>
      </c>
      <c r="J926" s="111">
        <f t="shared" si="89"/>
        <v>2.45569620253165</v>
      </c>
      <c r="K926" s="111">
        <f t="shared" si="85"/>
        <v>97.9044506392387</v>
      </c>
      <c r="L926" s="111">
        <f t="shared" si="88"/>
        <v>9.16691212567501</v>
      </c>
      <c r="M926" s="112">
        <f t="shared" si="86"/>
        <v>0.00180831826401447</v>
      </c>
    </row>
    <row r="927" ht="13.85" spans="1:13">
      <c r="A927" s="118">
        <v>46086</v>
      </c>
      <c r="B927" s="116">
        <v>5135</v>
      </c>
      <c r="C927" s="117">
        <v>63581</v>
      </c>
      <c r="D927" s="117">
        <v>2130</v>
      </c>
      <c r="E927" s="117">
        <v>6</v>
      </c>
      <c r="F927" s="117">
        <v>85316</v>
      </c>
      <c r="G927" s="117">
        <v>97</v>
      </c>
      <c r="H927" s="117">
        <v>8</v>
      </c>
      <c r="I927" s="110">
        <f t="shared" si="87"/>
        <v>0.0335005740708702</v>
      </c>
      <c r="J927" s="111">
        <f t="shared" si="89"/>
        <v>2.41079812206573</v>
      </c>
      <c r="K927" s="111">
        <f t="shared" si="85"/>
        <v>80.7631210581778</v>
      </c>
      <c r="L927" s="111">
        <f t="shared" si="88"/>
        <v>16.614605647517</v>
      </c>
      <c r="M927" s="112">
        <f t="shared" si="86"/>
        <v>0.0028169014084507</v>
      </c>
    </row>
    <row r="928" ht="13.85" spans="1:13">
      <c r="A928" s="118">
        <v>46087</v>
      </c>
      <c r="B928" s="116">
        <v>5599</v>
      </c>
      <c r="C928" s="117">
        <v>56789</v>
      </c>
      <c r="D928" s="117">
        <v>2650</v>
      </c>
      <c r="E928" s="117">
        <v>6</v>
      </c>
      <c r="F928" s="117">
        <v>79522</v>
      </c>
      <c r="G928" s="117">
        <v>77</v>
      </c>
      <c r="H928" s="117">
        <v>12</v>
      </c>
      <c r="I928" s="110">
        <f t="shared" si="87"/>
        <v>0.0466639666132526</v>
      </c>
      <c r="J928" s="111">
        <f t="shared" si="89"/>
        <v>2.11283018867925</v>
      </c>
      <c r="K928" s="111">
        <f t="shared" si="85"/>
        <v>98.5930373840004</v>
      </c>
      <c r="L928" s="111">
        <f t="shared" si="88"/>
        <v>14.2028933738168</v>
      </c>
      <c r="M928" s="112">
        <f t="shared" si="86"/>
        <v>0.00226415094339623</v>
      </c>
    </row>
    <row r="929" ht="13.85" spans="1:13">
      <c r="A929" s="118">
        <v>46088</v>
      </c>
      <c r="B929" s="116">
        <v>5926</v>
      </c>
      <c r="C929" s="117">
        <v>64122</v>
      </c>
      <c r="D929" s="117">
        <v>2623</v>
      </c>
      <c r="E929" s="117">
        <v>1</v>
      </c>
      <c r="F929" s="117">
        <v>5930</v>
      </c>
      <c r="G929" s="117">
        <v>84</v>
      </c>
      <c r="H929" s="117">
        <v>13</v>
      </c>
      <c r="I929" s="110">
        <f t="shared" si="87"/>
        <v>0.0409063971803749</v>
      </c>
      <c r="J929" s="111">
        <f t="shared" si="89"/>
        <v>2.25924513915364</v>
      </c>
      <c r="K929" s="111">
        <f t="shared" si="85"/>
        <v>92.4175789900502</v>
      </c>
      <c r="L929" s="111">
        <f t="shared" si="88"/>
        <v>1.00067499156261</v>
      </c>
      <c r="M929" s="112">
        <f t="shared" si="86"/>
        <v>0.000381242851696531</v>
      </c>
    </row>
    <row r="930" ht="13.85" spans="1:13">
      <c r="A930" s="118">
        <v>46089</v>
      </c>
      <c r="B930" s="116">
        <v>5985</v>
      </c>
      <c r="C930" s="117">
        <v>88812</v>
      </c>
      <c r="D930" s="117">
        <v>3139</v>
      </c>
      <c r="E930" s="117">
        <v>2</v>
      </c>
      <c r="F930" s="117">
        <v>35254</v>
      </c>
      <c r="G930" s="117">
        <v>70</v>
      </c>
      <c r="H930" s="117">
        <v>7</v>
      </c>
      <c r="I930" s="110">
        <f t="shared" si="87"/>
        <v>0.035344322839256</v>
      </c>
      <c r="J930" s="111">
        <f t="shared" si="89"/>
        <v>1.90665817139216</v>
      </c>
      <c r="K930" s="111">
        <f t="shared" si="85"/>
        <v>67.38954195379</v>
      </c>
      <c r="L930" s="111">
        <f t="shared" si="88"/>
        <v>5.89039264828738</v>
      </c>
      <c r="M930" s="112">
        <f t="shared" si="86"/>
        <v>0.000637145587766805</v>
      </c>
    </row>
    <row r="931" ht="13.85" spans="1:13">
      <c r="A931" s="118">
        <v>46090</v>
      </c>
      <c r="B931" s="116">
        <v>5273</v>
      </c>
      <c r="C931" s="117">
        <v>65225</v>
      </c>
      <c r="D931" s="117">
        <v>2454</v>
      </c>
      <c r="E931" s="117">
        <v>10</v>
      </c>
      <c r="F931" s="117">
        <v>160693</v>
      </c>
      <c r="G931" s="117">
        <v>103</v>
      </c>
      <c r="H931" s="117">
        <v>7</v>
      </c>
      <c r="I931" s="110">
        <f t="shared" si="87"/>
        <v>0.0376236105787658</v>
      </c>
      <c r="J931" s="111">
        <f t="shared" si="89"/>
        <v>2.14873675631622</v>
      </c>
      <c r="K931" s="111">
        <f t="shared" si="85"/>
        <v>80.8432349559218</v>
      </c>
      <c r="L931" s="111">
        <f t="shared" si="88"/>
        <v>30.4746823440167</v>
      </c>
      <c r="M931" s="112">
        <f t="shared" si="86"/>
        <v>0.00407497962510187</v>
      </c>
    </row>
    <row r="932" ht="13.85" spans="1:13">
      <c r="A932" s="118">
        <v>46091</v>
      </c>
      <c r="B932" s="116">
        <v>3781</v>
      </c>
      <c r="C932" s="117">
        <v>60966</v>
      </c>
      <c r="D932" s="117">
        <v>2373</v>
      </c>
      <c r="E932" s="117">
        <v>2</v>
      </c>
      <c r="F932" s="117">
        <v>27730</v>
      </c>
      <c r="G932" s="117">
        <v>68</v>
      </c>
      <c r="H932" s="117">
        <v>4</v>
      </c>
      <c r="I932" s="110">
        <f t="shared" si="87"/>
        <v>0.0389233343174884</v>
      </c>
      <c r="J932" s="111">
        <f t="shared" si="89"/>
        <v>1.59334176148335</v>
      </c>
      <c r="K932" s="111">
        <f t="shared" si="85"/>
        <v>62.0181740642325</v>
      </c>
      <c r="L932" s="111">
        <f t="shared" si="88"/>
        <v>7.33403861412325</v>
      </c>
      <c r="M932" s="112">
        <f t="shared" si="86"/>
        <v>0.000842815002107038</v>
      </c>
    </row>
    <row r="933" ht="13.85" spans="1:13">
      <c r="A933" s="118">
        <v>46092</v>
      </c>
      <c r="B933" s="116">
        <v>8712</v>
      </c>
      <c r="C933" s="117">
        <v>115238</v>
      </c>
      <c r="D933" s="117">
        <v>4188</v>
      </c>
      <c r="E933" s="117">
        <v>5</v>
      </c>
      <c r="F933" s="117">
        <v>44772</v>
      </c>
      <c r="G933" s="117">
        <v>83</v>
      </c>
      <c r="H933" s="117">
        <v>5</v>
      </c>
      <c r="I933" s="110">
        <f t="shared" si="87"/>
        <v>0.0363421787951891</v>
      </c>
      <c r="J933" s="111">
        <f t="shared" si="89"/>
        <v>2.08022922636103</v>
      </c>
      <c r="K933" s="111">
        <f t="shared" si="85"/>
        <v>75.6000624793905</v>
      </c>
      <c r="L933" s="111">
        <f t="shared" si="88"/>
        <v>5.13911845730028</v>
      </c>
      <c r="M933" s="112">
        <f t="shared" si="86"/>
        <v>0.00119388729703916</v>
      </c>
    </row>
    <row r="934" ht="13.85" spans="1:13">
      <c r="A934" s="118">
        <v>46093</v>
      </c>
      <c r="B934" s="116">
        <v>8774</v>
      </c>
      <c r="C934" s="117">
        <v>200588</v>
      </c>
      <c r="D934" s="117">
        <v>5556</v>
      </c>
      <c r="E934" s="117">
        <v>4</v>
      </c>
      <c r="F934" s="117">
        <v>47388</v>
      </c>
      <c r="G934" s="117">
        <v>102</v>
      </c>
      <c r="H934" s="117">
        <v>13</v>
      </c>
      <c r="I934" s="110">
        <f t="shared" si="87"/>
        <v>0.0276985662153269</v>
      </c>
      <c r="J934" s="111">
        <f t="shared" si="89"/>
        <v>1.57919366450684</v>
      </c>
      <c r="K934" s="111">
        <f t="shared" si="85"/>
        <v>43.7414002831675</v>
      </c>
      <c r="L934" s="111">
        <f t="shared" si="88"/>
        <v>5.40095737405972</v>
      </c>
      <c r="M934" s="112">
        <f t="shared" si="86"/>
        <v>0.000719942404607631</v>
      </c>
    </row>
    <row r="935" ht="13.85" spans="1:13">
      <c r="A935" s="118">
        <v>46094</v>
      </c>
      <c r="B935" s="116">
        <v>5232</v>
      </c>
      <c r="C935" s="117">
        <v>233357</v>
      </c>
      <c r="D935" s="117">
        <v>5938</v>
      </c>
      <c r="E935" s="117">
        <v>2</v>
      </c>
      <c r="F935" s="117">
        <v>22682</v>
      </c>
      <c r="G935" s="117">
        <v>91</v>
      </c>
      <c r="H935" s="117">
        <v>21</v>
      </c>
      <c r="I935" s="110">
        <f t="shared" si="87"/>
        <v>0.0254459904781086</v>
      </c>
      <c r="J935" s="111">
        <f t="shared" si="89"/>
        <v>0.881104749073762</v>
      </c>
      <c r="K935" s="111">
        <f t="shared" si="85"/>
        <v>22.4205830551473</v>
      </c>
      <c r="L935" s="111">
        <f t="shared" si="88"/>
        <v>4.33524464831804</v>
      </c>
      <c r="M935" s="112">
        <f t="shared" si="86"/>
        <v>0.000336813742000674</v>
      </c>
    </row>
    <row r="936" ht="13.85" spans="1:13">
      <c r="A936" s="118">
        <v>46095</v>
      </c>
      <c r="B936" s="116">
        <v>5284</v>
      </c>
      <c r="C936" s="117">
        <v>203930</v>
      </c>
      <c r="D936" s="117">
        <v>5448</v>
      </c>
      <c r="E936" s="117">
        <v>1</v>
      </c>
      <c r="F936" s="117">
        <v>9618</v>
      </c>
      <c r="G936" s="117">
        <v>81</v>
      </c>
      <c r="H936" s="117">
        <v>11</v>
      </c>
      <c r="I936" s="110">
        <f t="shared" si="87"/>
        <v>0.0267150492816162</v>
      </c>
      <c r="J936" s="111">
        <f t="shared" si="89"/>
        <v>0.969897209985316</v>
      </c>
      <c r="K936" s="111">
        <f t="shared" si="85"/>
        <v>25.9108517628598</v>
      </c>
      <c r="L936" s="111">
        <f t="shared" si="88"/>
        <v>1.82021196063588</v>
      </c>
      <c r="M936" s="112">
        <f t="shared" si="86"/>
        <v>0.000183553597650514</v>
      </c>
    </row>
    <row r="937" ht="13.85" spans="1:13">
      <c r="A937" s="118">
        <v>46096</v>
      </c>
      <c r="B937" s="116">
        <v>468</v>
      </c>
      <c r="C937" s="117">
        <v>16114</v>
      </c>
      <c r="D937" s="117">
        <v>535</v>
      </c>
      <c r="E937" s="117">
        <v>0</v>
      </c>
      <c r="F937" s="117">
        <v>0</v>
      </c>
      <c r="G937" s="117">
        <v>6</v>
      </c>
      <c r="H937" s="117">
        <v>5</v>
      </c>
      <c r="I937" s="110">
        <f t="shared" si="87"/>
        <v>0.0332009432791362</v>
      </c>
      <c r="J937" s="111">
        <f t="shared" si="89"/>
        <v>0.874766355140187</v>
      </c>
      <c r="K937" s="111">
        <f t="shared" si="85"/>
        <v>29.043068139506</v>
      </c>
      <c r="L937" s="111">
        <f t="shared" si="88"/>
        <v>0</v>
      </c>
      <c r="M937" s="112">
        <f t="shared" si="86"/>
        <v>0</v>
      </c>
    </row>
    <row r="938" ht="13.85" spans="1:13">
      <c r="A938" s="118">
        <v>46097</v>
      </c>
      <c r="B938" s="116">
        <v>1</v>
      </c>
      <c r="C938" s="117">
        <v>435</v>
      </c>
      <c r="D938" s="117">
        <v>13</v>
      </c>
      <c r="E938" s="117">
        <v>0</v>
      </c>
      <c r="F938" s="117">
        <v>0</v>
      </c>
      <c r="G938" s="117">
        <v>0</v>
      </c>
      <c r="H938" s="117">
        <v>0</v>
      </c>
      <c r="I938" s="110">
        <f t="shared" si="87"/>
        <v>0.0298850574712644</v>
      </c>
      <c r="J938" s="111">
        <f t="shared" si="89"/>
        <v>0.0769230769230769</v>
      </c>
      <c r="K938" s="111">
        <f t="shared" si="85"/>
        <v>2.29885057471264</v>
      </c>
      <c r="L938" s="111">
        <f t="shared" si="88"/>
        <v>0</v>
      </c>
      <c r="M938" s="112">
        <f t="shared" si="86"/>
        <v>0</v>
      </c>
    </row>
    <row r="939" ht="13.85" spans="1:13">
      <c r="A939" s="118">
        <v>46098</v>
      </c>
      <c r="B939" s="116">
        <v>13863</v>
      </c>
      <c r="C939" s="117">
        <v>1307089</v>
      </c>
      <c r="D939" s="117">
        <v>13924</v>
      </c>
      <c r="E939" s="117">
        <v>2</v>
      </c>
      <c r="F939" s="117">
        <v>25162</v>
      </c>
      <c r="G939" s="117">
        <v>124</v>
      </c>
      <c r="H939" s="117">
        <v>39</v>
      </c>
      <c r="I939" s="110">
        <f t="shared" si="87"/>
        <v>0.0106526793508323</v>
      </c>
      <c r="J939" s="111">
        <f t="shared" si="89"/>
        <v>0.995619074978454</v>
      </c>
      <c r="K939" s="111">
        <f t="shared" si="85"/>
        <v>10.6060107613177</v>
      </c>
      <c r="L939" s="111">
        <f t="shared" si="88"/>
        <v>1.8150472480704</v>
      </c>
      <c r="M939" s="112">
        <f t="shared" si="86"/>
        <v>0.000143636885952313</v>
      </c>
    </row>
    <row r="940" ht="13.85" spans="1:13">
      <c r="A940" s="118">
        <v>46099</v>
      </c>
      <c r="B940" s="116">
        <v>9953</v>
      </c>
      <c r="C940" s="117">
        <v>400585</v>
      </c>
      <c r="D940" s="117">
        <v>8075</v>
      </c>
      <c r="E940" s="117">
        <v>5</v>
      </c>
      <c r="F940" s="117">
        <v>87479</v>
      </c>
      <c r="G940" s="117">
        <v>98</v>
      </c>
      <c r="H940" s="117">
        <v>13</v>
      </c>
      <c r="I940" s="110">
        <f t="shared" si="87"/>
        <v>0.0201580188973626</v>
      </c>
      <c r="J940" s="111">
        <f t="shared" si="89"/>
        <v>1.23256965944272</v>
      </c>
      <c r="K940" s="111">
        <f t="shared" si="85"/>
        <v>24.8461624873622</v>
      </c>
      <c r="L940" s="111">
        <f t="shared" si="88"/>
        <v>8.78920928363308</v>
      </c>
      <c r="M940" s="112">
        <f t="shared" si="86"/>
        <v>0.000619195046439629</v>
      </c>
    </row>
    <row r="941" ht="13.85" spans="1:13">
      <c r="A941" s="118">
        <v>46100</v>
      </c>
      <c r="B941" s="116">
        <v>9865</v>
      </c>
      <c r="C941" s="117">
        <v>456179</v>
      </c>
      <c r="D941" s="117">
        <v>9752</v>
      </c>
      <c r="E941" s="117">
        <v>1</v>
      </c>
      <c r="F941" s="117">
        <v>12344</v>
      </c>
      <c r="G941" s="117">
        <v>97</v>
      </c>
      <c r="H941" s="117">
        <v>18</v>
      </c>
      <c r="I941" s="110">
        <f t="shared" si="87"/>
        <v>0.0213775732771566</v>
      </c>
      <c r="J941" s="111">
        <f t="shared" si="89"/>
        <v>1.01158736669401</v>
      </c>
      <c r="K941" s="111">
        <f t="shared" si="85"/>
        <v>21.6252830577471</v>
      </c>
      <c r="L941" s="111">
        <f t="shared" si="88"/>
        <v>1.25129244804866</v>
      </c>
      <c r="M941" s="112">
        <f t="shared" si="86"/>
        <v>0.000102543068088597</v>
      </c>
    </row>
    <row r="942" ht="13.85" spans="1:13">
      <c r="A942" s="118">
        <v>46101</v>
      </c>
      <c r="B942" s="116">
        <v>11771</v>
      </c>
      <c r="C942" s="117">
        <v>413617</v>
      </c>
      <c r="D942" s="117">
        <v>10230</v>
      </c>
      <c r="E942" s="117">
        <v>0</v>
      </c>
      <c r="F942" s="117">
        <v>0</v>
      </c>
      <c r="G942" s="117">
        <v>108</v>
      </c>
      <c r="H942" s="117">
        <v>20</v>
      </c>
      <c r="I942" s="110">
        <f t="shared" si="87"/>
        <v>0.024733025963633</v>
      </c>
      <c r="J942" s="111">
        <f t="shared" si="89"/>
        <v>1.15063538611926</v>
      </c>
      <c r="K942" s="111">
        <f t="shared" si="85"/>
        <v>28.4586948795625</v>
      </c>
      <c r="L942" s="111">
        <f t="shared" si="88"/>
        <v>0</v>
      </c>
      <c r="M942" s="112">
        <f t="shared" si="86"/>
        <v>0</v>
      </c>
    </row>
    <row r="943" ht="13.85" spans="1:13">
      <c r="A943" s="118">
        <v>46102</v>
      </c>
      <c r="B943" s="116">
        <v>5870</v>
      </c>
      <c r="C943" s="117">
        <v>116002</v>
      </c>
      <c r="D943" s="117">
        <v>3699</v>
      </c>
      <c r="E943" s="117">
        <v>4</v>
      </c>
      <c r="F943" s="117">
        <v>43432</v>
      </c>
      <c r="G943" s="117">
        <v>85</v>
      </c>
      <c r="H943" s="117">
        <v>17</v>
      </c>
      <c r="I943" s="110">
        <f t="shared" si="87"/>
        <v>0.0318873812520474</v>
      </c>
      <c r="J943" s="111">
        <f t="shared" si="89"/>
        <v>1.58691538253582</v>
      </c>
      <c r="K943" s="111">
        <f t="shared" si="85"/>
        <v>50.6025758176583</v>
      </c>
      <c r="L943" s="111">
        <f t="shared" si="88"/>
        <v>7.39897785349233</v>
      </c>
      <c r="M943" s="112">
        <f t="shared" si="86"/>
        <v>0.00108137334414707</v>
      </c>
    </row>
    <row r="944" ht="13.85" spans="1:13">
      <c r="A944" s="118">
        <v>46103</v>
      </c>
      <c r="B944" s="116">
        <v>3395</v>
      </c>
      <c r="C944" s="117">
        <v>61421</v>
      </c>
      <c r="D944" s="117">
        <v>2912</v>
      </c>
      <c r="E944" s="117">
        <v>5</v>
      </c>
      <c r="F944" s="117">
        <v>60086</v>
      </c>
      <c r="G944" s="117">
        <v>56</v>
      </c>
      <c r="H944" s="117">
        <v>15</v>
      </c>
      <c r="I944" s="110">
        <f t="shared" si="87"/>
        <v>0.047410494781915</v>
      </c>
      <c r="J944" s="111">
        <f t="shared" si="89"/>
        <v>1.16586538461538</v>
      </c>
      <c r="K944" s="111">
        <f t="shared" si="85"/>
        <v>55.274254733723</v>
      </c>
      <c r="L944" s="111">
        <f t="shared" si="88"/>
        <v>17.6983799705449</v>
      </c>
      <c r="M944" s="112">
        <f t="shared" si="86"/>
        <v>0.00171703296703297</v>
      </c>
    </row>
    <row r="945" ht="13.85" spans="1:13">
      <c r="A945" s="118">
        <v>46104</v>
      </c>
      <c r="B945" s="116">
        <v>3399</v>
      </c>
      <c r="C945" s="117">
        <v>53893</v>
      </c>
      <c r="D945" s="117">
        <v>2791</v>
      </c>
      <c r="E945" s="117">
        <v>1</v>
      </c>
      <c r="F945" s="117">
        <v>10797</v>
      </c>
      <c r="G945" s="117">
        <v>56</v>
      </c>
      <c r="H945" s="117">
        <v>6</v>
      </c>
      <c r="I945" s="110">
        <f t="shared" si="87"/>
        <v>0.05178780175533</v>
      </c>
      <c r="J945" s="111">
        <f t="shared" si="89"/>
        <v>1.21784306700107</v>
      </c>
      <c r="K945" s="111">
        <f t="shared" si="85"/>
        <v>63.0694153229547</v>
      </c>
      <c r="L945" s="111">
        <f t="shared" si="88"/>
        <v>3.17652250661959</v>
      </c>
      <c r="M945" s="112">
        <f t="shared" si="86"/>
        <v>0.000358294518093873</v>
      </c>
    </row>
    <row r="946" ht="13.85" spans="1:13">
      <c r="A946" s="118">
        <v>46105</v>
      </c>
      <c r="B946" s="116">
        <v>1895</v>
      </c>
      <c r="C946" s="117">
        <v>30719</v>
      </c>
      <c r="D946" s="117">
        <v>1606</v>
      </c>
      <c r="E946" s="117">
        <v>0</v>
      </c>
      <c r="F946" s="117">
        <v>0</v>
      </c>
      <c r="G946" s="117">
        <v>36</v>
      </c>
      <c r="H946" s="117">
        <v>6</v>
      </c>
      <c r="I946" s="110">
        <f t="shared" si="87"/>
        <v>0.0522803476675673</v>
      </c>
      <c r="J946" s="111">
        <f t="shared" si="89"/>
        <v>1.1799501867995</v>
      </c>
      <c r="K946" s="111">
        <f t="shared" si="85"/>
        <v>61.6882059962889</v>
      </c>
      <c r="L946" s="111">
        <f t="shared" si="88"/>
        <v>0</v>
      </c>
      <c r="M946" s="112">
        <f t="shared" si="86"/>
        <v>0</v>
      </c>
    </row>
    <row r="947" ht="13.85" spans="1:13">
      <c r="A947" s="118">
        <v>46106</v>
      </c>
      <c r="B947" s="116">
        <v>3395</v>
      </c>
      <c r="C947" s="117">
        <v>53023</v>
      </c>
      <c r="D947" s="117">
        <v>2201</v>
      </c>
      <c r="E947" s="117">
        <v>2</v>
      </c>
      <c r="F947" s="117">
        <v>19722</v>
      </c>
      <c r="G947" s="117">
        <v>59</v>
      </c>
      <c r="H947" s="117">
        <v>7</v>
      </c>
      <c r="I947" s="110">
        <f t="shared" si="87"/>
        <v>0.0415102879882315</v>
      </c>
      <c r="J947" s="111">
        <f t="shared" si="89"/>
        <v>1.54248069059518</v>
      </c>
      <c r="K947" s="111">
        <f t="shared" si="85"/>
        <v>64.0288176828923</v>
      </c>
      <c r="L947" s="111">
        <f t="shared" si="88"/>
        <v>5.80913107511046</v>
      </c>
      <c r="M947" s="112">
        <f t="shared" si="86"/>
        <v>0.000908677873693776</v>
      </c>
    </row>
    <row r="948" ht="13.85" spans="1:13">
      <c r="A948" s="118">
        <v>46107</v>
      </c>
      <c r="B948" s="116">
        <v>3506</v>
      </c>
      <c r="C948" s="117">
        <v>64481</v>
      </c>
      <c r="D948" s="117">
        <v>2240</v>
      </c>
      <c r="E948" s="117">
        <v>2</v>
      </c>
      <c r="F948" s="117">
        <v>34975</v>
      </c>
      <c r="G948" s="117">
        <v>35</v>
      </c>
      <c r="H948" s="117">
        <v>5</v>
      </c>
      <c r="I948" s="110">
        <f t="shared" si="87"/>
        <v>0.0347389153394023</v>
      </c>
      <c r="J948" s="111">
        <f t="shared" si="89"/>
        <v>1.56517857142857</v>
      </c>
      <c r="K948" s="111">
        <f t="shared" si="85"/>
        <v>54.3726058839038</v>
      </c>
      <c r="L948" s="111">
        <f t="shared" si="88"/>
        <v>9.97575584711922</v>
      </c>
      <c r="M948" s="112">
        <f t="shared" si="86"/>
        <v>0.000892857142857143</v>
      </c>
    </row>
    <row r="949" ht="13.85" spans="1:13">
      <c r="A949" s="118">
        <v>46108</v>
      </c>
      <c r="B949" s="116">
        <v>3584</v>
      </c>
      <c r="C949" s="117">
        <v>76209</v>
      </c>
      <c r="D949" s="117">
        <v>2378</v>
      </c>
      <c r="E949" s="117">
        <v>1</v>
      </c>
      <c r="F949" s="117">
        <v>11596</v>
      </c>
      <c r="G949" s="117">
        <v>48</v>
      </c>
      <c r="H949" s="117">
        <v>6</v>
      </c>
      <c r="I949" s="110">
        <f t="shared" si="87"/>
        <v>0.031203663609285</v>
      </c>
      <c r="J949" s="111">
        <f t="shared" si="89"/>
        <v>1.50714886459209</v>
      </c>
      <c r="K949" s="111">
        <f t="shared" si="85"/>
        <v>47.0285661798475</v>
      </c>
      <c r="L949" s="111">
        <f t="shared" si="88"/>
        <v>3.23549107142857</v>
      </c>
      <c r="M949" s="112">
        <f t="shared" si="86"/>
        <v>0.000420521446593776</v>
      </c>
    </row>
    <row r="950" ht="13.85" spans="1:13">
      <c r="A950" s="118">
        <v>46109</v>
      </c>
      <c r="B950" s="116">
        <v>3547</v>
      </c>
      <c r="C950" s="117">
        <v>62043</v>
      </c>
      <c r="D950" s="117">
        <v>2234</v>
      </c>
      <c r="E950" s="117">
        <v>9</v>
      </c>
      <c r="F950" s="117">
        <v>86013</v>
      </c>
      <c r="G950" s="117">
        <v>66</v>
      </c>
      <c r="H950" s="117">
        <v>5</v>
      </c>
      <c r="I950" s="110">
        <f t="shared" si="87"/>
        <v>0.0360072852698935</v>
      </c>
      <c r="J950" s="111">
        <f t="shared" si="89"/>
        <v>1.58773500447628</v>
      </c>
      <c r="K950" s="111">
        <f t="shared" si="85"/>
        <v>57.1700272391728</v>
      </c>
      <c r="L950" s="111">
        <f t="shared" si="88"/>
        <v>24.2495066253172</v>
      </c>
      <c r="M950" s="112">
        <f t="shared" si="86"/>
        <v>0.00402864816472695</v>
      </c>
    </row>
    <row r="951" ht="13.85" spans="1:13">
      <c r="A951" s="118">
        <v>46110</v>
      </c>
      <c r="B951" s="116">
        <v>3333</v>
      </c>
      <c r="C951" s="117">
        <v>52830</v>
      </c>
      <c r="D951" s="117">
        <v>1972</v>
      </c>
      <c r="E951" s="117">
        <v>3</v>
      </c>
      <c r="F951" s="117">
        <v>31006</v>
      </c>
      <c r="G951" s="117">
        <v>41</v>
      </c>
      <c r="H951" s="117">
        <v>2</v>
      </c>
      <c r="I951" s="110">
        <f t="shared" si="87"/>
        <v>0.0373272761688435</v>
      </c>
      <c r="J951" s="111">
        <f t="shared" si="89"/>
        <v>1.69016227180527</v>
      </c>
      <c r="K951" s="111">
        <f t="shared" si="85"/>
        <v>63.0891538898353</v>
      </c>
      <c r="L951" s="111">
        <f t="shared" si="88"/>
        <v>9.3027302730273</v>
      </c>
      <c r="M951" s="112">
        <f t="shared" si="86"/>
        <v>0.00152129817444219</v>
      </c>
    </row>
    <row r="952" ht="13.85" spans="1:13">
      <c r="A952" s="118">
        <v>46111</v>
      </c>
      <c r="B952" s="116">
        <v>3301</v>
      </c>
      <c r="C952" s="117">
        <v>49674</v>
      </c>
      <c r="D952" s="117">
        <v>1940</v>
      </c>
      <c r="E952" s="117">
        <v>2</v>
      </c>
      <c r="F952" s="117">
        <v>18850</v>
      </c>
      <c r="G952" s="117">
        <v>68</v>
      </c>
      <c r="H952" s="117">
        <v>5</v>
      </c>
      <c r="I952" s="110">
        <f t="shared" si="87"/>
        <v>0.0390546362282079</v>
      </c>
      <c r="J952" s="111">
        <f t="shared" si="89"/>
        <v>1.70154639175258</v>
      </c>
      <c r="K952" s="111">
        <f t="shared" si="85"/>
        <v>66.4532753553167</v>
      </c>
      <c r="L952" s="111">
        <f t="shared" si="88"/>
        <v>5.71039079066949</v>
      </c>
      <c r="M952" s="112">
        <f t="shared" si="86"/>
        <v>0.00103092783505155</v>
      </c>
    </row>
    <row r="953" ht="13.85" spans="1:13">
      <c r="A953" s="118">
        <v>46112</v>
      </c>
      <c r="B953" s="116">
        <v>3171</v>
      </c>
      <c r="C953" s="117">
        <v>46106</v>
      </c>
      <c r="D953" s="117">
        <v>1930</v>
      </c>
      <c r="E953" s="117">
        <v>5</v>
      </c>
      <c r="F953" s="117">
        <v>57984</v>
      </c>
      <c r="G953" s="117">
        <v>51</v>
      </c>
      <c r="H953" s="117">
        <v>8</v>
      </c>
      <c r="I953" s="110">
        <f t="shared" si="87"/>
        <v>0.0418600615971891</v>
      </c>
      <c r="J953" s="111">
        <f t="shared" si="89"/>
        <v>1.64300518134715</v>
      </c>
      <c r="K953" s="111">
        <f t="shared" si="85"/>
        <v>68.7762980956925</v>
      </c>
      <c r="L953" s="111">
        <f t="shared" si="88"/>
        <v>18.2857142857143</v>
      </c>
      <c r="M953" s="112">
        <f t="shared" si="86"/>
        <v>0.00259067357512953</v>
      </c>
    </row>
    <row r="954" ht="13.85" spans="1:13">
      <c r="A954" s="118">
        <v>46113</v>
      </c>
      <c r="B954" s="116">
        <v>3539</v>
      </c>
      <c r="C954" s="117">
        <v>47754</v>
      </c>
      <c r="D954" s="117">
        <v>1807</v>
      </c>
      <c r="E954" s="117">
        <v>3</v>
      </c>
      <c r="F954" s="117">
        <v>28210</v>
      </c>
      <c r="G954" s="117">
        <v>53</v>
      </c>
      <c r="H954" s="117">
        <v>9</v>
      </c>
      <c r="I954" s="110">
        <f t="shared" si="87"/>
        <v>0.0378397621141684</v>
      </c>
      <c r="J954" s="111">
        <f t="shared" si="89"/>
        <v>1.9584947426674</v>
      </c>
      <c r="K954" s="111">
        <f t="shared" si="85"/>
        <v>74.1089751643841</v>
      </c>
      <c r="L954" s="111">
        <f t="shared" si="88"/>
        <v>7.97117829895451</v>
      </c>
      <c r="M954" s="112">
        <f t="shared" si="86"/>
        <v>0.00166021029330382</v>
      </c>
    </row>
    <row r="955" ht="13.85" spans="1:13">
      <c r="A955" s="118">
        <v>46114</v>
      </c>
      <c r="B955" s="116">
        <v>3705</v>
      </c>
      <c r="C955" s="117">
        <v>79955</v>
      </c>
      <c r="D955" s="117">
        <v>2481</v>
      </c>
      <c r="E955" s="117">
        <v>3</v>
      </c>
      <c r="F955" s="117">
        <v>45836</v>
      </c>
      <c r="G955" s="117">
        <v>75</v>
      </c>
      <c r="H955" s="117">
        <v>6</v>
      </c>
      <c r="I955" s="110">
        <f t="shared" si="87"/>
        <v>0.0310299543493215</v>
      </c>
      <c r="J955" s="111">
        <f t="shared" si="89"/>
        <v>1.49334945586457</v>
      </c>
      <c r="K955" s="111">
        <f t="shared" si="85"/>
        <v>46.3385654430617</v>
      </c>
      <c r="L955" s="111">
        <f t="shared" si="88"/>
        <v>12.3713900134953</v>
      </c>
      <c r="M955" s="112">
        <f t="shared" si="86"/>
        <v>0.00120918984280532</v>
      </c>
    </row>
    <row r="956" ht="13.85" spans="1:13">
      <c r="A956" s="118">
        <v>46115</v>
      </c>
      <c r="B956" s="116">
        <v>4027</v>
      </c>
      <c r="C956" s="117">
        <v>82452</v>
      </c>
      <c r="D956" s="117">
        <v>2375</v>
      </c>
      <c r="E956" s="117">
        <v>4</v>
      </c>
      <c r="F956" s="117">
        <v>34643</v>
      </c>
      <c r="G956" s="117">
        <v>64</v>
      </c>
      <c r="H956" s="117">
        <v>8</v>
      </c>
      <c r="I956" s="110">
        <f t="shared" si="87"/>
        <v>0.0288046378499005</v>
      </c>
      <c r="J956" s="111">
        <f t="shared" si="89"/>
        <v>1.69557894736842</v>
      </c>
      <c r="K956" s="111">
        <f t="shared" ref="K956:K967" si="90">B956/C956*1000</f>
        <v>48.8405375248629</v>
      </c>
      <c r="L956" s="111">
        <f t="shared" si="88"/>
        <v>8.60268189719394</v>
      </c>
      <c r="M956" s="112">
        <f t="shared" si="86"/>
        <v>0.00168421052631579</v>
      </c>
    </row>
    <row r="957" ht="13.85" spans="1:13">
      <c r="A957" s="118">
        <v>46116</v>
      </c>
      <c r="B957" s="116">
        <v>3219</v>
      </c>
      <c r="C957" s="117">
        <v>86540</v>
      </c>
      <c r="D957" s="117">
        <v>2757</v>
      </c>
      <c r="E957" s="117">
        <v>1</v>
      </c>
      <c r="F957" s="117">
        <v>9266</v>
      </c>
      <c r="G957" s="117">
        <v>55</v>
      </c>
      <c r="H957" s="117">
        <v>12</v>
      </c>
      <c r="I957" s="110">
        <f t="shared" si="87"/>
        <v>0.0318581003004391</v>
      </c>
      <c r="J957" s="111">
        <f t="shared" si="89"/>
        <v>1.16757344940152</v>
      </c>
      <c r="K957" s="111">
        <f t="shared" si="90"/>
        <v>37.1966720591634</v>
      </c>
      <c r="L957" s="111">
        <f t="shared" si="88"/>
        <v>2.87853370611991</v>
      </c>
      <c r="M957" s="112">
        <f t="shared" si="86"/>
        <v>0.000362713093942691</v>
      </c>
    </row>
    <row r="958" ht="13.85" spans="1:13">
      <c r="A958" s="118">
        <v>46117</v>
      </c>
      <c r="B958" s="116">
        <v>3286</v>
      </c>
      <c r="C958" s="117">
        <v>81505</v>
      </c>
      <c r="D958" s="117">
        <v>2857</v>
      </c>
      <c r="E958" s="117">
        <v>3</v>
      </c>
      <c r="F958" s="117">
        <v>43743</v>
      </c>
      <c r="G958" s="117">
        <v>43</v>
      </c>
      <c r="H958" s="117">
        <v>6</v>
      </c>
      <c r="I958" s="110">
        <f t="shared" si="87"/>
        <v>0.0350530642291884</v>
      </c>
      <c r="J958" s="111">
        <f t="shared" si="89"/>
        <v>1.15015750787539</v>
      </c>
      <c r="K958" s="111">
        <f t="shared" si="90"/>
        <v>40.3165449972394</v>
      </c>
      <c r="L958" s="111">
        <f t="shared" si="88"/>
        <v>13.3119293974437</v>
      </c>
      <c r="M958" s="112">
        <f t="shared" si="86"/>
        <v>0.00105005250262513</v>
      </c>
    </row>
    <row r="959" ht="13.85" spans="1:13">
      <c r="A959" s="118">
        <v>46118</v>
      </c>
      <c r="B959" s="116">
        <v>6085</v>
      </c>
      <c r="C959" s="117">
        <v>129687</v>
      </c>
      <c r="D959" s="117">
        <v>3403</v>
      </c>
      <c r="E959" s="117">
        <v>3</v>
      </c>
      <c r="F959" s="117">
        <v>38984</v>
      </c>
      <c r="G959" s="117">
        <v>79</v>
      </c>
      <c r="H959" s="117">
        <v>10</v>
      </c>
      <c r="I959" s="110">
        <f t="shared" si="87"/>
        <v>0.0262401011666551</v>
      </c>
      <c r="J959" s="111">
        <f t="shared" si="89"/>
        <v>1.78812812224508</v>
      </c>
      <c r="K959" s="111">
        <f t="shared" si="90"/>
        <v>46.9206628266519</v>
      </c>
      <c r="L959" s="111">
        <f t="shared" si="88"/>
        <v>6.40657354149548</v>
      </c>
      <c r="M959" s="112">
        <f t="shared" si="86"/>
        <v>0.000881575080811049</v>
      </c>
    </row>
    <row r="960" ht="13.85" spans="1:13">
      <c r="A960" s="118">
        <v>46119</v>
      </c>
      <c r="B960" s="116">
        <v>5103</v>
      </c>
      <c r="C960" s="117">
        <v>127052</v>
      </c>
      <c r="D960" s="117">
        <v>2903</v>
      </c>
      <c r="E960" s="117">
        <v>6</v>
      </c>
      <c r="F960" s="117">
        <v>62372</v>
      </c>
      <c r="G960" s="117">
        <v>55</v>
      </c>
      <c r="H960" s="117">
        <v>4</v>
      </c>
      <c r="I960" s="110">
        <f t="shared" si="87"/>
        <v>0.022848912256399</v>
      </c>
      <c r="J960" s="111">
        <f t="shared" si="89"/>
        <v>1.75783672063383</v>
      </c>
      <c r="K960" s="111">
        <f t="shared" si="90"/>
        <v>40.1646569908384</v>
      </c>
      <c r="L960" s="111">
        <f t="shared" si="88"/>
        <v>12.2226141485401</v>
      </c>
      <c r="M960" s="112">
        <f t="shared" si="86"/>
        <v>0.00206682741991044</v>
      </c>
    </row>
    <row r="961" ht="13.85" spans="1:13">
      <c r="A961" s="118">
        <v>46120</v>
      </c>
      <c r="B961" s="116">
        <v>2309</v>
      </c>
      <c r="C961" s="117">
        <v>44381</v>
      </c>
      <c r="D961" s="117">
        <v>1614</v>
      </c>
      <c r="E961" s="117">
        <v>1</v>
      </c>
      <c r="F961" s="117">
        <v>10169</v>
      </c>
      <c r="G961" s="117">
        <v>26</v>
      </c>
      <c r="H961" s="117">
        <v>8</v>
      </c>
      <c r="I961" s="110">
        <f t="shared" si="87"/>
        <v>0.0363669137694058</v>
      </c>
      <c r="J961" s="111">
        <f t="shared" si="89"/>
        <v>1.43060718711276</v>
      </c>
      <c r="K961" s="111">
        <f t="shared" si="90"/>
        <v>52.0267682116221</v>
      </c>
      <c r="L961" s="111">
        <f t="shared" si="88"/>
        <v>4.40407102641836</v>
      </c>
      <c r="M961" s="112">
        <f t="shared" ref="M961:M967" si="91">E961/D961</f>
        <v>0.000619578686493185</v>
      </c>
    </row>
    <row r="962" ht="13.85" spans="1:13">
      <c r="A962" s="118">
        <v>46121</v>
      </c>
      <c r="B962" s="116">
        <v>875</v>
      </c>
      <c r="C962" s="117">
        <v>13763</v>
      </c>
      <c r="D962" s="117">
        <v>861</v>
      </c>
      <c r="E962" s="117">
        <v>1</v>
      </c>
      <c r="F962" s="117">
        <v>4890</v>
      </c>
      <c r="G962" s="117">
        <v>25</v>
      </c>
      <c r="H962" s="117">
        <v>2</v>
      </c>
      <c r="I962" s="110">
        <f t="shared" si="87"/>
        <v>0.0625590350940929</v>
      </c>
      <c r="J962" s="111">
        <f t="shared" si="89"/>
        <v>1.01626016260163</v>
      </c>
      <c r="K962" s="111">
        <f t="shared" si="90"/>
        <v>63.5762551769236</v>
      </c>
      <c r="L962" s="111">
        <f t="shared" si="88"/>
        <v>5.58857142857143</v>
      </c>
      <c r="M962" s="112">
        <f t="shared" si="91"/>
        <v>0.00116144018583043</v>
      </c>
    </row>
    <row r="963" ht="13.85" spans="1:13">
      <c r="A963" s="118">
        <v>46122</v>
      </c>
      <c r="B963" s="116">
        <v>3322</v>
      </c>
      <c r="C963" s="117">
        <v>51640</v>
      </c>
      <c r="D963" s="117">
        <v>2088</v>
      </c>
      <c r="E963" s="117">
        <v>3</v>
      </c>
      <c r="F963" s="117">
        <v>40389</v>
      </c>
      <c r="G963" s="117">
        <v>31</v>
      </c>
      <c r="H963" s="117">
        <v>2</v>
      </c>
      <c r="I963" s="110">
        <f t="shared" si="87"/>
        <v>0.0404337722695585</v>
      </c>
      <c r="J963" s="111">
        <f t="shared" si="89"/>
        <v>1.59099616858238</v>
      </c>
      <c r="K963" s="111">
        <f t="shared" si="90"/>
        <v>64.3299767621998</v>
      </c>
      <c r="L963" s="111">
        <f t="shared" si="88"/>
        <v>12.1580373269115</v>
      </c>
      <c r="M963" s="112">
        <f t="shared" si="91"/>
        <v>0.0014367816091954</v>
      </c>
    </row>
    <row r="964" ht="13.85" spans="1:13">
      <c r="A964" s="118">
        <v>46123</v>
      </c>
      <c r="B964" s="116">
        <v>2307</v>
      </c>
      <c r="C964" s="117">
        <v>46800</v>
      </c>
      <c r="D964" s="117">
        <v>1578</v>
      </c>
      <c r="E964" s="117">
        <v>0</v>
      </c>
      <c r="F964" s="117">
        <v>0</v>
      </c>
      <c r="G964" s="117">
        <v>26</v>
      </c>
      <c r="H964" s="117">
        <v>9</v>
      </c>
      <c r="I964" s="110">
        <f t="shared" si="87"/>
        <v>0.0337179487179487</v>
      </c>
      <c r="J964" s="111">
        <f t="shared" si="89"/>
        <v>1.46197718631179</v>
      </c>
      <c r="K964" s="111">
        <f t="shared" si="90"/>
        <v>49.2948717948718</v>
      </c>
      <c r="L964" s="111">
        <f t="shared" si="88"/>
        <v>0</v>
      </c>
      <c r="M964" s="112">
        <f t="shared" si="91"/>
        <v>0</v>
      </c>
    </row>
    <row r="965" ht="13.85" spans="1:13">
      <c r="A965" s="118">
        <v>46124</v>
      </c>
      <c r="B965" s="116">
        <v>2314</v>
      </c>
      <c r="C965" s="117">
        <v>54831</v>
      </c>
      <c r="D965" s="117">
        <v>1642</v>
      </c>
      <c r="E965" s="117">
        <v>0</v>
      </c>
      <c r="F965" s="117">
        <v>0</v>
      </c>
      <c r="G965" s="117">
        <v>28</v>
      </c>
      <c r="H965" s="117">
        <v>7</v>
      </c>
      <c r="I965" s="110">
        <f t="shared" si="87"/>
        <v>0.0299465630756324</v>
      </c>
      <c r="J965" s="111">
        <f t="shared" si="89"/>
        <v>1.40925700365408</v>
      </c>
      <c r="K965" s="111">
        <f t="shared" si="90"/>
        <v>42.2024037497036</v>
      </c>
      <c r="L965" s="111">
        <f t="shared" si="88"/>
        <v>0</v>
      </c>
      <c r="M965" s="112">
        <f t="shared" si="91"/>
        <v>0</v>
      </c>
    </row>
    <row r="966" ht="13.85" spans="1:13">
      <c r="A966" s="118">
        <v>46125</v>
      </c>
      <c r="B966" s="116">
        <v>3229</v>
      </c>
      <c r="C966" s="117">
        <v>46214</v>
      </c>
      <c r="D966" s="117">
        <v>2176</v>
      </c>
      <c r="E966" s="117">
        <v>5</v>
      </c>
      <c r="F966" s="117">
        <v>53550</v>
      </c>
      <c r="G966" s="117">
        <v>31</v>
      </c>
      <c r="H966" s="117">
        <v>3</v>
      </c>
      <c r="I966" s="110">
        <f t="shared" si="87"/>
        <v>0.0470852988271952</v>
      </c>
      <c r="J966" s="111">
        <f t="shared" si="89"/>
        <v>1.48391544117647</v>
      </c>
      <c r="K966" s="111">
        <f t="shared" si="90"/>
        <v>69.8706019820833</v>
      </c>
      <c r="L966" s="111">
        <f t="shared" si="88"/>
        <v>16.5840817590585</v>
      </c>
      <c r="M966" s="112">
        <f t="shared" si="91"/>
        <v>0.00229779411764706</v>
      </c>
    </row>
    <row r="967" ht="13.85" spans="1:13">
      <c r="A967" s="118">
        <v>46126</v>
      </c>
      <c r="B967" s="116">
        <v>700</v>
      </c>
      <c r="C967" s="117">
        <v>10721</v>
      </c>
      <c r="D967" s="117">
        <v>474</v>
      </c>
      <c r="E967" s="117">
        <v>1</v>
      </c>
      <c r="F967" s="117">
        <v>5144</v>
      </c>
      <c r="G967" s="117">
        <v>15</v>
      </c>
      <c r="H967" s="117">
        <v>3</v>
      </c>
      <c r="I967" s="110">
        <f t="shared" si="87"/>
        <v>0.0442122936293256</v>
      </c>
      <c r="J967" s="111">
        <f t="shared" si="89"/>
        <v>1.47679324894515</v>
      </c>
      <c r="K967" s="111">
        <f t="shared" si="90"/>
        <v>65.2924167521686</v>
      </c>
      <c r="L967" s="111">
        <f t="shared" si="88"/>
        <v>7.34857142857143</v>
      </c>
      <c r="M967" s="112">
        <f t="shared" si="91"/>
        <v>0.00210970464135021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万相台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ZouYuchang</dc:creator>
  <cp:lastModifiedBy>邹宇畅</cp:lastModifiedBy>
  <dcterms:created xsi:type="dcterms:W3CDTF">2026-04-18T14:29:28Z</dcterms:created>
  <dcterms:modified xsi:type="dcterms:W3CDTF">2026-04-18T14:29:57Z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0309D3DE4B5C4483AA55390838D54994_11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